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chumann\SFB lokal\Daten\Boye\"/>
    </mc:Choice>
  </mc:AlternateContent>
  <bookViews>
    <workbookView xWindow="0" yWindow="0" windowWidth="28800" windowHeight="12432"/>
  </bookViews>
  <sheets>
    <sheet name="every watersample" sheetId="1" r:id="rId1"/>
    <sheet name="once a month" sheetId="2" r:id="rId2"/>
    <sheet name="remarks" sheetId="3" r:id="rId3"/>
  </sheets>
  <definedNames>
    <definedName name="_xlnm._FilterDatabase" localSheetId="0" hidden="1">'every watersample'!$A$1:$L$162</definedName>
    <definedName name="_xlnm._FilterDatabase" localSheetId="1" hidden="1">'once a month'!$A$1:$P$162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2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9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</calcChain>
</file>

<file path=xl/sharedStrings.xml><?xml version="1.0" encoding="utf-8"?>
<sst xmlns="http://schemas.openxmlformats.org/spreadsheetml/2006/main" count="514" uniqueCount="210">
  <si>
    <t>ortho-phosphate</t>
  </si>
  <si>
    <t>total nitrogen</t>
  </si>
  <si>
    <t>ammonia</t>
  </si>
  <si>
    <t>Ca2+</t>
  </si>
  <si>
    <t>Mg2+</t>
  </si>
  <si>
    <t>Na+</t>
  </si>
  <si>
    <t>K+</t>
  </si>
  <si>
    <t>Co32-</t>
  </si>
  <si>
    <t>turbidity/fine sediment load</t>
  </si>
  <si>
    <t>Datum</t>
  </si>
  <si>
    <t>Probestelle</t>
  </si>
  <si>
    <t>KIRun</t>
  </si>
  <si>
    <t>KIRob</t>
  </si>
  <si>
    <t>SCHohVo</t>
  </si>
  <si>
    <t>VORuhSc</t>
  </si>
  <si>
    <t>VORohBo</t>
  </si>
  <si>
    <t>BOYkl</t>
  </si>
  <si>
    <t>BRAob</t>
  </si>
  <si>
    <t>BRAohBo</t>
  </si>
  <si>
    <t>BOYohBr</t>
  </si>
  <si>
    <t>BOYuhSp</t>
  </si>
  <si>
    <t>BOYohSp</t>
  </si>
  <si>
    <t>QUAohBo</t>
  </si>
  <si>
    <t>BOYohKi</t>
  </si>
  <si>
    <t>HAAun</t>
  </si>
  <si>
    <t>HAAob</t>
  </si>
  <si>
    <t>WITob</t>
  </si>
  <si>
    <t>nitrate mg/l</t>
  </si>
  <si>
    <t>chloride mg/l</t>
  </si>
  <si>
    <t>sulfate mg/l</t>
  </si>
  <si>
    <t>nitrite mg/l</t>
  </si>
  <si>
    <t>HCO3- mg/l</t>
  </si>
  <si>
    <t>BOYohB224</t>
  </si>
  <si>
    <t>NATohBo</t>
  </si>
  <si>
    <t>LIE oh Bo</t>
  </si>
  <si>
    <t>DOC</t>
  </si>
  <si>
    <t>total phosphate mg/l</t>
  </si>
  <si>
    <t>Cd mg/l</t>
  </si>
  <si>
    <t>Fe mg/l</t>
  </si>
  <si>
    <t>Ni mg/l</t>
  </si>
  <si>
    <t>Pb mg/l</t>
  </si>
  <si>
    <t>Zn mg/l</t>
  </si>
  <si>
    <t>Cu mg/l</t>
  </si>
  <si>
    <t>LIEohBo</t>
  </si>
  <si>
    <t>BOYoh B224</t>
  </si>
  <si>
    <t>BOYuhHa</t>
  </si>
  <si>
    <t>NAT oh Bo</t>
  </si>
  <si>
    <t>ROTB</t>
  </si>
  <si>
    <t>Leerzeilen!</t>
  </si>
  <si>
    <t>CODE</t>
  </si>
  <si>
    <t>SCHW</t>
  </si>
  <si>
    <t>SPE</t>
  </si>
  <si>
    <t>02.01.2025_BOYkl</t>
  </si>
  <si>
    <t>02.01.2025_BOYohB224</t>
  </si>
  <si>
    <t>02.01.2025_BOYohBr</t>
  </si>
  <si>
    <t>02.01.2025_BOYohKi</t>
  </si>
  <si>
    <t>02.01.2025_BOYohSp</t>
  </si>
  <si>
    <t>02.01.2025_BOYuhHa</t>
  </si>
  <si>
    <t>02.01.2025_BOYuhSp</t>
  </si>
  <si>
    <t>02.01.2025_BRAob</t>
  </si>
  <si>
    <t>02.01.2025_BRAohBo</t>
  </si>
  <si>
    <t>02.01.2025_HAAob</t>
  </si>
  <si>
    <t>02.01.2025_HAAun</t>
  </si>
  <si>
    <t>02.01.2025_KIRob</t>
  </si>
  <si>
    <t>02.01.2025_KIRun</t>
  </si>
  <si>
    <t>02.01.2025_LIEohBo</t>
  </si>
  <si>
    <t>02.01.2025_NATohBo</t>
  </si>
  <si>
    <t>02.01.2025_QUAohBo</t>
  </si>
  <si>
    <t>02.01.2025_SCHohVo</t>
  </si>
  <si>
    <t>02.01.2025_VORohBo</t>
  </si>
  <si>
    <t>02.01.2025_VORuhSc</t>
  </si>
  <si>
    <t>02.01.2025_WITob</t>
  </si>
  <si>
    <t>31.01.2024_BOYkl</t>
  </si>
  <si>
    <t>31.01.2024_BOYohB224</t>
  </si>
  <si>
    <t>31.01.2024_BOYohBr</t>
  </si>
  <si>
    <t>31.01.2024_BOYohKi</t>
  </si>
  <si>
    <t>31.01.2024_BOYohSp</t>
  </si>
  <si>
    <t>31.01.2024_BOYuhHa</t>
  </si>
  <si>
    <t>31.01.2024_BOYuhSp</t>
  </si>
  <si>
    <t>31.01.2024_BRAob</t>
  </si>
  <si>
    <t>31.01.2024_BRAohBo</t>
  </si>
  <si>
    <t>31.01.2024_HAAob</t>
  </si>
  <si>
    <t>31.01.2024_HAAun</t>
  </si>
  <si>
    <t>31.01.2024_KIRob</t>
  </si>
  <si>
    <t>31.01.2024_KIRun</t>
  </si>
  <si>
    <t>31.01.2024_LIEohBo</t>
  </si>
  <si>
    <t>31.01.2024_NATohBo</t>
  </si>
  <si>
    <t>31.01.2024_QUAohBo</t>
  </si>
  <si>
    <t>31.01.2024_ROTB</t>
  </si>
  <si>
    <t>31.01.2024_SCHohVo</t>
  </si>
  <si>
    <t>31.01.2024_SCHW</t>
  </si>
  <si>
    <t>31.01.2024_SPE</t>
  </si>
  <si>
    <t>16.02.2024_VORohBo</t>
  </si>
  <si>
    <t>16.02.2024_VORuhSc</t>
  </si>
  <si>
    <t>16.02.2024_WITob</t>
  </si>
  <si>
    <t>16.02.2024_BOYkl</t>
  </si>
  <si>
    <t>16.02.2024_BOYohB224</t>
  </si>
  <si>
    <t>16.02.2024_BOYohBr</t>
  </si>
  <si>
    <t>16.02.2024_BOYohKi</t>
  </si>
  <si>
    <t>16.02.2024_BOYohSp</t>
  </si>
  <si>
    <t>16.02.2024_BOYuhHa</t>
  </si>
  <si>
    <t>16.02.2024_BOYuhSp</t>
  </si>
  <si>
    <t>16.02.2024_BRAob</t>
  </si>
  <si>
    <t>16.02.2024_BRAohBo</t>
  </si>
  <si>
    <t>16.02.2024_HAAob</t>
  </si>
  <si>
    <t>16.02.2024_HAAun</t>
  </si>
  <si>
    <t>16.02.2024_KIRob</t>
  </si>
  <si>
    <t>16.02.2024_KIRun</t>
  </si>
  <si>
    <t>16.02.2024_LIEohBo</t>
  </si>
  <si>
    <t>16.02.2024_NATohBo</t>
  </si>
  <si>
    <t>16.02.2024_QUAohBo</t>
  </si>
  <si>
    <t>16.02.2024_ROTB</t>
  </si>
  <si>
    <t>26.02.2024_SCHohVo</t>
  </si>
  <si>
    <t>26.02.2024_SCHW</t>
  </si>
  <si>
    <t>26.02.2024_SPE</t>
  </si>
  <si>
    <t>26.02.2024_VORohBo</t>
  </si>
  <si>
    <t>26.02.2024_VORuhSc</t>
  </si>
  <si>
    <t>26.02.2024_WITob</t>
  </si>
  <si>
    <t>26.02.2024_BOYkl</t>
  </si>
  <si>
    <t>26.02.2024_BOYohB224</t>
  </si>
  <si>
    <t>26.02.2024_BOYohBr</t>
  </si>
  <si>
    <t>26.02.2024_BOYohKi</t>
  </si>
  <si>
    <t>26.02.2024_BOYohSp</t>
  </si>
  <si>
    <t>26.02.2024_BOYuhHa</t>
  </si>
  <si>
    <t>26.02.2024_BOYuhSp</t>
  </si>
  <si>
    <t>26.02.2024_BRAob</t>
  </si>
  <si>
    <t>26.02.2024_BRAohBo</t>
  </si>
  <si>
    <t>26.02.2024_HAAob</t>
  </si>
  <si>
    <t>26.02.2024_HAAun</t>
  </si>
  <si>
    <t>26.02.2024_KIRob</t>
  </si>
  <si>
    <t>26.02.2024_KIRun</t>
  </si>
  <si>
    <t>26.02.2024_LIEohBo</t>
  </si>
  <si>
    <t>12.03.2024_NATohBo</t>
  </si>
  <si>
    <t>12.03.2024_QUAohBo</t>
  </si>
  <si>
    <t>12.03.2024_ROTB</t>
  </si>
  <si>
    <t>12.03.2024_SCHohVo</t>
  </si>
  <si>
    <t>12.03.2024_SCHW</t>
  </si>
  <si>
    <t>12.03.2024_SPE</t>
  </si>
  <si>
    <t>12.03.2024_VORohBo</t>
  </si>
  <si>
    <t>12.03.2024_VORuhSc</t>
  </si>
  <si>
    <t>12.03.2024_WITob</t>
  </si>
  <si>
    <t>12.03.2024_BOYkl</t>
  </si>
  <si>
    <t>12.03.2024_BOYohB224</t>
  </si>
  <si>
    <t>12.03.2024_BOYohBr</t>
  </si>
  <si>
    <t>12.03.2024_BOYohKi</t>
  </si>
  <si>
    <t>12.03.2024_BOYohSp</t>
  </si>
  <si>
    <t>12.03.2024_BOYuhHa</t>
  </si>
  <si>
    <t>12.03.2024_BOYuhSp</t>
  </si>
  <si>
    <t>12.03.2024_BRAob</t>
  </si>
  <si>
    <t>12.03.2024_BRAohBo</t>
  </si>
  <si>
    <t>12.03.2024_HAAob</t>
  </si>
  <si>
    <t>12.03.2024_HAAun</t>
  </si>
  <si>
    <t>12.03.2024_KIRob</t>
  </si>
  <si>
    <t>12.03.2024_KIRun</t>
  </si>
  <si>
    <t>21.03.2024_LIEohBo</t>
  </si>
  <si>
    <t>21.03.2024_NATohBo</t>
  </si>
  <si>
    <t>21.03.2024_QUAohBo</t>
  </si>
  <si>
    <t>21.03.2024_ROTB</t>
  </si>
  <si>
    <t>21.03.2024_SCHohVo</t>
  </si>
  <si>
    <t>21.03.2024_SCHW</t>
  </si>
  <si>
    <t>21.03.2024_SPE</t>
  </si>
  <si>
    <t>21.03.2024_VORohBo</t>
  </si>
  <si>
    <t>21.03.2024_VORuhSc</t>
  </si>
  <si>
    <t>21.03.2024_WITob</t>
  </si>
  <si>
    <t>04.03.2025_BOYkl</t>
  </si>
  <si>
    <t>04.03.2025_BOYohB224</t>
  </si>
  <si>
    <t>04.03.2025_BOYohBr</t>
  </si>
  <si>
    <t>04.03.2025_BOYohKi</t>
  </si>
  <si>
    <t>04.03.2025_BOYohSp</t>
  </si>
  <si>
    <t>04.03.2025_BOYuhHa</t>
  </si>
  <si>
    <t>04.03.2025_BOYuhSp</t>
  </si>
  <si>
    <t>04.03.2025_BRAob</t>
  </si>
  <si>
    <t>04.03.2025_BRAohBo</t>
  </si>
  <si>
    <t>04.03.2025_HAAob</t>
  </si>
  <si>
    <t>04.03.2025_HAAun</t>
  </si>
  <si>
    <t>04.03.2025_KIRob</t>
  </si>
  <si>
    <t>04.03.2025_KIRun</t>
  </si>
  <si>
    <t>04.03.2025_LIEohBo</t>
  </si>
  <si>
    <t>04.03.2025_NATohBo</t>
  </si>
  <si>
    <t>04.03.2025_QUAohBo</t>
  </si>
  <si>
    <t>04.03.2025_ROTB</t>
  </si>
  <si>
    <t>04.03.2025_SCHohVo</t>
  </si>
  <si>
    <t>04.03.2025_SCHW</t>
  </si>
  <si>
    <t>04.03.2025_SPE</t>
  </si>
  <si>
    <t>04.03.2025_VORohBo</t>
  </si>
  <si>
    <t>04.03.2025_VORuhSc</t>
  </si>
  <si>
    <t>04.03.2025_WITob</t>
  </si>
  <si>
    <t>17.03.2025_BOYkl</t>
  </si>
  <si>
    <t>17.03.2025_BOYohB224</t>
  </si>
  <si>
    <t>17.03.2025_BOYohBr</t>
  </si>
  <si>
    <t>17.03.2025_BOYohKi</t>
  </si>
  <si>
    <t>17.03.2025_BOYohSp</t>
  </si>
  <si>
    <t>17.03.2025_BOYuhHa</t>
  </si>
  <si>
    <t>17.03.2025_BOYuhSp</t>
  </si>
  <si>
    <t>17.03.2025_BRAob</t>
  </si>
  <si>
    <t>17.03.2025_BRAohBo</t>
  </si>
  <si>
    <t>17.03.2025_HAAob</t>
  </si>
  <si>
    <t>17.03.2025_HAAun</t>
  </si>
  <si>
    <t>17.03.2025_KIRob</t>
  </si>
  <si>
    <t>17.03.2025_KIRun</t>
  </si>
  <si>
    <t>17.03.2025_LIEohBo</t>
  </si>
  <si>
    <t>17.03.2025_NATohBo</t>
  </si>
  <si>
    <t>17.03.2025_QUAohBo</t>
  </si>
  <si>
    <t>17.03.2025_ROTB</t>
  </si>
  <si>
    <t>17.03.2025_SCHohVo</t>
  </si>
  <si>
    <t>17.03.2025_SCHW</t>
  </si>
  <si>
    <t>17.03.2025_SPE</t>
  </si>
  <si>
    <t>17.03.2025_VORohBo</t>
  </si>
  <si>
    <t>17.03.2025_VORuhSc</t>
  </si>
  <si>
    <t>17.03.2025_WITob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</si>
</sst>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"/>
    <numFmt numFmtId="167" formatCode="0.00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 tint="0.49998474074526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ont="1" applyBorder="1"/>
    <xf numFmtId="0" fontId="2" fillId="0" borderId="0" xfId="0" applyFont="1" applyBorder="1"/>
    <xf numFmtId="1" fontId="2" fillId="0" borderId="0" xfId="0" applyNumberFormat="1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/>
    <xf numFmtId="2" fontId="2" fillId="0" borderId="0" xfId="0" applyNumberFormat="1" applyFont="1" applyBorder="1"/>
    <xf numFmtId="166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165" fontId="2" fillId="0" borderId="0" xfId="0" applyNumberFormat="1" applyFont="1" applyAlignment="1">
      <alignment horizontal="center"/>
    </xf>
    <xf numFmtId="0" fontId="2" fillId="0" borderId="0" xfId="0" applyFont="1" applyFill="1" applyBorder="1"/>
    <xf numFmtId="167" fontId="2" fillId="0" borderId="0" xfId="0" applyNumberFormat="1" applyFont="1" applyBorder="1"/>
    <xf numFmtId="166" fontId="2" fillId="0" borderId="0" xfId="0" applyNumberFormat="1" applyFont="1" applyBorder="1"/>
    <xf numFmtId="165" fontId="2" fillId="0" borderId="0" xfId="0" applyNumberFormat="1" applyFont="1" applyBorder="1"/>
    <xf numFmtId="1" fontId="2" fillId="0" borderId="0" xfId="0" applyNumberFormat="1" applyFont="1"/>
    <xf numFmtId="164" fontId="2" fillId="0" borderId="0" xfId="0" applyNumberFormat="1" applyFont="1"/>
    <xf numFmtId="0" fontId="0" fillId="2" borderId="0" xfId="0" applyFill="1" applyBorder="1"/>
    <xf numFmtId="0" fontId="3" fillId="0" borderId="0" xfId="0" applyFont="1" applyBorder="1"/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"/>
  <sheetViews>
    <sheetView tabSelected="1" zoomScaleNormal="100" workbookViewId="0">
      <pane xSplit="3" ySplit="1" topLeftCell="D122" activePane="bottomRight" state="frozen"/>
      <selection activeCell="D2" sqref="D2"/>
      <selection pane="topRight" activeCell="D2" sqref="D2"/>
      <selection pane="bottomLeft" activeCell="D2" sqref="D2"/>
      <selection pane="bottomRight" activeCell="I85" sqref="I85:I116"/>
    </sheetView>
  </sheetViews>
  <sheetFormatPr baseColWidth="10" defaultColWidth="10.69921875" defaultRowHeight="15.6" x14ac:dyDescent="0.3"/>
  <cols>
    <col min="1" max="1" width="12.59765625" style="4" customWidth="1"/>
    <col min="2" max="2" width="11.59765625" style="4" customWidth="1"/>
    <col min="3" max="3" width="18.59765625" style="1" customWidth="1"/>
    <col min="4" max="4" width="15.59765625" style="4" customWidth="1"/>
    <col min="5" max="5" width="17.59765625" style="7" customWidth="1"/>
    <col min="6" max="11" width="13.59765625" style="4" customWidth="1"/>
    <col min="12" max="12" width="11.59765625" style="4" customWidth="1"/>
    <col min="13" max="13" width="53.59765625" style="1" bestFit="1" customWidth="1"/>
    <col min="14" max="16384" width="10.69921875" style="1"/>
  </cols>
  <sheetData>
    <row r="1" spans="1:14" x14ac:dyDescent="0.3">
      <c r="A1" s="4" t="s">
        <v>9</v>
      </c>
      <c r="B1" s="4" t="s">
        <v>10</v>
      </c>
      <c r="C1" s="19" t="s">
        <v>49</v>
      </c>
      <c r="D1" s="4" t="s">
        <v>0</v>
      </c>
      <c r="E1" s="7" t="s">
        <v>36</v>
      </c>
      <c r="F1" s="4" t="s">
        <v>2</v>
      </c>
      <c r="G1" s="13" t="s">
        <v>30</v>
      </c>
      <c r="H1" s="4" t="s">
        <v>27</v>
      </c>
      <c r="I1" s="4" t="s">
        <v>1</v>
      </c>
      <c r="J1" s="4" t="s">
        <v>28</v>
      </c>
      <c r="K1" s="13" t="s">
        <v>29</v>
      </c>
      <c r="L1" s="13" t="s">
        <v>35</v>
      </c>
      <c r="N1" s="2"/>
    </row>
    <row r="2" spans="1:14" x14ac:dyDescent="0.3">
      <c r="A2" s="6">
        <v>45659</v>
      </c>
      <c r="B2" s="4" t="s">
        <v>16</v>
      </c>
      <c r="C2" s="20" t="str">
        <f t="shared" ref="C2:C66" si="0">CONCATENATE(TEXT(A2,"TT.MM.JJJJ"),"_",B2)</f>
        <v>02.01.2025_BOYkl</v>
      </c>
      <c r="D2" s="9"/>
      <c r="E2" s="10"/>
      <c r="F2" s="16"/>
      <c r="G2" s="9"/>
      <c r="H2" s="17"/>
      <c r="I2" s="12">
        <f t="shared" ref="I2:I65" si="1">((G2*0.30445)+(H2*0.22587)+(F2*0.77649))</f>
        <v>0</v>
      </c>
      <c r="J2" s="17"/>
      <c r="K2" s="17"/>
    </row>
    <row r="3" spans="1:14" x14ac:dyDescent="0.3">
      <c r="A3" s="6">
        <v>45659</v>
      </c>
      <c r="B3" s="4" t="s">
        <v>32</v>
      </c>
      <c r="C3" s="20" t="str">
        <f t="shared" ref="C3:C17" si="2">CONCATENATE(TEXT(A3,"TT.MM.JJJJ"),"_",B3)</f>
        <v>02.01.2025_BOYohB224</v>
      </c>
      <c r="D3" s="9"/>
      <c r="E3" s="10"/>
      <c r="F3" s="16"/>
      <c r="G3" s="9"/>
      <c r="H3" s="18"/>
      <c r="I3" s="12">
        <f t="shared" si="1"/>
        <v>0</v>
      </c>
      <c r="J3" s="17"/>
      <c r="K3" s="17"/>
    </row>
    <row r="4" spans="1:14" x14ac:dyDescent="0.3">
      <c r="A4" s="6">
        <v>45659</v>
      </c>
      <c r="B4" s="4" t="s">
        <v>19</v>
      </c>
      <c r="C4" s="20" t="str">
        <f t="shared" si="2"/>
        <v>02.01.2025_BOYohBr</v>
      </c>
      <c r="D4" s="9"/>
      <c r="E4" s="10"/>
      <c r="F4" s="16"/>
      <c r="G4" s="9"/>
      <c r="H4" s="17"/>
      <c r="I4" s="12">
        <f t="shared" si="1"/>
        <v>0</v>
      </c>
      <c r="J4" s="17"/>
      <c r="K4" s="17"/>
    </row>
    <row r="5" spans="1:14" x14ac:dyDescent="0.3">
      <c r="A5" s="6">
        <v>45659</v>
      </c>
      <c r="B5" s="4" t="s">
        <v>23</v>
      </c>
      <c r="C5" s="20" t="str">
        <f t="shared" si="2"/>
        <v>02.01.2025_BOYohKi</v>
      </c>
      <c r="D5" s="9"/>
      <c r="E5" s="10"/>
      <c r="F5" s="16"/>
      <c r="G5" s="9"/>
      <c r="H5" s="18"/>
      <c r="I5" s="12">
        <f t="shared" si="1"/>
        <v>0</v>
      </c>
      <c r="J5" s="17"/>
      <c r="K5" s="17"/>
    </row>
    <row r="6" spans="1:14" x14ac:dyDescent="0.3">
      <c r="A6" s="6">
        <v>45659</v>
      </c>
      <c r="B6" s="4" t="s">
        <v>21</v>
      </c>
      <c r="C6" s="20" t="str">
        <f t="shared" si="2"/>
        <v>02.01.2025_BOYohSp</v>
      </c>
      <c r="D6" s="9"/>
      <c r="E6" s="10"/>
      <c r="F6" s="16"/>
      <c r="G6" s="9"/>
      <c r="H6" s="18"/>
      <c r="I6" s="12">
        <f t="shared" si="1"/>
        <v>0</v>
      </c>
      <c r="J6" s="17"/>
      <c r="K6" s="17"/>
    </row>
    <row r="7" spans="1:14" x14ac:dyDescent="0.3">
      <c r="A7" s="6">
        <v>45659</v>
      </c>
      <c r="B7" s="4" t="s">
        <v>45</v>
      </c>
      <c r="C7" s="20" t="str">
        <f t="shared" si="2"/>
        <v>02.01.2025_BOYuhHa</v>
      </c>
      <c r="D7" s="9"/>
      <c r="E7" s="10"/>
      <c r="F7" s="16"/>
      <c r="G7" s="9"/>
      <c r="H7" s="18"/>
      <c r="I7" s="12">
        <f t="shared" si="1"/>
        <v>0</v>
      </c>
      <c r="J7" s="17"/>
      <c r="K7" s="17"/>
    </row>
    <row r="8" spans="1:14" x14ac:dyDescent="0.3">
      <c r="A8" s="6">
        <v>45659</v>
      </c>
      <c r="B8" s="4" t="s">
        <v>20</v>
      </c>
      <c r="C8" s="20" t="str">
        <f t="shared" si="2"/>
        <v>02.01.2025_BOYuhSp</v>
      </c>
      <c r="D8" s="9"/>
      <c r="E8" s="10"/>
      <c r="F8" s="16"/>
      <c r="G8" s="9"/>
      <c r="H8" s="18"/>
      <c r="I8" s="12">
        <f t="shared" si="1"/>
        <v>0</v>
      </c>
      <c r="J8" s="17"/>
      <c r="K8" s="17"/>
    </row>
    <row r="9" spans="1:14" x14ac:dyDescent="0.3">
      <c r="A9" s="6">
        <v>45659</v>
      </c>
      <c r="B9" s="4" t="s">
        <v>17</v>
      </c>
      <c r="C9" s="20" t="str">
        <f t="shared" si="2"/>
        <v>02.01.2025_BRAob</v>
      </c>
      <c r="D9" s="9"/>
      <c r="E9" s="10"/>
      <c r="F9" s="16"/>
      <c r="G9" s="9"/>
      <c r="H9" s="18"/>
      <c r="I9" s="12">
        <f t="shared" si="1"/>
        <v>0</v>
      </c>
      <c r="J9" s="17"/>
      <c r="K9" s="17"/>
    </row>
    <row r="10" spans="1:14" x14ac:dyDescent="0.3">
      <c r="A10" s="6">
        <v>45659</v>
      </c>
      <c r="B10" s="4" t="s">
        <v>18</v>
      </c>
      <c r="C10" s="20" t="str">
        <f t="shared" si="2"/>
        <v>02.01.2025_BRAohBo</v>
      </c>
      <c r="D10" s="9"/>
      <c r="E10" s="10"/>
      <c r="F10" s="16"/>
      <c r="G10" s="9"/>
      <c r="H10" s="18"/>
      <c r="I10" s="12">
        <f t="shared" si="1"/>
        <v>0</v>
      </c>
      <c r="J10" s="17"/>
      <c r="K10" s="17"/>
    </row>
    <row r="11" spans="1:14" x14ac:dyDescent="0.3">
      <c r="A11" s="6">
        <v>45659</v>
      </c>
      <c r="B11" s="4" t="s">
        <v>25</v>
      </c>
      <c r="C11" s="20" t="str">
        <f t="shared" si="2"/>
        <v>02.01.2025_HAAob</v>
      </c>
      <c r="D11" s="9"/>
      <c r="E11" s="10"/>
      <c r="F11" s="16"/>
      <c r="G11" s="9"/>
      <c r="H11" s="18"/>
      <c r="I11" s="12">
        <f t="shared" si="1"/>
        <v>0</v>
      </c>
      <c r="J11" s="17"/>
      <c r="K11" s="17"/>
    </row>
    <row r="12" spans="1:14" x14ac:dyDescent="0.3">
      <c r="A12" s="6">
        <v>45659</v>
      </c>
      <c r="B12" s="4" t="s">
        <v>24</v>
      </c>
      <c r="C12" s="20" t="str">
        <f t="shared" si="2"/>
        <v>02.01.2025_HAAun</v>
      </c>
      <c r="D12" s="9"/>
      <c r="E12" s="10"/>
      <c r="F12" s="16"/>
      <c r="G12" s="9"/>
      <c r="H12" s="18"/>
      <c r="I12" s="12">
        <f t="shared" si="1"/>
        <v>0</v>
      </c>
      <c r="J12" s="17"/>
      <c r="K12" s="17"/>
    </row>
    <row r="13" spans="1:14" x14ac:dyDescent="0.3">
      <c r="A13" s="6">
        <v>45659</v>
      </c>
      <c r="B13" s="4" t="s">
        <v>12</v>
      </c>
      <c r="C13" s="20" t="str">
        <f t="shared" si="2"/>
        <v>02.01.2025_KIRob</v>
      </c>
      <c r="D13" s="9"/>
      <c r="E13" s="10"/>
      <c r="F13" s="16"/>
      <c r="G13" s="9"/>
      <c r="H13" s="18"/>
      <c r="I13" s="12">
        <f t="shared" si="1"/>
        <v>0</v>
      </c>
      <c r="J13" s="17"/>
      <c r="K13" s="17"/>
    </row>
    <row r="14" spans="1:14" x14ac:dyDescent="0.3">
      <c r="A14" s="6">
        <v>45659</v>
      </c>
      <c r="B14" s="4" t="s">
        <v>11</v>
      </c>
      <c r="C14" s="20" t="str">
        <f t="shared" si="2"/>
        <v>02.01.2025_KIRun</v>
      </c>
      <c r="D14" s="9"/>
      <c r="E14" s="10"/>
      <c r="F14" s="16"/>
      <c r="G14" s="9"/>
      <c r="H14" s="18"/>
      <c r="I14" s="12">
        <f t="shared" si="1"/>
        <v>0</v>
      </c>
      <c r="J14" s="17"/>
      <c r="K14" s="17"/>
    </row>
    <row r="15" spans="1:14" x14ac:dyDescent="0.3">
      <c r="A15" s="6">
        <v>45659</v>
      </c>
      <c r="B15" s="4" t="s">
        <v>43</v>
      </c>
      <c r="C15" s="20" t="str">
        <f t="shared" si="2"/>
        <v>02.01.2025_LIEohBo</v>
      </c>
      <c r="D15" s="9"/>
      <c r="E15" s="10"/>
      <c r="F15" s="16"/>
      <c r="G15" s="9"/>
      <c r="H15" s="17"/>
      <c r="I15" s="12">
        <f t="shared" si="1"/>
        <v>0</v>
      </c>
      <c r="J15" s="17"/>
      <c r="K15" s="17"/>
    </row>
    <row r="16" spans="1:14" x14ac:dyDescent="0.3">
      <c r="A16" s="6">
        <v>45659</v>
      </c>
      <c r="B16" s="4" t="s">
        <v>33</v>
      </c>
      <c r="C16" s="20" t="str">
        <f t="shared" si="2"/>
        <v>02.01.2025_NATohBo</v>
      </c>
      <c r="D16" s="9"/>
      <c r="E16" s="10"/>
      <c r="F16" s="16"/>
      <c r="G16" s="9"/>
      <c r="H16" s="18"/>
      <c r="I16" s="12">
        <f t="shared" si="1"/>
        <v>0</v>
      </c>
      <c r="J16" s="17"/>
      <c r="K16" s="17"/>
    </row>
    <row r="17" spans="1:11" x14ac:dyDescent="0.3">
      <c r="A17" s="6">
        <v>45659</v>
      </c>
      <c r="B17" s="4" t="s">
        <v>22</v>
      </c>
      <c r="C17" s="20" t="str">
        <f t="shared" si="2"/>
        <v>02.01.2025_QUAohBo</v>
      </c>
      <c r="D17" s="9"/>
      <c r="E17" s="10"/>
      <c r="F17" s="16"/>
      <c r="G17" s="9"/>
      <c r="H17" s="18"/>
      <c r="I17" s="12">
        <f t="shared" si="1"/>
        <v>0</v>
      </c>
      <c r="J17" s="17"/>
      <c r="K17" s="17"/>
    </row>
    <row r="18" spans="1:11" x14ac:dyDescent="0.3">
      <c r="A18" s="6">
        <v>45659</v>
      </c>
      <c r="B18" s="4" t="s">
        <v>47</v>
      </c>
      <c r="C18" s="20"/>
      <c r="D18" s="9"/>
      <c r="E18" s="10"/>
      <c r="F18" s="16"/>
      <c r="G18" s="9"/>
      <c r="H18" s="18"/>
      <c r="I18" s="12">
        <f t="shared" si="1"/>
        <v>0</v>
      </c>
      <c r="J18" s="17"/>
      <c r="K18" s="17"/>
    </row>
    <row r="19" spans="1:11" x14ac:dyDescent="0.3">
      <c r="A19" s="6">
        <v>45659</v>
      </c>
      <c r="B19" s="4" t="s">
        <v>13</v>
      </c>
      <c r="C19" s="20" t="str">
        <f>CONCATENATE(TEXT(A19,"TT.MM.JJJJ"),"_",B19)</f>
        <v>02.01.2025_SCHohVo</v>
      </c>
      <c r="D19" s="9"/>
      <c r="E19" s="10"/>
      <c r="F19" s="16"/>
      <c r="G19" s="9"/>
      <c r="H19" s="18"/>
      <c r="I19" s="12">
        <f t="shared" si="1"/>
        <v>0</v>
      </c>
      <c r="J19" s="17"/>
      <c r="K19" s="17"/>
    </row>
    <row r="20" spans="1:11" x14ac:dyDescent="0.3">
      <c r="A20" s="6">
        <v>45659</v>
      </c>
      <c r="B20" s="4" t="s">
        <v>50</v>
      </c>
      <c r="C20" s="20"/>
      <c r="D20" s="9"/>
      <c r="E20" s="10"/>
      <c r="F20" s="16"/>
      <c r="G20" s="9"/>
      <c r="H20" s="18"/>
      <c r="I20" s="12">
        <f t="shared" si="1"/>
        <v>0</v>
      </c>
      <c r="J20" s="17"/>
      <c r="K20" s="17"/>
    </row>
    <row r="21" spans="1:11" x14ac:dyDescent="0.3">
      <c r="A21" s="6">
        <v>45659</v>
      </c>
      <c r="B21" s="4" t="s">
        <v>51</v>
      </c>
      <c r="C21" s="20"/>
      <c r="D21" s="9"/>
      <c r="E21" s="10"/>
      <c r="F21" s="16"/>
      <c r="G21" s="9"/>
      <c r="H21" s="18"/>
      <c r="I21" s="12">
        <f t="shared" si="1"/>
        <v>0</v>
      </c>
      <c r="J21" s="17"/>
      <c r="K21" s="17"/>
    </row>
    <row r="22" spans="1:11" x14ac:dyDescent="0.3">
      <c r="A22" s="6">
        <v>45659</v>
      </c>
      <c r="B22" s="4" t="s">
        <v>15</v>
      </c>
      <c r="C22" s="20" t="str">
        <f>CONCATENATE(TEXT(A22,"TT.MM.JJJJ"),"_",B22)</f>
        <v>02.01.2025_VORohBo</v>
      </c>
      <c r="D22" s="9"/>
      <c r="E22" s="10"/>
      <c r="F22" s="16"/>
      <c r="G22" s="9"/>
      <c r="H22" s="18"/>
      <c r="I22" s="12">
        <f t="shared" si="1"/>
        <v>0</v>
      </c>
      <c r="J22" s="17"/>
      <c r="K22" s="17"/>
    </row>
    <row r="23" spans="1:11" x14ac:dyDescent="0.3">
      <c r="A23" s="6">
        <v>45659</v>
      </c>
      <c r="B23" s="4" t="s">
        <v>14</v>
      </c>
      <c r="C23" s="20" t="str">
        <f>CONCATENATE(TEXT(A23,"TT.MM.JJJJ"),"_",B23)</f>
        <v>02.01.2025_VORuhSc</v>
      </c>
      <c r="D23" s="9"/>
      <c r="E23" s="10"/>
      <c r="F23" s="16"/>
      <c r="G23" s="9"/>
      <c r="H23" s="18"/>
      <c r="I23" s="12">
        <f t="shared" si="1"/>
        <v>0</v>
      </c>
      <c r="J23" s="17"/>
      <c r="K23" s="17"/>
    </row>
    <row r="24" spans="1:11" x14ac:dyDescent="0.3">
      <c r="A24" s="6">
        <v>45659</v>
      </c>
      <c r="B24" s="4" t="s">
        <v>26</v>
      </c>
      <c r="C24" s="20" t="str">
        <f t="shared" si="0"/>
        <v>02.01.2025_WITob</v>
      </c>
      <c r="D24" s="9"/>
      <c r="E24" s="10"/>
      <c r="F24" s="16"/>
      <c r="G24" s="9"/>
      <c r="H24" s="18"/>
      <c r="I24" s="12">
        <f t="shared" si="1"/>
        <v>0</v>
      </c>
      <c r="J24" s="17"/>
      <c r="K24" s="17"/>
    </row>
    <row r="25" spans="1:11" x14ac:dyDescent="0.3">
      <c r="A25" s="6">
        <v>45322</v>
      </c>
      <c r="B25" s="4" t="s">
        <v>16</v>
      </c>
      <c r="C25" s="20" t="str">
        <f t="shared" si="0"/>
        <v>31.01.2024_BOYkl</v>
      </c>
      <c r="D25" s="9"/>
      <c r="E25" s="10"/>
      <c r="F25" s="9"/>
      <c r="G25" s="9"/>
      <c r="H25" s="17"/>
      <c r="I25" s="12">
        <f t="shared" si="1"/>
        <v>0</v>
      </c>
      <c r="J25" s="17"/>
      <c r="K25" s="17"/>
    </row>
    <row r="26" spans="1:11" x14ac:dyDescent="0.3">
      <c r="A26" s="6">
        <v>45322</v>
      </c>
      <c r="B26" s="4" t="s">
        <v>32</v>
      </c>
      <c r="C26" s="20" t="str">
        <f t="shared" si="0"/>
        <v>31.01.2024_BOYohB224</v>
      </c>
      <c r="D26" s="9"/>
      <c r="E26" s="10"/>
      <c r="F26" s="9"/>
      <c r="G26" s="9"/>
      <c r="H26" s="18"/>
      <c r="I26" s="12">
        <f t="shared" si="1"/>
        <v>0</v>
      </c>
      <c r="J26" s="17"/>
      <c r="K26" s="17"/>
    </row>
    <row r="27" spans="1:11" x14ac:dyDescent="0.3">
      <c r="A27" s="6">
        <v>45322</v>
      </c>
      <c r="B27" s="4" t="s">
        <v>19</v>
      </c>
      <c r="C27" s="20" t="str">
        <f t="shared" si="0"/>
        <v>31.01.2024_BOYohBr</v>
      </c>
      <c r="D27" s="9"/>
      <c r="E27" s="10"/>
      <c r="F27" s="9"/>
      <c r="G27" s="9"/>
      <c r="H27" s="18"/>
      <c r="I27" s="12">
        <f t="shared" si="1"/>
        <v>0</v>
      </c>
      <c r="J27" s="17"/>
      <c r="K27" s="17"/>
    </row>
    <row r="28" spans="1:11" x14ac:dyDescent="0.3">
      <c r="A28" s="6">
        <v>45322</v>
      </c>
      <c r="B28" s="4" t="s">
        <v>23</v>
      </c>
      <c r="C28" s="20" t="str">
        <f t="shared" si="0"/>
        <v>31.01.2024_BOYohKi</v>
      </c>
      <c r="D28" s="9"/>
      <c r="E28" s="10"/>
      <c r="F28" s="9"/>
      <c r="G28" s="9"/>
      <c r="H28" s="18"/>
      <c r="I28" s="12">
        <f t="shared" si="1"/>
        <v>0</v>
      </c>
      <c r="J28" s="17"/>
      <c r="K28" s="17"/>
    </row>
    <row r="29" spans="1:11" x14ac:dyDescent="0.3">
      <c r="A29" s="6">
        <v>45322</v>
      </c>
      <c r="B29" s="4" t="s">
        <v>21</v>
      </c>
      <c r="C29" s="20" t="str">
        <f t="shared" si="0"/>
        <v>31.01.2024_BOYohSp</v>
      </c>
      <c r="D29" s="9"/>
      <c r="E29" s="10"/>
      <c r="F29" s="9"/>
      <c r="G29" s="9"/>
      <c r="H29" s="18"/>
      <c r="I29" s="12">
        <f t="shared" si="1"/>
        <v>0</v>
      </c>
      <c r="J29" s="17"/>
      <c r="K29" s="17"/>
    </row>
    <row r="30" spans="1:11" x14ac:dyDescent="0.3">
      <c r="A30" s="6">
        <v>45322</v>
      </c>
      <c r="B30" s="4" t="s">
        <v>45</v>
      </c>
      <c r="C30" s="20" t="str">
        <f t="shared" si="0"/>
        <v>31.01.2024_BOYuhHa</v>
      </c>
      <c r="D30" s="9"/>
      <c r="E30" s="10"/>
      <c r="F30" s="9"/>
      <c r="G30" s="9"/>
      <c r="H30" s="18"/>
      <c r="I30" s="12">
        <f t="shared" si="1"/>
        <v>0</v>
      </c>
      <c r="J30" s="17"/>
      <c r="K30" s="17"/>
    </row>
    <row r="31" spans="1:11" x14ac:dyDescent="0.3">
      <c r="A31" s="6">
        <v>45322</v>
      </c>
      <c r="B31" s="4" t="s">
        <v>20</v>
      </c>
      <c r="C31" s="20" t="str">
        <f t="shared" si="0"/>
        <v>31.01.2024_BOYuhSp</v>
      </c>
      <c r="D31" s="9"/>
      <c r="E31" s="10"/>
      <c r="F31" s="9"/>
      <c r="G31" s="9"/>
      <c r="H31" s="18"/>
      <c r="I31" s="12">
        <f t="shared" si="1"/>
        <v>0</v>
      </c>
      <c r="J31" s="17"/>
      <c r="K31" s="17"/>
    </row>
    <row r="32" spans="1:11" x14ac:dyDescent="0.3">
      <c r="A32" s="6">
        <v>45322</v>
      </c>
      <c r="B32" s="4" t="s">
        <v>17</v>
      </c>
      <c r="C32" s="20" t="str">
        <f t="shared" si="0"/>
        <v>31.01.2024_BRAob</v>
      </c>
      <c r="D32" s="9"/>
      <c r="E32" s="10"/>
      <c r="F32" s="9"/>
      <c r="G32" s="9"/>
      <c r="H32" s="18"/>
      <c r="I32" s="12">
        <f t="shared" si="1"/>
        <v>0</v>
      </c>
      <c r="J32" s="17"/>
      <c r="K32" s="17"/>
    </row>
    <row r="33" spans="1:11" x14ac:dyDescent="0.3">
      <c r="A33" s="6">
        <v>45322</v>
      </c>
      <c r="B33" s="4" t="s">
        <v>18</v>
      </c>
      <c r="C33" s="20" t="str">
        <f t="shared" si="0"/>
        <v>31.01.2024_BRAohBo</v>
      </c>
      <c r="D33" s="9"/>
      <c r="E33" s="10"/>
      <c r="F33" s="9"/>
      <c r="G33" s="9"/>
      <c r="H33" s="18"/>
      <c r="I33" s="12">
        <f t="shared" si="1"/>
        <v>0</v>
      </c>
      <c r="J33" s="17"/>
      <c r="K33" s="17"/>
    </row>
    <row r="34" spans="1:11" x14ac:dyDescent="0.3">
      <c r="A34" s="6">
        <v>45322</v>
      </c>
      <c r="B34" s="4" t="s">
        <v>25</v>
      </c>
      <c r="C34" s="20" t="str">
        <f t="shared" si="0"/>
        <v>31.01.2024_HAAob</v>
      </c>
      <c r="D34" s="9"/>
      <c r="E34" s="10"/>
      <c r="F34" s="9"/>
      <c r="G34" s="9"/>
      <c r="H34" s="18"/>
      <c r="I34" s="12">
        <f t="shared" si="1"/>
        <v>0</v>
      </c>
      <c r="J34" s="17"/>
      <c r="K34" s="17"/>
    </row>
    <row r="35" spans="1:11" x14ac:dyDescent="0.3">
      <c r="A35" s="6">
        <v>45322</v>
      </c>
      <c r="B35" s="4" t="s">
        <v>24</v>
      </c>
      <c r="C35" s="20" t="str">
        <f t="shared" si="0"/>
        <v>31.01.2024_HAAun</v>
      </c>
      <c r="D35" s="9"/>
      <c r="E35" s="10"/>
      <c r="F35" s="9"/>
      <c r="G35" s="9"/>
      <c r="H35" s="18"/>
      <c r="I35" s="12">
        <f t="shared" si="1"/>
        <v>0</v>
      </c>
      <c r="J35" s="17"/>
      <c r="K35" s="17"/>
    </row>
    <row r="36" spans="1:11" x14ac:dyDescent="0.3">
      <c r="A36" s="6">
        <v>45322</v>
      </c>
      <c r="B36" s="4" t="s">
        <v>12</v>
      </c>
      <c r="C36" s="20" t="str">
        <f t="shared" si="0"/>
        <v>31.01.2024_KIRob</v>
      </c>
      <c r="D36" s="9"/>
      <c r="E36" s="10"/>
      <c r="F36" s="9"/>
      <c r="G36" s="9"/>
      <c r="H36" s="18"/>
      <c r="I36" s="12">
        <f t="shared" si="1"/>
        <v>0</v>
      </c>
      <c r="J36" s="17"/>
      <c r="K36" s="17"/>
    </row>
    <row r="37" spans="1:11" x14ac:dyDescent="0.3">
      <c r="A37" s="6">
        <v>45322</v>
      </c>
      <c r="B37" s="4" t="s">
        <v>11</v>
      </c>
      <c r="C37" s="20" t="str">
        <f t="shared" si="0"/>
        <v>31.01.2024_KIRun</v>
      </c>
      <c r="D37" s="9"/>
      <c r="E37" s="10"/>
      <c r="F37" s="9"/>
      <c r="G37" s="9"/>
      <c r="H37" s="18"/>
      <c r="I37" s="12">
        <f t="shared" si="1"/>
        <v>0</v>
      </c>
      <c r="J37" s="17"/>
      <c r="K37" s="17"/>
    </row>
    <row r="38" spans="1:11" x14ac:dyDescent="0.3">
      <c r="A38" s="6">
        <v>45322</v>
      </c>
      <c r="B38" s="4" t="s">
        <v>43</v>
      </c>
      <c r="C38" s="20" t="str">
        <f t="shared" si="0"/>
        <v>31.01.2024_LIEohBo</v>
      </c>
      <c r="D38" s="9"/>
      <c r="E38" s="10"/>
      <c r="F38" s="9"/>
      <c r="G38" s="9"/>
      <c r="H38" s="17"/>
      <c r="I38" s="12">
        <f t="shared" si="1"/>
        <v>0</v>
      </c>
      <c r="J38" s="17"/>
      <c r="K38" s="17"/>
    </row>
    <row r="39" spans="1:11" x14ac:dyDescent="0.3">
      <c r="A39" s="6">
        <v>45322</v>
      </c>
      <c r="B39" s="4" t="s">
        <v>33</v>
      </c>
      <c r="C39" s="20" t="str">
        <f t="shared" si="0"/>
        <v>31.01.2024_NATohBo</v>
      </c>
      <c r="D39" s="9"/>
      <c r="E39" s="10"/>
      <c r="F39" s="9"/>
      <c r="G39" s="9"/>
      <c r="H39" s="18"/>
      <c r="I39" s="12">
        <f t="shared" si="1"/>
        <v>0</v>
      </c>
      <c r="J39" s="17"/>
      <c r="K39" s="17"/>
    </row>
    <row r="40" spans="1:11" x14ac:dyDescent="0.3">
      <c r="A40" s="6">
        <v>45322</v>
      </c>
      <c r="B40" s="4" t="s">
        <v>22</v>
      </c>
      <c r="C40" s="20" t="str">
        <f t="shared" si="0"/>
        <v>31.01.2024_QUAohBo</v>
      </c>
      <c r="D40" s="9"/>
      <c r="E40" s="10"/>
      <c r="F40" s="9"/>
      <c r="G40" s="9"/>
      <c r="H40" s="18"/>
      <c r="I40" s="12">
        <f t="shared" si="1"/>
        <v>0</v>
      </c>
      <c r="J40" s="17"/>
      <c r="K40" s="17"/>
    </row>
    <row r="41" spans="1:11" x14ac:dyDescent="0.3">
      <c r="A41" s="6">
        <v>45322</v>
      </c>
      <c r="B41" s="4" t="s">
        <v>47</v>
      </c>
      <c r="C41" s="20" t="str">
        <f t="shared" si="0"/>
        <v>31.01.2024_ROTB</v>
      </c>
      <c r="D41" s="9"/>
      <c r="E41" s="10"/>
      <c r="F41" s="9"/>
      <c r="G41" s="9"/>
      <c r="H41" s="18"/>
      <c r="I41" s="12">
        <f t="shared" si="1"/>
        <v>0</v>
      </c>
      <c r="J41" s="17"/>
      <c r="K41" s="17"/>
    </row>
    <row r="42" spans="1:11" x14ac:dyDescent="0.3">
      <c r="A42" s="6">
        <v>45322</v>
      </c>
      <c r="B42" s="4" t="s">
        <v>13</v>
      </c>
      <c r="C42" s="20" t="str">
        <f t="shared" si="0"/>
        <v>31.01.2024_SCHohVo</v>
      </c>
      <c r="D42" s="9"/>
      <c r="E42" s="10"/>
      <c r="F42" s="9"/>
      <c r="G42" s="9"/>
      <c r="H42" s="18"/>
      <c r="I42" s="12">
        <f t="shared" si="1"/>
        <v>0</v>
      </c>
      <c r="J42" s="17"/>
      <c r="K42" s="17"/>
    </row>
    <row r="43" spans="1:11" x14ac:dyDescent="0.3">
      <c r="A43" s="6">
        <v>45322</v>
      </c>
      <c r="B43" s="4" t="s">
        <v>50</v>
      </c>
      <c r="C43" s="20" t="str">
        <f t="shared" si="0"/>
        <v>31.01.2024_SCHW</v>
      </c>
      <c r="D43" s="9"/>
      <c r="E43" s="10"/>
      <c r="F43" s="9"/>
      <c r="G43" s="9"/>
      <c r="H43" s="18"/>
      <c r="I43" s="12">
        <f t="shared" si="1"/>
        <v>0</v>
      </c>
      <c r="J43" s="17"/>
      <c r="K43" s="17"/>
    </row>
    <row r="44" spans="1:11" x14ac:dyDescent="0.3">
      <c r="A44" s="6">
        <v>45322</v>
      </c>
      <c r="B44" s="4" t="s">
        <v>51</v>
      </c>
      <c r="C44" s="20" t="str">
        <f t="shared" si="0"/>
        <v>31.01.2024_SPE</v>
      </c>
      <c r="D44" s="9"/>
      <c r="E44" s="10"/>
      <c r="F44" s="9"/>
      <c r="G44" s="9"/>
      <c r="H44" s="18"/>
      <c r="I44" s="12">
        <f t="shared" si="1"/>
        <v>0</v>
      </c>
      <c r="J44" s="17"/>
      <c r="K44" s="17"/>
    </row>
    <row r="45" spans="1:11" x14ac:dyDescent="0.3">
      <c r="A45" s="6">
        <v>45338</v>
      </c>
      <c r="B45" s="4" t="s">
        <v>15</v>
      </c>
      <c r="C45" s="20" t="str">
        <f t="shared" si="0"/>
        <v>16.02.2024_VORohBo</v>
      </c>
      <c r="D45" s="9"/>
      <c r="E45" s="10"/>
      <c r="F45" s="9"/>
      <c r="G45" s="9"/>
      <c r="H45" s="17"/>
      <c r="I45" s="12">
        <f t="shared" si="1"/>
        <v>0</v>
      </c>
      <c r="J45" s="17"/>
      <c r="K45" s="17"/>
    </row>
    <row r="46" spans="1:11" x14ac:dyDescent="0.3">
      <c r="A46" s="6">
        <v>45338</v>
      </c>
      <c r="B46" s="4" t="s">
        <v>14</v>
      </c>
      <c r="C46" s="20" t="str">
        <f t="shared" si="0"/>
        <v>16.02.2024_VORuhSc</v>
      </c>
      <c r="D46" s="9"/>
      <c r="E46" s="10"/>
      <c r="F46" s="9"/>
      <c r="G46" s="9"/>
      <c r="H46" s="18"/>
      <c r="I46" s="12">
        <f t="shared" si="1"/>
        <v>0</v>
      </c>
      <c r="J46" s="17"/>
      <c r="K46" s="17"/>
    </row>
    <row r="47" spans="1:11" x14ac:dyDescent="0.3">
      <c r="A47" s="6">
        <v>45338</v>
      </c>
      <c r="B47" s="4" t="s">
        <v>26</v>
      </c>
      <c r="C47" s="20" t="str">
        <f t="shared" si="0"/>
        <v>16.02.2024_WITob</v>
      </c>
      <c r="D47" s="9"/>
      <c r="E47" s="10"/>
      <c r="F47" s="9"/>
      <c r="G47" s="9"/>
      <c r="H47" s="17"/>
      <c r="I47" s="12">
        <f t="shared" si="1"/>
        <v>0</v>
      </c>
      <c r="J47" s="17"/>
      <c r="K47" s="17"/>
    </row>
    <row r="48" spans="1:11" x14ac:dyDescent="0.3">
      <c r="A48" s="6">
        <v>45338</v>
      </c>
      <c r="B48" s="4" t="s">
        <v>16</v>
      </c>
      <c r="C48" s="20" t="str">
        <f t="shared" si="0"/>
        <v>16.02.2024_BOYkl</v>
      </c>
      <c r="D48" s="9"/>
      <c r="E48" s="10"/>
      <c r="F48" s="9"/>
      <c r="G48" s="9"/>
      <c r="H48" s="18"/>
      <c r="I48" s="12">
        <f t="shared" si="1"/>
        <v>0</v>
      </c>
      <c r="J48" s="17"/>
      <c r="K48" s="17"/>
    </row>
    <row r="49" spans="1:11" x14ac:dyDescent="0.3">
      <c r="A49" s="6">
        <v>45338</v>
      </c>
      <c r="B49" s="4" t="s">
        <v>32</v>
      </c>
      <c r="C49" s="20" t="str">
        <f t="shared" si="0"/>
        <v>16.02.2024_BOYohB224</v>
      </c>
      <c r="D49" s="9"/>
      <c r="E49" s="10"/>
      <c r="F49" s="9"/>
      <c r="G49" s="9"/>
      <c r="H49" s="18"/>
      <c r="I49" s="12">
        <f t="shared" si="1"/>
        <v>0</v>
      </c>
      <c r="J49" s="17"/>
      <c r="K49" s="17"/>
    </row>
    <row r="50" spans="1:11" x14ac:dyDescent="0.3">
      <c r="A50" s="6">
        <v>45338</v>
      </c>
      <c r="B50" s="4" t="s">
        <v>19</v>
      </c>
      <c r="C50" s="20" t="str">
        <f t="shared" si="0"/>
        <v>16.02.2024_BOYohBr</v>
      </c>
      <c r="D50" s="9"/>
      <c r="E50" s="10"/>
      <c r="F50" s="9"/>
      <c r="G50" s="9"/>
      <c r="H50" s="18"/>
      <c r="I50" s="12">
        <f t="shared" si="1"/>
        <v>0</v>
      </c>
      <c r="J50" s="17"/>
      <c r="K50" s="17"/>
    </row>
    <row r="51" spans="1:11" x14ac:dyDescent="0.3">
      <c r="A51" s="6">
        <v>45338</v>
      </c>
      <c r="B51" s="4" t="s">
        <v>23</v>
      </c>
      <c r="C51" s="20" t="str">
        <f t="shared" si="0"/>
        <v>16.02.2024_BOYohKi</v>
      </c>
      <c r="D51" s="9"/>
      <c r="E51" s="10"/>
      <c r="F51" s="9"/>
      <c r="G51" s="9"/>
      <c r="H51" s="18"/>
      <c r="I51" s="12">
        <f t="shared" si="1"/>
        <v>0</v>
      </c>
      <c r="J51" s="17"/>
      <c r="K51" s="17"/>
    </row>
    <row r="52" spans="1:11" x14ac:dyDescent="0.3">
      <c r="A52" s="6">
        <v>45338</v>
      </c>
      <c r="B52" s="4" t="s">
        <v>21</v>
      </c>
      <c r="C52" s="20" t="str">
        <f t="shared" si="0"/>
        <v>16.02.2024_BOYohSp</v>
      </c>
      <c r="D52" s="9"/>
      <c r="E52" s="10"/>
      <c r="F52" s="9"/>
      <c r="G52" s="9"/>
      <c r="H52" s="18"/>
      <c r="I52" s="12">
        <f t="shared" si="1"/>
        <v>0</v>
      </c>
      <c r="J52" s="17"/>
      <c r="K52" s="17"/>
    </row>
    <row r="53" spans="1:11" x14ac:dyDescent="0.3">
      <c r="A53" s="6">
        <v>45338</v>
      </c>
      <c r="B53" s="4" t="s">
        <v>45</v>
      </c>
      <c r="C53" s="20" t="str">
        <f t="shared" si="0"/>
        <v>16.02.2024_BOYuhHa</v>
      </c>
      <c r="D53" s="9"/>
      <c r="E53" s="10"/>
      <c r="F53" s="9"/>
      <c r="G53" s="9"/>
      <c r="H53" s="18"/>
      <c r="I53" s="12">
        <f t="shared" si="1"/>
        <v>0</v>
      </c>
      <c r="J53" s="17"/>
      <c r="K53" s="17"/>
    </row>
    <row r="54" spans="1:11" x14ac:dyDescent="0.3">
      <c r="A54" s="6">
        <v>45338</v>
      </c>
      <c r="B54" s="4" t="s">
        <v>20</v>
      </c>
      <c r="C54" s="20" t="str">
        <f t="shared" si="0"/>
        <v>16.02.2024_BOYuhSp</v>
      </c>
      <c r="D54" s="9"/>
      <c r="E54" s="10"/>
      <c r="F54" s="9"/>
      <c r="G54" s="9"/>
      <c r="H54" s="18"/>
      <c r="I54" s="12">
        <f t="shared" si="1"/>
        <v>0</v>
      </c>
      <c r="J54" s="17"/>
      <c r="K54" s="17"/>
    </row>
    <row r="55" spans="1:11" x14ac:dyDescent="0.3">
      <c r="A55" s="6">
        <v>45338</v>
      </c>
      <c r="B55" s="4" t="s">
        <v>17</v>
      </c>
      <c r="C55" s="20" t="str">
        <f t="shared" si="0"/>
        <v>16.02.2024_BRAob</v>
      </c>
      <c r="D55" s="9"/>
      <c r="E55" s="10"/>
      <c r="F55" s="9"/>
      <c r="G55" s="9"/>
      <c r="H55" s="18"/>
      <c r="I55" s="12">
        <f t="shared" si="1"/>
        <v>0</v>
      </c>
      <c r="J55" s="17"/>
      <c r="K55" s="17"/>
    </row>
    <row r="56" spans="1:11" x14ac:dyDescent="0.3">
      <c r="A56" s="6">
        <v>45338</v>
      </c>
      <c r="B56" s="4" t="s">
        <v>18</v>
      </c>
      <c r="C56" s="20" t="str">
        <f t="shared" si="0"/>
        <v>16.02.2024_BRAohBo</v>
      </c>
      <c r="D56" s="9"/>
      <c r="E56" s="10"/>
      <c r="F56" s="9"/>
      <c r="G56" s="9"/>
      <c r="H56" s="18"/>
      <c r="I56" s="12">
        <f t="shared" si="1"/>
        <v>0</v>
      </c>
      <c r="J56" s="17"/>
      <c r="K56" s="17"/>
    </row>
    <row r="57" spans="1:11" x14ac:dyDescent="0.3">
      <c r="A57" s="6">
        <v>45338</v>
      </c>
      <c r="B57" s="4" t="s">
        <v>25</v>
      </c>
      <c r="C57" s="20" t="str">
        <f t="shared" si="0"/>
        <v>16.02.2024_HAAob</v>
      </c>
      <c r="D57" s="9"/>
      <c r="E57" s="10"/>
      <c r="F57" s="9"/>
      <c r="G57" s="9"/>
      <c r="H57" s="18"/>
      <c r="I57" s="12">
        <f t="shared" si="1"/>
        <v>0</v>
      </c>
      <c r="J57" s="17"/>
      <c r="K57" s="17"/>
    </row>
    <row r="58" spans="1:11" x14ac:dyDescent="0.3">
      <c r="A58" s="6">
        <v>45338</v>
      </c>
      <c r="B58" s="4" t="s">
        <v>24</v>
      </c>
      <c r="C58" s="20" t="str">
        <f t="shared" si="0"/>
        <v>16.02.2024_HAAun</v>
      </c>
      <c r="D58" s="9"/>
      <c r="E58" s="10"/>
      <c r="F58" s="9"/>
      <c r="G58" s="9"/>
      <c r="H58" s="17"/>
      <c r="I58" s="12">
        <f t="shared" si="1"/>
        <v>0</v>
      </c>
      <c r="J58" s="17"/>
      <c r="K58" s="17"/>
    </row>
    <row r="59" spans="1:11" x14ac:dyDescent="0.3">
      <c r="A59" s="6">
        <v>45338</v>
      </c>
      <c r="B59" s="4" t="s">
        <v>12</v>
      </c>
      <c r="C59" s="20" t="str">
        <f t="shared" si="0"/>
        <v>16.02.2024_KIRob</v>
      </c>
      <c r="D59" s="9"/>
      <c r="E59" s="10"/>
      <c r="F59" s="9"/>
      <c r="G59" s="9"/>
      <c r="H59" s="18"/>
      <c r="I59" s="12">
        <f t="shared" si="1"/>
        <v>0</v>
      </c>
      <c r="J59" s="17"/>
      <c r="K59" s="17"/>
    </row>
    <row r="60" spans="1:11" x14ac:dyDescent="0.3">
      <c r="A60" s="6">
        <v>45338</v>
      </c>
      <c r="B60" s="4" t="s">
        <v>11</v>
      </c>
      <c r="C60" s="20" t="str">
        <f t="shared" si="0"/>
        <v>16.02.2024_KIRun</v>
      </c>
      <c r="D60" s="9"/>
      <c r="E60" s="10"/>
      <c r="F60" s="9"/>
      <c r="G60" s="9"/>
      <c r="H60" s="18"/>
      <c r="I60" s="12">
        <f t="shared" si="1"/>
        <v>0</v>
      </c>
      <c r="J60" s="17"/>
      <c r="K60" s="17"/>
    </row>
    <row r="61" spans="1:11" x14ac:dyDescent="0.3">
      <c r="A61" s="6">
        <v>45338</v>
      </c>
      <c r="B61" s="4" t="s">
        <v>43</v>
      </c>
      <c r="C61" s="20" t="str">
        <f t="shared" si="0"/>
        <v>16.02.2024_LIEohBo</v>
      </c>
      <c r="D61" s="9"/>
      <c r="E61" s="10"/>
      <c r="F61" s="9"/>
      <c r="G61" s="9"/>
      <c r="H61" s="18"/>
      <c r="I61" s="12">
        <f t="shared" si="1"/>
        <v>0</v>
      </c>
      <c r="J61" s="17"/>
      <c r="K61" s="17"/>
    </row>
    <row r="62" spans="1:11" x14ac:dyDescent="0.3">
      <c r="A62" s="6">
        <v>45338</v>
      </c>
      <c r="B62" s="4" t="s">
        <v>33</v>
      </c>
      <c r="C62" s="20" t="str">
        <f t="shared" si="0"/>
        <v>16.02.2024_NATohBo</v>
      </c>
      <c r="D62" s="9"/>
      <c r="E62" s="10"/>
      <c r="F62" s="9"/>
      <c r="G62" s="9"/>
      <c r="H62" s="18"/>
      <c r="I62" s="12">
        <f t="shared" si="1"/>
        <v>0</v>
      </c>
      <c r="J62" s="17"/>
      <c r="K62" s="17"/>
    </row>
    <row r="63" spans="1:11" x14ac:dyDescent="0.3">
      <c r="A63" s="6">
        <v>45338</v>
      </c>
      <c r="B63" s="4" t="s">
        <v>22</v>
      </c>
      <c r="C63" s="20" t="str">
        <f t="shared" si="0"/>
        <v>16.02.2024_QUAohBo</v>
      </c>
      <c r="D63" s="9"/>
      <c r="E63" s="10"/>
      <c r="F63" s="9"/>
      <c r="G63" s="9"/>
      <c r="H63" s="18"/>
      <c r="I63" s="12">
        <f t="shared" si="1"/>
        <v>0</v>
      </c>
      <c r="J63" s="17"/>
      <c r="K63" s="17"/>
    </row>
    <row r="64" spans="1:11" x14ac:dyDescent="0.3">
      <c r="A64" s="6">
        <v>45338</v>
      </c>
      <c r="B64" s="4" t="s">
        <v>47</v>
      </c>
      <c r="C64" s="20" t="str">
        <f t="shared" si="0"/>
        <v>16.02.2024_ROTB</v>
      </c>
      <c r="D64" s="9"/>
      <c r="E64" s="10"/>
      <c r="F64" s="9"/>
      <c r="G64" s="9"/>
      <c r="H64" s="18"/>
      <c r="I64" s="12">
        <f t="shared" si="1"/>
        <v>0</v>
      </c>
      <c r="J64" s="17"/>
      <c r="K64" s="17"/>
    </row>
    <row r="65" spans="1:11" x14ac:dyDescent="0.3">
      <c r="A65" s="6">
        <v>45348</v>
      </c>
      <c r="B65" s="4" t="s">
        <v>13</v>
      </c>
      <c r="C65" s="20" t="str">
        <f t="shared" si="0"/>
        <v>26.02.2024_SCHohVo</v>
      </c>
      <c r="D65" s="9"/>
      <c r="E65" s="10"/>
      <c r="F65" s="9"/>
      <c r="G65" s="9"/>
      <c r="H65" s="17"/>
      <c r="I65" s="12">
        <f t="shared" si="1"/>
        <v>0</v>
      </c>
      <c r="J65" s="17"/>
      <c r="K65" s="17"/>
    </row>
    <row r="66" spans="1:11" x14ac:dyDescent="0.3">
      <c r="A66" s="6">
        <v>45348</v>
      </c>
      <c r="B66" s="4" t="s">
        <v>50</v>
      </c>
      <c r="C66" s="20" t="str">
        <f t="shared" si="0"/>
        <v>26.02.2024_SCHW</v>
      </c>
      <c r="D66" s="9"/>
      <c r="E66" s="10"/>
      <c r="F66" s="9"/>
      <c r="G66" s="9"/>
      <c r="H66" s="18"/>
      <c r="I66" s="12">
        <f t="shared" ref="I66:I129" si="3">((G66*0.30445)+(H66*0.22587)+(F66*0.77649))</f>
        <v>0</v>
      </c>
      <c r="J66" s="17"/>
      <c r="K66" s="17"/>
    </row>
    <row r="67" spans="1:11" x14ac:dyDescent="0.3">
      <c r="A67" s="6">
        <v>45348</v>
      </c>
      <c r="B67" s="4" t="s">
        <v>51</v>
      </c>
      <c r="C67" s="20" t="str">
        <f t="shared" ref="C67:C130" si="4">CONCATENATE(TEXT(A67,"TT.MM.JJJJ"),"_",B67)</f>
        <v>26.02.2024_SPE</v>
      </c>
      <c r="D67" s="9"/>
      <c r="E67" s="10"/>
      <c r="F67" s="9"/>
      <c r="G67" s="9"/>
      <c r="H67" s="17"/>
      <c r="I67" s="12">
        <f t="shared" si="3"/>
        <v>0</v>
      </c>
      <c r="J67" s="17"/>
      <c r="K67" s="17"/>
    </row>
    <row r="68" spans="1:11" x14ac:dyDescent="0.3">
      <c r="A68" s="6">
        <v>45348</v>
      </c>
      <c r="B68" s="4" t="s">
        <v>15</v>
      </c>
      <c r="C68" s="20" t="str">
        <f t="shared" si="4"/>
        <v>26.02.2024_VORohBo</v>
      </c>
      <c r="D68" s="9"/>
      <c r="E68" s="10"/>
      <c r="F68" s="9"/>
      <c r="G68" s="9"/>
      <c r="H68" s="18"/>
      <c r="I68" s="12">
        <f t="shared" si="3"/>
        <v>0</v>
      </c>
      <c r="J68" s="17"/>
      <c r="K68" s="17"/>
    </row>
    <row r="69" spans="1:11" x14ac:dyDescent="0.3">
      <c r="A69" s="6">
        <v>45348</v>
      </c>
      <c r="B69" s="4" t="s">
        <v>14</v>
      </c>
      <c r="C69" s="20" t="str">
        <f t="shared" si="4"/>
        <v>26.02.2024_VORuhSc</v>
      </c>
      <c r="D69" s="9"/>
      <c r="E69" s="10"/>
      <c r="F69" s="9"/>
      <c r="G69" s="9"/>
      <c r="H69" s="18"/>
      <c r="I69" s="12">
        <f t="shared" si="3"/>
        <v>0</v>
      </c>
      <c r="J69" s="17"/>
      <c r="K69" s="17"/>
    </row>
    <row r="70" spans="1:11" x14ac:dyDescent="0.3">
      <c r="A70" s="6">
        <v>45348</v>
      </c>
      <c r="B70" s="4" t="s">
        <v>26</v>
      </c>
      <c r="C70" s="20" t="str">
        <f t="shared" si="4"/>
        <v>26.02.2024_WITob</v>
      </c>
      <c r="D70" s="9"/>
      <c r="E70" s="10"/>
      <c r="F70" s="9"/>
      <c r="G70" s="9"/>
      <c r="H70" s="18"/>
      <c r="I70" s="12">
        <f t="shared" si="3"/>
        <v>0</v>
      </c>
      <c r="J70" s="17"/>
      <c r="K70" s="17"/>
    </row>
    <row r="71" spans="1:11" x14ac:dyDescent="0.3">
      <c r="A71" s="6">
        <v>45348</v>
      </c>
      <c r="B71" s="4" t="s">
        <v>16</v>
      </c>
      <c r="C71" s="20" t="str">
        <f t="shared" si="4"/>
        <v>26.02.2024_BOYkl</v>
      </c>
      <c r="D71" s="9"/>
      <c r="E71" s="10"/>
      <c r="F71" s="9"/>
      <c r="G71" s="9"/>
      <c r="H71" s="18"/>
      <c r="I71" s="12">
        <f t="shared" si="3"/>
        <v>0</v>
      </c>
      <c r="J71" s="17"/>
      <c r="K71" s="17"/>
    </row>
    <row r="72" spans="1:11" x14ac:dyDescent="0.3">
      <c r="A72" s="6">
        <v>45348</v>
      </c>
      <c r="B72" s="4" t="s">
        <v>32</v>
      </c>
      <c r="C72" s="20" t="str">
        <f t="shared" si="4"/>
        <v>26.02.2024_BOYohB224</v>
      </c>
      <c r="D72" s="9"/>
      <c r="E72" s="10"/>
      <c r="F72" s="9"/>
      <c r="G72" s="9"/>
      <c r="H72" s="18"/>
      <c r="I72" s="12">
        <f t="shared" si="3"/>
        <v>0</v>
      </c>
      <c r="J72" s="17"/>
      <c r="K72" s="17"/>
    </row>
    <row r="73" spans="1:11" x14ac:dyDescent="0.3">
      <c r="A73" s="6">
        <v>45348</v>
      </c>
      <c r="B73" s="4" t="s">
        <v>19</v>
      </c>
      <c r="C73" s="20" t="str">
        <f t="shared" si="4"/>
        <v>26.02.2024_BOYohBr</v>
      </c>
      <c r="D73" s="9"/>
      <c r="E73" s="10"/>
      <c r="F73" s="9"/>
      <c r="G73" s="9"/>
      <c r="H73" s="18"/>
      <c r="I73" s="12">
        <f t="shared" si="3"/>
        <v>0</v>
      </c>
      <c r="J73" s="17"/>
      <c r="K73" s="17"/>
    </row>
    <row r="74" spans="1:11" x14ac:dyDescent="0.3">
      <c r="A74" s="6">
        <v>45348</v>
      </c>
      <c r="B74" s="4" t="s">
        <v>23</v>
      </c>
      <c r="C74" s="20" t="str">
        <f t="shared" si="4"/>
        <v>26.02.2024_BOYohKi</v>
      </c>
      <c r="D74" s="9"/>
      <c r="E74" s="10"/>
      <c r="F74" s="9"/>
      <c r="G74" s="9"/>
      <c r="H74" s="18"/>
      <c r="I74" s="12">
        <f t="shared" si="3"/>
        <v>0</v>
      </c>
      <c r="J74" s="17"/>
      <c r="K74" s="17"/>
    </row>
    <row r="75" spans="1:11" x14ac:dyDescent="0.3">
      <c r="A75" s="6">
        <v>45348</v>
      </c>
      <c r="B75" s="4" t="s">
        <v>21</v>
      </c>
      <c r="C75" s="20" t="str">
        <f t="shared" si="4"/>
        <v>26.02.2024_BOYohSp</v>
      </c>
      <c r="D75" s="9"/>
      <c r="E75" s="10"/>
      <c r="F75" s="9"/>
      <c r="G75" s="9"/>
      <c r="H75" s="18"/>
      <c r="I75" s="12">
        <f t="shared" si="3"/>
        <v>0</v>
      </c>
      <c r="J75" s="17"/>
      <c r="K75" s="17"/>
    </row>
    <row r="76" spans="1:11" x14ac:dyDescent="0.3">
      <c r="A76" s="6">
        <v>45348</v>
      </c>
      <c r="B76" s="4" t="s">
        <v>45</v>
      </c>
      <c r="C76" s="20" t="str">
        <f t="shared" si="4"/>
        <v>26.02.2024_BOYuhHa</v>
      </c>
      <c r="D76" s="9"/>
      <c r="E76" s="10"/>
      <c r="F76" s="9"/>
      <c r="G76" s="9"/>
      <c r="H76" s="18"/>
      <c r="I76" s="12">
        <f t="shared" si="3"/>
        <v>0</v>
      </c>
      <c r="J76" s="17"/>
      <c r="K76" s="17"/>
    </row>
    <row r="77" spans="1:11" x14ac:dyDescent="0.3">
      <c r="A77" s="6">
        <v>45348</v>
      </c>
      <c r="B77" s="4" t="s">
        <v>20</v>
      </c>
      <c r="C77" s="20" t="str">
        <f t="shared" si="4"/>
        <v>26.02.2024_BOYuhSp</v>
      </c>
      <c r="D77" s="9"/>
      <c r="E77" s="10"/>
      <c r="F77" s="9"/>
      <c r="G77" s="9"/>
      <c r="H77" s="18"/>
      <c r="I77" s="12">
        <f t="shared" si="3"/>
        <v>0</v>
      </c>
      <c r="J77" s="17"/>
      <c r="K77" s="17"/>
    </row>
    <row r="78" spans="1:11" x14ac:dyDescent="0.3">
      <c r="A78" s="6">
        <v>45348</v>
      </c>
      <c r="B78" s="4" t="s">
        <v>17</v>
      </c>
      <c r="C78" s="20" t="str">
        <f t="shared" si="4"/>
        <v>26.02.2024_BRAob</v>
      </c>
      <c r="D78" s="9"/>
      <c r="E78" s="10"/>
      <c r="F78" s="9"/>
      <c r="G78" s="9"/>
      <c r="H78" s="17"/>
      <c r="I78" s="12">
        <f t="shared" si="3"/>
        <v>0</v>
      </c>
      <c r="J78" s="17"/>
      <c r="K78" s="17"/>
    </row>
    <row r="79" spans="1:11" x14ac:dyDescent="0.3">
      <c r="A79" s="6">
        <v>45348</v>
      </c>
      <c r="B79" s="4" t="s">
        <v>18</v>
      </c>
      <c r="C79" s="20" t="str">
        <f t="shared" si="4"/>
        <v>26.02.2024_BRAohBo</v>
      </c>
      <c r="D79" s="9"/>
      <c r="E79" s="10"/>
      <c r="F79" s="9"/>
      <c r="G79" s="9"/>
      <c r="H79" s="18"/>
      <c r="I79" s="12">
        <f t="shared" si="3"/>
        <v>0</v>
      </c>
      <c r="J79" s="17"/>
      <c r="K79" s="17"/>
    </row>
    <row r="80" spans="1:11" x14ac:dyDescent="0.3">
      <c r="A80" s="6">
        <v>45348</v>
      </c>
      <c r="B80" s="4" t="s">
        <v>25</v>
      </c>
      <c r="C80" s="20" t="str">
        <f t="shared" si="4"/>
        <v>26.02.2024_HAAob</v>
      </c>
      <c r="D80" s="9"/>
      <c r="E80" s="10"/>
      <c r="F80" s="9"/>
      <c r="G80" s="9"/>
      <c r="H80" s="18"/>
      <c r="I80" s="12">
        <f t="shared" si="3"/>
        <v>0</v>
      </c>
      <c r="J80" s="17"/>
      <c r="K80" s="17"/>
    </row>
    <row r="81" spans="1:11" x14ac:dyDescent="0.3">
      <c r="A81" s="6">
        <v>45348</v>
      </c>
      <c r="B81" s="4" t="s">
        <v>24</v>
      </c>
      <c r="C81" s="20" t="str">
        <f t="shared" si="4"/>
        <v>26.02.2024_HAAun</v>
      </c>
      <c r="D81" s="9"/>
      <c r="E81" s="10"/>
      <c r="F81" s="9"/>
      <c r="G81" s="9"/>
      <c r="H81" s="18"/>
      <c r="I81" s="12">
        <f t="shared" si="3"/>
        <v>0</v>
      </c>
      <c r="J81" s="17"/>
      <c r="K81" s="17"/>
    </row>
    <row r="82" spans="1:11" x14ac:dyDescent="0.3">
      <c r="A82" s="6">
        <v>45348</v>
      </c>
      <c r="B82" s="4" t="s">
        <v>12</v>
      </c>
      <c r="C82" s="20" t="str">
        <f t="shared" si="4"/>
        <v>26.02.2024_KIRob</v>
      </c>
      <c r="D82" s="9"/>
      <c r="E82" s="10"/>
      <c r="F82" s="9"/>
      <c r="G82" s="9"/>
      <c r="H82" s="18"/>
      <c r="I82" s="12">
        <f t="shared" si="3"/>
        <v>0</v>
      </c>
      <c r="J82" s="17"/>
      <c r="K82" s="17"/>
    </row>
    <row r="83" spans="1:11" x14ac:dyDescent="0.3">
      <c r="A83" s="6">
        <v>45348</v>
      </c>
      <c r="B83" s="4" t="s">
        <v>11</v>
      </c>
      <c r="C83" s="20" t="str">
        <f t="shared" si="4"/>
        <v>26.02.2024_KIRun</v>
      </c>
      <c r="D83" s="9"/>
      <c r="E83" s="10"/>
      <c r="F83" s="9"/>
      <c r="G83" s="9"/>
      <c r="H83" s="18"/>
      <c r="I83" s="12">
        <f t="shared" si="3"/>
        <v>0</v>
      </c>
      <c r="J83" s="17"/>
      <c r="K83" s="17"/>
    </row>
    <row r="84" spans="1:11" x14ac:dyDescent="0.3">
      <c r="A84" s="6">
        <v>45348</v>
      </c>
      <c r="B84" s="4" t="s">
        <v>43</v>
      </c>
      <c r="C84" s="20" t="str">
        <f t="shared" si="4"/>
        <v>26.02.2024_LIEohBo</v>
      </c>
      <c r="D84" s="9"/>
      <c r="E84" s="10"/>
      <c r="F84" s="9"/>
      <c r="G84" s="9"/>
      <c r="H84" s="18"/>
      <c r="I84" s="12">
        <f t="shared" si="3"/>
        <v>0</v>
      </c>
      <c r="J84" s="17"/>
      <c r="K84" s="17"/>
    </row>
    <row r="85" spans="1:11" x14ac:dyDescent="0.3">
      <c r="A85" s="6">
        <v>45363</v>
      </c>
      <c r="B85" s="4" t="s">
        <v>33</v>
      </c>
      <c r="C85" s="20" t="str">
        <f t="shared" si="4"/>
        <v>12.03.2024_NATohBo</v>
      </c>
      <c r="D85" s="9"/>
      <c r="E85" s="10"/>
      <c r="F85" s="9"/>
      <c r="G85" s="9"/>
      <c r="H85" s="17"/>
      <c r="I85" s="12"/>
      <c r="J85" s="17"/>
      <c r="K85" s="17"/>
    </row>
    <row r="86" spans="1:11" x14ac:dyDescent="0.3">
      <c r="A86" s="6">
        <v>45363</v>
      </c>
      <c r="B86" s="4" t="s">
        <v>22</v>
      </c>
      <c r="C86" s="20" t="str">
        <f t="shared" si="4"/>
        <v>12.03.2024_QUAohBo</v>
      </c>
      <c r="D86" s="9"/>
      <c r="E86" s="10"/>
      <c r="F86" s="9"/>
      <c r="G86" s="9"/>
      <c r="H86" s="18"/>
      <c r="I86" s="12"/>
      <c r="J86" s="17"/>
      <c r="K86" s="17"/>
    </row>
    <row r="87" spans="1:11" x14ac:dyDescent="0.3">
      <c r="A87" s="6">
        <v>45363</v>
      </c>
      <c r="B87" s="4" t="s">
        <v>47</v>
      </c>
      <c r="C87" s="20" t="str">
        <f t="shared" si="4"/>
        <v>12.03.2024_ROTB</v>
      </c>
      <c r="D87" s="9"/>
      <c r="E87" s="10"/>
      <c r="F87" s="9"/>
      <c r="G87" s="9"/>
      <c r="H87" s="17"/>
      <c r="I87" s="12"/>
      <c r="J87" s="17"/>
      <c r="K87" s="17"/>
    </row>
    <row r="88" spans="1:11" x14ac:dyDescent="0.3">
      <c r="A88" s="6">
        <v>45363</v>
      </c>
      <c r="B88" s="4" t="s">
        <v>13</v>
      </c>
      <c r="C88" s="20" t="str">
        <f t="shared" si="4"/>
        <v>12.03.2024_SCHohVo</v>
      </c>
      <c r="D88" s="9"/>
      <c r="E88" s="10"/>
      <c r="F88" s="9"/>
      <c r="G88" s="9"/>
      <c r="H88" s="18"/>
      <c r="I88" s="12"/>
      <c r="J88" s="17"/>
      <c r="K88" s="17"/>
    </row>
    <row r="89" spans="1:11" x14ac:dyDescent="0.3">
      <c r="A89" s="6">
        <v>45363</v>
      </c>
      <c r="B89" s="4" t="s">
        <v>50</v>
      </c>
      <c r="C89" s="20" t="str">
        <f t="shared" si="4"/>
        <v>12.03.2024_SCHW</v>
      </c>
      <c r="D89" s="9"/>
      <c r="E89" s="10"/>
      <c r="F89" s="9"/>
      <c r="G89" s="9"/>
      <c r="H89" s="18"/>
      <c r="I89" s="12"/>
      <c r="J89" s="17"/>
      <c r="K89" s="17"/>
    </row>
    <row r="90" spans="1:11" x14ac:dyDescent="0.3">
      <c r="A90" s="6">
        <v>45363</v>
      </c>
      <c r="B90" s="4" t="s">
        <v>51</v>
      </c>
      <c r="C90" s="20" t="str">
        <f t="shared" si="4"/>
        <v>12.03.2024_SPE</v>
      </c>
      <c r="D90" s="9"/>
      <c r="E90" s="10"/>
      <c r="F90" s="9"/>
      <c r="G90" s="9"/>
      <c r="H90" s="18"/>
      <c r="I90" s="12"/>
      <c r="J90" s="17"/>
      <c r="K90" s="17"/>
    </row>
    <row r="91" spans="1:11" x14ac:dyDescent="0.3">
      <c r="A91" s="6">
        <v>45363</v>
      </c>
      <c r="B91" s="4" t="s">
        <v>15</v>
      </c>
      <c r="C91" s="20" t="str">
        <f t="shared" si="4"/>
        <v>12.03.2024_VORohBo</v>
      </c>
      <c r="D91" s="9"/>
      <c r="E91" s="10"/>
      <c r="F91" s="9"/>
      <c r="G91" s="9"/>
      <c r="H91" s="18"/>
      <c r="I91" s="12"/>
      <c r="J91" s="17"/>
      <c r="K91" s="17"/>
    </row>
    <row r="92" spans="1:11" x14ac:dyDescent="0.3">
      <c r="A92" s="6">
        <v>45363</v>
      </c>
      <c r="B92" s="4" t="s">
        <v>14</v>
      </c>
      <c r="C92" s="20" t="str">
        <f t="shared" si="4"/>
        <v>12.03.2024_VORuhSc</v>
      </c>
      <c r="D92" s="9"/>
      <c r="E92" s="10"/>
      <c r="F92" s="9"/>
      <c r="G92" s="9"/>
      <c r="H92" s="18"/>
      <c r="I92" s="12"/>
      <c r="J92" s="17"/>
      <c r="K92" s="17"/>
    </row>
    <row r="93" spans="1:11" x14ac:dyDescent="0.3">
      <c r="A93" s="6">
        <v>45363</v>
      </c>
      <c r="B93" s="4" t="s">
        <v>26</v>
      </c>
      <c r="C93" s="20" t="str">
        <f t="shared" si="4"/>
        <v>12.03.2024_WITob</v>
      </c>
      <c r="D93" s="9"/>
      <c r="E93" s="10"/>
      <c r="F93" s="9"/>
      <c r="G93" s="9"/>
      <c r="H93" s="18"/>
      <c r="I93" s="12"/>
      <c r="J93" s="17"/>
      <c r="K93" s="17"/>
    </row>
    <row r="94" spans="1:11" x14ac:dyDescent="0.3">
      <c r="A94" s="6">
        <v>45363</v>
      </c>
      <c r="B94" s="4" t="s">
        <v>16</v>
      </c>
      <c r="C94" s="20" t="str">
        <f t="shared" si="4"/>
        <v>12.03.2024_BOYkl</v>
      </c>
      <c r="D94" s="9"/>
      <c r="E94" s="10"/>
      <c r="F94" s="9"/>
      <c r="G94" s="9"/>
      <c r="H94" s="18"/>
      <c r="I94" s="12"/>
      <c r="J94" s="17"/>
      <c r="K94" s="17"/>
    </row>
    <row r="95" spans="1:11" x14ac:dyDescent="0.3">
      <c r="A95" s="6">
        <v>45363</v>
      </c>
      <c r="B95" s="4" t="s">
        <v>32</v>
      </c>
      <c r="C95" s="20" t="str">
        <f t="shared" si="4"/>
        <v>12.03.2024_BOYohB224</v>
      </c>
      <c r="D95" s="9"/>
      <c r="E95" s="10"/>
      <c r="F95" s="9"/>
      <c r="G95" s="9"/>
      <c r="H95" s="18"/>
      <c r="I95" s="12"/>
      <c r="J95" s="17"/>
      <c r="K95" s="17"/>
    </row>
    <row r="96" spans="1:11" x14ac:dyDescent="0.3">
      <c r="A96" s="6">
        <v>45363</v>
      </c>
      <c r="B96" s="4" t="s">
        <v>19</v>
      </c>
      <c r="C96" s="20" t="str">
        <f t="shared" si="4"/>
        <v>12.03.2024_BOYohBr</v>
      </c>
      <c r="D96" s="9"/>
      <c r="E96" s="10"/>
      <c r="F96" s="9"/>
      <c r="G96" s="9"/>
      <c r="H96" s="18"/>
      <c r="I96" s="12"/>
      <c r="J96" s="17"/>
      <c r="K96" s="17"/>
    </row>
    <row r="97" spans="1:11" x14ac:dyDescent="0.3">
      <c r="A97" s="6">
        <v>45363</v>
      </c>
      <c r="B97" s="4" t="s">
        <v>23</v>
      </c>
      <c r="C97" s="20" t="str">
        <f t="shared" si="4"/>
        <v>12.03.2024_BOYohKi</v>
      </c>
      <c r="D97" s="9"/>
      <c r="E97" s="10"/>
      <c r="F97" s="9"/>
      <c r="G97" s="9"/>
      <c r="H97" s="18"/>
      <c r="I97" s="12"/>
      <c r="J97" s="17"/>
      <c r="K97" s="17"/>
    </row>
    <row r="98" spans="1:11" x14ac:dyDescent="0.3">
      <c r="A98" s="6">
        <v>45363</v>
      </c>
      <c r="B98" s="4" t="s">
        <v>21</v>
      </c>
      <c r="C98" s="20" t="str">
        <f t="shared" si="4"/>
        <v>12.03.2024_BOYohSp</v>
      </c>
      <c r="D98" s="9"/>
      <c r="E98" s="10"/>
      <c r="F98" s="9"/>
      <c r="G98" s="9"/>
      <c r="H98" s="17"/>
      <c r="I98" s="12"/>
      <c r="J98" s="17"/>
      <c r="K98" s="17"/>
    </row>
    <row r="99" spans="1:11" x14ac:dyDescent="0.3">
      <c r="A99" s="6">
        <v>45363</v>
      </c>
      <c r="B99" s="4" t="s">
        <v>45</v>
      </c>
      <c r="C99" s="20" t="str">
        <f t="shared" si="4"/>
        <v>12.03.2024_BOYuhHa</v>
      </c>
      <c r="D99" s="9"/>
      <c r="E99" s="10"/>
      <c r="F99" s="9"/>
      <c r="G99" s="9"/>
      <c r="H99" s="18"/>
      <c r="I99" s="12"/>
      <c r="J99" s="17"/>
      <c r="K99" s="17"/>
    </row>
    <row r="100" spans="1:11" x14ac:dyDescent="0.3">
      <c r="A100" s="6">
        <v>45363</v>
      </c>
      <c r="B100" s="4" t="s">
        <v>20</v>
      </c>
      <c r="C100" s="20" t="str">
        <f t="shared" si="4"/>
        <v>12.03.2024_BOYuhSp</v>
      </c>
      <c r="D100" s="9"/>
      <c r="E100" s="10"/>
      <c r="F100" s="9"/>
      <c r="G100" s="9"/>
      <c r="H100" s="18"/>
      <c r="I100" s="12"/>
      <c r="J100" s="17"/>
      <c r="K100" s="17"/>
    </row>
    <row r="101" spans="1:11" x14ac:dyDescent="0.3">
      <c r="A101" s="6">
        <v>45363</v>
      </c>
      <c r="B101" s="4" t="s">
        <v>17</v>
      </c>
      <c r="C101" s="20" t="str">
        <f t="shared" si="4"/>
        <v>12.03.2024_BRAob</v>
      </c>
      <c r="D101" s="9"/>
      <c r="E101" s="10"/>
      <c r="F101" s="9"/>
      <c r="G101" s="9"/>
      <c r="H101" s="18"/>
      <c r="I101" s="12"/>
      <c r="J101" s="17"/>
      <c r="K101" s="17"/>
    </row>
    <row r="102" spans="1:11" x14ac:dyDescent="0.3">
      <c r="A102" s="6">
        <v>45363</v>
      </c>
      <c r="B102" s="4" t="s">
        <v>18</v>
      </c>
      <c r="C102" s="20" t="str">
        <f t="shared" si="4"/>
        <v>12.03.2024_BRAohBo</v>
      </c>
      <c r="D102" s="9"/>
      <c r="E102" s="10"/>
      <c r="F102" s="9"/>
      <c r="G102" s="9"/>
      <c r="H102" s="18"/>
      <c r="I102" s="12"/>
      <c r="J102" s="17"/>
      <c r="K102" s="17"/>
    </row>
    <row r="103" spans="1:11" x14ac:dyDescent="0.3">
      <c r="A103" s="6">
        <v>45363</v>
      </c>
      <c r="B103" s="4" t="s">
        <v>25</v>
      </c>
      <c r="C103" s="20" t="str">
        <f t="shared" si="4"/>
        <v>12.03.2024_HAAob</v>
      </c>
      <c r="D103" s="9"/>
      <c r="E103" s="10"/>
      <c r="F103" s="9"/>
      <c r="G103" s="9"/>
      <c r="H103" s="18"/>
      <c r="I103" s="12"/>
      <c r="J103" s="17"/>
      <c r="K103" s="17"/>
    </row>
    <row r="104" spans="1:11" x14ac:dyDescent="0.3">
      <c r="A104" s="6">
        <v>45363</v>
      </c>
      <c r="B104" s="4" t="s">
        <v>24</v>
      </c>
      <c r="C104" s="20" t="str">
        <f t="shared" si="4"/>
        <v>12.03.2024_HAAun</v>
      </c>
      <c r="D104" s="9"/>
      <c r="E104" s="10"/>
      <c r="F104" s="9"/>
      <c r="G104" s="9"/>
      <c r="H104" s="18"/>
      <c r="I104" s="12"/>
      <c r="J104" s="17"/>
      <c r="K104" s="17"/>
    </row>
    <row r="105" spans="1:11" x14ac:dyDescent="0.3">
      <c r="A105" s="6">
        <v>45363</v>
      </c>
      <c r="B105" s="4" t="s">
        <v>12</v>
      </c>
      <c r="C105" s="20" t="str">
        <f t="shared" si="4"/>
        <v>12.03.2024_KIRob</v>
      </c>
      <c r="D105" s="9"/>
      <c r="E105" s="10"/>
      <c r="F105" s="9"/>
      <c r="G105" s="9"/>
      <c r="H105" s="18"/>
      <c r="I105" s="12"/>
      <c r="J105" s="17"/>
      <c r="K105" s="17"/>
    </row>
    <row r="106" spans="1:11" x14ac:dyDescent="0.3">
      <c r="A106" s="6">
        <v>45363</v>
      </c>
      <c r="B106" s="4" t="s">
        <v>11</v>
      </c>
      <c r="C106" s="20" t="str">
        <f t="shared" si="4"/>
        <v>12.03.2024_KIRun</v>
      </c>
      <c r="D106" s="9"/>
      <c r="E106" s="10"/>
      <c r="F106" s="9"/>
      <c r="G106" s="9"/>
      <c r="H106" s="18"/>
      <c r="I106" s="12"/>
      <c r="J106" s="17"/>
      <c r="K106" s="17"/>
    </row>
    <row r="107" spans="1:11" x14ac:dyDescent="0.3">
      <c r="A107" s="6">
        <v>45372</v>
      </c>
      <c r="B107" s="4" t="s">
        <v>43</v>
      </c>
      <c r="C107" s="20" t="str">
        <f t="shared" si="4"/>
        <v>21.03.2024_LIEohBo</v>
      </c>
      <c r="D107" s="9"/>
      <c r="E107" s="10"/>
      <c r="F107" s="9"/>
      <c r="G107" s="9"/>
      <c r="H107" s="17"/>
      <c r="I107" s="12"/>
      <c r="J107" s="17"/>
      <c r="K107" s="17"/>
    </row>
    <row r="108" spans="1:11" x14ac:dyDescent="0.3">
      <c r="A108" s="6">
        <v>45372</v>
      </c>
      <c r="B108" s="4" t="s">
        <v>33</v>
      </c>
      <c r="C108" s="20" t="str">
        <f t="shared" si="4"/>
        <v>21.03.2024_NATohBo</v>
      </c>
      <c r="D108" s="9"/>
      <c r="E108" s="10"/>
      <c r="F108" s="9"/>
      <c r="G108" s="9"/>
      <c r="H108" s="18"/>
      <c r="I108" s="12"/>
      <c r="J108" s="17"/>
      <c r="K108" s="17"/>
    </row>
    <row r="109" spans="1:11" x14ac:dyDescent="0.3">
      <c r="A109" s="6">
        <v>45372</v>
      </c>
      <c r="B109" s="4" t="s">
        <v>22</v>
      </c>
      <c r="C109" s="20" t="str">
        <f t="shared" si="4"/>
        <v>21.03.2024_QUAohBo</v>
      </c>
      <c r="D109" s="9"/>
      <c r="E109" s="10"/>
      <c r="F109" s="9"/>
      <c r="G109" s="9"/>
      <c r="H109" s="17"/>
      <c r="I109" s="12"/>
      <c r="J109" s="17"/>
      <c r="K109" s="17"/>
    </row>
    <row r="110" spans="1:11" x14ac:dyDescent="0.3">
      <c r="A110" s="6">
        <v>45372</v>
      </c>
      <c r="B110" s="4" t="s">
        <v>47</v>
      </c>
      <c r="C110" s="20" t="str">
        <f t="shared" si="4"/>
        <v>21.03.2024_ROTB</v>
      </c>
      <c r="D110" s="9"/>
      <c r="E110" s="10"/>
      <c r="F110" s="9"/>
      <c r="G110" s="9"/>
      <c r="H110" s="18"/>
      <c r="I110" s="12"/>
      <c r="J110" s="17"/>
      <c r="K110" s="17"/>
    </row>
    <row r="111" spans="1:11" x14ac:dyDescent="0.3">
      <c r="A111" s="6">
        <v>45372</v>
      </c>
      <c r="B111" s="4" t="s">
        <v>13</v>
      </c>
      <c r="C111" s="20" t="str">
        <f t="shared" si="4"/>
        <v>21.03.2024_SCHohVo</v>
      </c>
      <c r="D111" s="9"/>
      <c r="E111" s="10"/>
      <c r="F111" s="9"/>
      <c r="G111" s="9"/>
      <c r="H111" s="18"/>
      <c r="I111" s="12"/>
      <c r="J111" s="17"/>
      <c r="K111" s="17"/>
    </row>
    <row r="112" spans="1:11" x14ac:dyDescent="0.3">
      <c r="A112" s="6">
        <v>45372</v>
      </c>
      <c r="B112" s="4" t="s">
        <v>50</v>
      </c>
      <c r="C112" s="20" t="str">
        <f t="shared" si="4"/>
        <v>21.03.2024_SCHW</v>
      </c>
      <c r="D112" s="9"/>
      <c r="E112" s="10"/>
      <c r="F112" s="9"/>
      <c r="G112" s="9"/>
      <c r="H112" s="18"/>
      <c r="I112" s="12"/>
      <c r="J112" s="17"/>
      <c r="K112" s="17"/>
    </row>
    <row r="113" spans="1:11" x14ac:dyDescent="0.3">
      <c r="A113" s="6">
        <v>45372</v>
      </c>
      <c r="B113" s="4" t="s">
        <v>51</v>
      </c>
      <c r="C113" s="20" t="str">
        <f t="shared" si="4"/>
        <v>21.03.2024_SPE</v>
      </c>
      <c r="D113" s="9"/>
      <c r="E113" s="10"/>
      <c r="F113" s="9"/>
      <c r="G113" s="9"/>
      <c r="H113" s="18"/>
      <c r="I113" s="12"/>
      <c r="J113" s="17"/>
      <c r="K113" s="17"/>
    </row>
    <row r="114" spans="1:11" x14ac:dyDescent="0.3">
      <c r="A114" s="6">
        <v>45372</v>
      </c>
      <c r="B114" s="4" t="s">
        <v>15</v>
      </c>
      <c r="C114" s="20" t="str">
        <f t="shared" si="4"/>
        <v>21.03.2024_VORohBo</v>
      </c>
      <c r="D114" s="9"/>
      <c r="E114" s="10"/>
      <c r="F114" s="9"/>
      <c r="G114" s="9"/>
      <c r="H114" s="18"/>
      <c r="I114" s="12"/>
      <c r="J114" s="17"/>
      <c r="K114" s="17"/>
    </row>
    <row r="115" spans="1:11" x14ac:dyDescent="0.3">
      <c r="A115" s="6">
        <v>45372</v>
      </c>
      <c r="B115" s="4" t="s">
        <v>14</v>
      </c>
      <c r="C115" s="20" t="str">
        <f t="shared" si="4"/>
        <v>21.03.2024_VORuhSc</v>
      </c>
      <c r="D115" s="9"/>
      <c r="E115" s="10"/>
      <c r="F115" s="9"/>
      <c r="G115" s="9"/>
      <c r="H115" s="18"/>
      <c r="I115" s="12"/>
      <c r="J115" s="17"/>
      <c r="K115" s="17"/>
    </row>
    <row r="116" spans="1:11" x14ac:dyDescent="0.3">
      <c r="A116" s="6">
        <v>45372</v>
      </c>
      <c r="B116" s="4" t="s">
        <v>26</v>
      </c>
      <c r="C116" s="20" t="str">
        <f t="shared" si="4"/>
        <v>21.03.2024_WITob</v>
      </c>
      <c r="D116" s="9"/>
      <c r="E116" s="10"/>
      <c r="F116" s="9"/>
      <c r="G116" s="9"/>
      <c r="H116" s="18"/>
      <c r="I116" s="12"/>
      <c r="J116" s="17"/>
      <c r="K116" s="17"/>
    </row>
    <row r="117" spans="1:11" x14ac:dyDescent="0.3">
      <c r="A117" s="6">
        <v>45720</v>
      </c>
      <c r="B117" s="4" t="s">
        <v>16</v>
      </c>
      <c r="C117" s="20" t="str">
        <f t="shared" si="4"/>
        <v>04.03.2025_BOYkl</v>
      </c>
      <c r="D117" s="9">
        <v>6.8976659898255466E-2</v>
      </c>
      <c r="E117" s="10">
        <v>2.4210169113014254E-2</v>
      </c>
      <c r="F117" s="9">
        <v>9.7004285791786465E-2</v>
      </c>
      <c r="G117" s="9">
        <v>0.1294642576590731</v>
      </c>
      <c r="H117" s="17">
        <v>15.173</v>
      </c>
      <c r="I117" s="12">
        <f t="shared" si="3"/>
        <v>3.5418637611187687</v>
      </c>
      <c r="J117" s="17">
        <v>20.481000000000002</v>
      </c>
      <c r="K117" s="17">
        <v>38.857999999999997</v>
      </c>
    </row>
    <row r="118" spans="1:11" x14ac:dyDescent="0.3">
      <c r="A118" s="6">
        <v>45720</v>
      </c>
      <c r="B118" s="4" t="s">
        <v>32</v>
      </c>
      <c r="C118" s="20" t="str">
        <f t="shared" si="4"/>
        <v>04.03.2025_BOYohB224</v>
      </c>
      <c r="D118" s="9">
        <v>6.5841357175607504E-2</v>
      </c>
      <c r="E118" s="10">
        <v>1.3347358123142894E-2</v>
      </c>
      <c r="F118" s="9">
        <v>0.23544729561113217</v>
      </c>
      <c r="G118" s="9">
        <v>8.0144540455616642E-2</v>
      </c>
      <c r="H118" s="18">
        <v>5.0579999999999998</v>
      </c>
      <c r="I118" s="12">
        <f t="shared" si="3"/>
        <v>1.3496729359108002</v>
      </c>
      <c r="J118" s="17">
        <v>28</v>
      </c>
      <c r="K118" s="17">
        <v>134.55000000000001</v>
      </c>
    </row>
    <row r="119" spans="1:11" x14ac:dyDescent="0.3">
      <c r="A119" s="6">
        <v>45720</v>
      </c>
      <c r="B119" s="4" t="s">
        <v>19</v>
      </c>
      <c r="C119" s="20" t="str">
        <f t="shared" si="4"/>
        <v>04.03.2025_BOYohBr</v>
      </c>
      <c r="D119" s="9">
        <v>-1.5676513613240115E-3</v>
      </c>
      <c r="E119" s="10">
        <v>1.7491264778027368E-2</v>
      </c>
      <c r="F119" s="9">
        <v>0.10453859925134269</v>
      </c>
      <c r="G119" s="9">
        <v>3.6989787902592303E-2</v>
      </c>
      <c r="H119" s="17">
        <v>10.946999999999999</v>
      </c>
      <c r="I119" s="12">
        <f t="shared" si="3"/>
        <v>2.5650336078596188</v>
      </c>
      <c r="J119" s="17">
        <v>17.948</v>
      </c>
      <c r="K119" s="17">
        <v>64.736000000000004</v>
      </c>
    </row>
    <row r="120" spans="1:11" x14ac:dyDescent="0.3">
      <c r="A120" s="6">
        <v>45720</v>
      </c>
      <c r="B120" s="4" t="s">
        <v>23</v>
      </c>
      <c r="C120" s="20" t="str">
        <f t="shared" si="4"/>
        <v>04.03.2025_BOYohKi</v>
      </c>
      <c r="D120" s="9">
        <v>0</v>
      </c>
      <c r="E120" s="10">
        <v>1.2783361761607645E-2</v>
      </c>
      <c r="F120" s="9">
        <v>0.19118320403623942</v>
      </c>
      <c r="G120" s="9">
        <v>2.7742340926944282E-2</v>
      </c>
      <c r="H120" s="18">
        <v>5.74</v>
      </c>
      <c r="I120" s="12">
        <f t="shared" si="3"/>
        <v>1.4533918017973078</v>
      </c>
      <c r="J120" s="17">
        <v>23</v>
      </c>
      <c r="K120" s="17">
        <v>96.721999999999994</v>
      </c>
    </row>
    <row r="121" spans="1:11" x14ac:dyDescent="0.3">
      <c r="A121" s="6">
        <v>45720</v>
      </c>
      <c r="B121" s="4" t="s">
        <v>21</v>
      </c>
      <c r="C121" s="20" t="str">
        <f t="shared" si="4"/>
        <v>04.03.2025_BOYohSp</v>
      </c>
      <c r="D121" s="9">
        <v>9.4059081679439063E-3</v>
      </c>
      <c r="E121" s="10">
        <v>1.7242830449549707E-2</v>
      </c>
      <c r="F121" s="9">
        <v>0.19024141485379484</v>
      </c>
      <c r="G121" s="9">
        <v>5.3943440691280466E-2</v>
      </c>
      <c r="H121" s="18">
        <v>7.5709999999999997</v>
      </c>
      <c r="I121" s="12">
        <f t="shared" si="3"/>
        <v>1.8742054067382834</v>
      </c>
      <c r="J121" s="17">
        <v>21</v>
      </c>
      <c r="K121" s="17">
        <v>76.757000000000005</v>
      </c>
    </row>
    <row r="122" spans="1:11" x14ac:dyDescent="0.3">
      <c r="A122" s="6">
        <v>45720</v>
      </c>
      <c r="B122" s="4" t="s">
        <v>45</v>
      </c>
      <c r="C122" s="20" t="str">
        <f t="shared" si="4"/>
        <v>04.03.2025_BOYuhHa</v>
      </c>
      <c r="D122" s="9">
        <v>1.2541210890591896E-2</v>
      </c>
      <c r="E122" s="10">
        <v>1.3064825054093027E-2</v>
      </c>
      <c r="F122" s="9">
        <v>0.4454662832962622</v>
      </c>
      <c r="G122" s="9">
        <v>2.4659858601728243E-2</v>
      </c>
      <c r="H122" s="18">
        <v>5.4649999999999999</v>
      </c>
      <c r="I122" s="12">
        <f t="shared" si="3"/>
        <v>1.5877873582680107</v>
      </c>
      <c r="J122" s="17">
        <v>28</v>
      </c>
      <c r="K122" s="17">
        <v>150.858</v>
      </c>
    </row>
    <row r="123" spans="1:11" x14ac:dyDescent="0.3">
      <c r="A123" s="6">
        <v>45720</v>
      </c>
      <c r="B123" s="4" t="s">
        <v>20</v>
      </c>
      <c r="C123" s="20" t="str">
        <f t="shared" si="4"/>
        <v>04.03.2025_BOYuhSp</v>
      </c>
      <c r="D123" s="9">
        <v>0</v>
      </c>
      <c r="E123" s="10">
        <v>1.6910335890801889E-2</v>
      </c>
      <c r="F123" s="9">
        <v>0.24298160907068844</v>
      </c>
      <c r="G123" s="9">
        <v>4.4695993715632383E-2</v>
      </c>
      <c r="H123" s="18">
        <v>6.7919999999999998</v>
      </c>
      <c r="I123" s="12">
        <f t="shared" si="3"/>
        <v>1.7363895249140231</v>
      </c>
      <c r="J123" s="17">
        <v>22</v>
      </c>
      <c r="K123" s="17">
        <v>82.51</v>
      </c>
    </row>
    <row r="124" spans="1:11" x14ac:dyDescent="0.3">
      <c r="A124" s="6">
        <v>45720</v>
      </c>
      <c r="B124" s="4" t="s">
        <v>17</v>
      </c>
      <c r="C124" s="20" t="str">
        <f t="shared" si="4"/>
        <v>04.03.2025_BRAob</v>
      </c>
      <c r="D124" s="9">
        <v>0</v>
      </c>
      <c r="E124" s="10">
        <v>1.0690109323878864E-2</v>
      </c>
      <c r="F124" s="9">
        <v>0.13938479900179027</v>
      </c>
      <c r="G124" s="9">
        <v>1.5412411626080354E-3</v>
      </c>
      <c r="H124" s="18">
        <v>3.2309999999999999</v>
      </c>
      <c r="I124" s="12">
        <f t="shared" si="3"/>
        <v>0.8384861034488561</v>
      </c>
      <c r="J124" s="17">
        <v>33</v>
      </c>
      <c r="K124" s="17">
        <v>99.128</v>
      </c>
    </row>
    <row r="125" spans="1:11" x14ac:dyDescent="0.3">
      <c r="A125" s="6">
        <v>45720</v>
      </c>
      <c r="B125" s="4" t="s">
        <v>18</v>
      </c>
      <c r="C125" s="20" t="str">
        <f t="shared" si="4"/>
        <v>04.03.2025_BRAohBo</v>
      </c>
      <c r="D125" s="9">
        <v>0</v>
      </c>
      <c r="E125" s="10">
        <v>2.1459059938163751E-2</v>
      </c>
      <c r="F125" s="9">
        <v>0.20436825259046279</v>
      </c>
      <c r="G125" s="9">
        <v>2.0036135113904202E-2</v>
      </c>
      <c r="H125" s="18">
        <v>6.6319999999999997</v>
      </c>
      <c r="I125" s="12">
        <f t="shared" si="3"/>
        <v>1.6627597457893966</v>
      </c>
      <c r="J125" s="17">
        <v>25</v>
      </c>
      <c r="K125" s="17">
        <v>80.566999999999993</v>
      </c>
    </row>
    <row r="126" spans="1:11" x14ac:dyDescent="0.3">
      <c r="A126" s="6">
        <v>45720</v>
      </c>
      <c r="B126" s="4" t="s">
        <v>25</v>
      </c>
      <c r="C126" s="20" t="str">
        <f t="shared" si="4"/>
        <v>04.03.2025_HAAob</v>
      </c>
      <c r="D126" s="9">
        <v>0</v>
      </c>
      <c r="E126" s="10">
        <v>1.108783322778277E-2</v>
      </c>
      <c r="F126" s="9">
        <v>0.16104595019801443</v>
      </c>
      <c r="G126" s="9">
        <v>2.4659858601728243E-2</v>
      </c>
      <c r="H126" s="18">
        <v>4.6360000000000001</v>
      </c>
      <c r="I126" s="12">
        <f t="shared" si="3"/>
        <v>1.1796915838205524</v>
      </c>
      <c r="J126" s="17">
        <v>22.827999999999999</v>
      </c>
      <c r="K126" s="17">
        <v>100.631</v>
      </c>
    </row>
    <row r="127" spans="1:11" x14ac:dyDescent="0.3">
      <c r="A127" s="6">
        <v>45720</v>
      </c>
      <c r="B127" s="4" t="s">
        <v>24</v>
      </c>
      <c r="C127" s="20" t="str">
        <f t="shared" si="4"/>
        <v>04.03.2025_HAAun</v>
      </c>
      <c r="D127" s="9">
        <v>0</v>
      </c>
      <c r="E127" s="10">
        <v>1.7800043271264786E-2</v>
      </c>
      <c r="F127" s="9">
        <v>0.29101285737535948</v>
      </c>
      <c r="G127" s="9">
        <v>2.9283582089552285E-2</v>
      </c>
      <c r="H127" s="18">
        <v>3.8479999999999999</v>
      </c>
      <c r="I127" s="12">
        <f t="shared" si="3"/>
        <v>1.104031720190557</v>
      </c>
      <c r="J127" s="17">
        <v>21</v>
      </c>
      <c r="K127" s="17">
        <v>184.40299999999999</v>
      </c>
    </row>
    <row r="128" spans="1:11" x14ac:dyDescent="0.3">
      <c r="A128" s="6">
        <v>45720</v>
      </c>
      <c r="B128" s="4" t="s">
        <v>12</v>
      </c>
      <c r="C128" s="20" t="str">
        <f t="shared" si="4"/>
        <v>04.03.2025_KIRob</v>
      </c>
      <c r="D128" s="9">
        <v>0</v>
      </c>
      <c r="E128" s="10">
        <v>6.9417031274081444E-3</v>
      </c>
      <c r="F128" s="9">
        <v>0.86456246948407756</v>
      </c>
      <c r="G128" s="9">
        <v>0.12638177533385711</v>
      </c>
      <c r="H128" s="18">
        <v>4.6020000000000003</v>
      </c>
      <c r="I128" s="12">
        <f t="shared" si="3"/>
        <v>1.749254783430084</v>
      </c>
      <c r="J128" s="17">
        <v>56</v>
      </c>
      <c r="K128" s="17">
        <v>150.14400000000001</v>
      </c>
    </row>
    <row r="129" spans="1:11" x14ac:dyDescent="0.3">
      <c r="A129" s="6">
        <v>45720</v>
      </c>
      <c r="B129" s="4" t="s">
        <v>11</v>
      </c>
      <c r="C129" s="20" t="str">
        <f t="shared" si="4"/>
        <v>04.03.2025_KIRun</v>
      </c>
      <c r="D129" s="9">
        <v>3.2920678587803752E-2</v>
      </c>
      <c r="E129" s="10">
        <v>7.0508867505444817E-3</v>
      </c>
      <c r="F129" s="9">
        <v>0.34657841913958659</v>
      </c>
      <c r="G129" s="9">
        <v>0.10788688138256093</v>
      </c>
      <c r="H129" s="18">
        <v>3.6549999999999998</v>
      </c>
      <c r="I129" s="12">
        <f t="shared" si="3"/>
        <v>1.1275156877146184</v>
      </c>
      <c r="J129" s="17">
        <v>45</v>
      </c>
      <c r="K129" s="17">
        <v>131.767</v>
      </c>
    </row>
    <row r="130" spans="1:11" x14ac:dyDescent="0.3">
      <c r="A130" s="6">
        <v>45720</v>
      </c>
      <c r="B130" s="4" t="s">
        <v>43</v>
      </c>
      <c r="C130" s="20" t="str">
        <f t="shared" si="4"/>
        <v>04.03.2025_LIEohBo</v>
      </c>
      <c r="D130" s="9">
        <v>1.5676513613239886E-2</v>
      </c>
      <c r="E130" s="10">
        <v>1.9546750687617659E-2</v>
      </c>
      <c r="F130" s="9">
        <v>5.4623772581782665E-2</v>
      </c>
      <c r="G130" s="9">
        <v>7.7062058130400804E-3</v>
      </c>
      <c r="H130" s="17">
        <v>14.195</v>
      </c>
      <c r="I130" s="12">
        <f t="shared" ref="I130:I162" si="5">((G130*0.30445)+(H130*0.22587)+(F130*0.77649))</f>
        <v>3.2509856175318084</v>
      </c>
      <c r="J130" s="17">
        <v>21.369</v>
      </c>
      <c r="K130" s="17">
        <v>81.962999999999994</v>
      </c>
    </row>
    <row r="131" spans="1:11" x14ac:dyDescent="0.3">
      <c r="A131" s="6">
        <v>45720</v>
      </c>
      <c r="B131" s="4" t="s">
        <v>33</v>
      </c>
      <c r="C131" s="20" t="str">
        <f t="shared" ref="C131:C162" si="6">CONCATENATE(TEXT(A131,"TT.MM.JJJJ"),"_",B131)</f>
        <v>04.03.2025_NATohBo</v>
      </c>
      <c r="D131" s="9">
        <v>1.5676513613239886E-2</v>
      </c>
      <c r="E131" s="10">
        <v>1.7246065989825515E-2</v>
      </c>
      <c r="F131" s="9">
        <v>0.33716052731514135</v>
      </c>
      <c r="G131" s="9">
        <v>3.853102906520034E-2</v>
      </c>
      <c r="H131" s="18">
        <v>4.1779999999999999</v>
      </c>
      <c r="I131" s="12">
        <f t="shared" si="5"/>
        <v>1.2172174096538342</v>
      </c>
      <c r="J131" s="17">
        <v>58</v>
      </c>
      <c r="K131" s="17">
        <v>358.10899999999998</v>
      </c>
    </row>
    <row r="132" spans="1:11" x14ac:dyDescent="0.3">
      <c r="A132" s="6">
        <v>45720</v>
      </c>
      <c r="B132" s="4" t="s">
        <v>22</v>
      </c>
      <c r="C132" s="20" t="str">
        <f t="shared" si="6"/>
        <v>04.03.2025_QUAohBo</v>
      </c>
      <c r="D132" s="9">
        <v>2.8217724503831785E-2</v>
      </c>
      <c r="E132" s="10">
        <v>1.1015531613599989E-2</v>
      </c>
      <c r="F132" s="9">
        <v>0.21661151196224157</v>
      </c>
      <c r="G132" s="9">
        <v>5.8567164179104507E-2</v>
      </c>
      <c r="H132" s="18">
        <v>1.8169999999999999</v>
      </c>
      <c r="I132" s="12">
        <f t="shared" si="5"/>
        <v>0.59643323605788934</v>
      </c>
      <c r="J132" s="17">
        <v>31</v>
      </c>
      <c r="K132" s="17">
        <v>90.453000000000003</v>
      </c>
    </row>
    <row r="133" spans="1:11" x14ac:dyDescent="0.3">
      <c r="A133" s="6">
        <v>45720</v>
      </c>
      <c r="B133" s="4" t="s">
        <v>47</v>
      </c>
      <c r="C133" s="20" t="str">
        <f t="shared" si="6"/>
        <v>04.03.2025_ROTB</v>
      </c>
      <c r="D133" s="9">
        <v>2.6650073142507804E-2</v>
      </c>
      <c r="E133" s="10">
        <v>8.8119035694262833E-3</v>
      </c>
      <c r="F133" s="9">
        <v>9.0411761514674824E-2</v>
      </c>
      <c r="G133" s="9">
        <v>1.6953652788688163E-2</v>
      </c>
      <c r="H133" s="18">
        <v>5.0190000000000001</v>
      </c>
      <c r="I133" s="12">
        <f t="shared" si="5"/>
        <v>1.2090068982900459</v>
      </c>
      <c r="J133" s="17">
        <v>27</v>
      </c>
      <c r="K133" s="17">
        <v>111.453</v>
      </c>
    </row>
    <row r="134" spans="1:11" x14ac:dyDescent="0.3">
      <c r="A134" s="6">
        <v>45720</v>
      </c>
      <c r="B134" s="4" t="s">
        <v>13</v>
      </c>
      <c r="C134" s="20" t="str">
        <f t="shared" si="6"/>
        <v>04.03.2025_SCHohVo</v>
      </c>
      <c r="D134" s="9">
        <v>0</v>
      </c>
      <c r="E134" s="10">
        <v>1.1865908636290083E-2</v>
      </c>
      <c r="F134" s="9">
        <v>0.13467585308956767</v>
      </c>
      <c r="G134" s="9">
        <v>2.3118617439120241E-2</v>
      </c>
      <c r="H134" s="18">
        <v>3.3370000000000002</v>
      </c>
      <c r="I134" s="12">
        <f t="shared" si="5"/>
        <v>0.8653411062448586</v>
      </c>
      <c r="J134" s="17">
        <v>20.332999999999998</v>
      </c>
      <c r="K134" s="17">
        <v>73.188999999999993</v>
      </c>
    </row>
    <row r="135" spans="1:11" x14ac:dyDescent="0.3">
      <c r="A135" s="6">
        <v>45720</v>
      </c>
      <c r="B135" s="4" t="s">
        <v>50</v>
      </c>
      <c r="C135" s="20" t="str">
        <f t="shared" si="6"/>
        <v>04.03.2025_SCHW</v>
      </c>
      <c r="D135" s="9">
        <v>4.7029540839719629E-2</v>
      </c>
      <c r="E135" s="10">
        <v>1.2471924505399822E-2</v>
      </c>
      <c r="F135" s="9">
        <v>9.4178918244452875E-2</v>
      </c>
      <c r="G135" s="9">
        <v>1.84948939512962E-2</v>
      </c>
      <c r="H135" s="18">
        <v>3.1739999999999999</v>
      </c>
      <c r="I135" s="12">
        <f t="shared" si="5"/>
        <v>0.79567113869110739</v>
      </c>
      <c r="J135" s="17">
        <v>18.329000000000001</v>
      </c>
      <c r="K135" s="17">
        <v>201.52500000000001</v>
      </c>
    </row>
    <row r="136" spans="1:11" x14ac:dyDescent="0.3">
      <c r="A136" s="6">
        <v>45720</v>
      </c>
      <c r="B136" s="4" t="s">
        <v>51</v>
      </c>
      <c r="C136" s="20" t="str">
        <f t="shared" si="6"/>
        <v>04.03.2025_SPE</v>
      </c>
      <c r="D136" s="9">
        <v>6.740900853693152E-2</v>
      </c>
      <c r="E136" s="10">
        <v>1.6185753653707863E-2</v>
      </c>
      <c r="F136" s="9">
        <v>0.2260294037866869</v>
      </c>
      <c r="G136" s="9">
        <v>7.0897093479968559E-2</v>
      </c>
      <c r="H136" s="18">
        <v>3.23</v>
      </c>
      <c r="I136" s="12">
        <f t="shared" si="5"/>
        <v>0.92665429185630088</v>
      </c>
      <c r="J136" s="17">
        <v>23</v>
      </c>
      <c r="K136" s="17">
        <v>107.944</v>
      </c>
    </row>
    <row r="137" spans="1:11" x14ac:dyDescent="0.3">
      <c r="A137" s="6">
        <v>45720</v>
      </c>
      <c r="B137" s="4" t="s">
        <v>15</v>
      </c>
      <c r="C137" s="20" t="str">
        <f t="shared" si="6"/>
        <v>04.03.2025_VORohBo</v>
      </c>
      <c r="D137" s="9">
        <v>6.270605445295948E-3</v>
      </c>
      <c r="E137" s="10">
        <v>6.9856146043724031E-3</v>
      </c>
      <c r="F137" s="9">
        <v>0.37577388379536697</v>
      </c>
      <c r="G137" s="9">
        <v>3.3907305577376326E-2</v>
      </c>
      <c r="H137" s="18">
        <v>1.913</v>
      </c>
      <c r="I137" s="12">
        <f t="shared" si="5"/>
        <v>0.73419705221129672</v>
      </c>
      <c r="J137" s="17">
        <v>24</v>
      </c>
      <c r="K137" s="17">
        <v>159.30199999999999</v>
      </c>
    </row>
    <row r="138" spans="1:11" x14ac:dyDescent="0.3">
      <c r="A138" s="6">
        <v>45720</v>
      </c>
      <c r="B138" s="4" t="s">
        <v>14</v>
      </c>
      <c r="C138" s="20" t="str">
        <f t="shared" si="6"/>
        <v>04.03.2025_VORuhSc</v>
      </c>
      <c r="D138" s="9">
        <v>0</v>
      </c>
      <c r="E138" s="10">
        <v>7.4752335843744043E-3</v>
      </c>
      <c r="F138" s="9">
        <v>0.43510660228937237</v>
      </c>
      <c r="G138" s="9">
        <v>6.3190887666928555E-2</v>
      </c>
      <c r="H138" s="18">
        <v>2.109</v>
      </c>
      <c r="I138" s="12">
        <f t="shared" si="5"/>
        <v>0.83345422136187119</v>
      </c>
      <c r="J138" s="17">
        <v>26.425000000000001</v>
      </c>
      <c r="K138" s="17">
        <v>139.55199999999999</v>
      </c>
    </row>
    <row r="139" spans="1:11" x14ac:dyDescent="0.3">
      <c r="A139" s="6">
        <v>45720</v>
      </c>
      <c r="B139" s="4" t="s">
        <v>26</v>
      </c>
      <c r="C139" s="20" t="str">
        <f t="shared" si="6"/>
        <v>04.03.2025_WITob</v>
      </c>
      <c r="D139" s="9">
        <v>-3.1353027226479579E-3</v>
      </c>
      <c r="E139" s="10">
        <v>7.2695525707799609E-3</v>
      </c>
      <c r="F139" s="9">
        <v>0.26275918190202358</v>
      </c>
      <c r="G139" s="9">
        <v>6.1649646504320773E-3</v>
      </c>
      <c r="H139" s="18">
        <v>0.77900000000000003</v>
      </c>
      <c r="I139" s="12">
        <f t="shared" si="5"/>
        <v>0.38185953064292633</v>
      </c>
      <c r="J139" s="17">
        <v>49</v>
      </c>
      <c r="K139" s="17">
        <v>213.499</v>
      </c>
    </row>
    <row r="140" spans="1:11" x14ac:dyDescent="0.3">
      <c r="A140" s="6">
        <v>45733</v>
      </c>
      <c r="B140" s="4" t="s">
        <v>16</v>
      </c>
      <c r="C140" s="20" t="str">
        <f t="shared" si="6"/>
        <v>17.03.2025_BOYkl</v>
      </c>
      <c r="D140" s="9">
        <v>9.8336920367834077E-2</v>
      </c>
      <c r="E140" s="10">
        <v>2.6790006370850328E-2</v>
      </c>
      <c r="F140" s="9">
        <v>9.5388167078277672E-2</v>
      </c>
      <c r="G140" s="9">
        <v>7.7405004633920291E-2</v>
      </c>
      <c r="H140" s="17">
        <v>14.494</v>
      </c>
      <c r="I140" s="12">
        <f t="shared" si="5"/>
        <v>3.3713936915154088</v>
      </c>
      <c r="J140" s="17">
        <v>16.605</v>
      </c>
      <c r="K140" s="17">
        <v>39.255000000000003</v>
      </c>
    </row>
    <row r="141" spans="1:11" x14ac:dyDescent="0.3">
      <c r="A141" s="6">
        <v>45733</v>
      </c>
      <c r="B141" s="4" t="s">
        <v>32</v>
      </c>
      <c r="C141" s="20" t="str">
        <f t="shared" si="6"/>
        <v>17.03.2025_BOYohB224</v>
      </c>
      <c r="D141" s="9">
        <v>7.7264723146155359E-2</v>
      </c>
      <c r="E141" s="10">
        <v>1.2470188147621616E-2</v>
      </c>
      <c r="F141" s="9">
        <v>0.30979276280468154</v>
      </c>
      <c r="G141" s="9">
        <v>5.4828544949026857E-2</v>
      </c>
      <c r="H141" s="18">
        <v>4.2220000000000004</v>
      </c>
      <c r="I141" s="12">
        <f t="shared" si="5"/>
        <v>1.2108666728999384</v>
      </c>
      <c r="J141" s="17">
        <v>26.693999999999999</v>
      </c>
      <c r="K141" s="17">
        <v>150.68700000000001</v>
      </c>
    </row>
    <row r="142" spans="1:11" x14ac:dyDescent="0.3">
      <c r="A142" s="6">
        <v>45733</v>
      </c>
      <c r="B142" s="4" t="s">
        <v>19</v>
      </c>
      <c r="C142" s="20" t="str">
        <f t="shared" si="6"/>
        <v>17.03.2025_BOYohBr</v>
      </c>
      <c r="D142" s="9">
        <v>0</v>
      </c>
      <c r="E142" s="10">
        <v>1.848295743142887E-2</v>
      </c>
      <c r="F142" s="9">
        <v>8.0511113497261921E-2</v>
      </c>
      <c r="G142" s="9">
        <v>2.0426320667284531E-2</v>
      </c>
      <c r="H142" s="18">
        <v>8.4710000000000001</v>
      </c>
      <c r="I142" s="12">
        <f t="shared" si="5"/>
        <v>1.9820796378466434</v>
      </c>
      <c r="J142" s="17">
        <v>12.923999999999999</v>
      </c>
      <c r="K142" s="17">
        <v>64.412000000000006</v>
      </c>
    </row>
    <row r="143" spans="1:11" x14ac:dyDescent="0.3">
      <c r="A143" s="6">
        <v>45733</v>
      </c>
      <c r="B143" s="4" t="s">
        <v>23</v>
      </c>
      <c r="C143" s="20" t="str">
        <f t="shared" si="6"/>
        <v>17.03.2025_BOYohKi</v>
      </c>
      <c r="D143" s="9">
        <v>0</v>
      </c>
      <c r="E143" s="10">
        <v>1.2415644829451282E-2</v>
      </c>
      <c r="F143" s="9">
        <v>0.26953720605605064</v>
      </c>
      <c r="G143" s="9">
        <v>2.6876737720111229E-2</v>
      </c>
      <c r="H143" s="18">
        <v>5.1369999999999996</v>
      </c>
      <c r="I143" s="12">
        <f t="shared" si="5"/>
        <v>1.3777697579293506</v>
      </c>
      <c r="J143" s="17">
        <v>22.994</v>
      </c>
      <c r="K143" s="17">
        <v>106.081</v>
      </c>
    </row>
    <row r="144" spans="1:11" x14ac:dyDescent="0.3">
      <c r="A144" s="6">
        <v>45733</v>
      </c>
      <c r="B144" s="4" t="s">
        <v>21</v>
      </c>
      <c r="C144" s="20" t="str">
        <f t="shared" si="6"/>
        <v>17.03.2025_BOYohSp</v>
      </c>
      <c r="D144" s="9">
        <v>1.7560164351399202E-3</v>
      </c>
      <c r="E144" s="10">
        <v>1.5831080551360371E-2</v>
      </c>
      <c r="F144" s="9">
        <v>0.14176956941909158</v>
      </c>
      <c r="G144" s="9">
        <v>4.3002780352177951E-2</v>
      </c>
      <c r="H144" s="18">
        <v>6.5279999999999996</v>
      </c>
      <c r="I144" s="12">
        <f t="shared" si="5"/>
        <v>1.597654209436451</v>
      </c>
      <c r="J144" s="17">
        <v>20.632999999999999</v>
      </c>
      <c r="K144" s="17">
        <v>78.070999999999998</v>
      </c>
    </row>
    <row r="145" spans="1:11" x14ac:dyDescent="0.3">
      <c r="A145" s="6">
        <v>45733</v>
      </c>
      <c r="B145" s="4" t="s">
        <v>45</v>
      </c>
      <c r="C145" s="20" t="str">
        <f t="shared" si="6"/>
        <v>17.03.2025_BOYuhHa</v>
      </c>
      <c r="D145" s="9">
        <v>3.3364312267658007E-2</v>
      </c>
      <c r="E145" s="10">
        <v>1.1748438745312869E-2</v>
      </c>
      <c r="F145" s="9">
        <v>0.28703962203371625</v>
      </c>
      <c r="G145" s="9">
        <v>2.4726598702502323E-2</v>
      </c>
      <c r="H145" s="18">
        <v>4.4980000000000002</v>
      </c>
      <c r="I145" s="12">
        <f t="shared" si="5"/>
        <v>1.2463746690879371</v>
      </c>
      <c r="J145" s="17">
        <v>30.076000000000001</v>
      </c>
      <c r="K145" s="17">
        <v>174.39</v>
      </c>
    </row>
    <row r="146" spans="1:11" x14ac:dyDescent="0.3">
      <c r="A146" s="6">
        <v>45733</v>
      </c>
      <c r="B146" s="4" t="s">
        <v>20</v>
      </c>
      <c r="C146" s="20" t="str">
        <f t="shared" si="6"/>
        <v>17.03.2025_BOYuhSp</v>
      </c>
      <c r="D146" s="9">
        <v>0</v>
      </c>
      <c r="E146" s="10">
        <v>1.6138715490837147E-2</v>
      </c>
      <c r="F146" s="9">
        <v>0.26253623966498446</v>
      </c>
      <c r="G146" s="9">
        <v>4.1927710843373482E-2</v>
      </c>
      <c r="H146" s="18">
        <v>6.5469999999999997</v>
      </c>
      <c r="I146" s="12">
        <f t="shared" si="5"/>
        <v>1.6953925463037287</v>
      </c>
      <c r="J146" s="17">
        <v>21.562000000000001</v>
      </c>
      <c r="K146" s="17">
        <v>83.046999999999997</v>
      </c>
    </row>
    <row r="147" spans="1:11" x14ac:dyDescent="0.3">
      <c r="A147" s="6">
        <v>45733</v>
      </c>
      <c r="B147" s="4" t="s">
        <v>17</v>
      </c>
      <c r="C147" s="20" t="str">
        <f t="shared" si="6"/>
        <v>17.03.2025_BRAob</v>
      </c>
      <c r="D147" s="9">
        <v>0</v>
      </c>
      <c r="E147" s="10">
        <v>1.3455599683176148E-2</v>
      </c>
      <c r="F147" s="9">
        <v>0.14702029421239127</v>
      </c>
      <c r="G147" s="9">
        <v>1.1825764596848929E-2</v>
      </c>
      <c r="H147" s="18">
        <v>2.4390000000000001</v>
      </c>
      <c r="I147" s="12">
        <f t="shared" si="5"/>
        <v>0.66865707228449034</v>
      </c>
      <c r="J147" s="17">
        <v>33.591000000000001</v>
      </c>
      <c r="K147" s="17">
        <v>104.955</v>
      </c>
    </row>
    <row r="148" spans="1:11" x14ac:dyDescent="0.3">
      <c r="A148" s="6">
        <v>45733</v>
      </c>
      <c r="B148" s="4" t="s">
        <v>18</v>
      </c>
      <c r="C148" s="20" t="str">
        <f t="shared" si="6"/>
        <v>17.03.2025_BRAohBo</v>
      </c>
      <c r="D148" s="9">
        <v>0</v>
      </c>
      <c r="E148" s="10">
        <v>2.7519081775325045E-2</v>
      </c>
      <c r="F148" s="9">
        <v>0.27478793084935033</v>
      </c>
      <c r="G148" s="9">
        <v>3.0101946246524555E-2</v>
      </c>
      <c r="H148" s="18">
        <v>6.4169999999999998</v>
      </c>
      <c r="I148" s="12">
        <f t="shared" si="5"/>
        <v>1.6719424079599665</v>
      </c>
      <c r="J148" s="17">
        <v>26.619</v>
      </c>
      <c r="K148" s="17">
        <v>87.983999999999995</v>
      </c>
    </row>
    <row r="149" spans="1:11" x14ac:dyDescent="0.3">
      <c r="A149" s="6">
        <v>45733</v>
      </c>
      <c r="B149" s="4" t="s">
        <v>25</v>
      </c>
      <c r="C149" s="20" t="str">
        <f t="shared" si="6"/>
        <v>17.03.2025_HAAob</v>
      </c>
      <c r="D149" s="9">
        <v>0</v>
      </c>
      <c r="E149" s="10">
        <v>9.7734708309373582E-3</v>
      </c>
      <c r="F149" s="9">
        <v>0.14351981101685812</v>
      </c>
      <c r="G149" s="9">
        <v>1.5050973123262278E-2</v>
      </c>
      <c r="H149" s="18">
        <v>3.5470000000000002</v>
      </c>
      <c r="I149" s="12">
        <f t="shared" si="5"/>
        <v>0.91718485682385742</v>
      </c>
      <c r="J149" s="17">
        <v>18.866</v>
      </c>
      <c r="K149" s="17">
        <v>108.706</v>
      </c>
    </row>
    <row r="150" spans="1:11" x14ac:dyDescent="0.3">
      <c r="A150" s="6">
        <v>45733</v>
      </c>
      <c r="B150" s="4" t="s">
        <v>24</v>
      </c>
      <c r="C150" s="20" t="str">
        <f t="shared" si="6"/>
        <v>17.03.2025_HAAun</v>
      </c>
      <c r="D150" s="9">
        <v>0</v>
      </c>
      <c r="E150" s="10">
        <v>1.4170367003572654E-2</v>
      </c>
      <c r="F150" s="9">
        <v>0.22490604531300326</v>
      </c>
      <c r="G150" s="9">
        <v>2.1501390176088841E-3</v>
      </c>
      <c r="H150" s="18">
        <v>2.6459999999999999</v>
      </c>
      <c r="I150" s="12">
        <f t="shared" si="5"/>
        <v>0.77294392494900488</v>
      </c>
      <c r="J150" s="17">
        <v>21.463000000000001</v>
      </c>
      <c r="K150" s="17">
        <v>173.91499999999999</v>
      </c>
    </row>
    <row r="151" spans="1:11" x14ac:dyDescent="0.3">
      <c r="A151" s="6">
        <v>45733</v>
      </c>
      <c r="B151" s="4" t="s">
        <v>12</v>
      </c>
      <c r="C151" s="20" t="str">
        <f t="shared" si="6"/>
        <v>17.03.2025_KIRob</v>
      </c>
      <c r="D151" s="9">
        <v>0</v>
      </c>
      <c r="E151" s="10">
        <v>8.2950449886956372E-3</v>
      </c>
      <c r="F151" s="9">
        <v>0.78935896059271982</v>
      </c>
      <c r="G151" s="9">
        <v>9.353104726598703E-2</v>
      </c>
      <c r="H151" s="18">
        <v>4.4630000000000001</v>
      </c>
      <c r="I151" s="12">
        <f t="shared" si="5"/>
        <v>1.6494626766507707</v>
      </c>
      <c r="J151" s="17">
        <v>54.567999999999998</v>
      </c>
      <c r="K151" s="17">
        <v>144.03</v>
      </c>
    </row>
    <row r="152" spans="1:11" x14ac:dyDescent="0.3">
      <c r="A152" s="6">
        <v>45733</v>
      </c>
      <c r="B152" s="4" t="s">
        <v>11</v>
      </c>
      <c r="C152" s="20" t="str">
        <f t="shared" si="6"/>
        <v>17.03.2025_KIRun</v>
      </c>
      <c r="D152" s="9">
        <v>5.6192525924476641E-2</v>
      </c>
      <c r="E152" s="10">
        <v>1.1040643013800672E-2</v>
      </c>
      <c r="F152" s="9">
        <v>0.36054976913991199</v>
      </c>
      <c r="G152" s="9">
        <v>8.170528266913811E-2</v>
      </c>
      <c r="H152" s="18">
        <v>3.46</v>
      </c>
      <c r="I152" s="12">
        <f t="shared" si="5"/>
        <v>1.0863486635480692</v>
      </c>
      <c r="J152" s="17">
        <v>44.866999999999997</v>
      </c>
      <c r="K152" s="17">
        <v>133.57400000000001</v>
      </c>
    </row>
    <row r="153" spans="1:11" x14ac:dyDescent="0.3">
      <c r="A153" s="6">
        <v>45733</v>
      </c>
      <c r="B153" s="4" t="s">
        <v>43</v>
      </c>
      <c r="C153" s="20" t="str">
        <f t="shared" si="6"/>
        <v>17.03.2025_LIEohBo</v>
      </c>
      <c r="D153" s="9">
        <v>3.1608295832518091E-2</v>
      </c>
      <c r="E153" s="10">
        <v>2.0398658197358806E-2</v>
      </c>
      <c r="F153" s="9">
        <v>6.0383335122946434E-2</v>
      </c>
      <c r="G153" s="9">
        <v>3.2252085264133485E-3</v>
      </c>
      <c r="H153" s="17">
        <v>10.050000000000001</v>
      </c>
      <c r="I153" s="12">
        <f t="shared" si="5"/>
        <v>2.3178624706254833</v>
      </c>
      <c r="J153" s="17">
        <v>14.555</v>
      </c>
      <c r="K153" s="17">
        <v>81.006</v>
      </c>
    </row>
    <row r="154" spans="1:11" x14ac:dyDescent="0.3">
      <c r="A154" s="6">
        <v>45733</v>
      </c>
      <c r="B154" s="4" t="s">
        <v>33</v>
      </c>
      <c r="C154" s="20" t="str">
        <f t="shared" si="6"/>
        <v>17.03.2025_NATohBo</v>
      </c>
      <c r="D154" s="9">
        <v>4.0388378008217582E-2</v>
      </c>
      <c r="E154" s="10">
        <v>1.2726697876306273E-2</v>
      </c>
      <c r="F154" s="9">
        <v>0.37805218511757754</v>
      </c>
      <c r="G154" s="9">
        <v>1.3975903614457835E-2</v>
      </c>
      <c r="H154" s="18">
        <v>2.2749999999999999</v>
      </c>
      <c r="I154" s="12">
        <f t="shared" si="5"/>
        <v>0.81166295507736941</v>
      </c>
      <c r="J154" s="17">
        <v>63.295999999999999</v>
      </c>
      <c r="K154" s="17">
        <v>367.62200000000001</v>
      </c>
    </row>
    <row r="155" spans="1:11" x14ac:dyDescent="0.3">
      <c r="A155" s="6">
        <v>45733</v>
      </c>
      <c r="B155" s="4" t="s">
        <v>22</v>
      </c>
      <c r="C155" s="20" t="str">
        <f t="shared" si="6"/>
        <v>17.03.2025_QUAohBo</v>
      </c>
      <c r="D155" s="9">
        <v>5.6192525924476606E-2</v>
      </c>
      <c r="E155" s="10">
        <v>1.2901993947406092E-2</v>
      </c>
      <c r="F155" s="9">
        <v>0.30366691721249867</v>
      </c>
      <c r="G155" s="9">
        <v>5.697868396663576E-2</v>
      </c>
      <c r="H155" s="18">
        <v>0.88</v>
      </c>
      <c r="I155" s="12">
        <f t="shared" si="5"/>
        <v>0.45190708487997533</v>
      </c>
      <c r="J155" s="17">
        <v>31.774000000000001</v>
      </c>
      <c r="K155" s="17">
        <v>94.980999999999995</v>
      </c>
    </row>
    <row r="156" spans="1:11" x14ac:dyDescent="0.3">
      <c r="A156" s="6">
        <v>45733</v>
      </c>
      <c r="B156" s="4" t="s">
        <v>47</v>
      </c>
      <c r="C156" s="20" t="str">
        <f t="shared" si="6"/>
        <v>17.03.2025_ROTB</v>
      </c>
      <c r="D156" s="9">
        <v>4.5656427313637268E-2</v>
      </c>
      <c r="E156" s="10">
        <v>9.2747058967085488E-3</v>
      </c>
      <c r="F156" s="9">
        <v>0.12339203264254264</v>
      </c>
      <c r="G156" s="9">
        <v>2.902687673772009E-2</v>
      </c>
      <c r="H156" s="18">
        <v>7.2670000000000003</v>
      </c>
      <c r="I156" s="12">
        <f t="shared" si="5"/>
        <v>1.7460472020494067</v>
      </c>
      <c r="J156" s="17">
        <v>48.991</v>
      </c>
      <c r="K156" s="17">
        <v>216.578</v>
      </c>
    </row>
    <row r="157" spans="1:11" x14ac:dyDescent="0.3">
      <c r="A157" s="6">
        <v>45733</v>
      </c>
      <c r="B157" s="4" t="s">
        <v>13</v>
      </c>
      <c r="C157" s="20" t="str">
        <f t="shared" si="6"/>
        <v>17.03.2025_SCHohVo</v>
      </c>
      <c r="D157" s="9">
        <v>0</v>
      </c>
      <c r="E157" s="10">
        <v>9.8015080343567141E-3</v>
      </c>
      <c r="F157" s="9">
        <v>0.10676473746376035</v>
      </c>
      <c r="G157" s="9">
        <v>3.1177015755328996E-2</v>
      </c>
      <c r="H157" s="18">
        <v>2.8839999999999999</v>
      </c>
      <c r="I157" s="12">
        <f t="shared" si="5"/>
        <v>0.74380267343994511</v>
      </c>
      <c r="J157" s="17">
        <v>18.05</v>
      </c>
      <c r="K157" s="17">
        <v>82.084000000000003</v>
      </c>
    </row>
    <row r="158" spans="1:11" x14ac:dyDescent="0.3">
      <c r="A158" s="6">
        <v>45733</v>
      </c>
      <c r="B158" s="4" t="s">
        <v>50</v>
      </c>
      <c r="C158" s="20" t="str">
        <f t="shared" si="6"/>
        <v>17.03.2025_SCHW</v>
      </c>
      <c r="D158" s="9">
        <v>5.7948542359616488E-2</v>
      </c>
      <c r="E158" s="10">
        <v>1.531572174743762E-2</v>
      </c>
      <c r="F158" s="9">
        <v>0.11026522065929345</v>
      </c>
      <c r="G158" s="9">
        <v>8.6005560704355815E-3</v>
      </c>
      <c r="H158" s="18">
        <v>1.8380000000000001</v>
      </c>
      <c r="I158" s="12">
        <f t="shared" si="5"/>
        <v>0.50338734048537892</v>
      </c>
      <c r="J158" s="17">
        <v>15.260999999999999</v>
      </c>
      <c r="K158" s="17">
        <v>233.15299999999999</v>
      </c>
    </row>
    <row r="159" spans="1:11" x14ac:dyDescent="0.3">
      <c r="A159" s="6">
        <v>45733</v>
      </c>
      <c r="B159" s="4" t="s">
        <v>51</v>
      </c>
      <c r="C159" s="20" t="str">
        <f t="shared" si="6"/>
        <v>17.03.2025_SPE</v>
      </c>
      <c r="D159" s="9">
        <v>8.9556838192134613E-2</v>
      </c>
      <c r="E159" s="10">
        <v>1.6059607980852299E-2</v>
      </c>
      <c r="F159" s="9">
        <v>0.29579083002254908</v>
      </c>
      <c r="G159" s="9">
        <v>4.8378127896200183E-2</v>
      </c>
      <c r="H159" s="18">
        <v>2.9969999999999999</v>
      </c>
      <c r="I159" s="12">
        <f t="shared" si="5"/>
        <v>0.92133973264220725</v>
      </c>
      <c r="J159" s="17">
        <v>22.47</v>
      </c>
      <c r="K159" s="17">
        <v>113.21299999999999</v>
      </c>
    </row>
    <row r="160" spans="1:11" x14ac:dyDescent="0.3">
      <c r="A160" s="6">
        <v>45733</v>
      </c>
      <c r="B160" s="4" t="s">
        <v>15</v>
      </c>
      <c r="C160" s="20" t="str">
        <f t="shared" si="6"/>
        <v>17.03.2025_VORohBo</v>
      </c>
      <c r="D160" s="9">
        <v>3.6876345137937777E-2</v>
      </c>
      <c r="E160" s="10">
        <v>7.3381005247001238E-3</v>
      </c>
      <c r="F160" s="9">
        <v>0.51282078814560295</v>
      </c>
      <c r="G160" s="9">
        <v>2.7951807228915649E-2</v>
      </c>
      <c r="H160" s="18">
        <v>1.5760000000000001</v>
      </c>
      <c r="I160" s="12">
        <f t="shared" si="5"/>
        <v>0.76268126149802251</v>
      </c>
      <c r="J160" s="17">
        <v>23.986999999999998</v>
      </c>
      <c r="K160" s="17">
        <v>166.21</v>
      </c>
    </row>
    <row r="161" spans="1:11" x14ac:dyDescent="0.3">
      <c r="A161" s="6">
        <v>45733</v>
      </c>
      <c r="B161" s="4" t="s">
        <v>14</v>
      </c>
      <c r="C161" s="20" t="str">
        <f t="shared" si="6"/>
        <v>17.03.2025_VORuhSc</v>
      </c>
      <c r="D161" s="9">
        <v>-1.7560164351398838E-3</v>
      </c>
      <c r="E161" s="10">
        <v>8.3187263354463272E-3</v>
      </c>
      <c r="F161" s="9">
        <v>0.32204445398904752</v>
      </c>
      <c r="G161" s="9">
        <v>1.8276181649675625E-2</v>
      </c>
      <c r="H161" s="18">
        <v>1.589</v>
      </c>
      <c r="I161" s="12">
        <f t="shared" si="5"/>
        <v>0.61453591158119925</v>
      </c>
      <c r="J161" s="17">
        <v>21.983000000000001</v>
      </c>
      <c r="K161" s="17">
        <v>161.60300000000001</v>
      </c>
    </row>
    <row r="162" spans="1:11" x14ac:dyDescent="0.3">
      <c r="A162" s="6">
        <v>45733</v>
      </c>
      <c r="B162" s="4" t="s">
        <v>26</v>
      </c>
      <c r="C162" s="20" t="str">
        <f t="shared" si="6"/>
        <v>17.03.2025_WITob</v>
      </c>
      <c r="D162" s="9">
        <v>3.6554435210859346E-17</v>
      </c>
      <c r="E162" s="10">
        <v>7.9902071730268247E-3</v>
      </c>
      <c r="F162" s="9">
        <v>0.19515193815097176</v>
      </c>
      <c r="G162" s="9">
        <v>4.3002780352177907E-3</v>
      </c>
      <c r="H162" s="18">
        <v>0.51900000000000002</v>
      </c>
      <c r="I162" s="12">
        <f t="shared" si="5"/>
        <v>0.27006927810267012</v>
      </c>
      <c r="J162" s="17">
        <v>51.082000000000001</v>
      </c>
      <c r="K162" s="17">
        <v>217.63900000000001</v>
      </c>
    </row>
  </sheetData>
  <autoFilter ref="A1:L162"/>
  <sortState ref="B3:K23">
    <sortCondition ref="B2"/>
  </sortState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"/>
  <sheetViews>
    <sheetView zoomScaleNormal="100" workbookViewId="0">
      <pane xSplit="3" ySplit="1" topLeftCell="D130" activePane="bottomRight" state="frozen"/>
      <selection activeCell="D2" sqref="D2"/>
      <selection pane="topRight" activeCell="D2" sqref="D2"/>
      <selection pane="bottomLeft" activeCell="D2" sqref="D2"/>
      <selection pane="bottomRight" activeCell="A163" sqref="A163:XFD266"/>
    </sheetView>
  </sheetViews>
  <sheetFormatPr baseColWidth="10" defaultColWidth="12" defaultRowHeight="15.6" x14ac:dyDescent="0.3"/>
  <cols>
    <col min="1" max="1" width="12.59765625" style="4" customWidth="1"/>
    <col min="2" max="2" width="11.59765625" style="4" customWidth="1"/>
    <col min="3" max="3" width="18.59765625" style="3" customWidth="1"/>
    <col min="4" max="14" width="9.59765625" style="4" customWidth="1"/>
    <col min="15" max="15" width="10.59765625" style="4" customWidth="1"/>
    <col min="16" max="16" width="13.59765625" style="4" customWidth="1"/>
    <col min="17" max="17" width="53.59765625" style="3" bestFit="1" customWidth="1"/>
    <col min="18" max="16384" width="12" style="3"/>
  </cols>
  <sheetData>
    <row r="1" spans="1:16" x14ac:dyDescent="0.3">
      <c r="A1" s="4" t="s">
        <v>9</v>
      </c>
      <c r="B1" s="4" t="s">
        <v>10</v>
      </c>
      <c r="C1" s="19" t="s">
        <v>49</v>
      </c>
      <c r="D1" s="4" t="s">
        <v>37</v>
      </c>
      <c r="E1" s="4" t="s">
        <v>42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31</v>
      </c>
      <c r="P1" s="4" t="s">
        <v>8</v>
      </c>
    </row>
    <row r="2" spans="1:16" x14ac:dyDescent="0.3">
      <c r="A2" s="6">
        <v>45659</v>
      </c>
      <c r="B2" s="4" t="s">
        <v>16</v>
      </c>
      <c r="C2" s="20" t="s">
        <v>52</v>
      </c>
      <c r="D2" s="15"/>
      <c r="E2" s="15"/>
      <c r="F2" s="15"/>
      <c r="G2" s="15"/>
      <c r="H2" s="15"/>
      <c r="I2" s="15"/>
      <c r="J2" s="8"/>
      <c r="K2" s="8"/>
      <c r="L2" s="5"/>
      <c r="M2" s="5"/>
      <c r="N2" s="15"/>
      <c r="O2" s="5"/>
    </row>
    <row r="3" spans="1:16" x14ac:dyDescent="0.3">
      <c r="A3" s="6">
        <v>45659</v>
      </c>
      <c r="B3" s="4" t="s">
        <v>32</v>
      </c>
      <c r="C3" s="20" t="s">
        <v>53</v>
      </c>
      <c r="D3" s="15"/>
      <c r="E3" s="15"/>
      <c r="F3" s="15"/>
      <c r="G3" s="15"/>
      <c r="H3" s="15"/>
      <c r="I3" s="15"/>
      <c r="J3" s="5"/>
      <c r="K3" s="5"/>
      <c r="L3" s="5"/>
      <c r="M3" s="5"/>
      <c r="N3" s="15"/>
      <c r="O3" s="5"/>
    </row>
    <row r="4" spans="1:16" x14ac:dyDescent="0.3">
      <c r="A4" s="6">
        <v>45659</v>
      </c>
      <c r="B4" s="4" t="s">
        <v>19</v>
      </c>
      <c r="C4" s="20" t="s">
        <v>54</v>
      </c>
      <c r="D4" s="15"/>
      <c r="E4" s="15"/>
      <c r="F4" s="15"/>
      <c r="G4" s="15"/>
      <c r="H4" s="15"/>
      <c r="I4" s="15"/>
      <c r="J4" s="5"/>
      <c r="K4" s="8"/>
      <c r="L4" s="5"/>
      <c r="M4" s="8"/>
      <c r="N4" s="15"/>
      <c r="O4" s="5"/>
    </row>
    <row r="5" spans="1:16" x14ac:dyDescent="0.3">
      <c r="A5" s="6">
        <v>45659</v>
      </c>
      <c r="B5" s="4" t="s">
        <v>23</v>
      </c>
      <c r="C5" s="20" t="s">
        <v>55</v>
      </c>
      <c r="D5" s="15"/>
      <c r="E5" s="15"/>
      <c r="F5" s="15"/>
      <c r="G5" s="15"/>
      <c r="H5" s="15"/>
      <c r="I5" s="15"/>
      <c r="J5" s="5"/>
      <c r="K5" s="5"/>
      <c r="L5" s="5"/>
      <c r="M5" s="8"/>
      <c r="N5" s="15"/>
      <c r="O5" s="5"/>
    </row>
    <row r="6" spans="1:16" x14ac:dyDescent="0.3">
      <c r="A6" s="6">
        <v>45659</v>
      </c>
      <c r="B6" s="4" t="s">
        <v>21</v>
      </c>
      <c r="C6" s="20" t="s">
        <v>56</v>
      </c>
      <c r="D6" s="15"/>
      <c r="E6" s="15"/>
      <c r="F6" s="15"/>
      <c r="G6" s="15"/>
      <c r="H6" s="15"/>
      <c r="I6" s="15"/>
      <c r="J6" s="5"/>
      <c r="K6" s="5"/>
      <c r="L6" s="5"/>
      <c r="M6" s="8"/>
      <c r="N6" s="15"/>
      <c r="O6" s="5"/>
    </row>
    <row r="7" spans="1:16" x14ac:dyDescent="0.3">
      <c r="A7" s="6">
        <v>45659</v>
      </c>
      <c r="B7" s="4" t="s">
        <v>45</v>
      </c>
      <c r="C7" s="20" t="s">
        <v>57</v>
      </c>
      <c r="D7" s="15"/>
      <c r="E7" s="15"/>
      <c r="F7" s="15"/>
      <c r="G7" s="15"/>
      <c r="H7" s="15"/>
      <c r="I7" s="15"/>
      <c r="J7" s="5"/>
      <c r="K7" s="5"/>
      <c r="L7" s="5"/>
      <c r="M7" s="5"/>
      <c r="N7" s="15"/>
      <c r="O7" s="5"/>
    </row>
    <row r="8" spans="1:16" x14ac:dyDescent="0.3">
      <c r="A8" s="6">
        <v>45659</v>
      </c>
      <c r="B8" s="4" t="s">
        <v>20</v>
      </c>
      <c r="C8" s="20" t="s">
        <v>58</v>
      </c>
      <c r="D8" s="15"/>
      <c r="E8" s="15"/>
      <c r="F8" s="15"/>
      <c r="G8" s="15"/>
      <c r="H8" s="15"/>
      <c r="I8" s="15"/>
      <c r="J8" s="5"/>
      <c r="K8" s="5"/>
      <c r="L8" s="5"/>
      <c r="M8" s="8"/>
      <c r="N8" s="15"/>
      <c r="O8" s="5"/>
    </row>
    <row r="9" spans="1:16" x14ac:dyDescent="0.3">
      <c r="A9" s="6">
        <v>45659</v>
      </c>
      <c r="B9" s="4" t="s">
        <v>17</v>
      </c>
      <c r="C9" s="20" t="s">
        <v>59</v>
      </c>
      <c r="D9" s="15"/>
      <c r="E9" s="15"/>
      <c r="F9" s="15"/>
      <c r="G9" s="15"/>
      <c r="H9" s="15"/>
      <c r="I9" s="15"/>
      <c r="J9" s="5"/>
      <c r="K9" s="8"/>
      <c r="L9" s="5"/>
      <c r="M9" s="8"/>
      <c r="N9" s="15"/>
      <c r="O9" s="5"/>
    </row>
    <row r="10" spans="1:16" x14ac:dyDescent="0.3">
      <c r="A10" s="6">
        <v>45659</v>
      </c>
      <c r="B10" s="4" t="s">
        <v>18</v>
      </c>
      <c r="C10" s="20" t="s">
        <v>60</v>
      </c>
      <c r="D10" s="15"/>
      <c r="E10" s="15"/>
      <c r="F10" s="15"/>
      <c r="G10" s="15"/>
      <c r="H10" s="15"/>
      <c r="I10" s="15"/>
      <c r="J10" s="5"/>
      <c r="K10" s="8"/>
      <c r="L10" s="5"/>
      <c r="M10" s="8"/>
      <c r="N10" s="15"/>
      <c r="O10" s="5"/>
    </row>
    <row r="11" spans="1:16" x14ac:dyDescent="0.3">
      <c r="A11" s="6">
        <v>45659</v>
      </c>
      <c r="B11" s="4" t="s">
        <v>25</v>
      </c>
      <c r="C11" s="20" t="s">
        <v>61</v>
      </c>
      <c r="D11" s="15"/>
      <c r="E11" s="15"/>
      <c r="F11" s="15"/>
      <c r="G11" s="15"/>
      <c r="H11" s="15"/>
      <c r="I11" s="15"/>
      <c r="J11" s="5"/>
      <c r="K11" s="5"/>
      <c r="L11" s="5"/>
      <c r="M11" s="8"/>
      <c r="N11" s="15"/>
      <c r="O11" s="5"/>
    </row>
    <row r="12" spans="1:16" x14ac:dyDescent="0.3">
      <c r="A12" s="6">
        <v>45659</v>
      </c>
      <c r="B12" s="4" t="s">
        <v>24</v>
      </c>
      <c r="C12" s="20" t="s">
        <v>62</v>
      </c>
      <c r="D12" s="15"/>
      <c r="E12" s="15"/>
      <c r="F12" s="15"/>
      <c r="G12" s="15"/>
      <c r="H12" s="15"/>
      <c r="I12" s="15"/>
      <c r="J12" s="5"/>
      <c r="K12" s="5"/>
      <c r="L12" s="5"/>
      <c r="M12" s="5"/>
      <c r="N12" s="15"/>
      <c r="O12" s="5"/>
    </row>
    <row r="13" spans="1:16" x14ac:dyDescent="0.3">
      <c r="A13" s="6">
        <v>45659</v>
      </c>
      <c r="B13" s="4" t="s">
        <v>12</v>
      </c>
      <c r="C13" s="20" t="s">
        <v>63</v>
      </c>
      <c r="D13" s="15"/>
      <c r="E13" s="15"/>
      <c r="F13" s="15"/>
      <c r="G13" s="15"/>
      <c r="H13" s="15"/>
      <c r="I13" s="15"/>
      <c r="J13" s="5"/>
      <c r="K13" s="5"/>
      <c r="L13" s="5"/>
      <c r="M13" s="8"/>
      <c r="N13" s="15"/>
      <c r="O13" s="5"/>
    </row>
    <row r="14" spans="1:16" x14ac:dyDescent="0.3">
      <c r="A14" s="6">
        <v>45659</v>
      </c>
      <c r="B14" s="4" t="s">
        <v>11</v>
      </c>
      <c r="C14" s="20" t="s">
        <v>64</v>
      </c>
      <c r="D14" s="15"/>
      <c r="E14" s="15"/>
      <c r="F14" s="15"/>
      <c r="G14" s="15"/>
      <c r="H14" s="15"/>
      <c r="I14" s="15"/>
      <c r="J14" s="5"/>
      <c r="K14" s="5"/>
      <c r="L14" s="5"/>
      <c r="M14" s="8"/>
      <c r="N14" s="15"/>
      <c r="O14" s="5"/>
    </row>
    <row r="15" spans="1:16" x14ac:dyDescent="0.3">
      <c r="A15" s="6">
        <v>45659</v>
      </c>
      <c r="B15" s="4" t="s">
        <v>43</v>
      </c>
      <c r="C15" s="20" t="s">
        <v>65</v>
      </c>
      <c r="D15" s="15"/>
      <c r="E15" s="15"/>
      <c r="F15" s="15"/>
      <c r="G15" s="15"/>
      <c r="H15" s="15"/>
      <c r="I15" s="15"/>
      <c r="J15" s="5"/>
      <c r="K15" s="5"/>
      <c r="L15" s="5"/>
      <c r="M15" s="5"/>
      <c r="N15" s="15"/>
      <c r="O15" s="5"/>
    </row>
    <row r="16" spans="1:16" x14ac:dyDescent="0.3">
      <c r="A16" s="6">
        <v>45659</v>
      </c>
      <c r="B16" s="4" t="s">
        <v>33</v>
      </c>
      <c r="C16" s="20" t="s">
        <v>66</v>
      </c>
      <c r="D16" s="15"/>
      <c r="E16" s="15"/>
      <c r="F16" s="15"/>
      <c r="G16" s="15"/>
      <c r="H16" s="15"/>
      <c r="I16" s="15"/>
      <c r="J16" s="5"/>
      <c r="K16" s="5"/>
      <c r="L16" s="5"/>
      <c r="M16" s="5"/>
      <c r="N16" s="15"/>
      <c r="O16" s="5"/>
    </row>
    <row r="17" spans="1:15" x14ac:dyDescent="0.3">
      <c r="A17" s="6">
        <v>45659</v>
      </c>
      <c r="B17" s="4" t="s">
        <v>22</v>
      </c>
      <c r="C17" s="20" t="s">
        <v>67</v>
      </c>
      <c r="D17" s="15"/>
      <c r="E17" s="15"/>
      <c r="F17" s="15"/>
      <c r="G17" s="15"/>
      <c r="H17" s="15"/>
      <c r="I17" s="15"/>
      <c r="J17" s="5"/>
      <c r="K17" s="8"/>
      <c r="L17" s="5"/>
      <c r="M17" s="8"/>
      <c r="N17" s="15"/>
      <c r="O17" s="5"/>
    </row>
    <row r="18" spans="1:15" x14ac:dyDescent="0.3">
      <c r="A18" s="6">
        <v>45659</v>
      </c>
      <c r="B18" s="4" t="s">
        <v>47</v>
      </c>
      <c r="C18" s="20"/>
      <c r="D18" s="15"/>
      <c r="E18" s="15"/>
      <c r="F18" s="15"/>
      <c r="G18" s="15"/>
      <c r="H18" s="15"/>
      <c r="I18" s="15"/>
      <c r="J18" s="5"/>
      <c r="K18" s="8"/>
      <c r="L18" s="5"/>
      <c r="M18" s="8"/>
      <c r="N18" s="15"/>
      <c r="O18" s="5"/>
    </row>
    <row r="19" spans="1:15" x14ac:dyDescent="0.3">
      <c r="A19" s="6">
        <v>45659</v>
      </c>
      <c r="B19" s="4" t="s">
        <v>13</v>
      </c>
      <c r="C19" s="20" t="s">
        <v>68</v>
      </c>
      <c r="D19" s="15"/>
      <c r="E19" s="15"/>
      <c r="F19" s="15"/>
      <c r="G19" s="15"/>
      <c r="H19" s="15"/>
      <c r="I19" s="15"/>
      <c r="J19" s="5"/>
      <c r="K19" s="5"/>
      <c r="L19" s="5"/>
      <c r="M19" s="8"/>
      <c r="N19" s="15"/>
      <c r="O19" s="5"/>
    </row>
    <row r="20" spans="1:15" x14ac:dyDescent="0.3">
      <c r="A20" s="6">
        <v>45659</v>
      </c>
      <c r="B20" s="4" t="s">
        <v>50</v>
      </c>
      <c r="C20" s="20"/>
      <c r="D20" s="15"/>
      <c r="E20" s="15"/>
      <c r="F20" s="15"/>
      <c r="G20" s="15"/>
      <c r="H20" s="15"/>
      <c r="I20" s="15"/>
      <c r="J20" s="5"/>
      <c r="K20" s="5"/>
      <c r="L20" s="5"/>
      <c r="M20" s="8"/>
      <c r="N20" s="15"/>
      <c r="O20" s="5"/>
    </row>
    <row r="21" spans="1:15" x14ac:dyDescent="0.3">
      <c r="A21" s="6">
        <v>45659</v>
      </c>
      <c r="B21" s="4" t="s">
        <v>51</v>
      </c>
      <c r="C21" s="20"/>
      <c r="D21" s="15"/>
      <c r="E21" s="15"/>
      <c r="F21" s="15"/>
      <c r="G21" s="15"/>
      <c r="H21" s="15"/>
      <c r="I21" s="15"/>
      <c r="J21" s="5"/>
      <c r="K21" s="5"/>
      <c r="L21" s="5"/>
      <c r="M21" s="8"/>
      <c r="N21" s="15"/>
      <c r="O21" s="5"/>
    </row>
    <row r="22" spans="1:15" x14ac:dyDescent="0.3">
      <c r="A22" s="6">
        <v>45659</v>
      </c>
      <c r="B22" s="4" t="s">
        <v>15</v>
      </c>
      <c r="C22" s="20" t="s">
        <v>69</v>
      </c>
      <c r="D22" s="14"/>
      <c r="E22" s="15"/>
      <c r="F22" s="15"/>
      <c r="G22" s="15"/>
      <c r="H22" s="15"/>
      <c r="I22" s="15"/>
      <c r="J22" s="17"/>
      <c r="K22" s="18"/>
      <c r="L22" s="5"/>
      <c r="M22" s="5"/>
      <c r="N22" s="15"/>
      <c r="O22" s="17"/>
    </row>
    <row r="23" spans="1:15" x14ac:dyDescent="0.3">
      <c r="A23" s="6">
        <v>45659</v>
      </c>
      <c r="B23" s="4" t="s">
        <v>14</v>
      </c>
      <c r="C23" s="20" t="s">
        <v>70</v>
      </c>
      <c r="D23" s="14"/>
      <c r="E23" s="15"/>
      <c r="F23" s="15"/>
      <c r="G23" s="15"/>
      <c r="H23" s="15"/>
      <c r="I23" s="15"/>
      <c r="J23" s="17"/>
      <c r="K23" s="17"/>
      <c r="L23" s="5"/>
      <c r="M23" s="8"/>
      <c r="N23" s="15"/>
      <c r="O23" s="17"/>
    </row>
    <row r="24" spans="1:15" x14ac:dyDescent="0.3">
      <c r="A24" s="6">
        <v>45659</v>
      </c>
      <c r="B24" s="4" t="s">
        <v>26</v>
      </c>
      <c r="C24" s="20" t="s">
        <v>71</v>
      </c>
      <c r="D24" s="14"/>
      <c r="E24" s="15"/>
      <c r="F24" s="15"/>
      <c r="G24" s="15"/>
      <c r="H24" s="15"/>
      <c r="I24" s="15"/>
      <c r="J24" s="17"/>
      <c r="K24" s="17"/>
      <c r="L24" s="5"/>
      <c r="M24" s="8"/>
      <c r="N24" s="15"/>
      <c r="O24" s="17"/>
    </row>
    <row r="25" spans="1:15" x14ac:dyDescent="0.3">
      <c r="A25" s="6">
        <v>45322</v>
      </c>
      <c r="B25" s="4" t="s">
        <v>16</v>
      </c>
      <c r="C25" s="20" t="s">
        <v>72</v>
      </c>
      <c r="D25" s="14"/>
      <c r="E25" s="15"/>
      <c r="F25" s="15"/>
      <c r="G25" s="15"/>
      <c r="H25" s="15"/>
      <c r="I25" s="15"/>
      <c r="J25" s="17"/>
      <c r="K25" s="17"/>
      <c r="L25" s="5"/>
      <c r="M25" s="8"/>
      <c r="N25" s="15"/>
      <c r="O25" s="17"/>
    </row>
    <row r="26" spans="1:15" x14ac:dyDescent="0.3">
      <c r="A26" s="6">
        <v>45322</v>
      </c>
      <c r="B26" s="4" t="s">
        <v>32</v>
      </c>
      <c r="C26" s="20" t="s">
        <v>73</v>
      </c>
      <c r="D26" s="14"/>
      <c r="E26" s="15"/>
      <c r="F26" s="15"/>
      <c r="G26" s="15"/>
      <c r="H26" s="15"/>
      <c r="I26" s="15"/>
      <c r="J26" s="17"/>
      <c r="K26" s="17"/>
      <c r="L26" s="5"/>
      <c r="M26" s="8"/>
      <c r="N26" s="15"/>
      <c r="O26" s="17"/>
    </row>
    <row r="27" spans="1:15" x14ac:dyDescent="0.3">
      <c r="A27" s="6">
        <v>45322</v>
      </c>
      <c r="B27" s="4" t="s">
        <v>19</v>
      </c>
      <c r="C27" s="20" t="s">
        <v>74</v>
      </c>
      <c r="D27" s="14"/>
      <c r="E27" s="15"/>
      <c r="F27" s="15"/>
      <c r="G27" s="15"/>
      <c r="H27" s="15"/>
      <c r="I27" s="15"/>
      <c r="J27" s="17"/>
      <c r="K27" s="17"/>
      <c r="L27" s="5"/>
      <c r="M27" s="8"/>
      <c r="N27" s="15"/>
      <c r="O27" s="17"/>
    </row>
    <row r="28" spans="1:15" x14ac:dyDescent="0.3">
      <c r="A28" s="6">
        <v>45322</v>
      </c>
      <c r="B28" s="4" t="s">
        <v>23</v>
      </c>
      <c r="C28" s="20" t="s">
        <v>75</v>
      </c>
      <c r="D28" s="14"/>
      <c r="E28" s="15"/>
      <c r="F28" s="15"/>
      <c r="G28" s="15"/>
      <c r="H28" s="15"/>
      <c r="I28" s="15"/>
      <c r="J28" s="17"/>
      <c r="K28" s="17"/>
      <c r="L28" s="5"/>
      <c r="M28" s="8"/>
      <c r="N28" s="15"/>
      <c r="O28" s="17"/>
    </row>
    <row r="29" spans="1:15" x14ac:dyDescent="0.3">
      <c r="A29" s="6">
        <v>45322</v>
      </c>
      <c r="B29" s="4" t="s">
        <v>21</v>
      </c>
      <c r="C29" s="20" t="s">
        <v>76</v>
      </c>
      <c r="D29" s="14"/>
      <c r="E29" s="15"/>
      <c r="F29" s="15"/>
      <c r="G29" s="15"/>
      <c r="H29" s="15"/>
      <c r="I29" s="15"/>
      <c r="J29" s="17"/>
      <c r="K29" s="18"/>
      <c r="L29" s="5"/>
      <c r="M29" s="8"/>
      <c r="N29" s="15"/>
      <c r="O29" s="17"/>
    </row>
    <row r="30" spans="1:15" x14ac:dyDescent="0.3">
      <c r="A30" s="6">
        <v>45322</v>
      </c>
      <c r="B30" s="4" t="s">
        <v>45</v>
      </c>
      <c r="C30" s="20" t="s">
        <v>77</v>
      </c>
      <c r="D30" s="14"/>
      <c r="E30" s="15"/>
      <c r="F30" s="15"/>
      <c r="G30" s="15"/>
      <c r="H30" s="15"/>
      <c r="I30" s="15"/>
      <c r="J30" s="17"/>
      <c r="K30" s="17"/>
      <c r="L30" s="5"/>
      <c r="M30" s="8"/>
      <c r="N30" s="15"/>
      <c r="O30" s="17"/>
    </row>
    <row r="31" spans="1:15" x14ac:dyDescent="0.3">
      <c r="A31" s="6">
        <v>45322</v>
      </c>
      <c r="B31" s="4" t="s">
        <v>20</v>
      </c>
      <c r="C31" s="20" t="s">
        <v>78</v>
      </c>
      <c r="D31" s="14"/>
      <c r="E31" s="15"/>
      <c r="F31" s="15"/>
      <c r="G31" s="15"/>
      <c r="H31" s="15"/>
      <c r="I31" s="15"/>
      <c r="J31" s="17"/>
      <c r="K31" s="17"/>
      <c r="L31" s="5"/>
      <c r="M31" s="8"/>
      <c r="N31" s="15"/>
      <c r="O31" s="17"/>
    </row>
    <row r="32" spans="1:15" x14ac:dyDescent="0.3">
      <c r="A32" s="6">
        <v>45322</v>
      </c>
      <c r="B32" s="4" t="s">
        <v>17</v>
      </c>
      <c r="C32" s="20" t="s">
        <v>79</v>
      </c>
      <c r="D32" s="14"/>
      <c r="E32" s="15"/>
      <c r="F32" s="15"/>
      <c r="G32" s="15"/>
      <c r="H32" s="15"/>
      <c r="I32" s="15"/>
      <c r="J32" s="17"/>
      <c r="K32" s="17"/>
      <c r="L32" s="5"/>
      <c r="M32" s="5"/>
      <c r="N32" s="15"/>
      <c r="O32" s="17"/>
    </row>
    <row r="33" spans="1:15" x14ac:dyDescent="0.3">
      <c r="A33" s="6">
        <v>45322</v>
      </c>
      <c r="B33" s="4" t="s">
        <v>18</v>
      </c>
      <c r="C33" s="20" t="s">
        <v>80</v>
      </c>
      <c r="D33" s="14"/>
      <c r="E33" s="15"/>
      <c r="F33" s="15"/>
      <c r="G33" s="15"/>
      <c r="H33" s="15"/>
      <c r="I33" s="15"/>
      <c r="J33" s="17"/>
      <c r="K33" s="17"/>
      <c r="L33" s="5"/>
      <c r="M33" s="8"/>
      <c r="N33" s="15"/>
      <c r="O33" s="17"/>
    </row>
    <row r="34" spans="1:15" x14ac:dyDescent="0.3">
      <c r="A34" s="6">
        <v>45322</v>
      </c>
      <c r="B34" s="4" t="s">
        <v>25</v>
      </c>
      <c r="C34" s="20" t="s">
        <v>81</v>
      </c>
      <c r="D34" s="14"/>
      <c r="E34" s="15"/>
      <c r="F34" s="15"/>
      <c r="G34" s="15"/>
      <c r="H34" s="15"/>
      <c r="I34" s="15"/>
      <c r="J34" s="17"/>
      <c r="K34" s="17"/>
      <c r="L34" s="5"/>
      <c r="M34" s="5"/>
      <c r="N34" s="15"/>
      <c r="O34" s="17"/>
    </row>
    <row r="35" spans="1:15" x14ac:dyDescent="0.3">
      <c r="A35" s="6">
        <v>45322</v>
      </c>
      <c r="B35" s="4" t="s">
        <v>24</v>
      </c>
      <c r="C35" s="20" t="s">
        <v>82</v>
      </c>
      <c r="D35" s="14"/>
      <c r="E35" s="15"/>
      <c r="F35" s="15"/>
      <c r="G35" s="15"/>
      <c r="H35" s="15"/>
      <c r="I35" s="15"/>
      <c r="J35" s="17"/>
      <c r="K35" s="17"/>
      <c r="L35" s="5"/>
      <c r="M35" s="8"/>
      <c r="N35" s="15"/>
      <c r="O35" s="17"/>
    </row>
    <row r="36" spans="1:15" x14ac:dyDescent="0.3">
      <c r="A36" s="6">
        <v>45322</v>
      </c>
      <c r="B36" s="4" t="s">
        <v>12</v>
      </c>
      <c r="C36" s="20" t="s">
        <v>83</v>
      </c>
      <c r="D36" s="14"/>
      <c r="E36" s="15"/>
      <c r="F36" s="15"/>
      <c r="G36" s="15"/>
      <c r="H36" s="15"/>
      <c r="I36" s="15"/>
      <c r="J36" s="17"/>
      <c r="K36" s="17"/>
      <c r="L36" s="5"/>
      <c r="M36" s="5"/>
      <c r="N36" s="15"/>
      <c r="O36" s="17"/>
    </row>
    <row r="37" spans="1:15" x14ac:dyDescent="0.3">
      <c r="A37" s="6">
        <v>45322</v>
      </c>
      <c r="B37" s="4" t="s">
        <v>11</v>
      </c>
      <c r="C37" s="20" t="s">
        <v>84</v>
      </c>
      <c r="D37" s="14"/>
      <c r="E37" s="15"/>
      <c r="F37" s="15"/>
      <c r="G37" s="15"/>
      <c r="H37" s="15"/>
      <c r="I37" s="15"/>
      <c r="J37" s="17"/>
      <c r="K37" s="17"/>
      <c r="L37" s="5"/>
      <c r="M37" s="8"/>
      <c r="N37" s="15"/>
      <c r="O37" s="17"/>
    </row>
    <row r="38" spans="1:15" x14ac:dyDescent="0.3">
      <c r="A38" s="6">
        <v>45322</v>
      </c>
      <c r="B38" s="4" t="s">
        <v>43</v>
      </c>
      <c r="C38" s="20" t="s">
        <v>85</v>
      </c>
      <c r="D38" s="14"/>
      <c r="E38" s="15"/>
      <c r="F38" s="15"/>
      <c r="G38" s="15"/>
      <c r="H38" s="15"/>
      <c r="I38" s="15"/>
      <c r="J38" s="17"/>
      <c r="K38" s="18"/>
      <c r="L38" s="5"/>
      <c r="M38" s="8"/>
      <c r="N38" s="15"/>
      <c r="O38" s="17"/>
    </row>
    <row r="39" spans="1:15" x14ac:dyDescent="0.3">
      <c r="A39" s="6">
        <v>45322</v>
      </c>
      <c r="B39" s="4" t="s">
        <v>33</v>
      </c>
      <c r="C39" s="20" t="s">
        <v>86</v>
      </c>
      <c r="D39" s="14"/>
      <c r="E39" s="15"/>
      <c r="F39" s="15"/>
      <c r="G39" s="15"/>
      <c r="H39" s="15"/>
      <c r="I39" s="15"/>
      <c r="J39" s="17"/>
      <c r="K39" s="17"/>
      <c r="L39" s="5"/>
      <c r="M39" s="8"/>
      <c r="N39" s="15"/>
      <c r="O39" s="17"/>
    </row>
    <row r="40" spans="1:15" x14ac:dyDescent="0.3">
      <c r="A40" s="6">
        <v>45322</v>
      </c>
      <c r="B40" s="4" t="s">
        <v>22</v>
      </c>
      <c r="C40" s="20" t="s">
        <v>87</v>
      </c>
      <c r="D40" s="14"/>
      <c r="E40" s="15"/>
      <c r="F40" s="15"/>
      <c r="G40" s="15"/>
      <c r="H40" s="15"/>
      <c r="I40" s="15"/>
      <c r="J40" s="17"/>
      <c r="K40" s="17"/>
      <c r="L40" s="5"/>
      <c r="M40" s="8"/>
      <c r="N40" s="15"/>
      <c r="O40" s="17"/>
    </row>
    <row r="41" spans="1:15" x14ac:dyDescent="0.3">
      <c r="A41" s="6">
        <v>45322</v>
      </c>
      <c r="B41" s="4" t="s">
        <v>47</v>
      </c>
      <c r="C41" s="20" t="s">
        <v>88</v>
      </c>
      <c r="D41" s="14"/>
      <c r="E41" s="15"/>
      <c r="F41" s="15"/>
      <c r="G41" s="15"/>
      <c r="H41" s="15"/>
      <c r="I41" s="15"/>
      <c r="J41" s="17"/>
      <c r="K41" s="17"/>
      <c r="L41" s="5"/>
      <c r="M41" s="8"/>
      <c r="N41" s="15"/>
      <c r="O41" s="17"/>
    </row>
    <row r="42" spans="1:15" x14ac:dyDescent="0.3">
      <c r="A42" s="6">
        <v>45322</v>
      </c>
      <c r="B42" s="4" t="s">
        <v>13</v>
      </c>
      <c r="C42" s="20" t="s">
        <v>89</v>
      </c>
      <c r="D42" s="14"/>
      <c r="E42" s="15"/>
      <c r="F42" s="15"/>
      <c r="G42" s="15"/>
      <c r="H42" s="15"/>
      <c r="I42" s="15"/>
      <c r="J42" s="17"/>
      <c r="K42" s="18"/>
      <c r="L42" s="17"/>
      <c r="M42" s="17"/>
      <c r="N42" s="15"/>
      <c r="O42" s="5"/>
    </row>
    <row r="43" spans="1:15" x14ac:dyDescent="0.3">
      <c r="A43" s="6">
        <v>45322</v>
      </c>
      <c r="B43" s="4" t="s">
        <v>50</v>
      </c>
      <c r="C43" s="20" t="s">
        <v>90</v>
      </c>
      <c r="D43" s="14"/>
      <c r="E43" s="15"/>
      <c r="F43" s="15"/>
      <c r="G43" s="15"/>
      <c r="H43" s="15"/>
      <c r="I43" s="15"/>
      <c r="J43" s="17"/>
      <c r="K43" s="17"/>
      <c r="L43" s="17"/>
      <c r="M43" s="18"/>
      <c r="N43" s="15"/>
      <c r="O43" s="5"/>
    </row>
    <row r="44" spans="1:15" x14ac:dyDescent="0.3">
      <c r="A44" s="6">
        <v>45322</v>
      </c>
      <c r="B44" s="4" t="s">
        <v>51</v>
      </c>
      <c r="C44" s="20" t="s">
        <v>91</v>
      </c>
      <c r="D44" s="14"/>
      <c r="E44" s="15"/>
      <c r="F44" s="15"/>
      <c r="G44" s="15"/>
      <c r="H44" s="15"/>
      <c r="I44" s="15"/>
      <c r="J44" s="17"/>
      <c r="K44" s="17"/>
      <c r="L44" s="17"/>
      <c r="M44" s="18"/>
      <c r="N44" s="15"/>
      <c r="O44" s="5"/>
    </row>
    <row r="45" spans="1:15" x14ac:dyDescent="0.3">
      <c r="A45" s="6">
        <v>45338</v>
      </c>
      <c r="B45" s="4" t="s">
        <v>15</v>
      </c>
      <c r="C45" s="20" t="s">
        <v>92</v>
      </c>
      <c r="D45" s="14"/>
      <c r="E45" s="15"/>
      <c r="F45" s="15"/>
      <c r="G45" s="15"/>
      <c r="H45" s="15"/>
      <c r="I45" s="15"/>
      <c r="J45" s="17"/>
      <c r="K45" s="17"/>
      <c r="L45" s="17"/>
      <c r="M45" s="18"/>
      <c r="N45" s="15"/>
      <c r="O45" s="5"/>
    </row>
    <row r="46" spans="1:15" x14ac:dyDescent="0.3">
      <c r="A46" s="6">
        <v>45338</v>
      </c>
      <c r="B46" s="4" t="s">
        <v>14</v>
      </c>
      <c r="C46" s="20" t="s">
        <v>93</v>
      </c>
      <c r="D46" s="14"/>
      <c r="E46" s="15"/>
      <c r="F46" s="15"/>
      <c r="G46" s="15"/>
      <c r="H46" s="15"/>
      <c r="I46" s="15"/>
      <c r="J46" s="17"/>
      <c r="K46" s="17"/>
      <c r="L46" s="17"/>
      <c r="M46" s="18"/>
      <c r="N46" s="15"/>
      <c r="O46" s="5"/>
    </row>
    <row r="47" spans="1:15" x14ac:dyDescent="0.3">
      <c r="A47" s="6">
        <v>45338</v>
      </c>
      <c r="B47" s="4" t="s">
        <v>26</v>
      </c>
      <c r="C47" s="20" t="s">
        <v>94</v>
      </c>
      <c r="D47" s="14"/>
      <c r="E47" s="15"/>
      <c r="F47" s="15"/>
      <c r="G47" s="15"/>
      <c r="H47" s="15"/>
      <c r="I47" s="15"/>
      <c r="J47" s="17"/>
      <c r="K47" s="17"/>
      <c r="L47" s="17"/>
      <c r="M47" s="18"/>
      <c r="N47" s="15"/>
      <c r="O47" s="5"/>
    </row>
    <row r="48" spans="1:15" x14ac:dyDescent="0.3">
      <c r="A48" s="6">
        <v>45338</v>
      </c>
      <c r="B48" s="4" t="s">
        <v>16</v>
      </c>
      <c r="C48" s="20" t="s">
        <v>95</v>
      </c>
      <c r="D48" s="14"/>
      <c r="E48" s="15"/>
      <c r="F48" s="15"/>
      <c r="G48" s="15"/>
      <c r="H48" s="15"/>
      <c r="I48" s="15"/>
      <c r="J48" s="17"/>
      <c r="K48" s="17"/>
      <c r="L48" s="17"/>
      <c r="M48" s="18"/>
      <c r="N48" s="15"/>
      <c r="O48" s="5"/>
    </row>
    <row r="49" spans="1:15" x14ac:dyDescent="0.3">
      <c r="A49" s="6">
        <v>45338</v>
      </c>
      <c r="B49" s="4" t="s">
        <v>32</v>
      </c>
      <c r="C49" s="20" t="s">
        <v>96</v>
      </c>
      <c r="D49" s="14"/>
      <c r="E49" s="15"/>
      <c r="F49" s="15"/>
      <c r="G49" s="15"/>
      <c r="H49" s="15"/>
      <c r="I49" s="15"/>
      <c r="J49" s="17"/>
      <c r="K49" s="18"/>
      <c r="L49" s="17"/>
      <c r="M49" s="18"/>
      <c r="N49" s="15"/>
      <c r="O49" s="5"/>
    </row>
    <row r="50" spans="1:15" x14ac:dyDescent="0.3">
      <c r="A50" s="6">
        <v>45338</v>
      </c>
      <c r="B50" s="4" t="s">
        <v>19</v>
      </c>
      <c r="C50" s="20" t="s">
        <v>97</v>
      </c>
      <c r="D50" s="14"/>
      <c r="E50" s="15"/>
      <c r="F50" s="15"/>
      <c r="G50" s="15"/>
      <c r="H50" s="15"/>
      <c r="I50" s="15"/>
      <c r="J50" s="17"/>
      <c r="K50" s="17"/>
      <c r="L50" s="17"/>
      <c r="M50" s="18"/>
      <c r="N50" s="15"/>
      <c r="O50" s="5"/>
    </row>
    <row r="51" spans="1:15" x14ac:dyDescent="0.3">
      <c r="A51" s="6">
        <v>45338</v>
      </c>
      <c r="B51" s="4" t="s">
        <v>23</v>
      </c>
      <c r="C51" s="20" t="s">
        <v>98</v>
      </c>
      <c r="D51" s="14"/>
      <c r="E51" s="15"/>
      <c r="F51" s="15"/>
      <c r="G51" s="15"/>
      <c r="H51" s="15"/>
      <c r="I51" s="15"/>
      <c r="J51" s="17"/>
      <c r="K51" s="17"/>
      <c r="L51" s="17"/>
      <c r="M51" s="18"/>
      <c r="N51" s="15"/>
      <c r="O51" s="5"/>
    </row>
    <row r="52" spans="1:15" x14ac:dyDescent="0.3">
      <c r="A52" s="6">
        <v>45338</v>
      </c>
      <c r="B52" s="4" t="s">
        <v>21</v>
      </c>
      <c r="C52" s="20" t="s">
        <v>99</v>
      </c>
      <c r="D52" s="14"/>
      <c r="E52" s="15"/>
      <c r="F52" s="15"/>
      <c r="G52" s="15"/>
      <c r="H52" s="15"/>
      <c r="I52" s="15"/>
      <c r="J52" s="17"/>
      <c r="K52" s="17"/>
      <c r="L52" s="17"/>
      <c r="M52" s="18"/>
      <c r="N52" s="15"/>
      <c r="O52" s="5"/>
    </row>
    <row r="53" spans="1:15" x14ac:dyDescent="0.3">
      <c r="A53" s="6">
        <v>45338</v>
      </c>
      <c r="B53" s="4" t="s">
        <v>45</v>
      </c>
      <c r="C53" s="20" t="s">
        <v>100</v>
      </c>
      <c r="D53" s="14"/>
      <c r="E53" s="15"/>
      <c r="F53" s="15"/>
      <c r="G53" s="15"/>
      <c r="H53" s="15"/>
      <c r="I53" s="15"/>
      <c r="J53" s="17"/>
      <c r="K53" s="17"/>
      <c r="L53" s="17"/>
      <c r="M53" s="18"/>
      <c r="N53" s="15"/>
      <c r="O53" s="5"/>
    </row>
    <row r="54" spans="1:15" x14ac:dyDescent="0.3">
      <c r="A54" s="6">
        <v>45338</v>
      </c>
      <c r="B54" s="4" t="s">
        <v>20</v>
      </c>
      <c r="C54" s="20" t="s">
        <v>101</v>
      </c>
      <c r="D54" s="14"/>
      <c r="E54" s="15"/>
      <c r="F54" s="15"/>
      <c r="G54" s="15"/>
      <c r="H54" s="15"/>
      <c r="I54" s="15"/>
      <c r="J54" s="17"/>
      <c r="K54" s="17"/>
      <c r="L54" s="17"/>
      <c r="M54" s="18"/>
      <c r="N54" s="15"/>
      <c r="O54" s="5"/>
    </row>
    <row r="55" spans="1:15" x14ac:dyDescent="0.3">
      <c r="A55" s="6">
        <v>45338</v>
      </c>
      <c r="B55" s="4" t="s">
        <v>17</v>
      </c>
      <c r="C55" s="20" t="s">
        <v>102</v>
      </c>
      <c r="D55" s="14"/>
      <c r="E55" s="15"/>
      <c r="F55" s="15"/>
      <c r="G55" s="15"/>
      <c r="H55" s="15"/>
      <c r="I55" s="15"/>
      <c r="J55" s="17"/>
      <c r="K55" s="17"/>
      <c r="L55" s="17"/>
      <c r="M55" s="18"/>
      <c r="N55" s="15"/>
      <c r="O55" s="5"/>
    </row>
    <row r="56" spans="1:15" x14ac:dyDescent="0.3">
      <c r="A56" s="6">
        <v>45338</v>
      </c>
      <c r="B56" s="4" t="s">
        <v>18</v>
      </c>
      <c r="C56" s="20" t="s">
        <v>103</v>
      </c>
      <c r="D56" s="14"/>
      <c r="E56" s="15"/>
      <c r="F56" s="15"/>
      <c r="G56" s="15"/>
      <c r="H56" s="15"/>
      <c r="I56" s="15"/>
      <c r="J56" s="17"/>
      <c r="K56" s="17"/>
      <c r="L56" s="17"/>
      <c r="M56" s="17"/>
      <c r="N56" s="15"/>
      <c r="O56" s="5"/>
    </row>
    <row r="57" spans="1:15" x14ac:dyDescent="0.3">
      <c r="A57" s="6">
        <v>45338</v>
      </c>
      <c r="B57" s="4" t="s">
        <v>25</v>
      </c>
      <c r="C57" s="20" t="s">
        <v>104</v>
      </c>
      <c r="D57" s="14"/>
      <c r="E57" s="15"/>
      <c r="F57" s="15"/>
      <c r="G57" s="15"/>
      <c r="H57" s="15"/>
      <c r="I57" s="15"/>
      <c r="J57" s="17"/>
      <c r="K57" s="17"/>
      <c r="L57" s="17"/>
      <c r="M57" s="18"/>
      <c r="N57" s="15"/>
      <c r="O57" s="5"/>
    </row>
    <row r="58" spans="1:15" x14ac:dyDescent="0.3">
      <c r="A58" s="6">
        <v>45338</v>
      </c>
      <c r="B58" s="13" t="s">
        <v>24</v>
      </c>
      <c r="C58" s="20" t="s">
        <v>105</v>
      </c>
      <c r="D58" s="14"/>
      <c r="E58" s="15"/>
      <c r="F58" s="15"/>
      <c r="G58" s="15"/>
      <c r="H58" s="15"/>
      <c r="I58" s="15"/>
      <c r="J58" s="17"/>
      <c r="K58" s="17"/>
      <c r="L58" s="17"/>
      <c r="M58" s="18"/>
      <c r="N58" s="15"/>
      <c r="O58" s="5"/>
    </row>
    <row r="59" spans="1:15" x14ac:dyDescent="0.3">
      <c r="A59" s="6">
        <v>45338</v>
      </c>
      <c r="B59" s="13" t="s">
        <v>12</v>
      </c>
      <c r="C59" s="20" t="s">
        <v>106</v>
      </c>
      <c r="D59" s="14"/>
      <c r="E59" s="15"/>
      <c r="F59" s="15"/>
      <c r="G59" s="15"/>
      <c r="H59" s="15"/>
      <c r="I59" s="15"/>
      <c r="J59" s="17"/>
      <c r="K59" s="18"/>
      <c r="L59" s="17"/>
      <c r="M59" s="18"/>
      <c r="N59" s="15"/>
      <c r="O59" s="5"/>
    </row>
    <row r="60" spans="1:15" x14ac:dyDescent="0.3">
      <c r="A60" s="6">
        <v>45338</v>
      </c>
      <c r="B60" s="4" t="s">
        <v>11</v>
      </c>
      <c r="C60" s="20" t="s">
        <v>107</v>
      </c>
      <c r="D60" s="14"/>
      <c r="E60" s="15"/>
      <c r="F60" s="15"/>
      <c r="G60" s="15"/>
      <c r="H60" s="15"/>
      <c r="I60" s="15"/>
      <c r="J60" s="17"/>
      <c r="K60" s="18"/>
      <c r="L60" s="17"/>
      <c r="M60" s="18"/>
      <c r="N60" s="15"/>
      <c r="O60" s="5"/>
    </row>
    <row r="61" spans="1:15" x14ac:dyDescent="0.3">
      <c r="A61" s="6">
        <v>45338</v>
      </c>
      <c r="B61" s="4" t="s">
        <v>43</v>
      </c>
      <c r="C61" s="20" t="s">
        <v>108</v>
      </c>
      <c r="D61" s="14"/>
      <c r="E61" s="15"/>
      <c r="F61" s="15"/>
      <c r="G61" s="15"/>
      <c r="H61" s="15"/>
      <c r="I61" s="15"/>
      <c r="J61" s="17"/>
      <c r="K61" s="17"/>
      <c r="L61" s="17"/>
      <c r="M61" s="18"/>
      <c r="N61" s="15"/>
      <c r="O61" s="5"/>
    </row>
    <row r="62" spans="1:15" x14ac:dyDescent="0.3">
      <c r="A62" s="6">
        <v>45338</v>
      </c>
      <c r="B62" s="4" t="s">
        <v>33</v>
      </c>
      <c r="C62" s="20" t="s">
        <v>109</v>
      </c>
      <c r="D62" s="14"/>
      <c r="E62" s="15"/>
      <c r="F62" s="15"/>
      <c r="G62" s="15"/>
      <c r="H62" s="15"/>
      <c r="I62" s="15"/>
      <c r="J62" s="17"/>
      <c r="K62" s="17"/>
      <c r="L62" s="17"/>
      <c r="M62" s="18"/>
      <c r="N62" s="15"/>
      <c r="O62" s="5"/>
    </row>
    <row r="63" spans="1:15" x14ac:dyDescent="0.3">
      <c r="A63" s="6">
        <v>45338</v>
      </c>
      <c r="B63" s="4" t="s">
        <v>22</v>
      </c>
      <c r="C63" s="20" t="s">
        <v>110</v>
      </c>
      <c r="D63" s="14"/>
      <c r="E63" s="15"/>
      <c r="F63" s="15"/>
      <c r="G63" s="15"/>
      <c r="H63" s="15"/>
      <c r="I63" s="15"/>
      <c r="J63" s="17"/>
      <c r="K63" s="17"/>
      <c r="L63" s="17"/>
      <c r="M63" s="18"/>
      <c r="N63" s="15"/>
      <c r="O63" s="5"/>
    </row>
    <row r="64" spans="1:15" x14ac:dyDescent="0.3">
      <c r="A64" s="6">
        <v>45338</v>
      </c>
      <c r="B64" s="4" t="s">
        <v>47</v>
      </c>
      <c r="C64" s="20" t="s">
        <v>111</v>
      </c>
      <c r="D64" s="14"/>
      <c r="E64" s="15"/>
      <c r="F64" s="15"/>
      <c r="G64" s="15"/>
      <c r="H64" s="15"/>
      <c r="I64" s="15"/>
      <c r="J64" s="17"/>
      <c r="K64" s="18"/>
      <c r="L64" s="17"/>
      <c r="M64" s="18"/>
      <c r="N64" s="15"/>
      <c r="O64" s="5"/>
    </row>
    <row r="65" spans="1:15" x14ac:dyDescent="0.3">
      <c r="A65" s="6">
        <v>45348</v>
      </c>
      <c r="B65" s="4" t="s">
        <v>13</v>
      </c>
      <c r="C65" s="20" t="s">
        <v>112</v>
      </c>
      <c r="D65" s="14"/>
      <c r="E65" s="15"/>
      <c r="F65" s="15"/>
      <c r="G65" s="15"/>
      <c r="H65" s="15"/>
      <c r="I65" s="15"/>
      <c r="J65" s="17"/>
      <c r="K65" s="17"/>
      <c r="L65" s="17"/>
      <c r="M65" s="18"/>
      <c r="N65" s="15"/>
      <c r="O65" s="5"/>
    </row>
    <row r="66" spans="1:15" x14ac:dyDescent="0.3">
      <c r="A66" s="6">
        <v>45348</v>
      </c>
      <c r="B66" s="4" t="s">
        <v>50</v>
      </c>
      <c r="C66" s="20" t="s">
        <v>113</v>
      </c>
      <c r="D66" s="14"/>
      <c r="E66" s="15"/>
      <c r="F66" s="15"/>
      <c r="G66" s="15"/>
      <c r="H66" s="15"/>
      <c r="I66" s="15"/>
      <c r="J66" s="17"/>
      <c r="K66" s="18"/>
      <c r="L66" s="17"/>
      <c r="M66" s="18"/>
      <c r="N66" s="15"/>
      <c r="O66" s="5"/>
    </row>
    <row r="67" spans="1:15" x14ac:dyDescent="0.3">
      <c r="A67" s="6">
        <v>45348</v>
      </c>
      <c r="B67" s="4" t="s">
        <v>51</v>
      </c>
      <c r="C67" s="20" t="s">
        <v>114</v>
      </c>
      <c r="D67" s="14"/>
      <c r="E67" s="15"/>
      <c r="F67" s="15"/>
      <c r="G67" s="15"/>
      <c r="H67" s="15"/>
      <c r="I67" s="15"/>
      <c r="J67" s="17"/>
      <c r="K67" s="17"/>
      <c r="L67" s="17"/>
      <c r="M67" s="18"/>
      <c r="N67" s="15"/>
      <c r="O67" s="5"/>
    </row>
    <row r="68" spans="1:15" x14ac:dyDescent="0.3">
      <c r="A68" s="6">
        <v>45348</v>
      </c>
      <c r="B68" s="4" t="s">
        <v>15</v>
      </c>
      <c r="C68" s="20" t="s">
        <v>115</v>
      </c>
      <c r="D68" s="14"/>
      <c r="E68" s="15"/>
      <c r="F68" s="15"/>
      <c r="G68" s="15"/>
      <c r="H68" s="15"/>
      <c r="I68" s="15"/>
      <c r="J68" s="17"/>
      <c r="K68" s="18"/>
      <c r="L68" s="17"/>
      <c r="M68" s="18"/>
      <c r="N68" s="15"/>
      <c r="O68" s="5"/>
    </row>
    <row r="69" spans="1:15" x14ac:dyDescent="0.3">
      <c r="A69" s="6">
        <v>45348</v>
      </c>
      <c r="B69" s="4" t="s">
        <v>14</v>
      </c>
      <c r="C69" s="20" t="s">
        <v>116</v>
      </c>
      <c r="D69" s="14"/>
      <c r="E69" s="15"/>
      <c r="F69" s="15"/>
      <c r="G69" s="15"/>
      <c r="H69" s="15"/>
      <c r="I69" s="15"/>
      <c r="J69" s="17"/>
      <c r="K69" s="17"/>
      <c r="L69" s="17"/>
      <c r="M69" s="18"/>
      <c r="N69" s="15"/>
      <c r="O69" s="5"/>
    </row>
    <row r="70" spans="1:15" x14ac:dyDescent="0.3">
      <c r="A70" s="6">
        <v>45348</v>
      </c>
      <c r="B70" s="4" t="s">
        <v>26</v>
      </c>
      <c r="C70" s="20" t="s">
        <v>117</v>
      </c>
      <c r="D70" s="14"/>
      <c r="E70" s="15"/>
      <c r="F70" s="15"/>
      <c r="G70" s="15"/>
      <c r="H70" s="15"/>
      <c r="I70" s="15"/>
      <c r="J70" s="17"/>
      <c r="K70" s="17"/>
      <c r="L70" s="17"/>
      <c r="M70" s="18"/>
      <c r="N70" s="15"/>
      <c r="O70" s="5"/>
    </row>
    <row r="71" spans="1:15" x14ac:dyDescent="0.3">
      <c r="A71" s="6">
        <v>45348</v>
      </c>
      <c r="B71" s="4" t="s">
        <v>16</v>
      </c>
      <c r="C71" s="20" t="s">
        <v>118</v>
      </c>
      <c r="D71" s="14"/>
      <c r="E71" s="15"/>
      <c r="F71" s="15"/>
      <c r="G71" s="15"/>
      <c r="H71" s="15"/>
      <c r="I71" s="15"/>
      <c r="J71" s="17"/>
      <c r="K71" s="18"/>
      <c r="L71" s="17"/>
      <c r="M71" s="18"/>
      <c r="N71" s="15"/>
      <c r="O71" s="5"/>
    </row>
    <row r="72" spans="1:15" x14ac:dyDescent="0.3">
      <c r="A72" s="6">
        <v>45348</v>
      </c>
      <c r="B72" s="4" t="s">
        <v>32</v>
      </c>
      <c r="C72" s="20" t="s">
        <v>119</v>
      </c>
      <c r="D72" s="14"/>
      <c r="E72" s="15"/>
      <c r="F72" s="15"/>
      <c r="G72" s="15"/>
      <c r="H72" s="15"/>
      <c r="I72" s="15"/>
      <c r="J72" s="17"/>
      <c r="K72" s="18"/>
      <c r="L72" s="17"/>
      <c r="M72" s="18"/>
      <c r="N72" s="15"/>
      <c r="O72" s="5"/>
    </row>
    <row r="73" spans="1:15" x14ac:dyDescent="0.3">
      <c r="A73" s="6">
        <v>45348</v>
      </c>
      <c r="B73" s="4" t="s">
        <v>19</v>
      </c>
      <c r="C73" s="20" t="s">
        <v>120</v>
      </c>
      <c r="D73" s="14"/>
      <c r="E73" s="15"/>
      <c r="F73" s="15"/>
      <c r="G73" s="15"/>
      <c r="H73" s="15"/>
      <c r="I73" s="15"/>
      <c r="J73" s="17"/>
      <c r="K73" s="17"/>
      <c r="L73" s="17"/>
      <c r="M73" s="18"/>
      <c r="N73" s="15"/>
      <c r="O73" s="5"/>
    </row>
    <row r="74" spans="1:15" x14ac:dyDescent="0.3">
      <c r="A74" s="6">
        <v>45348</v>
      </c>
      <c r="B74" s="4" t="s">
        <v>23</v>
      </c>
      <c r="C74" s="20" t="s">
        <v>121</v>
      </c>
      <c r="D74" s="14"/>
      <c r="E74" s="15"/>
      <c r="F74" s="15"/>
      <c r="G74" s="15"/>
      <c r="H74" s="15"/>
      <c r="I74" s="15"/>
      <c r="J74" s="17"/>
      <c r="K74" s="17"/>
      <c r="L74" s="17"/>
      <c r="M74" s="18"/>
      <c r="N74" s="15"/>
      <c r="O74" s="5"/>
    </row>
    <row r="75" spans="1:15" x14ac:dyDescent="0.3">
      <c r="A75" s="6">
        <v>45348</v>
      </c>
      <c r="B75" s="4" t="s">
        <v>21</v>
      </c>
      <c r="C75" s="20" t="s">
        <v>122</v>
      </c>
      <c r="D75" s="14"/>
      <c r="E75" s="15"/>
      <c r="F75" s="15"/>
      <c r="G75" s="15"/>
      <c r="H75" s="15"/>
      <c r="I75" s="15"/>
      <c r="J75" s="17"/>
      <c r="K75" s="17"/>
      <c r="L75" s="17"/>
      <c r="M75" s="18"/>
      <c r="N75" s="15"/>
      <c r="O75" s="5"/>
    </row>
    <row r="76" spans="1:15" x14ac:dyDescent="0.3">
      <c r="A76" s="6">
        <v>45348</v>
      </c>
      <c r="B76" s="4" t="s">
        <v>45</v>
      </c>
      <c r="C76" s="20" t="s">
        <v>123</v>
      </c>
      <c r="D76" s="14"/>
      <c r="E76" s="15"/>
      <c r="F76" s="15"/>
      <c r="G76" s="15"/>
      <c r="H76" s="15"/>
      <c r="I76" s="15"/>
      <c r="J76" s="17"/>
      <c r="K76" s="17"/>
      <c r="L76" s="17"/>
      <c r="M76" s="18"/>
      <c r="N76" s="15"/>
      <c r="O76" s="5"/>
    </row>
    <row r="77" spans="1:15" x14ac:dyDescent="0.3">
      <c r="A77" s="6">
        <v>45348</v>
      </c>
      <c r="B77" s="4" t="s">
        <v>20</v>
      </c>
      <c r="C77" s="20" t="s">
        <v>124</v>
      </c>
      <c r="D77" s="14"/>
      <c r="E77" s="15"/>
      <c r="F77" s="15"/>
      <c r="G77" s="15"/>
      <c r="H77" s="15"/>
      <c r="I77" s="15"/>
      <c r="J77" s="17"/>
      <c r="K77" s="17"/>
      <c r="L77" s="17"/>
      <c r="M77" s="18"/>
      <c r="N77" s="15"/>
      <c r="O77" s="5"/>
    </row>
    <row r="78" spans="1:15" x14ac:dyDescent="0.3">
      <c r="A78" s="6">
        <v>45348</v>
      </c>
      <c r="B78" s="4" t="s">
        <v>17</v>
      </c>
      <c r="C78" s="20" t="s">
        <v>125</v>
      </c>
      <c r="D78" s="14"/>
      <c r="E78" s="15"/>
      <c r="F78" s="15"/>
      <c r="G78" s="15"/>
      <c r="H78" s="15"/>
      <c r="I78" s="15"/>
      <c r="J78" s="17"/>
      <c r="K78" s="17"/>
      <c r="L78" s="17"/>
      <c r="M78" s="17"/>
      <c r="N78" s="15"/>
      <c r="O78" s="5"/>
    </row>
    <row r="79" spans="1:15" x14ac:dyDescent="0.3">
      <c r="A79" s="6">
        <v>45348</v>
      </c>
      <c r="B79" s="4" t="s">
        <v>18</v>
      </c>
      <c r="C79" s="20" t="s">
        <v>126</v>
      </c>
      <c r="D79" s="14"/>
      <c r="E79" s="15"/>
      <c r="F79" s="15"/>
      <c r="G79" s="15"/>
      <c r="H79" s="15"/>
      <c r="I79" s="15"/>
      <c r="J79" s="17"/>
      <c r="K79" s="18"/>
      <c r="L79" s="17"/>
      <c r="M79" s="18"/>
      <c r="N79" s="15"/>
      <c r="O79" s="5"/>
    </row>
    <row r="80" spans="1:15" x14ac:dyDescent="0.3">
      <c r="A80" s="6">
        <v>45348</v>
      </c>
      <c r="B80" s="4" t="s">
        <v>25</v>
      </c>
      <c r="C80" s="20" t="s">
        <v>127</v>
      </c>
      <c r="D80" s="14"/>
      <c r="E80" s="15"/>
      <c r="F80" s="15"/>
      <c r="G80" s="15"/>
      <c r="H80" s="15"/>
      <c r="I80" s="15"/>
      <c r="J80" s="17"/>
      <c r="K80" s="17"/>
      <c r="L80" s="17"/>
      <c r="M80" s="18"/>
      <c r="N80" s="15"/>
      <c r="O80" s="5"/>
    </row>
    <row r="81" spans="1:15" x14ac:dyDescent="0.3">
      <c r="A81" s="6">
        <v>45348</v>
      </c>
      <c r="B81" s="4" t="s">
        <v>24</v>
      </c>
      <c r="C81" s="20" t="s">
        <v>128</v>
      </c>
      <c r="D81" s="14"/>
      <c r="E81" s="15"/>
      <c r="F81" s="15"/>
      <c r="G81" s="15"/>
      <c r="H81" s="15"/>
      <c r="I81" s="15"/>
      <c r="J81" s="17"/>
      <c r="K81" s="18"/>
      <c r="L81" s="17"/>
      <c r="M81" s="18"/>
      <c r="N81" s="15"/>
      <c r="O81" s="5"/>
    </row>
    <row r="82" spans="1:15" x14ac:dyDescent="0.3">
      <c r="A82" s="6">
        <v>45348</v>
      </c>
      <c r="B82" s="4" t="s">
        <v>12</v>
      </c>
      <c r="C82" s="20" t="s">
        <v>129</v>
      </c>
      <c r="D82" s="14"/>
      <c r="E82" s="15"/>
      <c r="F82" s="15"/>
      <c r="G82" s="15"/>
      <c r="H82" s="15"/>
      <c r="I82" s="15"/>
      <c r="J82" s="17"/>
      <c r="K82" s="17"/>
      <c r="L82" s="17"/>
      <c r="M82" s="17"/>
      <c r="N82" s="15"/>
      <c r="O82" s="5"/>
    </row>
    <row r="83" spans="1:15" x14ac:dyDescent="0.3">
      <c r="A83" s="6">
        <v>45348</v>
      </c>
      <c r="B83" s="4" t="s">
        <v>11</v>
      </c>
      <c r="C83" s="20" t="s">
        <v>130</v>
      </c>
      <c r="D83" s="14"/>
      <c r="E83" s="15"/>
      <c r="F83" s="15"/>
      <c r="G83" s="15"/>
      <c r="H83" s="15"/>
      <c r="I83" s="15"/>
      <c r="J83" s="17"/>
      <c r="K83" s="17"/>
      <c r="L83" s="17"/>
      <c r="M83" s="18"/>
      <c r="N83" s="15"/>
      <c r="O83" s="5"/>
    </row>
    <row r="84" spans="1:15" x14ac:dyDescent="0.3">
      <c r="A84" s="6">
        <v>45348</v>
      </c>
      <c r="B84" s="4" t="s">
        <v>43</v>
      </c>
      <c r="C84" s="20" t="s">
        <v>131</v>
      </c>
      <c r="D84" s="14"/>
      <c r="E84" s="15"/>
      <c r="F84" s="15"/>
      <c r="G84" s="15"/>
      <c r="H84" s="15"/>
      <c r="I84" s="15"/>
      <c r="J84" s="17"/>
      <c r="K84" s="17"/>
      <c r="L84" s="17"/>
      <c r="M84" s="18"/>
      <c r="N84" s="15"/>
      <c r="O84" s="5"/>
    </row>
    <row r="85" spans="1:15" x14ac:dyDescent="0.3">
      <c r="A85" s="6">
        <v>45363</v>
      </c>
      <c r="B85" s="4" t="s">
        <v>33</v>
      </c>
      <c r="C85" s="20" t="s">
        <v>132</v>
      </c>
      <c r="D85" s="14"/>
      <c r="E85" s="15"/>
      <c r="F85" s="15"/>
      <c r="G85" s="15"/>
      <c r="H85" s="15"/>
      <c r="I85" s="15"/>
      <c r="J85" s="17"/>
      <c r="K85" s="17"/>
      <c r="L85" s="17"/>
      <c r="M85" s="18"/>
      <c r="N85" s="15"/>
      <c r="O85" s="5"/>
    </row>
    <row r="86" spans="1:15" x14ac:dyDescent="0.3">
      <c r="A86" s="6">
        <v>45363</v>
      </c>
      <c r="B86" s="4" t="s">
        <v>22</v>
      </c>
      <c r="C86" s="20" t="s">
        <v>133</v>
      </c>
      <c r="D86" s="14"/>
      <c r="E86" s="15"/>
      <c r="F86" s="15"/>
      <c r="G86" s="15"/>
      <c r="H86" s="15"/>
      <c r="I86" s="15"/>
      <c r="J86" s="5"/>
      <c r="K86" s="8"/>
      <c r="L86" s="5"/>
      <c r="M86" s="8"/>
      <c r="N86" s="15"/>
      <c r="O86" s="5"/>
    </row>
    <row r="87" spans="1:15" x14ac:dyDescent="0.3">
      <c r="A87" s="6">
        <v>45363</v>
      </c>
      <c r="B87" s="4" t="s">
        <v>47</v>
      </c>
      <c r="C87" s="20" t="s">
        <v>134</v>
      </c>
      <c r="D87" s="14"/>
      <c r="E87" s="15"/>
      <c r="F87" s="15"/>
      <c r="G87" s="15"/>
      <c r="H87" s="15"/>
      <c r="I87" s="15"/>
      <c r="J87" s="5"/>
      <c r="K87" s="5"/>
      <c r="L87" s="5"/>
      <c r="M87" s="8"/>
      <c r="N87" s="15"/>
      <c r="O87" s="5"/>
    </row>
    <row r="88" spans="1:15" x14ac:dyDescent="0.3">
      <c r="A88" s="6">
        <v>45363</v>
      </c>
      <c r="B88" s="4" t="s">
        <v>13</v>
      </c>
      <c r="C88" s="20" t="s">
        <v>135</v>
      </c>
      <c r="D88" s="14"/>
      <c r="E88" s="15"/>
      <c r="F88" s="15"/>
      <c r="G88" s="15"/>
      <c r="H88" s="15"/>
      <c r="I88" s="15"/>
      <c r="J88" s="5"/>
      <c r="K88" s="8"/>
      <c r="L88" s="5"/>
      <c r="M88" s="8"/>
      <c r="N88" s="15"/>
      <c r="O88" s="5"/>
    </row>
    <row r="89" spans="1:15" x14ac:dyDescent="0.3">
      <c r="A89" s="6">
        <v>45363</v>
      </c>
      <c r="B89" s="4" t="s">
        <v>50</v>
      </c>
      <c r="C89" s="20" t="s">
        <v>136</v>
      </c>
      <c r="D89" s="14"/>
      <c r="E89" s="15"/>
      <c r="F89" s="15"/>
      <c r="G89" s="15"/>
      <c r="H89" s="15"/>
      <c r="I89" s="15"/>
      <c r="J89" s="5"/>
      <c r="K89" s="5"/>
      <c r="L89" s="5"/>
      <c r="M89" s="8"/>
      <c r="N89" s="15"/>
      <c r="O89" s="5"/>
    </row>
    <row r="90" spans="1:15" x14ac:dyDescent="0.3">
      <c r="A90" s="6">
        <v>45363</v>
      </c>
      <c r="B90" s="4" t="s">
        <v>51</v>
      </c>
      <c r="C90" s="20" t="s">
        <v>137</v>
      </c>
      <c r="D90" s="14"/>
      <c r="E90" s="15"/>
      <c r="F90" s="15"/>
      <c r="G90" s="15"/>
      <c r="H90" s="15"/>
      <c r="I90" s="15"/>
      <c r="J90" s="5"/>
      <c r="K90" s="8"/>
      <c r="L90" s="5"/>
      <c r="M90" s="8"/>
      <c r="N90" s="15"/>
      <c r="O90" s="5"/>
    </row>
    <row r="91" spans="1:15" x14ac:dyDescent="0.3">
      <c r="A91" s="6">
        <v>45363</v>
      </c>
      <c r="B91" s="4" t="s">
        <v>15</v>
      </c>
      <c r="C91" s="20" t="s">
        <v>138</v>
      </c>
      <c r="D91" s="14"/>
      <c r="E91" s="15"/>
      <c r="F91" s="15"/>
      <c r="G91" s="15"/>
      <c r="H91" s="15"/>
      <c r="I91" s="15"/>
      <c r="J91" s="5"/>
      <c r="K91" s="5"/>
      <c r="L91" s="5"/>
      <c r="M91" s="8"/>
      <c r="N91" s="15"/>
      <c r="O91" s="5"/>
    </row>
    <row r="92" spans="1:15" x14ac:dyDescent="0.3">
      <c r="A92" s="6">
        <v>45363</v>
      </c>
      <c r="B92" s="4" t="s">
        <v>14</v>
      </c>
      <c r="C92" s="20" t="s">
        <v>139</v>
      </c>
      <c r="D92" s="14"/>
      <c r="E92" s="15"/>
      <c r="F92" s="15"/>
      <c r="G92" s="15"/>
      <c r="H92" s="15"/>
      <c r="I92" s="15"/>
      <c r="J92" s="5"/>
      <c r="K92" s="8"/>
      <c r="L92" s="5"/>
      <c r="M92" s="8"/>
      <c r="N92" s="15"/>
      <c r="O92" s="5"/>
    </row>
    <row r="93" spans="1:15" x14ac:dyDescent="0.3">
      <c r="A93" s="6">
        <v>45363</v>
      </c>
      <c r="B93" s="4" t="s">
        <v>26</v>
      </c>
      <c r="C93" s="20" t="s">
        <v>140</v>
      </c>
      <c r="D93" s="14"/>
      <c r="E93" s="15"/>
      <c r="F93" s="15"/>
      <c r="G93" s="15"/>
      <c r="H93" s="15"/>
      <c r="I93" s="15"/>
      <c r="J93" s="5"/>
      <c r="K93" s="8"/>
      <c r="L93" s="5"/>
      <c r="M93" s="8"/>
      <c r="N93" s="15"/>
      <c r="O93" s="5"/>
    </row>
    <row r="94" spans="1:15" x14ac:dyDescent="0.3">
      <c r="A94" s="6">
        <v>45363</v>
      </c>
      <c r="B94" s="4" t="s">
        <v>16</v>
      </c>
      <c r="C94" s="20" t="s">
        <v>141</v>
      </c>
      <c r="D94" s="14"/>
      <c r="E94" s="15"/>
      <c r="F94" s="15"/>
      <c r="G94" s="15"/>
      <c r="H94" s="15"/>
      <c r="I94" s="15"/>
      <c r="J94" s="5"/>
      <c r="K94" s="8"/>
      <c r="L94" s="5"/>
      <c r="M94" s="8"/>
      <c r="N94" s="15"/>
      <c r="O94" s="5"/>
    </row>
    <row r="95" spans="1:15" x14ac:dyDescent="0.3">
      <c r="A95" s="6">
        <v>45363</v>
      </c>
      <c r="B95" s="4" t="s">
        <v>32</v>
      </c>
      <c r="C95" s="20" t="s">
        <v>142</v>
      </c>
      <c r="D95" s="14"/>
      <c r="E95" s="15"/>
      <c r="F95" s="15"/>
      <c r="G95" s="15"/>
      <c r="H95" s="15"/>
      <c r="I95" s="15"/>
      <c r="J95" s="5"/>
      <c r="K95" s="5"/>
      <c r="L95" s="5"/>
      <c r="M95" s="8"/>
      <c r="N95" s="15"/>
      <c r="O95" s="5"/>
    </row>
    <row r="96" spans="1:15" x14ac:dyDescent="0.3">
      <c r="A96" s="6">
        <v>45363</v>
      </c>
      <c r="B96" s="4" t="s">
        <v>19</v>
      </c>
      <c r="C96" s="20" t="s">
        <v>143</v>
      </c>
      <c r="D96" s="14"/>
      <c r="E96" s="15"/>
      <c r="F96" s="15"/>
      <c r="G96" s="15"/>
      <c r="H96" s="15"/>
      <c r="I96" s="15"/>
      <c r="J96" s="5"/>
      <c r="K96" s="5"/>
      <c r="L96" s="5"/>
      <c r="M96" s="8"/>
      <c r="N96" s="15"/>
      <c r="O96" s="5"/>
    </row>
    <row r="97" spans="1:15" x14ac:dyDescent="0.3">
      <c r="A97" s="6">
        <v>45363</v>
      </c>
      <c r="B97" s="4" t="s">
        <v>23</v>
      </c>
      <c r="C97" s="20" t="s">
        <v>144</v>
      </c>
      <c r="D97" s="14"/>
      <c r="E97" s="15"/>
      <c r="F97" s="15"/>
      <c r="G97" s="15"/>
      <c r="H97" s="15"/>
      <c r="I97" s="15"/>
      <c r="J97" s="5"/>
      <c r="K97" s="5"/>
      <c r="L97" s="5"/>
      <c r="M97" s="8"/>
      <c r="N97" s="15"/>
      <c r="O97" s="5"/>
    </row>
    <row r="98" spans="1:15" x14ac:dyDescent="0.3">
      <c r="A98" s="6">
        <v>45363</v>
      </c>
      <c r="B98" s="4" t="s">
        <v>21</v>
      </c>
      <c r="C98" s="20" t="s">
        <v>145</v>
      </c>
      <c r="D98" s="14"/>
      <c r="E98" s="15"/>
      <c r="F98" s="15"/>
      <c r="G98" s="15"/>
      <c r="H98" s="15"/>
      <c r="I98" s="15"/>
      <c r="J98" s="5"/>
      <c r="K98" s="5"/>
      <c r="L98" s="5"/>
      <c r="M98" s="8"/>
      <c r="N98" s="15"/>
      <c r="O98" s="5"/>
    </row>
    <row r="99" spans="1:15" x14ac:dyDescent="0.3">
      <c r="A99" s="6">
        <v>45363</v>
      </c>
      <c r="B99" s="4" t="s">
        <v>45</v>
      </c>
      <c r="C99" s="20" t="s">
        <v>146</v>
      </c>
      <c r="D99" s="14"/>
      <c r="E99" s="15"/>
      <c r="F99" s="15"/>
      <c r="G99" s="15"/>
      <c r="H99" s="15"/>
      <c r="I99" s="15"/>
      <c r="J99" s="5"/>
      <c r="K99" s="5"/>
      <c r="L99" s="5"/>
      <c r="M99" s="8"/>
      <c r="N99" s="15"/>
      <c r="O99" s="5"/>
    </row>
    <row r="100" spans="1:15" x14ac:dyDescent="0.3">
      <c r="A100" s="6">
        <v>45363</v>
      </c>
      <c r="B100" s="4" t="s">
        <v>20</v>
      </c>
      <c r="C100" s="20" t="s">
        <v>147</v>
      </c>
      <c r="D100" s="14"/>
      <c r="E100" s="15"/>
      <c r="F100" s="15"/>
      <c r="G100" s="15"/>
      <c r="H100" s="15"/>
      <c r="I100" s="15"/>
      <c r="J100" s="5"/>
      <c r="K100" s="5"/>
      <c r="L100" s="5"/>
      <c r="M100" s="5"/>
      <c r="N100" s="15"/>
      <c r="O100" s="5"/>
    </row>
    <row r="101" spans="1:15" x14ac:dyDescent="0.3">
      <c r="A101" s="6">
        <v>45363</v>
      </c>
      <c r="B101" s="4" t="s">
        <v>17</v>
      </c>
      <c r="C101" s="20" t="s">
        <v>148</v>
      </c>
      <c r="D101" s="14"/>
      <c r="E101" s="15"/>
      <c r="F101" s="15"/>
      <c r="G101" s="15"/>
      <c r="H101" s="15"/>
      <c r="I101" s="15"/>
      <c r="J101" s="5"/>
      <c r="K101" s="8"/>
      <c r="L101" s="5"/>
      <c r="M101" s="8"/>
      <c r="N101" s="15"/>
      <c r="O101" s="5"/>
    </row>
    <row r="102" spans="1:15" x14ac:dyDescent="0.3">
      <c r="A102" s="6">
        <v>45363</v>
      </c>
      <c r="B102" s="4" t="s">
        <v>18</v>
      </c>
      <c r="C102" s="20" t="s">
        <v>149</v>
      </c>
      <c r="D102" s="14"/>
      <c r="E102" s="15"/>
      <c r="F102" s="15"/>
      <c r="G102" s="15"/>
      <c r="H102" s="15"/>
      <c r="I102" s="15"/>
      <c r="J102" s="5"/>
      <c r="K102" s="5"/>
      <c r="L102" s="5"/>
      <c r="M102" s="8"/>
      <c r="N102" s="15"/>
      <c r="O102" s="5"/>
    </row>
    <row r="103" spans="1:15" x14ac:dyDescent="0.3">
      <c r="A103" s="6">
        <v>45363</v>
      </c>
      <c r="B103" s="4" t="s">
        <v>25</v>
      </c>
      <c r="C103" s="20" t="s">
        <v>150</v>
      </c>
      <c r="D103" s="14"/>
      <c r="E103" s="15"/>
      <c r="F103" s="15"/>
      <c r="G103" s="15"/>
      <c r="H103" s="15"/>
      <c r="I103" s="15"/>
      <c r="J103" s="5"/>
      <c r="K103" s="8"/>
      <c r="L103" s="5"/>
      <c r="M103" s="8"/>
      <c r="N103" s="15"/>
      <c r="O103" s="5"/>
    </row>
    <row r="104" spans="1:15" x14ac:dyDescent="0.3">
      <c r="A104" s="6">
        <v>45363</v>
      </c>
      <c r="B104" s="4" t="s">
        <v>24</v>
      </c>
      <c r="C104" s="20" t="s">
        <v>151</v>
      </c>
      <c r="D104" s="14"/>
      <c r="E104" s="15"/>
      <c r="F104" s="15"/>
      <c r="G104" s="15"/>
      <c r="H104" s="15"/>
      <c r="I104" s="15"/>
      <c r="J104" s="5"/>
      <c r="K104" s="5"/>
      <c r="L104" s="5"/>
      <c r="M104" s="5"/>
      <c r="N104" s="15"/>
      <c r="O104" s="5"/>
    </row>
    <row r="105" spans="1:15" x14ac:dyDescent="0.3">
      <c r="A105" s="6">
        <v>45363</v>
      </c>
      <c r="B105" s="4" t="s">
        <v>12</v>
      </c>
      <c r="C105" s="20" t="s">
        <v>152</v>
      </c>
      <c r="D105" s="14"/>
      <c r="E105" s="15"/>
      <c r="F105" s="15"/>
      <c r="G105" s="15"/>
      <c r="H105" s="15"/>
      <c r="I105" s="15"/>
      <c r="J105" s="5"/>
      <c r="K105" s="5"/>
      <c r="L105" s="5"/>
      <c r="M105" s="8"/>
      <c r="N105" s="15"/>
      <c r="O105" s="5"/>
    </row>
    <row r="106" spans="1:15" x14ac:dyDescent="0.3">
      <c r="A106" s="6">
        <v>45363</v>
      </c>
      <c r="B106" s="4" t="s">
        <v>11</v>
      </c>
      <c r="C106" s="20" t="s">
        <v>153</v>
      </c>
      <c r="D106" s="14"/>
      <c r="E106" s="15"/>
      <c r="F106" s="15"/>
      <c r="G106" s="15"/>
      <c r="H106" s="15"/>
      <c r="I106" s="15"/>
      <c r="J106" s="5"/>
      <c r="K106" s="5"/>
      <c r="L106" s="5"/>
      <c r="M106" s="8"/>
      <c r="N106" s="15"/>
      <c r="O106" s="5"/>
    </row>
    <row r="107" spans="1:15" x14ac:dyDescent="0.3">
      <c r="A107" s="6">
        <v>45372</v>
      </c>
      <c r="B107" s="4" t="s">
        <v>43</v>
      </c>
      <c r="C107" s="20" t="s">
        <v>154</v>
      </c>
      <c r="D107" s="14"/>
      <c r="E107" s="15"/>
      <c r="F107" s="15"/>
      <c r="G107" s="15"/>
      <c r="H107" s="15"/>
      <c r="I107" s="15"/>
      <c r="J107" s="5"/>
      <c r="K107" s="5"/>
      <c r="L107" s="5"/>
      <c r="M107" s="8"/>
      <c r="N107" s="15"/>
      <c r="O107" s="5"/>
    </row>
    <row r="108" spans="1:15" x14ac:dyDescent="0.3">
      <c r="A108" s="6">
        <v>45372</v>
      </c>
      <c r="B108" s="4" t="s">
        <v>33</v>
      </c>
      <c r="C108" s="20" t="s">
        <v>155</v>
      </c>
      <c r="D108" s="14"/>
      <c r="E108" s="15"/>
      <c r="F108" s="15"/>
      <c r="G108" s="15"/>
      <c r="H108" s="15"/>
      <c r="I108" s="15"/>
      <c r="J108" s="5"/>
      <c r="K108" s="8"/>
      <c r="L108" s="8"/>
      <c r="M108" s="8"/>
      <c r="N108" s="15"/>
      <c r="O108" s="5"/>
    </row>
    <row r="109" spans="1:15" x14ac:dyDescent="0.3">
      <c r="A109" s="6">
        <v>45372</v>
      </c>
      <c r="B109" s="4" t="s">
        <v>22</v>
      </c>
      <c r="C109" s="20" t="s">
        <v>156</v>
      </c>
      <c r="D109" s="14"/>
      <c r="E109" s="15"/>
      <c r="F109" s="15"/>
      <c r="G109" s="15"/>
      <c r="H109" s="15"/>
      <c r="I109" s="15"/>
      <c r="J109" s="5"/>
      <c r="K109" s="5"/>
      <c r="L109" s="5"/>
      <c r="M109" s="8"/>
      <c r="N109" s="15"/>
      <c r="O109" s="5"/>
    </row>
    <row r="110" spans="1:15" x14ac:dyDescent="0.3">
      <c r="A110" s="6">
        <v>45372</v>
      </c>
      <c r="B110" s="4" t="s">
        <v>47</v>
      </c>
      <c r="C110" s="20" t="s">
        <v>157</v>
      </c>
      <c r="D110" s="14"/>
      <c r="E110" s="15"/>
      <c r="F110" s="15"/>
      <c r="G110" s="15"/>
      <c r="H110" s="15"/>
      <c r="I110" s="15"/>
      <c r="J110" s="5"/>
      <c r="K110" s="8"/>
      <c r="L110" s="5"/>
      <c r="M110" s="8"/>
      <c r="N110" s="15"/>
      <c r="O110" s="5"/>
    </row>
    <row r="111" spans="1:15" x14ac:dyDescent="0.3">
      <c r="A111" s="6">
        <v>45372</v>
      </c>
      <c r="B111" s="4" t="s">
        <v>13</v>
      </c>
      <c r="C111" s="20" t="s">
        <v>158</v>
      </c>
      <c r="D111" s="14"/>
      <c r="E111" s="15"/>
      <c r="F111" s="15"/>
      <c r="G111" s="15"/>
      <c r="H111" s="15"/>
      <c r="I111" s="15"/>
      <c r="J111" s="5"/>
      <c r="K111" s="8"/>
      <c r="L111" s="5"/>
      <c r="M111" s="8"/>
      <c r="N111" s="15"/>
      <c r="O111" s="5"/>
    </row>
    <row r="112" spans="1:15" x14ac:dyDescent="0.3">
      <c r="A112" s="6">
        <v>45372</v>
      </c>
      <c r="B112" s="4" t="s">
        <v>50</v>
      </c>
      <c r="C112" s="20" t="s">
        <v>159</v>
      </c>
      <c r="D112" s="14"/>
      <c r="E112" s="15"/>
      <c r="F112" s="15"/>
      <c r="G112" s="15"/>
      <c r="H112" s="15"/>
      <c r="I112" s="15"/>
      <c r="J112" s="5"/>
      <c r="K112" s="8"/>
      <c r="L112" s="5"/>
      <c r="M112" s="8"/>
      <c r="N112" s="15"/>
      <c r="O112" s="5"/>
    </row>
    <row r="113" spans="1:15" x14ac:dyDescent="0.3">
      <c r="A113" s="6">
        <v>45372</v>
      </c>
      <c r="B113" s="4" t="s">
        <v>51</v>
      </c>
      <c r="C113" s="20" t="s">
        <v>160</v>
      </c>
      <c r="D113" s="14"/>
      <c r="E113" s="15"/>
      <c r="F113" s="15"/>
      <c r="G113" s="15"/>
      <c r="H113" s="15"/>
      <c r="I113" s="15"/>
      <c r="J113" s="5"/>
      <c r="K113" s="5"/>
      <c r="L113" s="5"/>
      <c r="M113" s="8"/>
      <c r="N113" s="15"/>
      <c r="O113" s="5"/>
    </row>
    <row r="114" spans="1:15" x14ac:dyDescent="0.3">
      <c r="A114" s="6">
        <v>45372</v>
      </c>
      <c r="B114" s="4" t="s">
        <v>15</v>
      </c>
      <c r="C114" s="20" t="s">
        <v>161</v>
      </c>
      <c r="D114" s="14"/>
      <c r="E114" s="15"/>
      <c r="F114" s="15"/>
      <c r="G114" s="15"/>
      <c r="H114" s="15"/>
      <c r="I114" s="15"/>
      <c r="J114" s="5"/>
      <c r="K114" s="8"/>
      <c r="L114" s="5"/>
      <c r="M114" s="8"/>
      <c r="N114" s="15"/>
      <c r="O114" s="5"/>
    </row>
    <row r="115" spans="1:15" x14ac:dyDescent="0.3">
      <c r="A115" s="6">
        <v>45372</v>
      </c>
      <c r="B115" s="4" t="s">
        <v>14</v>
      </c>
      <c r="C115" s="20" t="s">
        <v>162</v>
      </c>
      <c r="D115" s="14"/>
      <c r="E115" s="15"/>
      <c r="F115" s="15"/>
      <c r="G115" s="15"/>
      <c r="H115" s="15"/>
      <c r="I115" s="15"/>
      <c r="J115" s="5"/>
      <c r="K115" s="8"/>
      <c r="L115" s="5"/>
      <c r="M115" s="8"/>
      <c r="N115" s="15"/>
      <c r="O115" s="5"/>
    </row>
    <row r="116" spans="1:15" x14ac:dyDescent="0.3">
      <c r="A116" s="6">
        <v>45372</v>
      </c>
      <c r="B116" s="4" t="s">
        <v>26</v>
      </c>
      <c r="C116" s="20" t="s">
        <v>163</v>
      </c>
      <c r="D116" s="14"/>
      <c r="E116" s="15"/>
      <c r="F116" s="15"/>
      <c r="G116" s="15"/>
      <c r="H116" s="15"/>
      <c r="I116" s="15"/>
      <c r="J116" s="5"/>
      <c r="K116" s="8"/>
      <c r="L116" s="5"/>
      <c r="M116" s="8"/>
      <c r="N116" s="15"/>
      <c r="O116" s="5"/>
    </row>
    <row r="117" spans="1:15" x14ac:dyDescent="0.3">
      <c r="A117" s="6">
        <v>45720</v>
      </c>
      <c r="B117" s="4" t="s">
        <v>16</v>
      </c>
      <c r="C117" s="20" t="s">
        <v>164</v>
      </c>
      <c r="D117" s="15">
        <v>3.7259487670824381E-5</v>
      </c>
      <c r="E117" s="15">
        <v>1.8903493127169017E-4</v>
      </c>
      <c r="F117" s="16">
        <v>0.22939910435486913</v>
      </c>
      <c r="G117" s="15">
        <v>5.3695528245297003E-3</v>
      </c>
      <c r="H117" s="15">
        <v>9.6156554272153669E-6</v>
      </c>
      <c r="I117" s="15">
        <v>4.0584479017769749E-3</v>
      </c>
      <c r="J117" s="5">
        <v>52.624076607786499</v>
      </c>
      <c r="K117" s="8">
        <v>4.7429622118655104</v>
      </c>
      <c r="L117" s="5">
        <v>13.7323792155986</v>
      </c>
      <c r="M117" s="8">
        <v>5.3196529960573198</v>
      </c>
      <c r="N117" s="15">
        <v>4.4384116232337641E-4</v>
      </c>
      <c r="O117" s="5">
        <v>107.116</v>
      </c>
    </row>
    <row r="118" spans="1:15" x14ac:dyDescent="0.3">
      <c r="A118" s="6">
        <v>45720</v>
      </c>
      <c r="B118" s="4" t="s">
        <v>32</v>
      </c>
      <c r="C118" s="20" t="s">
        <v>165</v>
      </c>
      <c r="D118" s="15">
        <v>5.7565739172338694E-6</v>
      </c>
      <c r="E118" s="15">
        <v>2.6547550986344583E-4</v>
      </c>
      <c r="F118" s="16">
        <v>0.49849829273441404</v>
      </c>
      <c r="G118" s="15">
        <v>6.0988473522391442E-3</v>
      </c>
      <c r="H118" s="15">
        <v>5.9419260422806017E-6</v>
      </c>
      <c r="I118" s="15">
        <v>2.3722233082393357E-3</v>
      </c>
      <c r="J118" s="5">
        <v>100.346297279609</v>
      </c>
      <c r="K118" s="5">
        <v>12.9297187005462</v>
      </c>
      <c r="L118" s="5">
        <v>25.5326780945495</v>
      </c>
      <c r="M118" s="8">
        <v>5.6519505503016303</v>
      </c>
      <c r="N118" s="15">
        <v>6.2738468528339409E-4</v>
      </c>
      <c r="O118" s="5">
        <v>211.792</v>
      </c>
    </row>
    <row r="119" spans="1:15" x14ac:dyDescent="0.3">
      <c r="A119" s="6">
        <v>45720</v>
      </c>
      <c r="B119" s="4" t="s">
        <v>19</v>
      </c>
      <c r="C119" s="20" t="s">
        <v>166</v>
      </c>
      <c r="D119" s="15">
        <v>2.6063411044093657E-5</v>
      </c>
      <c r="E119" s="15">
        <v>1.8577048778968118E-4</v>
      </c>
      <c r="F119" s="16">
        <v>0.30776215645545402</v>
      </c>
      <c r="G119" s="15">
        <v>5.0295599804258935E-3</v>
      </c>
      <c r="H119" s="15">
        <v>6.3955729632172636E-6</v>
      </c>
      <c r="I119" s="15">
        <v>2.9817048606077044E-3</v>
      </c>
      <c r="J119" s="5">
        <v>68.957751752114007</v>
      </c>
      <c r="K119" s="8">
        <v>6.2585004805296798</v>
      </c>
      <c r="L119" s="5">
        <v>11.449890233287</v>
      </c>
      <c r="M119" s="8">
        <v>4.8711853878705096</v>
      </c>
      <c r="N119" s="15">
        <v>3.8909019839693319E-4</v>
      </c>
      <c r="O119" s="5">
        <v>143.71599999999998</v>
      </c>
    </row>
    <row r="120" spans="1:15" x14ac:dyDescent="0.3">
      <c r="A120" s="6">
        <v>45720</v>
      </c>
      <c r="B120" s="4" t="s">
        <v>23</v>
      </c>
      <c r="C120" s="20" t="s">
        <v>167</v>
      </c>
      <c r="D120" s="15">
        <v>7.8416382782828528E-6</v>
      </c>
      <c r="E120" s="15">
        <v>1.6409569170049401E-4</v>
      </c>
      <c r="F120" s="16">
        <v>0.40018450723173282</v>
      </c>
      <c r="G120" s="15">
        <v>5.5164047868664625E-3</v>
      </c>
      <c r="H120" s="15">
        <v>1.0113791958563251E-5</v>
      </c>
      <c r="I120" s="15">
        <v>1.8063376197499322E-3</v>
      </c>
      <c r="J120" s="5">
        <v>92.9048239892753</v>
      </c>
      <c r="K120" s="8">
        <v>8.1565332982555692</v>
      </c>
      <c r="L120" s="5">
        <v>20.901226232730099</v>
      </c>
      <c r="M120" s="8">
        <v>4.7909147473604801</v>
      </c>
      <c r="N120" s="15">
        <v>8.3881700747915765E-4</v>
      </c>
      <c r="O120" s="5">
        <v>184.952</v>
      </c>
    </row>
    <row r="121" spans="1:15" x14ac:dyDescent="0.3">
      <c r="A121" s="6">
        <v>45720</v>
      </c>
      <c r="B121" s="4" t="s">
        <v>21</v>
      </c>
      <c r="C121" s="20" t="s">
        <v>168</v>
      </c>
      <c r="D121" s="15">
        <v>8.1136031642236571E-6</v>
      </c>
      <c r="E121" s="15">
        <v>1.6626190365764664E-4</v>
      </c>
      <c r="F121" s="16">
        <v>0.37679422653035266</v>
      </c>
      <c r="G121" s="15">
        <v>5.0665329359016187E-3</v>
      </c>
      <c r="H121" s="15">
        <v>5.7995982069007958E-6</v>
      </c>
      <c r="I121" s="15">
        <v>1.7493821341372593E-3</v>
      </c>
      <c r="J121" s="5">
        <v>81.377729718568602</v>
      </c>
      <c r="K121" s="8">
        <v>6.0917388888376003</v>
      </c>
      <c r="L121" s="5">
        <v>16.394311200598199</v>
      </c>
      <c r="M121" s="8">
        <v>4.4114220766358399</v>
      </c>
      <c r="N121" s="15">
        <v>5.010714300275939E-4</v>
      </c>
      <c r="O121" s="5">
        <v>160.55200000000002</v>
      </c>
    </row>
    <row r="122" spans="1:15" x14ac:dyDescent="0.3">
      <c r="A122" s="6">
        <v>45720</v>
      </c>
      <c r="B122" s="4" t="s">
        <v>45</v>
      </c>
      <c r="C122" s="20" t="s">
        <v>169</v>
      </c>
      <c r="D122" s="15">
        <v>5.4392819007352735E-6</v>
      </c>
      <c r="E122" s="15">
        <v>1.8986344460205143E-4</v>
      </c>
      <c r="F122" s="16">
        <v>0.51415728953803908</v>
      </c>
      <c r="G122" s="15">
        <v>7.7708703005651605E-3</v>
      </c>
      <c r="H122" s="15">
        <v>8.9129307988361079E-6</v>
      </c>
      <c r="I122" s="15">
        <v>1.6576665265119635E-3</v>
      </c>
      <c r="J122" s="5">
        <v>109.57388949657199</v>
      </c>
      <c r="K122" s="5">
        <v>15.4403579510606</v>
      </c>
      <c r="L122" s="5">
        <v>32.020641116900698</v>
      </c>
      <c r="M122" s="8">
        <v>6.1035712996551901</v>
      </c>
      <c r="N122" s="15">
        <v>6.4097268850751734E-4</v>
      </c>
      <c r="O122" s="5">
        <v>234.72799999999998</v>
      </c>
    </row>
    <row r="123" spans="1:15" x14ac:dyDescent="0.3">
      <c r="A123" s="6">
        <v>45720</v>
      </c>
      <c r="B123" s="4" t="s">
        <v>20</v>
      </c>
      <c r="C123" s="20" t="s">
        <v>170</v>
      </c>
      <c r="D123" s="15">
        <v>1.3824881362919084E-5</v>
      </c>
      <c r="E123" s="15">
        <v>1.7175342485997765E-4</v>
      </c>
      <c r="F123" s="16">
        <v>0.3860307084787834</v>
      </c>
      <c r="G123" s="15">
        <v>5.473832686516817E-3</v>
      </c>
      <c r="H123" s="15">
        <v>1.0416230678059174E-5</v>
      </c>
      <c r="I123" s="15">
        <v>3.1233627319666242E-3</v>
      </c>
      <c r="J123" s="5">
        <v>87.387078080012202</v>
      </c>
      <c r="K123" s="8">
        <v>6.3721234536516702</v>
      </c>
      <c r="L123" s="5">
        <v>19.135980700324701</v>
      </c>
      <c r="M123" s="8">
        <v>4.2097450183087703</v>
      </c>
      <c r="N123" s="15">
        <v>8.1850666652175076E-4</v>
      </c>
      <c r="O123" s="5">
        <v>183.732</v>
      </c>
    </row>
    <row r="124" spans="1:15" x14ac:dyDescent="0.3">
      <c r="A124" s="6">
        <v>45720</v>
      </c>
      <c r="B124" s="4" t="s">
        <v>17</v>
      </c>
      <c r="C124" s="20" t="s">
        <v>171</v>
      </c>
      <c r="D124" s="15">
        <v>8.929498482016219E-6</v>
      </c>
      <c r="E124" s="15">
        <v>1.1000333871111696E-4</v>
      </c>
      <c r="F124" s="16">
        <v>0.44743831157712988</v>
      </c>
      <c r="G124" s="15">
        <v>4.8396186493337998E-3</v>
      </c>
      <c r="H124" s="15">
        <v>7.2850955518453952E-6</v>
      </c>
      <c r="I124" s="15">
        <v>1.7794638043961662E-3</v>
      </c>
      <c r="J124" s="5">
        <v>110.27146465484201</v>
      </c>
      <c r="K124" s="8">
        <v>4.5309284145196704</v>
      </c>
      <c r="L124" s="5">
        <v>17.313980498398301</v>
      </c>
      <c r="M124" s="8">
        <v>3.7592649015650101</v>
      </c>
      <c r="N124" s="15">
        <v>5.0670634810253941E-4</v>
      </c>
      <c r="O124" s="5">
        <v>182.756</v>
      </c>
    </row>
    <row r="125" spans="1:15" x14ac:dyDescent="0.3">
      <c r="A125" s="6">
        <v>45720</v>
      </c>
      <c r="B125" s="4" t="s">
        <v>18</v>
      </c>
      <c r="C125" s="20" t="s">
        <v>172</v>
      </c>
      <c r="D125" s="15">
        <v>8.0682755429192678E-6</v>
      </c>
      <c r="E125" s="15">
        <v>1.3513923403112393E-4</v>
      </c>
      <c r="F125" s="16">
        <v>0.39605836618934254</v>
      </c>
      <c r="G125" s="15">
        <v>4.8095713424819173E-3</v>
      </c>
      <c r="H125" s="15">
        <v>6.4934241356504395E-6</v>
      </c>
      <c r="I125" s="15">
        <v>1.9457917046101037E-3</v>
      </c>
      <c r="J125" s="5">
        <v>93.087263125739099</v>
      </c>
      <c r="K125" s="8">
        <v>5.5365113068760303</v>
      </c>
      <c r="L125" s="5">
        <v>17.193977844692601</v>
      </c>
      <c r="M125" s="8">
        <v>4.4045070716392498</v>
      </c>
      <c r="N125" s="15">
        <v>6.7321822497691845E-4</v>
      </c>
      <c r="O125" s="5">
        <v>184.22</v>
      </c>
    </row>
    <row r="126" spans="1:15" x14ac:dyDescent="0.3">
      <c r="A126" s="6">
        <v>45720</v>
      </c>
      <c r="B126" s="4" t="s">
        <v>25</v>
      </c>
      <c r="C126" s="20" t="s">
        <v>173</v>
      </c>
      <c r="D126" s="15">
        <v>1.0108015007156956E-5</v>
      </c>
      <c r="E126" s="15">
        <v>1.1463446707180501E-4</v>
      </c>
      <c r="F126" s="16">
        <v>0.4633569237183951</v>
      </c>
      <c r="G126" s="15">
        <v>4.4437312386791479E-3</v>
      </c>
      <c r="H126" s="15">
        <v>3.5957668099965328E-4</v>
      </c>
      <c r="I126" s="15">
        <v>1.9518094766957019E-3</v>
      </c>
      <c r="J126" s="5">
        <v>97.558217063762598</v>
      </c>
      <c r="K126" s="5">
        <v>11.1373923311538</v>
      </c>
      <c r="L126" s="5">
        <v>18.081468922982801</v>
      </c>
      <c r="M126" s="8">
        <v>4.7172329309196002</v>
      </c>
      <c r="N126" s="15">
        <v>2.6047718077958852E-4</v>
      </c>
      <c r="O126" s="5">
        <v>223.01600000000002</v>
      </c>
    </row>
    <row r="127" spans="1:15" x14ac:dyDescent="0.3">
      <c r="A127" s="6">
        <v>45720</v>
      </c>
      <c r="B127" s="4" t="s">
        <v>24</v>
      </c>
      <c r="C127" s="20" t="s">
        <v>174</v>
      </c>
      <c r="D127" s="15">
        <v>6.5724681646906888E-6</v>
      </c>
      <c r="E127" s="15">
        <v>1.5845042896176325E-4</v>
      </c>
      <c r="F127" s="16">
        <v>0.5289723455801415</v>
      </c>
      <c r="G127" s="15">
        <v>5.1266264762254527E-3</v>
      </c>
      <c r="H127" s="15">
        <v>6.6980135423704637E-6</v>
      </c>
      <c r="I127" s="15">
        <v>2.181397534710341E-3</v>
      </c>
      <c r="J127" s="5">
        <v>123.12377708079801</v>
      </c>
      <c r="K127" s="5">
        <v>20.393144105783701</v>
      </c>
      <c r="L127" s="5">
        <v>26.6418201821323</v>
      </c>
      <c r="M127" s="8">
        <v>6.6686010531668201</v>
      </c>
      <c r="N127" s="15">
        <v>3.489072168076096E-4</v>
      </c>
      <c r="O127" s="5">
        <v>260.10400000000004</v>
      </c>
    </row>
    <row r="128" spans="1:15" x14ac:dyDescent="0.3">
      <c r="A128" s="6">
        <v>45720</v>
      </c>
      <c r="B128" s="4" t="s">
        <v>12</v>
      </c>
      <c r="C128" s="20" t="s">
        <v>175</v>
      </c>
      <c r="D128" s="15">
        <v>6.8897615434340438E-6</v>
      </c>
      <c r="E128" s="15">
        <v>2.7316500936814896E-4</v>
      </c>
      <c r="F128" s="16">
        <v>0.36861332892951393</v>
      </c>
      <c r="G128" s="15">
        <v>5.2169200425914702E-3</v>
      </c>
      <c r="H128" s="15">
        <v>5.7551264505794707E-6</v>
      </c>
      <c r="I128" s="15">
        <v>1.4705028246717684E-3</v>
      </c>
      <c r="J128" s="5">
        <v>109.57695416239601</v>
      </c>
      <c r="K128" s="5">
        <v>10.757741376198201</v>
      </c>
      <c r="L128" s="5">
        <v>58.6396651094582</v>
      </c>
      <c r="M128" s="8">
        <v>5.9487105927451296</v>
      </c>
      <c r="N128" s="15">
        <v>6.3182342734142342E-4</v>
      </c>
      <c r="O128" s="5">
        <v>205.69200000000001</v>
      </c>
    </row>
    <row r="129" spans="1:15" x14ac:dyDescent="0.3">
      <c r="A129" s="6">
        <v>45720</v>
      </c>
      <c r="B129" s="4" t="s">
        <v>11</v>
      </c>
      <c r="C129" s="20" t="s">
        <v>176</v>
      </c>
      <c r="D129" s="15">
        <v>4.8046980581135205E-6</v>
      </c>
      <c r="E129" s="15">
        <v>1.7655961966336306E-4</v>
      </c>
      <c r="F129" s="16">
        <v>0.37026025951344627</v>
      </c>
      <c r="G129" s="15">
        <v>4.554110327670953E-3</v>
      </c>
      <c r="H129" s="15">
        <v>6.5645822894913929E-6</v>
      </c>
      <c r="I129" s="15">
        <v>1.250201199335933E-3</v>
      </c>
      <c r="J129" s="5">
        <v>116.77533982238999</v>
      </c>
      <c r="K129" s="5">
        <v>10.595937420432699</v>
      </c>
      <c r="L129" s="5">
        <v>47.669661723138901</v>
      </c>
      <c r="M129" s="8">
        <v>5.81586450122267</v>
      </c>
      <c r="N129" s="15">
        <v>4.1485985188756744E-4</v>
      </c>
      <c r="O129" s="5">
        <v>224.48000000000002</v>
      </c>
    </row>
    <row r="130" spans="1:15" x14ac:dyDescent="0.3">
      <c r="A130" s="6">
        <v>45720</v>
      </c>
      <c r="B130" s="4" t="s">
        <v>43</v>
      </c>
      <c r="C130" s="20" t="s">
        <v>177</v>
      </c>
      <c r="D130" s="15">
        <v>3.7168403842620115E-6</v>
      </c>
      <c r="E130" s="15">
        <v>1.8365931667428228E-4</v>
      </c>
      <c r="F130" s="16">
        <v>0.38509540623535993</v>
      </c>
      <c r="G130" s="15">
        <v>5.242348464375309E-3</v>
      </c>
      <c r="H130" s="15">
        <v>6.0931405078290367E-6</v>
      </c>
      <c r="I130" s="15">
        <v>1.1110518770100206E-3</v>
      </c>
      <c r="J130" s="5">
        <v>80.706222353930599</v>
      </c>
      <c r="K130" s="5">
        <v>11.3358474320751</v>
      </c>
      <c r="L130" s="5">
        <v>20.459753130311402</v>
      </c>
      <c r="M130" s="8">
        <v>5.9839224151486796</v>
      </c>
      <c r="N130" s="15">
        <v>3.8118988491006085E-4</v>
      </c>
      <c r="O130" s="5">
        <v>232.28799999999998</v>
      </c>
    </row>
    <row r="131" spans="1:15" x14ac:dyDescent="0.3">
      <c r="A131" s="6">
        <v>45720</v>
      </c>
      <c r="B131" s="4" t="s">
        <v>33</v>
      </c>
      <c r="C131" s="20" t="s">
        <v>178</v>
      </c>
      <c r="D131" s="15">
        <v>1.0289325225847895E-5</v>
      </c>
      <c r="E131" s="15">
        <v>3.927038465679717E-4</v>
      </c>
      <c r="F131" s="16">
        <v>0.66011518239965372</v>
      </c>
      <c r="G131" s="15">
        <v>7.5070846206196111E-3</v>
      </c>
      <c r="H131" s="15">
        <v>6.9470813804409998E-6</v>
      </c>
      <c r="I131" s="15">
        <v>3.5172106706482182E-3</v>
      </c>
      <c r="J131" s="5">
        <v>159.53634053265</v>
      </c>
      <c r="K131" s="5">
        <v>38.314319264109301</v>
      </c>
      <c r="L131" s="5">
        <v>94.836229834222095</v>
      </c>
      <c r="M131" s="5">
        <v>11.882576489315699</v>
      </c>
      <c r="N131" s="15">
        <v>6.580155886975476E-4</v>
      </c>
      <c r="O131" s="5">
        <v>283.52799999999996</v>
      </c>
    </row>
    <row r="132" spans="1:15" x14ac:dyDescent="0.3">
      <c r="A132" s="6">
        <v>45720</v>
      </c>
      <c r="B132" s="4" t="s">
        <v>22</v>
      </c>
      <c r="C132" s="20" t="s">
        <v>179</v>
      </c>
      <c r="D132" s="15">
        <v>5.0766624617694415E-6</v>
      </c>
      <c r="E132" s="15">
        <v>1.6175654215902347E-4</v>
      </c>
      <c r="F132" s="16">
        <v>0.45715715436152865</v>
      </c>
      <c r="G132" s="15">
        <v>4.8123097930993361E-3</v>
      </c>
      <c r="H132" s="15">
        <v>8.3080465872244354E-6</v>
      </c>
      <c r="I132" s="15">
        <v>1.2909712742220725E-3</v>
      </c>
      <c r="J132" s="5">
        <v>100.228194660244</v>
      </c>
      <c r="K132" s="8">
        <v>5.4769821731853101</v>
      </c>
      <c r="L132" s="5">
        <v>26.091909556921902</v>
      </c>
      <c r="M132" s="8">
        <v>3.76658329644322</v>
      </c>
      <c r="N132" s="15">
        <v>4.7583546114063276E-4</v>
      </c>
      <c r="O132" s="5">
        <v>220.33199999999999</v>
      </c>
    </row>
    <row r="133" spans="1:15" x14ac:dyDescent="0.3">
      <c r="A133" s="6">
        <v>45720</v>
      </c>
      <c r="B133" s="4" t="s">
        <v>47</v>
      </c>
      <c r="C133" s="20" t="s">
        <v>180</v>
      </c>
      <c r="D133" s="15">
        <v>6.6179308431655383E-5</v>
      </c>
      <c r="E133" s="15">
        <v>2.8683749585684264E-4</v>
      </c>
      <c r="F133" s="16">
        <v>0.25845670989453629</v>
      </c>
      <c r="G133" s="15">
        <v>7.0690883307453559E-3</v>
      </c>
      <c r="H133" s="15">
        <v>2.1918101947409786E-5</v>
      </c>
      <c r="I133" s="15">
        <v>8.5392210107701014E-3</v>
      </c>
      <c r="J133" s="5">
        <v>47.530760281641797</v>
      </c>
      <c r="K133" s="5">
        <v>12.538798715704001</v>
      </c>
      <c r="L133" s="5">
        <v>50.6429256826707</v>
      </c>
      <c r="M133" s="8">
        <v>4.7558991329081399</v>
      </c>
      <c r="N133" s="15">
        <v>2.2042555551360578E-3</v>
      </c>
      <c r="O133" s="5">
        <v>103.944</v>
      </c>
    </row>
    <row r="134" spans="1:15" x14ac:dyDescent="0.3">
      <c r="A134" s="6">
        <v>45720</v>
      </c>
      <c r="B134" s="4" t="s">
        <v>13</v>
      </c>
      <c r="C134" s="20" t="s">
        <v>181</v>
      </c>
      <c r="D134" s="15">
        <v>6.4592785320281739E-5</v>
      </c>
      <c r="E134" s="15">
        <v>1.5235134219651492E-4</v>
      </c>
      <c r="F134" s="16">
        <v>0.34176983569069314</v>
      </c>
      <c r="G134" s="15">
        <v>7.7655768703173119E-3</v>
      </c>
      <c r="H134" s="15">
        <v>2.4346598617001983E-5</v>
      </c>
      <c r="I134" s="15">
        <v>1.3262682611455221E-2</v>
      </c>
      <c r="J134" s="5">
        <v>81.152801242377095</v>
      </c>
      <c r="K134" s="8">
        <v>4.7659297819389304</v>
      </c>
      <c r="L134" s="5">
        <v>12.229571948957201</v>
      </c>
      <c r="M134" s="8">
        <v>1.6597136897489699</v>
      </c>
      <c r="N134" s="15">
        <v>1.5023705396571528E-3</v>
      </c>
      <c r="O134" s="5">
        <v>160.06399999999999</v>
      </c>
    </row>
    <row r="135" spans="1:15" x14ac:dyDescent="0.3">
      <c r="A135" s="6">
        <v>45720</v>
      </c>
      <c r="B135" s="4" t="s">
        <v>50</v>
      </c>
      <c r="C135" s="20" t="s">
        <v>182</v>
      </c>
      <c r="D135" s="15">
        <v>2.9508347657771365E-5</v>
      </c>
      <c r="E135" s="15">
        <v>2.2276862835918251E-4</v>
      </c>
      <c r="F135" s="16">
        <v>0.41360340150448682</v>
      </c>
      <c r="G135" s="15">
        <v>7.3054700465894871E-3</v>
      </c>
      <c r="H135" s="15">
        <v>1.2933619712395357E-5</v>
      </c>
      <c r="I135" s="15">
        <v>4.8669682082790565E-3</v>
      </c>
      <c r="J135" s="5">
        <v>86.412422307662993</v>
      </c>
      <c r="K135" s="5">
        <v>24.026181845173699</v>
      </c>
      <c r="L135" s="5">
        <v>31.145747003209301</v>
      </c>
      <c r="M135" s="5">
        <v>10.0080926634226</v>
      </c>
      <c r="N135" s="15">
        <v>1.1482765070720763E-3</v>
      </c>
      <c r="O135" s="5">
        <v>127.36800000000001</v>
      </c>
    </row>
    <row r="136" spans="1:15" x14ac:dyDescent="0.3">
      <c r="A136" s="6">
        <v>45720</v>
      </c>
      <c r="B136" s="4" t="s">
        <v>51</v>
      </c>
      <c r="C136" s="20" t="s">
        <v>183</v>
      </c>
      <c r="D136" s="15">
        <v>2.7967191911276813E-5</v>
      </c>
      <c r="E136" s="15">
        <v>1.9624757268695901E-4</v>
      </c>
      <c r="F136" s="16">
        <v>0.4713295020622798</v>
      </c>
      <c r="G136" s="15">
        <v>7.8584620931509003E-3</v>
      </c>
      <c r="H136" s="15">
        <v>5.0581255716052407E-5</v>
      </c>
      <c r="I136" s="15">
        <v>5.6082577973973853E-3</v>
      </c>
      <c r="J136" s="5">
        <v>93.555877661575295</v>
      </c>
      <c r="K136" s="8">
        <v>7.60225534628497</v>
      </c>
      <c r="L136" s="5">
        <v>31.681196291871299</v>
      </c>
      <c r="M136" s="8">
        <v>3.4958117386773102</v>
      </c>
      <c r="N136" s="15">
        <v>2.8002898541304986E-3</v>
      </c>
      <c r="O136" s="5">
        <v>193.73600000000002</v>
      </c>
    </row>
    <row r="137" spans="1:15" x14ac:dyDescent="0.3">
      <c r="A137" s="6">
        <v>45720</v>
      </c>
      <c r="B137" s="4" t="s">
        <v>15</v>
      </c>
      <c r="C137" s="20" t="s">
        <v>184</v>
      </c>
      <c r="D137" s="15">
        <v>7.3430356792641059E-6</v>
      </c>
      <c r="E137" s="15">
        <v>1.2420661672447858E-4</v>
      </c>
      <c r="F137" s="16">
        <v>0.55630860780114555</v>
      </c>
      <c r="G137" s="15">
        <v>7.3975518758008334E-3</v>
      </c>
      <c r="H137" s="15">
        <v>6.4845295228679162E-6</v>
      </c>
      <c r="I137" s="15">
        <v>1.9254686499244338E-3</v>
      </c>
      <c r="J137" s="5">
        <v>139.042693803481</v>
      </c>
      <c r="K137" s="5">
        <v>12.4913983070388</v>
      </c>
      <c r="L137" s="5">
        <v>21.493053557131802</v>
      </c>
      <c r="M137" s="8">
        <v>5.5139607674615299</v>
      </c>
      <c r="N137" s="15">
        <v>9.6860093480774241E-4</v>
      </c>
      <c r="O137" s="5">
        <v>265.22800000000001</v>
      </c>
    </row>
    <row r="138" spans="1:15" x14ac:dyDescent="0.3">
      <c r="A138" s="6">
        <v>45720</v>
      </c>
      <c r="B138" s="4" t="s">
        <v>14</v>
      </c>
      <c r="C138" s="20" t="s">
        <v>185</v>
      </c>
      <c r="D138" s="15">
        <v>9.3827749573569014E-6</v>
      </c>
      <c r="E138" s="15">
        <v>1.1724351144370863E-4</v>
      </c>
      <c r="F138" s="16">
        <v>0.49591787368747436</v>
      </c>
      <c r="G138" s="15">
        <v>6.9925014730280941E-3</v>
      </c>
      <c r="H138" s="15">
        <v>7.5697431382939739E-6</v>
      </c>
      <c r="I138" s="15">
        <v>2.5371186543204946E-3</v>
      </c>
      <c r="J138" s="5">
        <v>131.459597198138</v>
      </c>
      <c r="K138" s="5">
        <v>10.7332083865771</v>
      </c>
      <c r="L138" s="5">
        <v>18.538492244909499</v>
      </c>
      <c r="M138" s="8">
        <v>4.1134211468602704</v>
      </c>
      <c r="N138" s="15">
        <v>9.480950380324262E-4</v>
      </c>
      <c r="O138" s="5">
        <v>252.29600000000002</v>
      </c>
    </row>
    <row r="139" spans="1:15" x14ac:dyDescent="0.3">
      <c r="A139" s="6">
        <v>45720</v>
      </c>
      <c r="B139" s="4" t="s">
        <v>26</v>
      </c>
      <c r="C139" s="20" t="s">
        <v>186</v>
      </c>
      <c r="D139" s="15">
        <v>3.9434774542924798E-6</v>
      </c>
      <c r="E139" s="15">
        <v>1.9082794867803502E-4</v>
      </c>
      <c r="F139" s="16">
        <v>0.63157025888569895</v>
      </c>
      <c r="G139" s="15">
        <v>6.4701003170254253E-3</v>
      </c>
      <c r="H139" s="15">
        <v>6.3511025643174642E-6</v>
      </c>
      <c r="I139" s="15">
        <v>1.1225470519710533E-3</v>
      </c>
      <c r="J139" s="5">
        <v>144.49620250960299</v>
      </c>
      <c r="K139" s="5">
        <v>16.965253424037499</v>
      </c>
      <c r="L139" s="5">
        <v>43.690628921397199</v>
      </c>
      <c r="M139" s="8">
        <v>4.9730061171942097</v>
      </c>
      <c r="N139" s="15">
        <v>3.814465669856099E-4</v>
      </c>
      <c r="O139" s="5">
        <v>253.76000000000002</v>
      </c>
    </row>
    <row r="140" spans="1:15" x14ac:dyDescent="0.3">
      <c r="A140" s="6">
        <v>45733</v>
      </c>
      <c r="B140" s="4" t="s">
        <v>16</v>
      </c>
      <c r="C140" s="20" t="s">
        <v>187</v>
      </c>
      <c r="D140" s="15">
        <v>3.1548117400634458E-5</v>
      </c>
      <c r="E140" s="15">
        <v>1.7854671109163102E-4</v>
      </c>
      <c r="F140" s="16">
        <v>0.31398001581205104</v>
      </c>
      <c r="G140" s="15">
        <v>6.3908124483260751E-3</v>
      </c>
      <c r="H140" s="15">
        <v>9.1797810067833612E-6</v>
      </c>
      <c r="I140" s="15">
        <v>4.5172159762166316E-3</v>
      </c>
      <c r="J140" s="5">
        <v>61.865123923311103</v>
      </c>
      <c r="K140" s="8">
        <v>4.5286525204616304</v>
      </c>
      <c r="L140" s="5">
        <v>12.5838830247886</v>
      </c>
      <c r="M140" s="8">
        <v>4.8671734117484204</v>
      </c>
      <c r="N140" s="15">
        <v>4.6773326522231808E-4</v>
      </c>
      <c r="O140" s="5"/>
    </row>
    <row r="141" spans="1:15" x14ac:dyDescent="0.3">
      <c r="A141" s="6">
        <v>45733</v>
      </c>
      <c r="B141" s="4" t="s">
        <v>32</v>
      </c>
      <c r="C141" s="20" t="s">
        <v>188</v>
      </c>
      <c r="D141" s="15">
        <v>6.7084512697461839E-6</v>
      </c>
      <c r="E141" s="15">
        <v>1.5527716622406037E-4</v>
      </c>
      <c r="F141" s="16">
        <v>0.59628556009033284</v>
      </c>
      <c r="G141" s="15">
        <v>6.2957413847284094E-3</v>
      </c>
      <c r="H141" s="15">
        <v>1.0158268642298545E-5</v>
      </c>
      <c r="I141" s="15">
        <v>1.8185044755126426E-3</v>
      </c>
      <c r="J141" s="5">
        <v>120.09266402838399</v>
      </c>
      <c r="K141" s="5">
        <v>15.0130891384041</v>
      </c>
      <c r="L141" s="5">
        <v>28.096313715339399</v>
      </c>
      <c r="M141" s="8">
        <v>6.2123563402728701</v>
      </c>
      <c r="N141" s="15">
        <v>6.0579073124442519E-4</v>
      </c>
      <c r="O141" s="5"/>
    </row>
    <row r="142" spans="1:15" x14ac:dyDescent="0.3">
      <c r="A142" s="6">
        <v>45733</v>
      </c>
      <c r="B142" s="4" t="s">
        <v>19</v>
      </c>
      <c r="C142" s="20" t="s">
        <v>189</v>
      </c>
      <c r="D142" s="15">
        <v>9.1108086964766113E-6</v>
      </c>
      <c r="E142" s="15">
        <v>1.4163184244693819E-4</v>
      </c>
      <c r="F142" s="16">
        <v>0.34762827004558372</v>
      </c>
      <c r="G142" s="15">
        <v>4.3798792105085894E-3</v>
      </c>
      <c r="H142" s="15">
        <v>4.6343339460830159E-6</v>
      </c>
      <c r="I142" s="15">
        <v>1.9051448740524583E-3</v>
      </c>
      <c r="J142" s="5">
        <v>72.247592835431703</v>
      </c>
      <c r="K142" s="8">
        <v>6.0528439225522099</v>
      </c>
      <c r="L142" s="5">
        <v>10.552233622968901</v>
      </c>
      <c r="M142" s="8">
        <v>4.1899525978625398</v>
      </c>
      <c r="N142" s="15">
        <v>3.0335569534024962E-4</v>
      </c>
      <c r="O142" s="5"/>
    </row>
    <row r="143" spans="1:15" x14ac:dyDescent="0.3">
      <c r="A143" s="6">
        <v>45733</v>
      </c>
      <c r="B143" s="4" t="s">
        <v>23</v>
      </c>
      <c r="C143" s="20" t="s">
        <v>190</v>
      </c>
      <c r="D143" s="15">
        <v>5.0313350604550203E-6</v>
      </c>
      <c r="E143" s="15">
        <v>1.4003177113732041E-4</v>
      </c>
      <c r="F143" s="16">
        <v>0.50110697381725711</v>
      </c>
      <c r="G143" s="15">
        <v>5.8016728893696481E-3</v>
      </c>
      <c r="H143" s="15">
        <v>6.1642981116466436E-6</v>
      </c>
      <c r="I143" s="15">
        <v>1.2705192011583087E-3</v>
      </c>
      <c r="J143" s="5">
        <v>96.456586167696202</v>
      </c>
      <c r="K143" s="8">
        <v>8.3854537948948504</v>
      </c>
      <c r="L143" s="5">
        <v>21.3738409185667</v>
      </c>
      <c r="M143" s="8">
        <v>4.8101022882928204</v>
      </c>
      <c r="N143" s="15">
        <v>7.2191517312090645E-4</v>
      </c>
      <c r="O143" s="5"/>
    </row>
    <row r="144" spans="1:15" x14ac:dyDescent="0.3">
      <c r="A144" s="6">
        <v>45733</v>
      </c>
      <c r="B144" s="4" t="s">
        <v>21</v>
      </c>
      <c r="C144" s="20" t="s">
        <v>191</v>
      </c>
      <c r="D144" s="15">
        <v>7.8416379398364307E-6</v>
      </c>
      <c r="E144" s="15">
        <v>1.3267766102801465E-4</v>
      </c>
      <c r="F144" s="16">
        <v>0.42165702313323566</v>
      </c>
      <c r="G144" s="15">
        <v>4.7006678711895818E-3</v>
      </c>
      <c r="H144" s="15">
        <v>7.4985796792988834E-6</v>
      </c>
      <c r="I144" s="15">
        <v>1.5991093399753222E-3</v>
      </c>
      <c r="J144" s="5">
        <v>83.832621274748305</v>
      </c>
      <c r="K144" s="8">
        <v>5.8468524867876104</v>
      </c>
      <c r="L144" s="5">
        <v>15.7882064775358</v>
      </c>
      <c r="M144" s="8">
        <v>3.7723566679295102</v>
      </c>
      <c r="N144" s="15">
        <v>3.975893539698092E-4</v>
      </c>
      <c r="O144" s="5"/>
    </row>
    <row r="145" spans="1:15" x14ac:dyDescent="0.3">
      <c r="A145" s="6">
        <v>45733</v>
      </c>
      <c r="B145" s="4" t="s">
        <v>45</v>
      </c>
      <c r="C145" s="20" t="s">
        <v>192</v>
      </c>
      <c r="D145" s="15">
        <v>4.6687158076340814E-6</v>
      </c>
      <c r="E145" s="15">
        <v>1.745258256074825E-4</v>
      </c>
      <c r="F145" s="16">
        <v>0.59811961429678373</v>
      </c>
      <c r="G145" s="15">
        <v>6.2591403311619224E-3</v>
      </c>
      <c r="H145" s="15">
        <v>6.2532555886877943E-6</v>
      </c>
      <c r="I145" s="15">
        <v>1.8322758027338496E-3</v>
      </c>
      <c r="J145" s="5">
        <v>124.68545144008</v>
      </c>
      <c r="K145" s="5">
        <v>17.0547642110952</v>
      </c>
      <c r="L145" s="5">
        <v>35.399578992706203</v>
      </c>
      <c r="M145" s="8">
        <v>6.5203518305415402</v>
      </c>
      <c r="N145" s="15">
        <v>5.7958958661607964E-4</v>
      </c>
      <c r="O145" s="5"/>
    </row>
    <row r="146" spans="1:15" x14ac:dyDescent="0.3">
      <c r="A146" s="6">
        <v>45733</v>
      </c>
      <c r="B146" s="4" t="s">
        <v>20</v>
      </c>
      <c r="C146" s="20" t="s">
        <v>193</v>
      </c>
      <c r="D146" s="15">
        <v>7.9322930766806097E-6</v>
      </c>
      <c r="E146" s="15">
        <v>1.4019237824636194E-4</v>
      </c>
      <c r="F146" s="16">
        <v>0.4440369133551802</v>
      </c>
      <c r="G146" s="15">
        <v>5.1822359642768271E-3</v>
      </c>
      <c r="H146" s="15">
        <v>8.5482185090641685E-6</v>
      </c>
      <c r="I146" s="15">
        <v>2.5522306661508354E-3</v>
      </c>
      <c r="J146" s="5">
        <v>92.190137902664901</v>
      </c>
      <c r="K146" s="8">
        <v>7.04540527604183</v>
      </c>
      <c r="L146" s="5">
        <v>20.762639866148401</v>
      </c>
      <c r="M146" s="8">
        <v>4.4753835561592599</v>
      </c>
      <c r="N146" s="15">
        <v>7.3146785738935273E-4</v>
      </c>
      <c r="O146" s="5"/>
    </row>
    <row r="147" spans="1:15" x14ac:dyDescent="0.3">
      <c r="A147" s="6">
        <v>45733</v>
      </c>
      <c r="B147" s="4" t="s">
        <v>17</v>
      </c>
      <c r="C147" s="20" t="s">
        <v>194</v>
      </c>
      <c r="D147" s="15">
        <v>6.4364857407578637E-6</v>
      </c>
      <c r="E147" s="15">
        <v>1.1756769269292008E-4</v>
      </c>
      <c r="F147" s="16">
        <v>0.64439331056059701</v>
      </c>
      <c r="G147" s="15">
        <v>6.0732498120723826E-3</v>
      </c>
      <c r="H147" s="15">
        <v>1.2657867048007301E-5</v>
      </c>
      <c r="I147" s="15">
        <v>1.2432500316862591E-3</v>
      </c>
      <c r="J147" s="5">
        <v>131.44691108512001</v>
      </c>
      <c r="K147" s="8">
        <v>4.7502772748438602</v>
      </c>
      <c r="L147" s="5">
        <v>18.803732155665699</v>
      </c>
      <c r="M147" s="8">
        <v>3.6207553309930298</v>
      </c>
      <c r="N147" s="15">
        <v>5.7545120500621626E-4</v>
      </c>
      <c r="O147" s="5"/>
    </row>
    <row r="148" spans="1:15" x14ac:dyDescent="0.3">
      <c r="A148" s="6">
        <v>45733</v>
      </c>
      <c r="B148" s="4" t="s">
        <v>18</v>
      </c>
      <c r="C148" s="20" t="s">
        <v>195</v>
      </c>
      <c r="D148" s="15">
        <v>5.212645122614003E-6</v>
      </c>
      <c r="E148" s="15">
        <v>1.2929897064839556E-4</v>
      </c>
      <c r="F148" s="16">
        <v>0.5176827520151811</v>
      </c>
      <c r="G148" s="15">
        <v>1.5779459498860306E-2</v>
      </c>
      <c r="H148" s="15">
        <v>1.4205657096291257E-5</v>
      </c>
      <c r="I148" s="15">
        <v>1.3627555996775797E-3</v>
      </c>
      <c r="J148" s="5">
        <v>110.67011634588999</v>
      </c>
      <c r="K148" s="8">
        <v>5.8811703581446402</v>
      </c>
      <c r="L148" s="5">
        <v>18.916560869252098</v>
      </c>
      <c r="M148" s="8">
        <v>4.2177768090046897</v>
      </c>
      <c r="N148" s="15">
        <v>6.3036769107369529E-4</v>
      </c>
      <c r="O148" s="5"/>
    </row>
    <row r="149" spans="1:15" x14ac:dyDescent="0.3">
      <c r="A149" s="6">
        <v>45733</v>
      </c>
      <c r="B149" s="4" t="s">
        <v>25</v>
      </c>
      <c r="C149" s="20" t="s">
        <v>196</v>
      </c>
      <c r="D149" s="15">
        <v>3.8074955295661828E-6</v>
      </c>
      <c r="E149" s="15">
        <v>1.085616000700124E-4</v>
      </c>
      <c r="F149" s="16">
        <v>0.47540854840320829</v>
      </c>
      <c r="G149" s="15">
        <v>4.1026206217469035E-3</v>
      </c>
      <c r="H149" s="15">
        <v>4.6788097061537554E-6</v>
      </c>
      <c r="I149" s="15">
        <v>1.3318760598601135E-3</v>
      </c>
      <c r="J149" s="5">
        <v>94.1052268717347</v>
      </c>
      <c r="K149" s="5">
        <v>11.3143894720234</v>
      </c>
      <c r="L149" s="5">
        <v>20.031210349221301</v>
      </c>
      <c r="M149" s="8">
        <v>4.89907933296666</v>
      </c>
      <c r="N149" s="15">
        <v>2.4924547280953728E-4</v>
      </c>
      <c r="O149" s="5"/>
    </row>
    <row r="150" spans="1:15" x14ac:dyDescent="0.3">
      <c r="A150" s="6">
        <v>45733</v>
      </c>
      <c r="B150" s="4" t="s">
        <v>24</v>
      </c>
      <c r="C150" s="20" t="s">
        <v>197</v>
      </c>
      <c r="D150" s="15">
        <v>4.079459573624466E-6</v>
      </c>
      <c r="E150" s="15">
        <v>1.461975074491894E-4</v>
      </c>
      <c r="F150" s="16">
        <v>0.62506896282380853</v>
      </c>
      <c r="G150" s="15">
        <v>5.5895084159375222E-3</v>
      </c>
      <c r="H150" s="15">
        <v>6.3955779777988913E-6</v>
      </c>
      <c r="I150" s="15">
        <v>1.743098045770356E-3</v>
      </c>
      <c r="J150" s="5">
        <v>126.88543463894</v>
      </c>
      <c r="K150" s="5">
        <v>18.575989819725599</v>
      </c>
      <c r="L150" s="5">
        <v>25.9151303688745</v>
      </c>
      <c r="M150" s="8">
        <v>6.17191250385111</v>
      </c>
      <c r="N150" s="15">
        <v>4.2548495350260972E-4</v>
      </c>
      <c r="O150" s="5"/>
    </row>
    <row r="151" spans="1:15" x14ac:dyDescent="0.3">
      <c r="A151" s="6">
        <v>45733</v>
      </c>
      <c r="B151" s="4" t="s">
        <v>12</v>
      </c>
      <c r="C151" s="20" t="s">
        <v>198</v>
      </c>
      <c r="D151" s="15">
        <v>8.8388434086307167E-6</v>
      </c>
      <c r="E151" s="15">
        <v>2.5953259815855132E-4</v>
      </c>
      <c r="F151" s="16">
        <v>0.57961194989188425</v>
      </c>
      <c r="G151" s="15">
        <v>7.0783636447714496E-3</v>
      </c>
      <c r="H151" s="15">
        <v>8.3703157157341782E-6</v>
      </c>
      <c r="I151" s="15">
        <v>2.6156244911262057E-3</v>
      </c>
      <c r="J151" s="5">
        <v>128.12868042124401</v>
      </c>
      <c r="K151" s="5">
        <v>11.143866044514599</v>
      </c>
      <c r="L151" s="5">
        <v>61.020079473632599</v>
      </c>
      <c r="M151" s="8">
        <v>6.1998275423989098</v>
      </c>
      <c r="N151" s="15">
        <v>8.4994420636435317E-4</v>
      </c>
      <c r="O151" s="5"/>
    </row>
    <row r="152" spans="1:15" x14ac:dyDescent="0.3">
      <c r="A152" s="6">
        <v>45733</v>
      </c>
      <c r="B152" s="4" t="s">
        <v>11</v>
      </c>
      <c r="C152" s="20" t="s">
        <v>199</v>
      </c>
      <c r="D152" s="15">
        <v>4.4874060458455526E-6</v>
      </c>
      <c r="E152" s="15">
        <v>2.0394044168551924E-4</v>
      </c>
      <c r="F152" s="16">
        <v>0.57501800120042801</v>
      </c>
      <c r="G152" s="15">
        <v>6.2397493629612394E-3</v>
      </c>
      <c r="H152" s="15">
        <v>5.3548394416737946E-6</v>
      </c>
      <c r="I152" s="15">
        <v>1.4479100992661508E-3</v>
      </c>
      <c r="J152" s="5">
        <v>119.41463010872801</v>
      </c>
      <c r="K152" s="5">
        <v>10.6444988599063</v>
      </c>
      <c r="L152" s="5">
        <v>46.900783941640199</v>
      </c>
      <c r="M152" s="8">
        <v>5.6777216263454804</v>
      </c>
      <c r="N152" s="15">
        <v>6.2010555509206837E-4</v>
      </c>
      <c r="O152" s="5"/>
    </row>
    <row r="153" spans="1:15" x14ac:dyDescent="0.3">
      <c r="A153" s="6">
        <v>45733</v>
      </c>
      <c r="B153" s="4" t="s">
        <v>43</v>
      </c>
      <c r="C153" s="20" t="s">
        <v>200</v>
      </c>
      <c r="D153" s="15">
        <v>5.7565740356898347E-6</v>
      </c>
      <c r="E153" s="15">
        <v>1.5570058011267119E-4</v>
      </c>
      <c r="F153" s="16">
        <v>0.44094154634578892</v>
      </c>
      <c r="G153" s="15">
        <v>6.1744385000542645E-3</v>
      </c>
      <c r="H153" s="15">
        <v>7.5341632695545663E-6</v>
      </c>
      <c r="I153" s="15">
        <v>1.0690815006418513E-3</v>
      </c>
      <c r="J153" s="5">
        <v>86.333633246884304</v>
      </c>
      <c r="K153" s="5">
        <v>11.5120775958501</v>
      </c>
      <c r="L153" s="5">
        <v>20.733281836716198</v>
      </c>
      <c r="M153" s="8">
        <v>6.1930352763253502</v>
      </c>
      <c r="N153" s="15">
        <v>3.631516002998788E-4</v>
      </c>
      <c r="O153" s="5"/>
    </row>
    <row r="154" spans="1:15" x14ac:dyDescent="0.3">
      <c r="A154" s="6">
        <v>45733</v>
      </c>
      <c r="B154" s="4" t="s">
        <v>33</v>
      </c>
      <c r="C154" s="20" t="s">
        <v>201</v>
      </c>
      <c r="D154" s="15">
        <v>8.0229480527627872E-6</v>
      </c>
      <c r="E154" s="15">
        <v>3.6874950111993334E-4</v>
      </c>
      <c r="F154" s="16">
        <v>0.8467098802085169</v>
      </c>
      <c r="G154" s="15">
        <v>8.2885154330412311E-3</v>
      </c>
      <c r="H154" s="15">
        <v>5.2303090365669411E-6</v>
      </c>
      <c r="I154" s="15">
        <v>4.7842443793161011E-3</v>
      </c>
      <c r="J154" s="5">
        <v>191.21308063777099</v>
      </c>
      <c r="K154" s="5">
        <v>37.086188070914297</v>
      </c>
      <c r="L154" s="5">
        <v>105.799853140558</v>
      </c>
      <c r="M154" s="5">
        <v>11.9895543504689</v>
      </c>
      <c r="N154" s="15">
        <v>7.2027311331126576E-4</v>
      </c>
      <c r="O154" s="5"/>
    </row>
    <row r="155" spans="1:15" x14ac:dyDescent="0.3">
      <c r="A155" s="6">
        <v>45733</v>
      </c>
      <c r="B155" s="4" t="s">
        <v>22</v>
      </c>
      <c r="C155" s="20" t="s">
        <v>202</v>
      </c>
      <c r="D155" s="15">
        <v>4.44207868683679E-6</v>
      </c>
      <c r="E155" s="15">
        <v>1.5939272261848931E-4</v>
      </c>
      <c r="F155" s="16">
        <v>0.51944866841453186</v>
      </c>
      <c r="G155" s="15">
        <v>4.8431372246162379E-3</v>
      </c>
      <c r="H155" s="15">
        <v>9.8558283723343465E-6</v>
      </c>
      <c r="I155" s="15">
        <v>1.4055328370126301E-3</v>
      </c>
      <c r="J155" s="5">
        <v>101.16002942134</v>
      </c>
      <c r="K155" s="8">
        <v>5.1938263770634396</v>
      </c>
      <c r="L155" s="5">
        <v>27.499409091143701</v>
      </c>
      <c r="M155" s="8">
        <v>4.34623782670577</v>
      </c>
      <c r="N155" s="15">
        <v>4.79829665742641E-4</v>
      </c>
      <c r="O155" s="5"/>
    </row>
    <row r="156" spans="1:15" x14ac:dyDescent="0.3">
      <c r="A156" s="6">
        <v>45733</v>
      </c>
      <c r="B156" s="4" t="s">
        <v>47</v>
      </c>
      <c r="C156" s="20" t="s">
        <v>203</v>
      </c>
      <c r="D156" s="15">
        <v>4.3786794986035536E-5</v>
      </c>
      <c r="E156" s="15">
        <v>3.9116523259937955E-4</v>
      </c>
      <c r="F156" s="16">
        <v>0.39500955035834878</v>
      </c>
      <c r="G156" s="15">
        <v>8.1377345950748806E-3</v>
      </c>
      <c r="H156" s="15">
        <v>1.1448089879933844E-5</v>
      </c>
      <c r="I156" s="15">
        <v>1.1417413206866595E-2</v>
      </c>
      <c r="J156" s="5">
        <v>75.586700456363104</v>
      </c>
      <c r="K156" s="5">
        <v>22.9040233305527</v>
      </c>
      <c r="L156" s="5">
        <v>104.142843544971</v>
      </c>
      <c r="M156" s="8">
        <v>8.2738022421360995</v>
      </c>
      <c r="N156" s="15">
        <v>2.3724542071721991E-3</v>
      </c>
      <c r="O156" s="5"/>
    </row>
    <row r="157" spans="1:15" x14ac:dyDescent="0.3">
      <c r="A157" s="6">
        <v>45733</v>
      </c>
      <c r="B157" s="4" t="s">
        <v>13</v>
      </c>
      <c r="C157" s="20" t="s">
        <v>204</v>
      </c>
      <c r="D157" s="15">
        <v>2.6698003462159258E-5</v>
      </c>
      <c r="E157" s="15">
        <v>2.0316431938395194E-4</v>
      </c>
      <c r="F157" s="16">
        <v>0.52260514898039678</v>
      </c>
      <c r="G157" s="15">
        <v>7.5406542131416857E-3</v>
      </c>
      <c r="H157" s="15">
        <v>1.1172336939481823E-5</v>
      </c>
      <c r="I157" s="15">
        <v>5.9465076384363795E-3</v>
      </c>
      <c r="J157" s="5">
        <v>96.818283338948106</v>
      </c>
      <c r="K157" s="8">
        <v>5.1623494772854102</v>
      </c>
      <c r="L157" s="5">
        <v>13.8531544863195</v>
      </c>
      <c r="M157" s="8">
        <v>2.0801647152017502</v>
      </c>
      <c r="N157" s="15">
        <v>1.1469040415869026E-3</v>
      </c>
      <c r="O157" s="5"/>
    </row>
    <row r="158" spans="1:15" x14ac:dyDescent="0.3">
      <c r="A158" s="6">
        <v>45733</v>
      </c>
      <c r="B158" s="4" t="s">
        <v>50</v>
      </c>
      <c r="C158" s="20" t="s">
        <v>205</v>
      </c>
      <c r="D158" s="15">
        <v>3.3814532585993778E-5</v>
      </c>
      <c r="E158" s="15">
        <v>1.5744004314257091E-4</v>
      </c>
      <c r="F158" s="16">
        <v>0.48770965019646961</v>
      </c>
      <c r="G158" s="15">
        <v>9.4380623405028799E-3</v>
      </c>
      <c r="H158" s="15">
        <v>1.6660803215623024E-5</v>
      </c>
      <c r="I158" s="15">
        <v>1.3572901052398226E-2</v>
      </c>
      <c r="J158" s="5">
        <v>102.025740293084</v>
      </c>
      <c r="K158" s="5">
        <v>27.068105204854099</v>
      </c>
      <c r="L158" s="5">
        <v>34.187069208842999</v>
      </c>
      <c r="M158" s="5">
        <v>10.3455697921584</v>
      </c>
      <c r="N158" s="15">
        <v>1.6093166606691227E-3</v>
      </c>
      <c r="O158" s="5"/>
    </row>
    <row r="159" spans="1:15" x14ac:dyDescent="0.3">
      <c r="A159" s="6">
        <v>45733</v>
      </c>
      <c r="B159" s="4" t="s">
        <v>51</v>
      </c>
      <c r="C159" s="20" t="s">
        <v>206</v>
      </c>
      <c r="D159" s="15">
        <v>1.8538969191849993E-5</v>
      </c>
      <c r="E159" s="15">
        <v>1.7471726864926992E-4</v>
      </c>
      <c r="F159" s="16">
        <v>0.48314938477981578</v>
      </c>
      <c r="G159" s="15">
        <v>7.5199477475291383E-3</v>
      </c>
      <c r="H159" s="15">
        <v>2.2878836267258695E-5</v>
      </c>
      <c r="I159" s="15">
        <v>5.7187265296724235E-3</v>
      </c>
      <c r="J159" s="5">
        <v>93.374294843738994</v>
      </c>
      <c r="K159" s="8">
        <v>7.7935785568131299</v>
      </c>
      <c r="L159" s="5">
        <v>32.831571599213802</v>
      </c>
      <c r="M159" s="8">
        <v>3.8108769489168299</v>
      </c>
      <c r="N159" s="15">
        <v>2.6545972617877992E-3</v>
      </c>
      <c r="O159" s="5"/>
    </row>
    <row r="160" spans="1:15" x14ac:dyDescent="0.3">
      <c r="A160" s="6">
        <v>45733</v>
      </c>
      <c r="B160" s="4" t="s">
        <v>15</v>
      </c>
      <c r="C160" s="20" t="s">
        <v>207</v>
      </c>
      <c r="D160" s="15">
        <v>6.4364858338304674E-6</v>
      </c>
      <c r="E160" s="15">
        <v>2.8917526493247117E-4</v>
      </c>
      <c r="F160" s="16">
        <v>0.66538612439486744</v>
      </c>
      <c r="G160" s="15">
        <v>7.3857360559070277E-3</v>
      </c>
      <c r="H160" s="15">
        <v>7.2209628363308393E-5</v>
      </c>
      <c r="I160" s="15">
        <v>3.1238988547538996E-3</v>
      </c>
      <c r="J160" s="5">
        <v>147.38294598516401</v>
      </c>
      <c r="K160" s="5">
        <v>13.760856196469501</v>
      </c>
      <c r="L160" s="5">
        <v>23.217026264924201</v>
      </c>
      <c r="M160" s="8">
        <v>6.2072373413730597</v>
      </c>
      <c r="N160" s="15">
        <v>1.0409059152775122E-3</v>
      </c>
      <c r="O160" s="5"/>
    </row>
    <row r="161" spans="1:15" x14ac:dyDescent="0.3">
      <c r="A161" s="6">
        <v>45733</v>
      </c>
      <c r="B161" s="4" t="s">
        <v>14</v>
      </c>
      <c r="C161" s="20" t="s">
        <v>208</v>
      </c>
      <c r="D161" s="15">
        <v>5.3032995487222076E-6</v>
      </c>
      <c r="E161" s="15">
        <v>1.0824670217545531E-4</v>
      </c>
      <c r="F161" s="16">
        <v>0.71909104052899697</v>
      </c>
      <c r="G161" s="15">
        <v>8.144138580530683E-3</v>
      </c>
      <c r="H161" s="15">
        <v>7.2495140060290685E-6</v>
      </c>
      <c r="I161" s="15">
        <v>2.7826744269604485E-3</v>
      </c>
      <c r="J161" s="5">
        <v>157.86455211720099</v>
      </c>
      <c r="K161" s="5">
        <v>11.9539196942898</v>
      </c>
      <c r="L161" s="5">
        <v>20.832577264707201</v>
      </c>
      <c r="M161" s="8">
        <v>5.0199597594815302</v>
      </c>
      <c r="N161" s="15">
        <v>9.9816972167039828E-4</v>
      </c>
      <c r="O161" s="5"/>
    </row>
    <row r="162" spans="1:15" x14ac:dyDescent="0.3">
      <c r="A162" s="6">
        <v>45733</v>
      </c>
      <c r="B162" s="4" t="s">
        <v>26</v>
      </c>
      <c r="C162" s="20" t="s">
        <v>209</v>
      </c>
      <c r="D162" s="15">
        <v>4.2154418367955351E-6</v>
      </c>
      <c r="E162" s="15">
        <v>1.7080157190549496E-4</v>
      </c>
      <c r="F162" s="16">
        <v>0.75613560784397915</v>
      </c>
      <c r="G162" s="15">
        <v>6.9695873965591425E-3</v>
      </c>
      <c r="H162" s="15">
        <v>4.8211308789850391E-6</v>
      </c>
      <c r="I162" s="15">
        <v>1.1662563947857944E-3</v>
      </c>
      <c r="J162" s="5">
        <v>162.61153435061499</v>
      </c>
      <c r="K162" s="5">
        <v>18.002181566895501</v>
      </c>
      <c r="L162" s="5">
        <v>46.335866876949098</v>
      </c>
      <c r="M162" s="8">
        <v>5.3421502935474203</v>
      </c>
      <c r="N162" s="15">
        <v>4.61000297647386E-4</v>
      </c>
      <c r="O162" s="5"/>
    </row>
  </sheetData>
  <autoFilter ref="A1:P162"/>
  <sortState ref="B185:H203">
    <sortCondition ref="B185"/>
  </sortState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B2" sqref="B2:B4"/>
    </sheetView>
  </sheetViews>
  <sheetFormatPr baseColWidth="10" defaultRowHeight="15.6" x14ac:dyDescent="0.3"/>
  <cols>
    <col min="1" max="1" width="5.59765625" customWidth="1"/>
    <col min="2" max="3" width="13" customWidth="1"/>
  </cols>
  <sheetData>
    <row r="2" spans="2:3" x14ac:dyDescent="0.3">
      <c r="B2" s="11" t="s">
        <v>44</v>
      </c>
      <c r="C2" s="11" t="s">
        <v>48</v>
      </c>
    </row>
    <row r="3" spans="2:3" x14ac:dyDescent="0.3">
      <c r="B3" s="11" t="s">
        <v>34</v>
      </c>
      <c r="C3" s="11" t="s">
        <v>48</v>
      </c>
    </row>
    <row r="4" spans="2:3" x14ac:dyDescent="0.3">
      <c r="B4" s="11" t="s">
        <v>46</v>
      </c>
      <c r="C4" s="11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every watersample</vt:lpstr>
      <vt:lpstr>once a month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Lorenz</dc:creator>
  <cp:lastModifiedBy>Windows-Benutzer</cp:lastModifiedBy>
  <dcterms:created xsi:type="dcterms:W3CDTF">2021-04-20T06:10:15Z</dcterms:created>
  <dcterms:modified xsi:type="dcterms:W3CDTF">2025-09-10T10:50:40Z</dcterms:modified>
</cp:coreProperties>
</file>