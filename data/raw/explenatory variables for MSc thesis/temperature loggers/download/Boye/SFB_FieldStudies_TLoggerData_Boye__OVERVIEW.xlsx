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aten\3 RESIST\9 sciebo\b_Environmental Data\Temperature (Logger Data)\Boye\"/>
    </mc:Choice>
  </mc:AlternateContent>
  <bookViews>
    <workbookView xWindow="-28920" yWindow="-120" windowWidth="29040" windowHeight="18240" tabRatio="788"/>
  </bookViews>
  <sheets>
    <sheet name="graph" sheetId="13" r:id="rId1"/>
    <sheet name="table" sheetId="1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8" i="12" l="1"/>
  <c r="O47" i="12"/>
  <c r="M48" i="12"/>
  <c r="M47" i="12"/>
  <c r="J48" i="12"/>
  <c r="J47" i="12"/>
  <c r="H48" i="12"/>
  <c r="H47" i="12"/>
  <c r="E48" i="12"/>
  <c r="E47" i="12"/>
  <c r="O45" i="12" l="1"/>
  <c r="O44" i="12"/>
  <c r="O43" i="12"/>
  <c r="O42" i="12"/>
  <c r="M45" i="12"/>
  <c r="M44" i="12"/>
  <c r="M43" i="12"/>
  <c r="M42" i="12"/>
  <c r="J45" i="12"/>
  <c r="J44" i="12"/>
  <c r="J43" i="12"/>
  <c r="J42" i="12"/>
  <c r="H45" i="12"/>
  <c r="H44" i="12"/>
  <c r="H43" i="12"/>
  <c r="H42" i="12"/>
  <c r="E45" i="12"/>
  <c r="E44" i="12"/>
  <c r="E43" i="12"/>
  <c r="E42" i="12"/>
  <c r="O40" i="12" l="1"/>
  <c r="O38" i="12"/>
  <c r="M40" i="12"/>
  <c r="M38" i="12"/>
  <c r="J40" i="12"/>
  <c r="J39" i="12"/>
  <c r="J38" i="12"/>
  <c r="J37" i="12"/>
  <c r="H40" i="12"/>
  <c r="H39" i="12"/>
  <c r="H38" i="12"/>
  <c r="H37" i="12"/>
  <c r="E40" i="12"/>
  <c r="E39" i="12"/>
  <c r="E38" i="12"/>
  <c r="E37" i="12"/>
  <c r="O35" i="12" l="1"/>
  <c r="O33" i="12"/>
  <c r="M35" i="12"/>
  <c r="M33" i="12"/>
  <c r="J35" i="12"/>
  <c r="J34" i="12"/>
  <c r="J33" i="12"/>
  <c r="J32" i="12"/>
  <c r="H35" i="12"/>
  <c r="H34" i="12"/>
  <c r="H33" i="12"/>
  <c r="H32" i="12"/>
  <c r="E35" i="12"/>
  <c r="E34" i="12"/>
  <c r="E33" i="12"/>
  <c r="E32" i="12"/>
  <c r="H30" i="12"/>
  <c r="O30" i="12" l="1"/>
  <c r="M30" i="12"/>
  <c r="J30" i="12"/>
  <c r="E30" i="12"/>
  <c r="J29" i="12"/>
  <c r="H29" i="12"/>
  <c r="E29" i="12"/>
  <c r="J28" i="12"/>
  <c r="J27" i="12"/>
  <c r="H28" i="12"/>
  <c r="H27" i="12"/>
  <c r="E28" i="12"/>
  <c r="E27" i="12"/>
  <c r="O25" i="12" l="1"/>
  <c r="O23" i="12"/>
  <c r="O22" i="12"/>
  <c r="M25" i="12"/>
  <c r="M23" i="12"/>
  <c r="M22" i="12"/>
  <c r="J25" i="12"/>
  <c r="J24" i="12"/>
  <c r="J23" i="12"/>
  <c r="J22" i="12"/>
  <c r="H25" i="12"/>
  <c r="H24" i="12"/>
  <c r="H23" i="12"/>
  <c r="H22" i="12"/>
  <c r="E25" i="12"/>
  <c r="E24" i="12"/>
  <c r="E23" i="12"/>
  <c r="E22" i="12"/>
  <c r="R18" i="12" l="1"/>
  <c r="T18" i="12"/>
  <c r="O20" i="12"/>
  <c r="O19" i="12"/>
  <c r="O18" i="12"/>
  <c r="O17" i="12"/>
  <c r="M20" i="12"/>
  <c r="M19" i="12"/>
  <c r="M18" i="12"/>
  <c r="M17" i="12"/>
  <c r="J17" i="12"/>
  <c r="J18" i="12"/>
  <c r="J19" i="12"/>
  <c r="J20" i="12"/>
  <c r="H17" i="12"/>
  <c r="H18" i="12"/>
  <c r="H19" i="12"/>
  <c r="H20" i="12"/>
  <c r="E17" i="12"/>
  <c r="E18" i="12"/>
  <c r="E19" i="12"/>
  <c r="E20" i="12"/>
  <c r="J15" i="12" l="1"/>
  <c r="H15" i="12"/>
  <c r="J14" i="12"/>
  <c r="H14" i="12"/>
  <c r="O13" i="12"/>
  <c r="M13" i="12"/>
  <c r="O12" i="12"/>
  <c r="M12" i="12"/>
  <c r="O8" i="12" l="1"/>
  <c r="M8" i="12"/>
  <c r="O7" i="12" l="1"/>
  <c r="M7" i="12"/>
  <c r="O5" i="12"/>
  <c r="M5" i="12"/>
  <c r="D51" i="12" l="1"/>
  <c r="J12" i="12"/>
  <c r="J13" i="12"/>
  <c r="H12" i="12"/>
  <c r="H13" i="12"/>
  <c r="E12" i="12"/>
  <c r="E13" i="12"/>
  <c r="E14" i="12"/>
  <c r="E15" i="12"/>
  <c r="O10" i="12" l="1"/>
  <c r="M10" i="12"/>
  <c r="J10" i="12"/>
  <c r="J11" i="12"/>
  <c r="H10" i="12"/>
  <c r="H11" i="12"/>
  <c r="E10" i="12"/>
  <c r="E11" i="12"/>
  <c r="J8" i="12"/>
  <c r="J9" i="12"/>
  <c r="H8" i="12"/>
  <c r="H9" i="12"/>
  <c r="E8" i="12"/>
  <c r="E9" i="12"/>
  <c r="E7" i="12"/>
  <c r="E6" i="12"/>
  <c r="O6" i="12"/>
  <c r="M6" i="12"/>
  <c r="J7" i="12"/>
  <c r="J6" i="12"/>
  <c r="H7" i="12"/>
  <c r="H6" i="12"/>
  <c r="H5" i="12" l="1"/>
  <c r="J5" i="12"/>
  <c r="E4" i="12" l="1"/>
  <c r="H4" i="12"/>
  <c r="J4" i="12"/>
  <c r="E5" i="12"/>
</calcChain>
</file>

<file path=xl/sharedStrings.xml><?xml version="1.0" encoding="utf-8"?>
<sst xmlns="http://schemas.openxmlformats.org/spreadsheetml/2006/main" count="75" uniqueCount="59">
  <si>
    <t>Anfang</t>
  </si>
  <si>
    <t>Ende</t>
  </si>
  <si>
    <t>Tage 1</t>
  </si>
  <si>
    <t>Tage 2</t>
  </si>
  <si>
    <t>Tage 3</t>
  </si>
  <si>
    <t>Tage 4</t>
  </si>
  <si>
    <t>Tage 5</t>
  </si>
  <si>
    <t>Tage 6</t>
  </si>
  <si>
    <t>data collected</t>
  </si>
  <si>
    <t>data gap</t>
  </si>
  <si>
    <t>Legend</t>
  </si>
  <si>
    <t>logger still measuring, but not readed out yet</t>
  </si>
  <si>
    <t>interpretation of the colours see legend below the diagram</t>
  </si>
  <si>
    <t>BOYkl-A</t>
  </si>
  <si>
    <t>BOYkl-B</t>
  </si>
  <si>
    <t>BOYohB224-A</t>
  </si>
  <si>
    <t>BOYohB224-B</t>
  </si>
  <si>
    <t>BOYohBr-A</t>
  </si>
  <si>
    <t>BOYohBr-B</t>
  </si>
  <si>
    <t>BOYohKi-A</t>
  </si>
  <si>
    <t>BOYohKi-B</t>
  </si>
  <si>
    <t>BOYohSp-A</t>
  </si>
  <si>
    <t>BOYohSp-B</t>
  </si>
  <si>
    <t>BOYuhSp-A</t>
  </si>
  <si>
    <t>BOYuhSp-B</t>
  </si>
  <si>
    <t>start date of most recent measuring period | no gap to the previous measuring periode</t>
  </si>
  <si>
    <t>fictitious end date of most recent measuring period (date will be continuously adjusted)</t>
  </si>
  <si>
    <t>measure period 1</t>
  </si>
  <si>
    <t>measure period 2</t>
  </si>
  <si>
    <t>measure period 3</t>
  </si>
  <si>
    <t>measure period 4</t>
  </si>
  <si>
    <t>measure period 5</t>
  </si>
  <si>
    <t>measure period 6</t>
  </si>
  <si>
    <t>BRAob-A</t>
  </si>
  <si>
    <t>BRAob-B</t>
  </si>
  <si>
    <t>BRAohBo-A</t>
  </si>
  <si>
    <t>BRAohBo-B</t>
  </si>
  <si>
    <t>HAAunt-A</t>
  </si>
  <si>
    <t>HAAunt-B</t>
  </si>
  <si>
    <t>HAAob-A</t>
  </si>
  <si>
    <t>HAAob-B</t>
  </si>
  <si>
    <t>KIRob-A</t>
  </si>
  <si>
    <t>KIRun-B</t>
  </si>
  <si>
    <t>KIRob-B</t>
  </si>
  <si>
    <t>KIRun-A</t>
  </si>
  <si>
    <t>LIEohBo-A</t>
  </si>
  <si>
    <t>LIEohBo-B</t>
  </si>
  <si>
    <t>NATohBo-A</t>
  </si>
  <si>
    <t>NATohBo-B</t>
  </si>
  <si>
    <t>QUAohB-A</t>
  </si>
  <si>
    <t>QUAohB-B</t>
  </si>
  <si>
    <t>SCHohVo-A</t>
  </si>
  <si>
    <t>SCHohVo-B</t>
  </si>
  <si>
    <t>VORohBo-A</t>
  </si>
  <si>
    <t>VORohBo-B</t>
  </si>
  <si>
    <t>VORuhSc-A</t>
  </si>
  <si>
    <t>VORuhSc-B</t>
  </si>
  <si>
    <t>WITob-A</t>
  </si>
  <si>
    <t>WITob-B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</si>
</sst>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8"/>
        <bgColor indexed="64"/>
      </patternFill>
    </fill>
    <fill>
      <patternFill patternType="lightUp">
        <fgColor theme="1"/>
        <bgColor rgb="FFFFFF00"/>
      </patternFill>
    </fill>
    <fill>
      <patternFill patternType="solid">
        <fgColor rgb="FFFFFFDF"/>
        <bgColor indexed="64"/>
      </patternFill>
    </fill>
    <fill>
      <patternFill patternType="solid">
        <fgColor rgb="FFD7E9CB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3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 wrapText="1"/>
    </xf>
    <xf numFmtId="0" fontId="0" fillId="2" borderId="4" xfId="0" applyFill="1" applyBorder="1"/>
    <xf numFmtId="0" fontId="1" fillId="0" borderId="0" xfId="0" applyFont="1"/>
    <xf numFmtId="0" fontId="3" fillId="4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4" fillId="0" borderId="0" xfId="0" applyFont="1"/>
    <xf numFmtId="0" fontId="6" fillId="0" borderId="0" xfId="0" applyFont="1"/>
    <xf numFmtId="164" fontId="0" fillId="6" borderId="3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1" fontId="0" fillId="6" borderId="3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" fontId="0" fillId="7" borderId="1" xfId="0" applyNumberFormat="1" applyFill="1" applyBorder="1" applyAlignment="1">
      <alignment vertical="center" wrapText="1"/>
    </xf>
    <xf numFmtId="164" fontId="0" fillId="7" borderId="1" xfId="0" applyNumberForma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 wrapText="1"/>
    </xf>
    <xf numFmtId="1" fontId="2" fillId="8" borderId="1" xfId="0" applyNumberFormat="1" applyFont="1" applyFill="1" applyBorder="1" applyAlignment="1">
      <alignment vertical="center" wrapText="1"/>
    </xf>
    <xf numFmtId="0" fontId="0" fillId="0" borderId="0" xfId="0" applyFill="1"/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7E9CB"/>
      <color rgb="FFFFFFCC"/>
      <color rgb="FF00FF00"/>
      <color rgb="FFFFA7A7"/>
      <color rgb="FFFFBDBD"/>
      <color rgb="FF0000FF"/>
      <color rgb="FFFF99FF"/>
      <color rgb="FFFF66FF"/>
      <color rgb="FFA9CBE9"/>
      <color rgb="FF9BC2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periods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table!$C$3</c:f>
              <c:strCache>
                <c:ptCount val="1"/>
                <c:pt idx="0">
                  <c:v>Anfang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table!$C$4:$C$48</c:f>
              <c:numCache>
                <c:formatCode>yyyy\-mm\-dd;@</c:formatCode>
                <c:ptCount val="45"/>
                <c:pt idx="0">
                  <c:v>44317</c:v>
                </c:pt>
                <c:pt idx="1">
                  <c:v>44317</c:v>
                </c:pt>
                <c:pt idx="2">
                  <c:v>44317</c:v>
                </c:pt>
                <c:pt idx="3">
                  <c:v>44317</c:v>
                </c:pt>
                <c:pt idx="4">
                  <c:v>44317</c:v>
                </c:pt>
                <c:pt idx="5">
                  <c:v>44317</c:v>
                </c:pt>
                <c:pt idx="6">
                  <c:v>44317</c:v>
                </c:pt>
                <c:pt idx="7">
                  <c:v>44317</c:v>
                </c:pt>
                <c:pt idx="8">
                  <c:v>44317</c:v>
                </c:pt>
                <c:pt idx="9">
                  <c:v>44317</c:v>
                </c:pt>
                <c:pt idx="10">
                  <c:v>44317</c:v>
                </c:pt>
                <c:pt idx="11">
                  <c:v>44317</c:v>
                </c:pt>
                <c:pt idx="13">
                  <c:v>44317</c:v>
                </c:pt>
                <c:pt idx="14">
                  <c:v>44317</c:v>
                </c:pt>
                <c:pt idx="15">
                  <c:v>44317</c:v>
                </c:pt>
                <c:pt idx="16">
                  <c:v>44317</c:v>
                </c:pt>
                <c:pt idx="18">
                  <c:v>44317</c:v>
                </c:pt>
                <c:pt idx="19">
                  <c:v>44317</c:v>
                </c:pt>
                <c:pt idx="20">
                  <c:v>44317</c:v>
                </c:pt>
                <c:pt idx="21">
                  <c:v>44317</c:v>
                </c:pt>
                <c:pt idx="23">
                  <c:v>44317</c:v>
                </c:pt>
                <c:pt idx="24">
                  <c:v>44317</c:v>
                </c:pt>
                <c:pt idx="25">
                  <c:v>44317</c:v>
                </c:pt>
                <c:pt idx="26">
                  <c:v>44317</c:v>
                </c:pt>
                <c:pt idx="28">
                  <c:v>44394</c:v>
                </c:pt>
                <c:pt idx="29">
                  <c:v>44394</c:v>
                </c:pt>
                <c:pt idx="30">
                  <c:v>44380</c:v>
                </c:pt>
                <c:pt idx="31">
                  <c:v>44380</c:v>
                </c:pt>
                <c:pt idx="33">
                  <c:v>44317</c:v>
                </c:pt>
                <c:pt idx="34">
                  <c:v>44317</c:v>
                </c:pt>
                <c:pt idx="35">
                  <c:v>44317</c:v>
                </c:pt>
                <c:pt idx="36">
                  <c:v>44317</c:v>
                </c:pt>
                <c:pt idx="38">
                  <c:v>44317</c:v>
                </c:pt>
                <c:pt idx="39">
                  <c:v>44317</c:v>
                </c:pt>
                <c:pt idx="40">
                  <c:v>44317</c:v>
                </c:pt>
                <c:pt idx="41">
                  <c:v>44317</c:v>
                </c:pt>
                <c:pt idx="43">
                  <c:v>44317</c:v>
                </c:pt>
                <c:pt idx="44">
                  <c:v>44317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9-412F-9B78-9EA6E3757782}"/>
            </c:ext>
          </c:extLst>
        </c:ser>
        <c:ser>
          <c:idx val="1"/>
          <c:order val="1"/>
          <c:tx>
            <c:strRef>
              <c:f>table!$E$3</c:f>
              <c:strCache>
                <c:ptCount val="1"/>
                <c:pt idx="0">
                  <c:v>Tage 1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table!$E$4:$E$48</c:f>
              <c:numCache>
                <c:formatCode>0</c:formatCode>
                <c:ptCount val="45"/>
                <c:pt idx="0">
                  <c:v>566</c:v>
                </c:pt>
                <c:pt idx="1">
                  <c:v>584</c:v>
                </c:pt>
                <c:pt idx="2">
                  <c:v>356</c:v>
                </c:pt>
                <c:pt idx="3">
                  <c:v>614</c:v>
                </c:pt>
                <c:pt idx="4">
                  <c:v>356</c:v>
                </c:pt>
                <c:pt idx="5">
                  <c:v>659</c:v>
                </c:pt>
                <c:pt idx="6">
                  <c:v>58</c:v>
                </c:pt>
                <c:pt idx="7">
                  <c:v>584</c:v>
                </c:pt>
                <c:pt idx="8">
                  <c:v>62</c:v>
                </c:pt>
                <c:pt idx="9">
                  <c:v>665</c:v>
                </c:pt>
                <c:pt idx="10">
                  <c:v>719</c:v>
                </c:pt>
                <c:pt idx="11">
                  <c:v>584</c:v>
                </c:pt>
                <c:pt idx="13">
                  <c:v>712</c:v>
                </c:pt>
                <c:pt idx="14">
                  <c:v>379</c:v>
                </c:pt>
                <c:pt idx="15">
                  <c:v>566</c:v>
                </c:pt>
                <c:pt idx="16">
                  <c:v>146</c:v>
                </c:pt>
                <c:pt idx="18">
                  <c:v>740</c:v>
                </c:pt>
                <c:pt idx="19">
                  <c:v>585</c:v>
                </c:pt>
                <c:pt idx="20">
                  <c:v>745</c:v>
                </c:pt>
                <c:pt idx="21">
                  <c:v>521</c:v>
                </c:pt>
                <c:pt idx="23">
                  <c:v>644</c:v>
                </c:pt>
                <c:pt idx="24">
                  <c:v>584</c:v>
                </c:pt>
                <c:pt idx="25">
                  <c:v>566</c:v>
                </c:pt>
                <c:pt idx="26">
                  <c:v>584</c:v>
                </c:pt>
                <c:pt idx="28">
                  <c:v>501</c:v>
                </c:pt>
                <c:pt idx="29">
                  <c:v>446</c:v>
                </c:pt>
                <c:pt idx="30">
                  <c:v>413</c:v>
                </c:pt>
                <c:pt idx="31">
                  <c:v>556</c:v>
                </c:pt>
                <c:pt idx="33">
                  <c:v>566</c:v>
                </c:pt>
                <c:pt idx="34">
                  <c:v>639</c:v>
                </c:pt>
                <c:pt idx="35">
                  <c:v>721</c:v>
                </c:pt>
                <c:pt idx="36">
                  <c:v>651</c:v>
                </c:pt>
                <c:pt idx="38">
                  <c:v>745</c:v>
                </c:pt>
                <c:pt idx="39">
                  <c:v>584</c:v>
                </c:pt>
                <c:pt idx="40">
                  <c:v>602</c:v>
                </c:pt>
                <c:pt idx="41">
                  <c:v>527</c:v>
                </c:pt>
                <c:pt idx="43">
                  <c:v>356</c:v>
                </c:pt>
                <c:pt idx="44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9-412F-9B78-9EA6E3757782}"/>
            </c:ext>
          </c:extLst>
        </c:ser>
        <c:ser>
          <c:idx val="2"/>
          <c:order val="2"/>
          <c:tx>
            <c:strRef>
              <c:f>table!$H$3</c:f>
              <c:strCache>
                <c:ptCount val="1"/>
                <c:pt idx="0">
                  <c:v>Tage 2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table!$H$4:$H$48</c:f>
              <c:numCache>
                <c:formatCode>0</c:formatCode>
                <c:ptCount val="45"/>
                <c:pt idx="0">
                  <c:v>179</c:v>
                </c:pt>
                <c:pt idx="1">
                  <c:v>168</c:v>
                </c:pt>
                <c:pt idx="2">
                  <c:v>59</c:v>
                </c:pt>
                <c:pt idx="3">
                  <c:v>138</c:v>
                </c:pt>
                <c:pt idx="4">
                  <c:v>38</c:v>
                </c:pt>
                <c:pt idx="5">
                  <c:v>93</c:v>
                </c:pt>
                <c:pt idx="6">
                  <c:v>31</c:v>
                </c:pt>
                <c:pt idx="7">
                  <c:v>168</c:v>
                </c:pt>
                <c:pt idx="8">
                  <c:v>14</c:v>
                </c:pt>
                <c:pt idx="9">
                  <c:v>87</c:v>
                </c:pt>
                <c:pt idx="10">
                  <c:v>253</c:v>
                </c:pt>
                <c:pt idx="11">
                  <c:v>388</c:v>
                </c:pt>
                <c:pt idx="13">
                  <c:v>260</c:v>
                </c:pt>
                <c:pt idx="14">
                  <c:v>43</c:v>
                </c:pt>
                <c:pt idx="15">
                  <c:v>179</c:v>
                </c:pt>
                <c:pt idx="16">
                  <c:v>392</c:v>
                </c:pt>
                <c:pt idx="18">
                  <c:v>5</c:v>
                </c:pt>
                <c:pt idx="19">
                  <c:v>167</c:v>
                </c:pt>
                <c:pt idx="20">
                  <c:v>0</c:v>
                </c:pt>
                <c:pt idx="21">
                  <c:v>231</c:v>
                </c:pt>
                <c:pt idx="23">
                  <c:v>101</c:v>
                </c:pt>
                <c:pt idx="24">
                  <c:v>168</c:v>
                </c:pt>
                <c:pt idx="25">
                  <c:v>179</c:v>
                </c:pt>
                <c:pt idx="26">
                  <c:v>168</c:v>
                </c:pt>
                <c:pt idx="28">
                  <c:v>736</c:v>
                </c:pt>
                <c:pt idx="29">
                  <c:v>229</c:v>
                </c:pt>
                <c:pt idx="30">
                  <c:v>269</c:v>
                </c:pt>
                <c:pt idx="31">
                  <c:v>133</c:v>
                </c:pt>
                <c:pt idx="33">
                  <c:v>186</c:v>
                </c:pt>
                <c:pt idx="34">
                  <c:v>113</c:v>
                </c:pt>
                <c:pt idx="35">
                  <c:v>24</c:v>
                </c:pt>
                <c:pt idx="36">
                  <c:v>101</c:v>
                </c:pt>
                <c:pt idx="38">
                  <c:v>0</c:v>
                </c:pt>
                <c:pt idx="39">
                  <c:v>168</c:v>
                </c:pt>
                <c:pt idx="40">
                  <c:v>143</c:v>
                </c:pt>
                <c:pt idx="41">
                  <c:v>225</c:v>
                </c:pt>
                <c:pt idx="43">
                  <c:v>389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9-412F-9B78-9EA6E3757782}"/>
            </c:ext>
          </c:extLst>
        </c:ser>
        <c:ser>
          <c:idx val="3"/>
          <c:order val="3"/>
          <c:tx>
            <c:strRef>
              <c:f>table!$J$3</c:f>
              <c:strCache>
                <c:ptCount val="1"/>
                <c:pt idx="0">
                  <c:v>Tage 2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1F-405A-BFBB-AD67FEA3693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C3-4F89-8DCF-BD2D5AB95138}"/>
              </c:ext>
            </c:extLst>
          </c:dPt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table!$J$4:$J$48</c:f>
              <c:numCache>
                <c:formatCode>0</c:formatCode>
                <c:ptCount val="45"/>
                <c:pt idx="0">
                  <c:v>734</c:v>
                </c:pt>
                <c:pt idx="1">
                  <c:v>542</c:v>
                </c:pt>
                <c:pt idx="2">
                  <c:v>151</c:v>
                </c:pt>
                <c:pt idx="3">
                  <c:v>393</c:v>
                </c:pt>
                <c:pt idx="4">
                  <c:v>401</c:v>
                </c:pt>
                <c:pt idx="5">
                  <c:v>393</c:v>
                </c:pt>
                <c:pt idx="6">
                  <c:v>502</c:v>
                </c:pt>
                <c:pt idx="7">
                  <c:v>393</c:v>
                </c:pt>
                <c:pt idx="8">
                  <c:v>346</c:v>
                </c:pt>
                <c:pt idx="9">
                  <c:v>393</c:v>
                </c:pt>
                <c:pt idx="10">
                  <c:v>507</c:v>
                </c:pt>
                <c:pt idx="11">
                  <c:v>518</c:v>
                </c:pt>
                <c:pt idx="13">
                  <c:v>145</c:v>
                </c:pt>
                <c:pt idx="14">
                  <c:v>162</c:v>
                </c:pt>
                <c:pt idx="15">
                  <c:v>372</c:v>
                </c:pt>
                <c:pt idx="16">
                  <c:v>46</c:v>
                </c:pt>
                <c:pt idx="18">
                  <c:v>479</c:v>
                </c:pt>
                <c:pt idx="19">
                  <c:v>393</c:v>
                </c:pt>
                <c:pt idx="20">
                  <c:v>742</c:v>
                </c:pt>
                <c:pt idx="21">
                  <c:v>393</c:v>
                </c:pt>
                <c:pt idx="23">
                  <c:v>384</c:v>
                </c:pt>
                <c:pt idx="24">
                  <c:v>393</c:v>
                </c:pt>
                <c:pt idx="25">
                  <c:v>670</c:v>
                </c:pt>
                <c:pt idx="26">
                  <c:v>393</c:v>
                </c:pt>
                <c:pt idx="28">
                  <c:v>58</c:v>
                </c:pt>
                <c:pt idx="29">
                  <c:v>393</c:v>
                </c:pt>
                <c:pt idx="30">
                  <c:v>734</c:v>
                </c:pt>
                <c:pt idx="31">
                  <c:v>393</c:v>
                </c:pt>
                <c:pt idx="33">
                  <c:v>518</c:v>
                </c:pt>
                <c:pt idx="34">
                  <c:v>393</c:v>
                </c:pt>
                <c:pt idx="35">
                  <c:v>692</c:v>
                </c:pt>
                <c:pt idx="36">
                  <c:v>393</c:v>
                </c:pt>
                <c:pt idx="38">
                  <c:v>424</c:v>
                </c:pt>
                <c:pt idx="39">
                  <c:v>393</c:v>
                </c:pt>
                <c:pt idx="40">
                  <c:v>531</c:v>
                </c:pt>
                <c:pt idx="41">
                  <c:v>393</c:v>
                </c:pt>
                <c:pt idx="43">
                  <c:v>569</c:v>
                </c:pt>
                <c:pt idx="44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9-412F-9B78-9EA6E3757782}"/>
            </c:ext>
          </c:extLst>
        </c:ser>
        <c:ser>
          <c:idx val="4"/>
          <c:order val="4"/>
          <c:tx>
            <c:strRef>
              <c:f>table!$M$3</c:f>
              <c:strCache>
                <c:ptCount val="1"/>
                <c:pt idx="0">
                  <c:v>Tage 3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table!$M$4:$M$48</c:f>
              <c:numCache>
                <c:formatCode>0</c:formatCode>
                <c:ptCount val="45"/>
                <c:pt idx="1">
                  <c:v>20</c:v>
                </c:pt>
                <c:pt idx="2">
                  <c:v>179</c:v>
                </c:pt>
                <c:pt idx="3">
                  <c:v>0</c:v>
                </c:pt>
                <c:pt idx="4">
                  <c:v>350</c:v>
                </c:pt>
                <c:pt idx="6">
                  <c:v>154</c:v>
                </c:pt>
                <c:pt idx="8">
                  <c:v>892</c:v>
                </c:pt>
                <c:pt idx="9">
                  <c:v>0</c:v>
                </c:pt>
                <c:pt idx="13">
                  <c:v>197</c:v>
                </c:pt>
                <c:pt idx="14">
                  <c:v>168</c:v>
                </c:pt>
                <c:pt idx="15">
                  <c:v>28</c:v>
                </c:pt>
                <c:pt idx="16">
                  <c:v>561</c:v>
                </c:pt>
                <c:pt idx="18">
                  <c:v>90</c:v>
                </c:pt>
                <c:pt idx="19">
                  <c:v>173</c:v>
                </c:pt>
                <c:pt idx="21">
                  <c:v>166</c:v>
                </c:pt>
                <c:pt idx="26">
                  <c:v>0</c:v>
                </c:pt>
                <c:pt idx="29">
                  <c:v>166</c:v>
                </c:pt>
                <c:pt idx="31">
                  <c:v>166</c:v>
                </c:pt>
                <c:pt idx="34">
                  <c:v>173</c:v>
                </c:pt>
                <c:pt idx="36">
                  <c:v>0</c:v>
                </c:pt>
                <c:pt idx="38">
                  <c:v>145</c:v>
                </c:pt>
                <c:pt idx="39">
                  <c:v>0</c:v>
                </c:pt>
                <c:pt idx="40">
                  <c:v>38</c:v>
                </c:pt>
                <c:pt idx="41">
                  <c:v>166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9-412F-9B78-9EA6E3757782}"/>
            </c:ext>
          </c:extLst>
        </c:ser>
        <c:ser>
          <c:idx val="5"/>
          <c:order val="5"/>
          <c:tx>
            <c:strRef>
              <c:f>table!$O$3</c:f>
              <c:strCache>
                <c:ptCount val="1"/>
                <c:pt idx="0">
                  <c:v>Tage 3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1F-405A-BFBB-AD67FEA369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1F-405A-BFBB-AD67FEA3693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B6B-4D87-AC3F-FC06E8CEBA5A}"/>
              </c:ext>
            </c:extLst>
          </c:dPt>
          <c:dPt>
            <c:idx val="5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1F-405A-BFBB-AD67FEA36937}"/>
              </c:ext>
            </c:extLst>
          </c:dPt>
          <c:dPt>
            <c:idx val="7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C3-4F89-8DCF-BD2D5AB951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1F-405A-BFBB-AD67FEA36937}"/>
              </c:ext>
            </c:extLst>
          </c:dPt>
          <c:dPt>
            <c:idx val="1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81F-405A-BFBB-AD67FEA36937}"/>
              </c:ext>
            </c:extLst>
          </c:dPt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table!$O$4:$O$48</c:f>
              <c:numCache>
                <c:formatCode>0</c:formatCode>
                <c:ptCount val="45"/>
                <c:pt idx="1">
                  <c:v>165</c:v>
                </c:pt>
                <c:pt idx="2">
                  <c:v>400</c:v>
                </c:pt>
                <c:pt idx="3">
                  <c:v>283</c:v>
                </c:pt>
                <c:pt idx="4">
                  <c:v>334</c:v>
                </c:pt>
                <c:pt idx="6">
                  <c:v>734</c:v>
                </c:pt>
                <c:pt idx="8">
                  <c:v>165</c:v>
                </c:pt>
                <c:pt idx="9">
                  <c:v>166</c:v>
                </c:pt>
                <c:pt idx="13">
                  <c:v>165</c:v>
                </c:pt>
                <c:pt idx="14">
                  <c:v>393</c:v>
                </c:pt>
                <c:pt idx="15">
                  <c:v>334</c:v>
                </c:pt>
                <c:pt idx="16">
                  <c:v>334</c:v>
                </c:pt>
                <c:pt idx="18">
                  <c:v>165</c:v>
                </c:pt>
                <c:pt idx="19">
                  <c:v>172</c:v>
                </c:pt>
                <c:pt idx="21">
                  <c:v>179</c:v>
                </c:pt>
                <c:pt idx="26">
                  <c:v>280</c:v>
                </c:pt>
                <c:pt idx="29">
                  <c:v>179</c:v>
                </c:pt>
                <c:pt idx="31">
                  <c:v>179</c:v>
                </c:pt>
                <c:pt idx="34">
                  <c:v>172</c:v>
                </c:pt>
                <c:pt idx="36">
                  <c:v>315</c:v>
                </c:pt>
                <c:pt idx="38">
                  <c:v>155</c:v>
                </c:pt>
                <c:pt idx="39">
                  <c:v>345</c:v>
                </c:pt>
                <c:pt idx="40">
                  <c:v>165</c:v>
                </c:pt>
                <c:pt idx="41">
                  <c:v>179</c:v>
                </c:pt>
                <c:pt idx="43">
                  <c:v>165</c:v>
                </c:pt>
                <c:pt idx="44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99-412F-9B78-9EA6E3757782}"/>
            </c:ext>
          </c:extLst>
        </c:ser>
        <c:ser>
          <c:idx val="6"/>
          <c:order val="6"/>
          <c:tx>
            <c:strRef>
              <c:f>table!$R$3</c:f>
              <c:strCache>
                <c:ptCount val="1"/>
                <c:pt idx="0">
                  <c:v>Tage 4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table!$R$4:$R$48</c:f>
              <c:numCache>
                <c:formatCode>0</c:formatCode>
                <c:ptCount val="45"/>
                <c:pt idx="1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9-412F-9B78-9EA6E3757782}"/>
            </c:ext>
          </c:extLst>
        </c:ser>
        <c:ser>
          <c:idx val="7"/>
          <c:order val="7"/>
          <c:tx>
            <c:strRef>
              <c:f>table!$T$3</c:f>
              <c:strCache>
                <c:ptCount val="1"/>
                <c:pt idx="0">
                  <c:v>Tage 4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81F-405A-BFBB-AD67FEA36937}"/>
              </c:ext>
            </c:extLst>
          </c:dPt>
          <c:dPt>
            <c:idx val="6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5C3-4F89-8DCF-BD2D5AB95138}"/>
              </c:ext>
            </c:extLst>
          </c:dPt>
          <c:dPt>
            <c:idx val="9"/>
            <c:invertIfNegative val="0"/>
            <c:bubble3D val="0"/>
            <c:spPr>
              <a:pattFill prst="ltUpDiag">
                <a:fgClr>
                  <a:schemeClr val="tx1"/>
                </a:fgClr>
                <a:bgClr>
                  <a:srgbClr val="FFFF00"/>
                </a:bgClr>
              </a:pattFill>
              <a:ln w="6350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5C3-4F89-8DCF-BD2D5AB95138}"/>
              </c:ext>
            </c:extLst>
          </c:dPt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table!$T$4:$T$48</c:f>
              <c:numCache>
                <c:formatCode>0</c:formatCode>
                <c:ptCount val="45"/>
                <c:pt idx="1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99-412F-9B78-9EA6E3757782}"/>
            </c:ext>
          </c:extLst>
        </c:ser>
        <c:ser>
          <c:idx val="8"/>
          <c:order val="8"/>
          <c:tx>
            <c:strRef>
              <c:f>table!$W$3</c:f>
              <c:strCache>
                <c:ptCount val="1"/>
                <c:pt idx="0">
                  <c:v>Tage 5</c:v>
                </c:pt>
              </c:strCache>
            </c:strRef>
          </c:tx>
          <c:spPr>
            <a:solidFill>
              <a:srgbClr val="FFA7A7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table!$W$4:$W$48</c:f>
              <c:numCache>
                <c:formatCode>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8-6B99-412F-9B78-9EA6E3757782}"/>
            </c:ext>
          </c:extLst>
        </c:ser>
        <c:ser>
          <c:idx val="9"/>
          <c:order val="9"/>
          <c:tx>
            <c:strRef>
              <c:f>table!$Y$3</c:f>
              <c:strCache>
                <c:ptCount val="1"/>
                <c:pt idx="0">
                  <c:v>Tage 5</c:v>
                </c:pt>
              </c:strCache>
            </c:strRef>
          </c:tx>
          <c:spPr>
            <a:solidFill>
              <a:schemeClr val="accent5"/>
            </a:solidFill>
            <a:ln w="63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table!$Y$4:$Y$48</c:f>
              <c:numCache>
                <c:formatCode>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9-6B99-412F-9B78-9EA6E3757782}"/>
            </c:ext>
          </c:extLst>
        </c:ser>
        <c:ser>
          <c:idx val="10"/>
          <c:order val="10"/>
          <c:tx>
            <c:strRef>
              <c:f>table!$AB$3</c:f>
              <c:strCache>
                <c:ptCount val="1"/>
                <c:pt idx="0">
                  <c:v>Tage 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table!$AB$4:$AB$48</c:f>
              <c:numCache>
                <c:formatCode>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A-6B99-412F-9B78-9EA6E3757782}"/>
            </c:ext>
          </c:extLst>
        </c:ser>
        <c:ser>
          <c:idx val="11"/>
          <c:order val="11"/>
          <c:tx>
            <c:strRef>
              <c:f>table!$AD$3</c:f>
              <c:strCache>
                <c:ptCount val="1"/>
                <c:pt idx="0">
                  <c:v>Tage 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table!$B$4:$B$48</c:f>
              <c:strCache>
                <c:ptCount val="45"/>
                <c:pt idx="0">
                  <c:v>BOYkl-A</c:v>
                </c:pt>
                <c:pt idx="1">
                  <c:v>BOYkl-B</c:v>
                </c:pt>
                <c:pt idx="2">
                  <c:v>BOYohB224-A</c:v>
                </c:pt>
                <c:pt idx="3">
                  <c:v>BOYohB224-B</c:v>
                </c:pt>
                <c:pt idx="4">
                  <c:v>BOYohBr-A</c:v>
                </c:pt>
                <c:pt idx="5">
                  <c:v>BOYohBr-B</c:v>
                </c:pt>
                <c:pt idx="6">
                  <c:v>BOYohKi-A</c:v>
                </c:pt>
                <c:pt idx="7">
                  <c:v>BOYohKi-B</c:v>
                </c:pt>
                <c:pt idx="8">
                  <c:v>BOYohSp-A</c:v>
                </c:pt>
                <c:pt idx="9">
                  <c:v>BOYohSp-B</c:v>
                </c:pt>
                <c:pt idx="10">
                  <c:v>BOYuhSp-A</c:v>
                </c:pt>
                <c:pt idx="11">
                  <c:v>BOYuhSp-B</c:v>
                </c:pt>
                <c:pt idx="13">
                  <c:v>BRAob-A</c:v>
                </c:pt>
                <c:pt idx="14">
                  <c:v>BRAob-B</c:v>
                </c:pt>
                <c:pt idx="15">
                  <c:v>BRAohBo-A</c:v>
                </c:pt>
                <c:pt idx="16">
                  <c:v>BRAohBo-B</c:v>
                </c:pt>
                <c:pt idx="18">
                  <c:v>HAAob-A</c:v>
                </c:pt>
                <c:pt idx="19">
                  <c:v>HAAob-B</c:v>
                </c:pt>
                <c:pt idx="20">
                  <c:v>HAAunt-A</c:v>
                </c:pt>
                <c:pt idx="21">
                  <c:v>HAAunt-B</c:v>
                </c:pt>
                <c:pt idx="23">
                  <c:v>KIRob-A</c:v>
                </c:pt>
                <c:pt idx="24">
                  <c:v>KIRob-B</c:v>
                </c:pt>
                <c:pt idx="25">
                  <c:v>KIRun-A</c:v>
                </c:pt>
                <c:pt idx="26">
                  <c:v>KIRun-B</c:v>
                </c:pt>
                <c:pt idx="28">
                  <c:v>LIEohBo-A</c:v>
                </c:pt>
                <c:pt idx="29">
                  <c:v>LIEohBo-B</c:v>
                </c:pt>
                <c:pt idx="30">
                  <c:v>NATohBo-A</c:v>
                </c:pt>
                <c:pt idx="31">
                  <c:v>NATohBo-B</c:v>
                </c:pt>
                <c:pt idx="33">
                  <c:v>QUAohB-A</c:v>
                </c:pt>
                <c:pt idx="34">
                  <c:v>QUAohB-B</c:v>
                </c:pt>
                <c:pt idx="35">
                  <c:v>SCHohVo-A</c:v>
                </c:pt>
                <c:pt idx="36">
                  <c:v>SCHohVo-B</c:v>
                </c:pt>
                <c:pt idx="38">
                  <c:v>VORohBo-A</c:v>
                </c:pt>
                <c:pt idx="39">
                  <c:v>VORohBo-B</c:v>
                </c:pt>
                <c:pt idx="40">
                  <c:v>VORuhSc-A</c:v>
                </c:pt>
                <c:pt idx="41">
                  <c:v>VORuhSc-B</c:v>
                </c:pt>
                <c:pt idx="43">
                  <c:v>WITob-A</c:v>
                </c:pt>
                <c:pt idx="44">
                  <c:v>WITob-B</c:v>
                </c:pt>
              </c:strCache>
            </c:strRef>
          </c:cat>
          <c:val>
            <c:numRef>
              <c:f>table!$AD$4:$AD$48</c:f>
              <c:numCache>
                <c:formatCode>0</c:formatCode>
                <c:ptCount val="45"/>
              </c:numCache>
            </c:numRef>
          </c:val>
          <c:extLst>
            <c:ext xmlns:c16="http://schemas.microsoft.com/office/drawing/2014/chart" uri="{C3380CC4-5D6E-409C-BE32-E72D297353CC}">
              <c16:uniqueId val="{0000000B-6B99-412F-9B78-9EA6E375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5974232"/>
        <c:axId val="635977472"/>
      </c:barChart>
      <c:catAx>
        <c:axId val="635974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5977472"/>
        <c:crosses val="autoZero"/>
        <c:auto val="1"/>
        <c:lblAlgn val="ctr"/>
        <c:lblOffset val="100"/>
        <c:tickMarkSkip val="1"/>
        <c:noMultiLvlLbl val="0"/>
      </c:catAx>
      <c:valAx>
        <c:axId val="635977472"/>
        <c:scaling>
          <c:orientation val="minMax"/>
          <c:max val="46000"/>
          <c:min val="44318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2"/>
              </a:solidFill>
              <a:round/>
            </a:ln>
            <a:effectLst/>
          </c:spPr>
        </c:minorGridlines>
        <c:numFmt formatCode="yyyy\-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5974232"/>
        <c:crosses val="autoZero"/>
        <c:crossBetween val="between"/>
        <c:majorUnit val="60"/>
        <c:min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25</xdr:col>
      <xdr:colOff>0</xdr:colOff>
      <xdr:row>45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F6D497-A37D-476F-9774-3A08B0F21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showGridLines="0" tabSelected="1" zoomScaleNormal="100" workbookViewId="0"/>
  </sheetViews>
  <sheetFormatPr baseColWidth="10" defaultRowHeight="15" x14ac:dyDescent="0.25"/>
  <cols>
    <col min="1" max="1" width="3.7109375" customWidth="1"/>
    <col min="3" max="3" width="2.7109375" customWidth="1"/>
    <col min="5" max="5" width="6.140625" customWidth="1"/>
  </cols>
  <sheetData>
    <row r="1" spans="1:1" x14ac:dyDescent="0.25">
      <c r="A1" s="12" t="s">
        <v>12</v>
      </c>
    </row>
    <row r="47" spans="2:2" x14ac:dyDescent="0.25">
      <c r="B47" t="s">
        <v>10</v>
      </c>
    </row>
    <row r="48" spans="2:2" ht="5.0999999999999996" customHeight="1" x14ac:dyDescent="0.25"/>
    <row r="49" spans="2:4" s="9" customFormat="1" ht="12" customHeight="1" x14ac:dyDescent="0.25">
      <c r="B49" s="8"/>
      <c r="D49" s="9" t="s">
        <v>8</v>
      </c>
    </row>
    <row r="50" spans="2:4" ht="5.0999999999999996" customHeight="1" x14ac:dyDescent="0.25"/>
    <row r="51" spans="2:4" s="9" customFormat="1" ht="12" customHeight="1" x14ac:dyDescent="0.25">
      <c r="B51" s="10"/>
      <c r="D51" s="9" t="s">
        <v>9</v>
      </c>
    </row>
    <row r="52" spans="2:4" ht="5.0999999999999996" customHeight="1" x14ac:dyDescent="0.25"/>
    <row r="53" spans="2:4" s="9" customFormat="1" ht="12" customHeight="1" x14ac:dyDescent="0.25">
      <c r="B53" s="11"/>
      <c r="D53" s="9" t="s">
        <v>11</v>
      </c>
    </row>
  </sheetData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5" x14ac:dyDescent="0.25"/>
  <cols>
    <col min="1" max="1" width="3.7109375" style="22" customWidth="1"/>
    <col min="2" max="2" width="11.7109375" customWidth="1"/>
    <col min="5" max="5" width="6.7109375" customWidth="1"/>
    <col min="6" max="6" width="4.7109375" customWidth="1"/>
    <col min="8" max="8" width="6.7109375" customWidth="1"/>
    <col min="10" max="10" width="6.7109375" customWidth="1"/>
    <col min="11" max="11" width="4.7109375" customWidth="1"/>
    <col min="13" max="13" width="6.7109375" customWidth="1"/>
    <col min="15" max="15" width="6.7109375" customWidth="1"/>
    <col min="16" max="16" width="4.7109375" customWidth="1"/>
    <col min="18" max="18" width="6.7109375" customWidth="1"/>
    <col min="20" max="20" width="6.7109375" customWidth="1"/>
    <col min="21" max="21" width="4.7109375" customWidth="1"/>
    <col min="23" max="23" width="6.7109375" customWidth="1"/>
    <col min="25" max="25" width="6.7109375" customWidth="1"/>
    <col min="26" max="26" width="4.7109375" customWidth="1"/>
    <col min="28" max="28" width="6.7109375" customWidth="1"/>
    <col min="30" max="30" width="6.7109375" customWidth="1"/>
  </cols>
  <sheetData>
    <row r="1" spans="1:30" x14ac:dyDescent="0.25">
      <c r="A1" s="23"/>
      <c r="B1" s="23"/>
    </row>
    <row r="2" spans="1:30" s="7" customFormat="1" x14ac:dyDescent="0.25">
      <c r="A2" s="23"/>
      <c r="B2" s="23"/>
      <c r="C2" s="7" t="s">
        <v>27</v>
      </c>
      <c r="G2" s="7" t="s">
        <v>28</v>
      </c>
      <c r="L2" s="7" t="s">
        <v>29</v>
      </c>
      <c r="Q2" s="7" t="s">
        <v>30</v>
      </c>
      <c r="V2" s="7" t="s">
        <v>31</v>
      </c>
      <c r="AA2" s="7" t="s">
        <v>32</v>
      </c>
    </row>
    <row r="3" spans="1:30" x14ac:dyDescent="0.25">
      <c r="A3" s="24"/>
      <c r="B3" s="25"/>
      <c r="C3" s="6" t="s">
        <v>0</v>
      </c>
      <c r="D3" s="6" t="s">
        <v>1</v>
      </c>
      <c r="E3" s="6" t="s">
        <v>2</v>
      </c>
      <c r="G3" s="6" t="s">
        <v>0</v>
      </c>
      <c r="H3" s="6" t="s">
        <v>3</v>
      </c>
      <c r="I3" s="6" t="s">
        <v>1</v>
      </c>
      <c r="J3" s="6" t="s">
        <v>3</v>
      </c>
      <c r="L3" s="6" t="s">
        <v>0</v>
      </c>
      <c r="M3" s="6" t="s">
        <v>4</v>
      </c>
      <c r="N3" s="6" t="s">
        <v>1</v>
      </c>
      <c r="O3" s="6" t="s">
        <v>4</v>
      </c>
      <c r="Q3" s="6" t="s">
        <v>0</v>
      </c>
      <c r="R3" s="6" t="s">
        <v>5</v>
      </c>
      <c r="S3" s="6" t="s">
        <v>1</v>
      </c>
      <c r="T3" s="6" t="s">
        <v>5</v>
      </c>
      <c r="V3" s="6" t="s">
        <v>0</v>
      </c>
      <c r="W3" s="6" t="s">
        <v>6</v>
      </c>
      <c r="X3" s="6" t="s">
        <v>1</v>
      </c>
      <c r="Y3" s="6" t="s">
        <v>6</v>
      </c>
      <c r="AA3" s="6" t="s">
        <v>0</v>
      </c>
      <c r="AB3" s="6" t="s">
        <v>7</v>
      </c>
      <c r="AC3" s="6" t="s">
        <v>1</v>
      </c>
      <c r="AD3" s="6" t="s">
        <v>7</v>
      </c>
    </row>
    <row r="4" spans="1:30" x14ac:dyDescent="0.25">
      <c r="B4" s="13" t="s">
        <v>13</v>
      </c>
      <c r="C4" s="14">
        <v>44317</v>
      </c>
      <c r="D4" s="1">
        <v>44883</v>
      </c>
      <c r="E4" s="16">
        <f>D4-C4</f>
        <v>566</v>
      </c>
      <c r="G4" s="2">
        <v>45062</v>
      </c>
      <c r="H4" s="17">
        <f>G4-D4</f>
        <v>179</v>
      </c>
      <c r="I4" s="3">
        <v>45796</v>
      </c>
      <c r="J4" s="17">
        <f>I4-G4</f>
        <v>734</v>
      </c>
      <c r="L4" s="4"/>
      <c r="M4" s="17"/>
      <c r="N4" s="3"/>
      <c r="O4" s="17"/>
      <c r="Q4" s="4"/>
      <c r="R4" s="17"/>
      <c r="S4" s="3"/>
      <c r="T4" s="17"/>
      <c r="V4" s="4"/>
      <c r="W4" s="17"/>
      <c r="X4" s="3"/>
      <c r="Y4" s="17"/>
      <c r="AA4" s="4"/>
      <c r="AB4" s="17"/>
      <c r="AC4" s="3"/>
      <c r="AD4" s="17"/>
    </row>
    <row r="5" spans="1:30" x14ac:dyDescent="0.25">
      <c r="B5" s="13" t="s">
        <v>14</v>
      </c>
      <c r="C5" s="14">
        <v>44317</v>
      </c>
      <c r="D5" s="3">
        <v>44901</v>
      </c>
      <c r="E5" s="17">
        <f>D5-C5</f>
        <v>584</v>
      </c>
      <c r="G5" s="2">
        <v>45069</v>
      </c>
      <c r="H5" s="17">
        <f>G5-D5</f>
        <v>168</v>
      </c>
      <c r="I5" s="2">
        <v>45611</v>
      </c>
      <c r="J5" s="17">
        <f>I5-G5</f>
        <v>542</v>
      </c>
      <c r="L5" s="2">
        <v>45631</v>
      </c>
      <c r="M5" s="17">
        <f>L5-I5</f>
        <v>20</v>
      </c>
      <c r="N5" s="2">
        <v>45796</v>
      </c>
      <c r="O5" s="17">
        <f>N5-L5</f>
        <v>165</v>
      </c>
      <c r="Q5" s="2"/>
      <c r="R5" s="17"/>
      <c r="S5" s="2"/>
      <c r="T5" s="17"/>
      <c r="V5" s="2"/>
      <c r="W5" s="17"/>
      <c r="X5" s="2"/>
      <c r="Y5" s="17"/>
      <c r="AA5" s="2"/>
      <c r="AB5" s="17"/>
      <c r="AC5" s="2"/>
      <c r="AD5" s="17"/>
    </row>
    <row r="6" spans="1:30" x14ac:dyDescent="0.25">
      <c r="B6" s="13" t="s">
        <v>15</v>
      </c>
      <c r="C6" s="15">
        <v>44317</v>
      </c>
      <c r="D6" s="3">
        <v>44673</v>
      </c>
      <c r="E6" s="17">
        <f t="shared" ref="E6:E48" si="0">D6-C6</f>
        <v>356</v>
      </c>
      <c r="G6" s="4">
        <v>44732</v>
      </c>
      <c r="H6" s="17">
        <f t="shared" ref="H6:H48" si="1">G6-D6</f>
        <v>59</v>
      </c>
      <c r="I6" s="5">
        <v>44883</v>
      </c>
      <c r="J6" s="17">
        <f t="shared" ref="J6:J48" si="2">I6-G6</f>
        <v>151</v>
      </c>
      <c r="L6" s="4">
        <v>45062</v>
      </c>
      <c r="M6" s="17">
        <f>L6-I6</f>
        <v>179</v>
      </c>
      <c r="N6" s="4">
        <v>45462</v>
      </c>
      <c r="O6" s="17">
        <f>N6-L6</f>
        <v>400</v>
      </c>
      <c r="Q6" s="4"/>
      <c r="R6" s="17"/>
      <c r="S6" s="5"/>
      <c r="T6" s="17"/>
      <c r="V6" s="4"/>
      <c r="W6" s="17"/>
      <c r="X6" s="5"/>
      <c r="Y6" s="17"/>
      <c r="AA6" s="4"/>
      <c r="AB6" s="17"/>
      <c r="AC6" s="5"/>
      <c r="AD6" s="17"/>
    </row>
    <row r="7" spans="1:30" x14ac:dyDescent="0.25">
      <c r="B7" s="13" t="s">
        <v>16</v>
      </c>
      <c r="C7" s="14">
        <v>44317</v>
      </c>
      <c r="D7" s="1">
        <v>44931</v>
      </c>
      <c r="E7" s="17">
        <f t="shared" si="0"/>
        <v>614</v>
      </c>
      <c r="G7" s="2">
        <v>45069</v>
      </c>
      <c r="H7" s="17">
        <f t="shared" si="1"/>
        <v>138</v>
      </c>
      <c r="I7" s="2">
        <v>45462</v>
      </c>
      <c r="J7" s="17">
        <f t="shared" si="2"/>
        <v>393</v>
      </c>
      <c r="L7" s="19">
        <v>45462</v>
      </c>
      <c r="M7" s="18">
        <f>L7-I7</f>
        <v>0</v>
      </c>
      <c r="N7" s="2">
        <v>45745</v>
      </c>
      <c r="O7" s="17">
        <f>N7-L7</f>
        <v>283</v>
      </c>
      <c r="Q7" s="2"/>
      <c r="R7" s="17"/>
      <c r="S7" s="2"/>
      <c r="T7" s="17"/>
      <c r="V7" s="2"/>
      <c r="W7" s="17"/>
      <c r="X7" s="2"/>
      <c r="Y7" s="17"/>
      <c r="AA7" s="2"/>
      <c r="AB7" s="17"/>
      <c r="AC7" s="2"/>
      <c r="AD7" s="17"/>
    </row>
    <row r="8" spans="1:30" x14ac:dyDescent="0.25">
      <c r="B8" s="13" t="s">
        <v>17</v>
      </c>
      <c r="C8" s="15">
        <v>44317</v>
      </c>
      <c r="D8" s="3">
        <v>44673</v>
      </c>
      <c r="E8" s="17">
        <f t="shared" si="0"/>
        <v>356</v>
      </c>
      <c r="G8" s="2">
        <v>44711</v>
      </c>
      <c r="H8" s="17">
        <f t="shared" si="1"/>
        <v>38</v>
      </c>
      <c r="I8" s="2">
        <v>45112</v>
      </c>
      <c r="J8" s="17">
        <f t="shared" si="2"/>
        <v>401</v>
      </c>
      <c r="L8" s="2">
        <v>45462</v>
      </c>
      <c r="M8" s="17">
        <f>L8-I8</f>
        <v>350</v>
      </c>
      <c r="N8" s="2">
        <v>45796</v>
      </c>
      <c r="O8" s="17">
        <f>N8-L8</f>
        <v>334</v>
      </c>
      <c r="Q8" s="2"/>
      <c r="R8" s="17"/>
      <c r="S8" s="2"/>
      <c r="T8" s="17"/>
      <c r="V8" s="2"/>
      <c r="W8" s="17"/>
      <c r="X8" s="2"/>
      <c r="Y8" s="17"/>
      <c r="AA8" s="2"/>
      <c r="AB8" s="17"/>
      <c r="AC8" s="2"/>
      <c r="AD8" s="17"/>
    </row>
    <row r="9" spans="1:30" x14ac:dyDescent="0.25">
      <c r="B9" s="13" t="s">
        <v>18</v>
      </c>
      <c r="C9" s="14">
        <v>44317</v>
      </c>
      <c r="D9" s="1">
        <v>44976</v>
      </c>
      <c r="E9" s="17">
        <f t="shared" si="0"/>
        <v>659</v>
      </c>
      <c r="G9" s="2">
        <v>45069</v>
      </c>
      <c r="H9" s="17">
        <f t="shared" si="1"/>
        <v>93</v>
      </c>
      <c r="I9" s="2">
        <v>45462</v>
      </c>
      <c r="J9" s="17">
        <f t="shared" si="2"/>
        <v>393</v>
      </c>
      <c r="L9" s="2"/>
      <c r="M9" s="17"/>
      <c r="N9" s="2"/>
      <c r="O9" s="17"/>
      <c r="Q9" s="2"/>
      <c r="R9" s="17"/>
      <c r="S9" s="2"/>
      <c r="T9" s="17"/>
      <c r="V9" s="2"/>
      <c r="W9" s="17"/>
      <c r="X9" s="2"/>
      <c r="Y9" s="17"/>
      <c r="AA9" s="2"/>
      <c r="AB9" s="17"/>
      <c r="AC9" s="2"/>
      <c r="AD9" s="17"/>
    </row>
    <row r="10" spans="1:30" x14ac:dyDescent="0.25">
      <c r="B10" s="13" t="s">
        <v>19</v>
      </c>
      <c r="C10" s="15">
        <v>44317</v>
      </c>
      <c r="D10" s="3">
        <v>44375</v>
      </c>
      <c r="E10" s="17">
        <f t="shared" si="0"/>
        <v>58</v>
      </c>
      <c r="G10" s="2">
        <v>44406</v>
      </c>
      <c r="H10" s="17">
        <f t="shared" si="1"/>
        <v>31</v>
      </c>
      <c r="I10" s="2">
        <v>44908</v>
      </c>
      <c r="J10" s="17">
        <f t="shared" si="2"/>
        <v>502</v>
      </c>
      <c r="L10" s="2">
        <v>45062</v>
      </c>
      <c r="M10" s="17">
        <f>L10-I10</f>
        <v>154</v>
      </c>
      <c r="N10" s="2">
        <v>45796</v>
      </c>
      <c r="O10" s="17">
        <f>N10-L10</f>
        <v>734</v>
      </c>
      <c r="Q10" s="2"/>
      <c r="R10" s="17"/>
      <c r="S10" s="2"/>
      <c r="T10" s="17"/>
      <c r="V10" s="2"/>
      <c r="W10" s="17"/>
      <c r="X10" s="2"/>
      <c r="Y10" s="17"/>
      <c r="AA10" s="2"/>
      <c r="AB10" s="17"/>
      <c r="AC10" s="2"/>
      <c r="AD10" s="17"/>
    </row>
    <row r="11" spans="1:30" x14ac:dyDescent="0.25">
      <c r="B11" s="13" t="s">
        <v>20</v>
      </c>
      <c r="C11" s="14">
        <v>44317</v>
      </c>
      <c r="D11" s="1">
        <v>44901</v>
      </c>
      <c r="E11" s="17">
        <f t="shared" si="0"/>
        <v>584</v>
      </c>
      <c r="G11" s="2">
        <v>45069</v>
      </c>
      <c r="H11" s="17">
        <f t="shared" si="1"/>
        <v>168</v>
      </c>
      <c r="I11" s="2">
        <v>45462</v>
      </c>
      <c r="J11" s="17">
        <f t="shared" si="2"/>
        <v>393</v>
      </c>
      <c r="L11" s="2"/>
      <c r="M11" s="17"/>
      <c r="N11" s="2"/>
      <c r="O11" s="17"/>
      <c r="Q11" s="2"/>
      <c r="R11" s="17"/>
      <c r="S11" s="2"/>
      <c r="T11" s="17"/>
      <c r="V11" s="2"/>
      <c r="W11" s="17"/>
      <c r="X11" s="2"/>
      <c r="Y11" s="17"/>
      <c r="AA11" s="2"/>
      <c r="AB11" s="17"/>
      <c r="AC11" s="2"/>
      <c r="AD11" s="17"/>
    </row>
    <row r="12" spans="1:30" x14ac:dyDescent="0.25">
      <c r="B12" s="13" t="s">
        <v>21</v>
      </c>
      <c r="C12" s="15">
        <v>44317</v>
      </c>
      <c r="D12" s="3">
        <v>44379</v>
      </c>
      <c r="E12" s="17">
        <f t="shared" si="0"/>
        <v>62</v>
      </c>
      <c r="G12" s="2">
        <v>44393</v>
      </c>
      <c r="H12" s="17">
        <f t="shared" si="1"/>
        <v>14</v>
      </c>
      <c r="I12" s="2">
        <v>44739</v>
      </c>
      <c r="J12" s="17">
        <f t="shared" si="2"/>
        <v>346</v>
      </c>
      <c r="L12" s="2">
        <v>45631</v>
      </c>
      <c r="M12" s="17">
        <f>L12-I12</f>
        <v>892</v>
      </c>
      <c r="N12" s="2">
        <v>45796</v>
      </c>
      <c r="O12" s="17">
        <f>N12-L12</f>
        <v>165</v>
      </c>
      <c r="Q12" s="2"/>
      <c r="R12" s="17"/>
      <c r="S12" s="2"/>
      <c r="T12" s="17"/>
      <c r="V12" s="2"/>
      <c r="W12" s="17"/>
      <c r="X12" s="2"/>
      <c r="Y12" s="17"/>
      <c r="AA12" s="2"/>
      <c r="AB12" s="17"/>
      <c r="AC12" s="2"/>
      <c r="AD12" s="17"/>
    </row>
    <row r="13" spans="1:30" x14ac:dyDescent="0.25">
      <c r="B13" s="13" t="s">
        <v>22</v>
      </c>
      <c r="C13" s="14">
        <v>44317</v>
      </c>
      <c r="D13" s="1">
        <v>44982</v>
      </c>
      <c r="E13" s="17">
        <f t="shared" si="0"/>
        <v>665</v>
      </c>
      <c r="G13" s="2">
        <v>45069</v>
      </c>
      <c r="H13" s="17">
        <f t="shared" si="1"/>
        <v>87</v>
      </c>
      <c r="I13" s="2">
        <v>45462</v>
      </c>
      <c r="J13" s="17">
        <f t="shared" si="2"/>
        <v>393</v>
      </c>
      <c r="L13" s="19">
        <v>45462</v>
      </c>
      <c r="M13" s="18">
        <f>L13-I13</f>
        <v>0</v>
      </c>
      <c r="N13" s="2">
        <v>45628</v>
      </c>
      <c r="O13" s="17">
        <f>N13-L13</f>
        <v>166</v>
      </c>
      <c r="Q13" s="2"/>
      <c r="R13" s="17"/>
      <c r="S13" s="2"/>
      <c r="T13" s="17"/>
      <c r="V13" s="2"/>
      <c r="W13" s="17"/>
      <c r="X13" s="2"/>
      <c r="Y13" s="17"/>
      <c r="AA13" s="2"/>
      <c r="AB13" s="17"/>
      <c r="AC13" s="2"/>
      <c r="AD13" s="17"/>
    </row>
    <row r="14" spans="1:30" x14ac:dyDescent="0.25">
      <c r="B14" s="13" t="s">
        <v>23</v>
      </c>
      <c r="C14" s="14">
        <v>44317</v>
      </c>
      <c r="D14" s="1">
        <v>45036</v>
      </c>
      <c r="E14" s="17">
        <f t="shared" si="0"/>
        <v>719</v>
      </c>
      <c r="G14" s="2">
        <v>45289</v>
      </c>
      <c r="H14" s="17">
        <f t="shared" si="1"/>
        <v>253</v>
      </c>
      <c r="I14" s="2">
        <v>45796</v>
      </c>
      <c r="J14" s="17">
        <f t="shared" si="2"/>
        <v>507</v>
      </c>
      <c r="L14" s="2"/>
      <c r="M14" s="17"/>
      <c r="N14" s="2"/>
      <c r="O14" s="17"/>
      <c r="Q14" s="2"/>
      <c r="R14" s="17"/>
      <c r="S14" s="2"/>
      <c r="T14" s="17"/>
      <c r="V14" s="2"/>
      <c r="W14" s="17"/>
      <c r="X14" s="2"/>
      <c r="Y14" s="17"/>
      <c r="AA14" s="2"/>
      <c r="AB14" s="17"/>
      <c r="AC14" s="2"/>
      <c r="AD14" s="17"/>
    </row>
    <row r="15" spans="1:30" x14ac:dyDescent="0.25">
      <c r="B15" s="13" t="s">
        <v>24</v>
      </c>
      <c r="C15" s="14">
        <v>44317</v>
      </c>
      <c r="D15" s="1">
        <v>44901</v>
      </c>
      <c r="E15" s="17">
        <f t="shared" si="0"/>
        <v>584</v>
      </c>
      <c r="G15" s="2">
        <v>45289</v>
      </c>
      <c r="H15" s="17">
        <f t="shared" si="1"/>
        <v>388</v>
      </c>
      <c r="I15" s="2">
        <v>45807</v>
      </c>
      <c r="J15" s="17">
        <f t="shared" si="2"/>
        <v>518</v>
      </c>
      <c r="L15" s="2"/>
      <c r="M15" s="17"/>
      <c r="N15" s="2"/>
      <c r="O15" s="17"/>
      <c r="Q15" s="2"/>
      <c r="R15" s="17"/>
      <c r="S15" s="2"/>
      <c r="T15" s="17"/>
      <c r="V15" s="2"/>
      <c r="W15" s="17"/>
      <c r="X15" s="2"/>
      <c r="Y15" s="17"/>
      <c r="AA15" s="2"/>
      <c r="AB15" s="17"/>
      <c r="AC15" s="2"/>
      <c r="AD15" s="17"/>
    </row>
    <row r="16" spans="1:30" ht="5.0999999999999996" customHeight="1" x14ac:dyDescent="0.25">
      <c r="B16" s="13"/>
    </row>
    <row r="17" spans="2:30" x14ac:dyDescent="0.25">
      <c r="B17" s="13" t="s">
        <v>33</v>
      </c>
      <c r="C17" s="15">
        <v>44317</v>
      </c>
      <c r="D17" s="2">
        <v>45029</v>
      </c>
      <c r="E17" s="17">
        <f t="shared" si="0"/>
        <v>712</v>
      </c>
      <c r="G17" s="2">
        <v>45289</v>
      </c>
      <c r="H17" s="17">
        <f t="shared" si="1"/>
        <v>260</v>
      </c>
      <c r="I17" s="2">
        <v>45434</v>
      </c>
      <c r="J17" s="17">
        <f t="shared" si="2"/>
        <v>145</v>
      </c>
      <c r="L17" s="2">
        <v>45631</v>
      </c>
      <c r="M17" s="17">
        <f>L17-I17</f>
        <v>197</v>
      </c>
      <c r="N17" s="2">
        <v>45796</v>
      </c>
      <c r="O17" s="17">
        <f>N17-L17</f>
        <v>165</v>
      </c>
      <c r="Q17" s="2"/>
      <c r="R17" s="17"/>
      <c r="S17" s="2"/>
      <c r="T17" s="17"/>
      <c r="V17" s="2"/>
      <c r="W17" s="17"/>
      <c r="X17" s="2"/>
      <c r="Y17" s="17"/>
      <c r="AA17" s="2"/>
      <c r="AB17" s="17"/>
      <c r="AC17" s="2"/>
      <c r="AD17" s="17"/>
    </row>
    <row r="18" spans="2:30" x14ac:dyDescent="0.25">
      <c r="B18" s="13" t="s">
        <v>34</v>
      </c>
      <c r="C18" s="15">
        <v>44317</v>
      </c>
      <c r="D18" s="2">
        <v>44696</v>
      </c>
      <c r="E18" s="17">
        <f t="shared" si="0"/>
        <v>379</v>
      </c>
      <c r="G18" s="2">
        <v>44739</v>
      </c>
      <c r="H18" s="17">
        <f t="shared" si="1"/>
        <v>43</v>
      </c>
      <c r="I18" s="2">
        <v>44901</v>
      </c>
      <c r="J18" s="17">
        <f t="shared" si="2"/>
        <v>162</v>
      </c>
      <c r="L18" s="2">
        <v>45069</v>
      </c>
      <c r="M18" s="17">
        <f>L18-I18</f>
        <v>168</v>
      </c>
      <c r="N18" s="2">
        <v>45462</v>
      </c>
      <c r="O18" s="17">
        <f>N18-L18</f>
        <v>393</v>
      </c>
      <c r="Q18" s="2">
        <v>45631</v>
      </c>
      <c r="R18" s="17">
        <f>Q18-N18</f>
        <v>169</v>
      </c>
      <c r="S18" s="2">
        <v>45796</v>
      </c>
      <c r="T18" s="17">
        <f>S18-Q18</f>
        <v>165</v>
      </c>
      <c r="V18" s="2"/>
      <c r="W18" s="17"/>
      <c r="X18" s="2"/>
      <c r="Y18" s="17"/>
      <c r="AA18" s="2"/>
      <c r="AB18" s="17"/>
      <c r="AC18" s="2"/>
      <c r="AD18" s="17"/>
    </row>
    <row r="19" spans="2:30" x14ac:dyDescent="0.25">
      <c r="B19" s="13" t="s">
        <v>35</v>
      </c>
      <c r="C19" s="15">
        <v>44317</v>
      </c>
      <c r="D19" s="3">
        <v>44883</v>
      </c>
      <c r="E19" s="17">
        <f t="shared" si="0"/>
        <v>566</v>
      </c>
      <c r="G19" s="2">
        <v>45062</v>
      </c>
      <c r="H19" s="17">
        <f t="shared" si="1"/>
        <v>179</v>
      </c>
      <c r="I19" s="2">
        <v>45434</v>
      </c>
      <c r="J19" s="17">
        <f t="shared" si="2"/>
        <v>372</v>
      </c>
      <c r="L19" s="2">
        <v>45462</v>
      </c>
      <c r="M19" s="17">
        <f>L19-I19</f>
        <v>28</v>
      </c>
      <c r="N19" s="2">
        <v>45796</v>
      </c>
      <c r="O19" s="17">
        <f>N19-L19</f>
        <v>334</v>
      </c>
      <c r="Q19" s="2"/>
      <c r="R19" s="17"/>
      <c r="S19" s="2"/>
      <c r="T19" s="17"/>
      <c r="V19" s="2"/>
      <c r="W19" s="17"/>
      <c r="X19" s="2"/>
      <c r="Y19" s="17"/>
      <c r="AA19" s="2"/>
      <c r="AB19" s="17"/>
      <c r="AC19" s="2"/>
      <c r="AD19" s="17"/>
    </row>
    <row r="20" spans="2:30" x14ac:dyDescent="0.25">
      <c r="B20" s="13" t="s">
        <v>36</v>
      </c>
      <c r="C20" s="15">
        <v>44317</v>
      </c>
      <c r="D20" s="3">
        <v>44463</v>
      </c>
      <c r="E20" s="17">
        <f t="shared" si="0"/>
        <v>146</v>
      </c>
      <c r="G20" s="2">
        <v>44855</v>
      </c>
      <c r="H20" s="17">
        <f t="shared" si="1"/>
        <v>392</v>
      </c>
      <c r="I20" s="2">
        <v>44901</v>
      </c>
      <c r="J20" s="17">
        <f t="shared" si="2"/>
        <v>46</v>
      </c>
      <c r="L20" s="2">
        <v>45462</v>
      </c>
      <c r="M20" s="17">
        <f>L20-I20</f>
        <v>561</v>
      </c>
      <c r="N20" s="2">
        <v>45796</v>
      </c>
      <c r="O20" s="17">
        <f>N20-L20</f>
        <v>334</v>
      </c>
      <c r="Q20" s="2"/>
      <c r="R20" s="17"/>
      <c r="S20" s="2"/>
      <c r="T20" s="17"/>
      <c r="V20" s="2"/>
      <c r="W20" s="17"/>
      <c r="X20" s="2"/>
      <c r="Y20" s="17"/>
      <c r="AA20" s="2"/>
      <c r="AB20" s="17"/>
      <c r="AC20" s="2"/>
      <c r="AD20" s="17"/>
    </row>
    <row r="21" spans="2:30" ht="5.0999999999999996" customHeight="1" x14ac:dyDescent="0.25">
      <c r="B21" s="13"/>
    </row>
    <row r="22" spans="2:30" x14ac:dyDescent="0.25">
      <c r="B22" s="13" t="s">
        <v>39</v>
      </c>
      <c r="C22" s="15">
        <v>44317</v>
      </c>
      <c r="D22" s="3">
        <v>45057</v>
      </c>
      <c r="E22" s="17">
        <f t="shared" si="0"/>
        <v>740</v>
      </c>
      <c r="G22" s="2">
        <v>45062</v>
      </c>
      <c r="H22" s="17">
        <f t="shared" si="1"/>
        <v>5</v>
      </c>
      <c r="I22" s="2">
        <v>45541</v>
      </c>
      <c r="J22" s="17">
        <f t="shared" si="2"/>
        <v>479</v>
      </c>
      <c r="L22" s="2">
        <v>45631</v>
      </c>
      <c r="M22" s="17">
        <f>L22-I22</f>
        <v>90</v>
      </c>
      <c r="N22" s="2">
        <v>45796</v>
      </c>
      <c r="O22" s="17">
        <f>N22-L22</f>
        <v>165</v>
      </c>
      <c r="Q22" s="2"/>
      <c r="R22" s="17"/>
      <c r="S22" s="2"/>
      <c r="T22" s="17"/>
      <c r="V22" s="2"/>
      <c r="W22" s="17"/>
      <c r="X22" s="2"/>
      <c r="Y22" s="17"/>
      <c r="AA22" s="2"/>
      <c r="AB22" s="17"/>
      <c r="AC22" s="2"/>
      <c r="AD22" s="17"/>
    </row>
    <row r="23" spans="2:30" x14ac:dyDescent="0.25">
      <c r="B23" s="13" t="s">
        <v>40</v>
      </c>
      <c r="C23" s="15">
        <v>44317</v>
      </c>
      <c r="D23" s="3">
        <v>44902</v>
      </c>
      <c r="E23" s="17">
        <f t="shared" si="0"/>
        <v>585</v>
      </c>
      <c r="G23" s="2">
        <v>45069</v>
      </c>
      <c r="H23" s="17">
        <f t="shared" si="1"/>
        <v>167</v>
      </c>
      <c r="I23" s="2">
        <v>45462</v>
      </c>
      <c r="J23" s="17">
        <f t="shared" si="2"/>
        <v>393</v>
      </c>
      <c r="L23" s="2">
        <v>45635</v>
      </c>
      <c r="M23" s="17">
        <f>L23-I23</f>
        <v>173</v>
      </c>
      <c r="N23" s="2">
        <v>45807</v>
      </c>
      <c r="O23" s="17">
        <f>N23-L23</f>
        <v>172</v>
      </c>
      <c r="Q23" s="2"/>
      <c r="R23" s="17"/>
      <c r="S23" s="2"/>
      <c r="T23" s="17"/>
      <c r="V23" s="2"/>
      <c r="W23" s="17"/>
      <c r="X23" s="2"/>
      <c r="Y23" s="17"/>
      <c r="AA23" s="2"/>
      <c r="AB23" s="17"/>
      <c r="AC23" s="2"/>
      <c r="AD23" s="17"/>
    </row>
    <row r="24" spans="2:30" x14ac:dyDescent="0.25">
      <c r="B24" s="13" t="s">
        <v>37</v>
      </c>
      <c r="C24" s="15">
        <v>44317</v>
      </c>
      <c r="D24" s="3">
        <v>45062</v>
      </c>
      <c r="E24" s="17">
        <f t="shared" si="0"/>
        <v>745</v>
      </c>
      <c r="G24" s="19">
        <v>45062</v>
      </c>
      <c r="H24" s="18">
        <f t="shared" si="1"/>
        <v>0</v>
      </c>
      <c r="I24" s="2">
        <v>45804</v>
      </c>
      <c r="J24" s="17">
        <f t="shared" si="2"/>
        <v>742</v>
      </c>
      <c r="L24" s="2"/>
      <c r="M24" s="17"/>
      <c r="N24" s="2"/>
      <c r="O24" s="17"/>
      <c r="Q24" s="2"/>
      <c r="R24" s="17"/>
      <c r="S24" s="2"/>
      <c r="T24" s="17"/>
      <c r="V24" s="2"/>
      <c r="W24" s="17"/>
      <c r="X24" s="2"/>
      <c r="Y24" s="17"/>
      <c r="AA24" s="2"/>
      <c r="AB24" s="17"/>
      <c r="AC24" s="2"/>
      <c r="AD24" s="17"/>
    </row>
    <row r="25" spans="2:30" x14ac:dyDescent="0.25">
      <c r="B25" s="13" t="s">
        <v>38</v>
      </c>
      <c r="C25" s="15">
        <v>44317</v>
      </c>
      <c r="D25" s="3">
        <v>44838</v>
      </c>
      <c r="E25" s="17">
        <f t="shared" si="0"/>
        <v>521</v>
      </c>
      <c r="G25" s="2">
        <v>45069</v>
      </c>
      <c r="H25" s="17">
        <f t="shared" si="1"/>
        <v>231</v>
      </c>
      <c r="I25" s="2">
        <v>45462</v>
      </c>
      <c r="J25" s="17">
        <f t="shared" si="2"/>
        <v>393</v>
      </c>
      <c r="L25" s="2">
        <v>45628</v>
      </c>
      <c r="M25" s="17">
        <f>L25-I25</f>
        <v>166</v>
      </c>
      <c r="N25" s="2">
        <v>45807</v>
      </c>
      <c r="O25" s="17">
        <f>N25-L25</f>
        <v>179</v>
      </c>
      <c r="Q25" s="2"/>
      <c r="R25" s="17"/>
      <c r="S25" s="2"/>
      <c r="T25" s="17"/>
      <c r="V25" s="2"/>
      <c r="W25" s="17"/>
      <c r="X25" s="2"/>
      <c r="Y25" s="17"/>
      <c r="AA25" s="2"/>
      <c r="AB25" s="17"/>
      <c r="AC25" s="2"/>
      <c r="AD25" s="17"/>
    </row>
    <row r="26" spans="2:30" ht="5.0999999999999996" customHeight="1" x14ac:dyDescent="0.25">
      <c r="B26" s="13"/>
    </row>
    <row r="27" spans="2:30" x14ac:dyDescent="0.25">
      <c r="B27" s="13" t="s">
        <v>41</v>
      </c>
      <c r="C27" s="15">
        <v>44317</v>
      </c>
      <c r="D27" s="3">
        <v>44961</v>
      </c>
      <c r="E27" s="17">
        <f t="shared" si="0"/>
        <v>644</v>
      </c>
      <c r="G27" s="2">
        <v>45062</v>
      </c>
      <c r="H27" s="17">
        <f t="shared" si="1"/>
        <v>101</v>
      </c>
      <c r="I27" s="2">
        <v>45446</v>
      </c>
      <c r="J27" s="17">
        <f t="shared" si="2"/>
        <v>384</v>
      </c>
      <c r="L27" s="2"/>
      <c r="M27" s="17"/>
      <c r="N27" s="2"/>
      <c r="O27" s="17"/>
      <c r="Q27" s="2"/>
      <c r="R27" s="17"/>
      <c r="S27" s="2"/>
      <c r="T27" s="17"/>
      <c r="V27" s="2"/>
      <c r="W27" s="17"/>
      <c r="X27" s="2"/>
      <c r="Y27" s="17"/>
      <c r="AA27" s="2"/>
      <c r="AB27" s="17"/>
      <c r="AC27" s="2"/>
      <c r="AD27" s="17"/>
    </row>
    <row r="28" spans="2:30" x14ac:dyDescent="0.25">
      <c r="B28" s="13" t="s">
        <v>43</v>
      </c>
      <c r="C28" s="15">
        <v>44317</v>
      </c>
      <c r="D28" s="3">
        <v>44901</v>
      </c>
      <c r="E28" s="17">
        <f t="shared" si="0"/>
        <v>584</v>
      </c>
      <c r="G28" s="2">
        <v>45069</v>
      </c>
      <c r="H28" s="17">
        <f t="shared" si="1"/>
        <v>168</v>
      </c>
      <c r="I28" s="2">
        <v>45462</v>
      </c>
      <c r="J28" s="17">
        <f t="shared" si="2"/>
        <v>393</v>
      </c>
      <c r="L28" s="2"/>
      <c r="M28" s="17"/>
      <c r="N28" s="2"/>
      <c r="O28" s="17"/>
      <c r="Q28" s="2"/>
      <c r="R28" s="17"/>
      <c r="S28" s="2"/>
      <c r="T28" s="17"/>
      <c r="V28" s="2"/>
      <c r="W28" s="17"/>
      <c r="X28" s="2"/>
      <c r="Y28" s="17"/>
      <c r="AA28" s="2"/>
      <c r="AB28" s="17"/>
      <c r="AC28" s="2"/>
      <c r="AD28" s="17"/>
    </row>
    <row r="29" spans="2:30" x14ac:dyDescent="0.25">
      <c r="B29" s="13" t="s">
        <v>44</v>
      </c>
      <c r="C29" s="15">
        <v>44317</v>
      </c>
      <c r="D29" s="3">
        <v>44883</v>
      </c>
      <c r="E29" s="17">
        <f t="shared" si="0"/>
        <v>566</v>
      </c>
      <c r="G29" s="2">
        <v>45062</v>
      </c>
      <c r="H29" s="17">
        <f t="shared" si="1"/>
        <v>179</v>
      </c>
      <c r="I29" s="2">
        <v>45732</v>
      </c>
      <c r="J29" s="17">
        <f t="shared" si="2"/>
        <v>670</v>
      </c>
      <c r="L29" s="2"/>
      <c r="M29" s="17"/>
      <c r="N29" s="2"/>
      <c r="O29" s="17"/>
      <c r="Q29" s="2"/>
      <c r="R29" s="17"/>
      <c r="S29" s="2"/>
      <c r="T29" s="17"/>
      <c r="V29" s="2"/>
      <c r="W29" s="17"/>
      <c r="X29" s="2"/>
      <c r="Y29" s="17"/>
      <c r="AA29" s="2"/>
      <c r="AB29" s="17"/>
      <c r="AC29" s="2"/>
      <c r="AD29" s="17"/>
    </row>
    <row r="30" spans="2:30" x14ac:dyDescent="0.25">
      <c r="B30" s="13" t="s">
        <v>42</v>
      </c>
      <c r="C30" s="15">
        <v>44317</v>
      </c>
      <c r="D30" s="3">
        <v>44901</v>
      </c>
      <c r="E30" s="17">
        <f t="shared" si="0"/>
        <v>584</v>
      </c>
      <c r="G30" s="2">
        <v>45069</v>
      </c>
      <c r="H30" s="17">
        <f t="shared" si="1"/>
        <v>168</v>
      </c>
      <c r="I30" s="2">
        <v>45462</v>
      </c>
      <c r="J30" s="17">
        <f t="shared" si="2"/>
        <v>393</v>
      </c>
      <c r="L30" s="19">
        <v>45462</v>
      </c>
      <c r="M30" s="18">
        <f>L30-I30</f>
        <v>0</v>
      </c>
      <c r="N30" s="2">
        <v>45742</v>
      </c>
      <c r="O30" s="17">
        <f>N30-L30</f>
        <v>280</v>
      </c>
      <c r="Q30" s="2"/>
      <c r="R30" s="17"/>
      <c r="S30" s="2"/>
      <c r="T30" s="17"/>
      <c r="V30" s="2"/>
      <c r="W30" s="17"/>
      <c r="X30" s="2"/>
      <c r="Y30" s="17"/>
      <c r="AA30" s="2"/>
      <c r="AB30" s="17"/>
      <c r="AC30" s="2"/>
      <c r="AD30" s="17"/>
    </row>
    <row r="31" spans="2:30" ht="5.0999999999999996" customHeight="1" x14ac:dyDescent="0.25">
      <c r="B31" s="13"/>
    </row>
    <row r="32" spans="2:30" x14ac:dyDescent="0.25">
      <c r="B32" s="13" t="s">
        <v>45</v>
      </c>
      <c r="C32" s="15">
        <v>44394</v>
      </c>
      <c r="D32" s="3">
        <v>44895</v>
      </c>
      <c r="E32" s="17">
        <f t="shared" si="0"/>
        <v>501</v>
      </c>
      <c r="G32" s="2">
        <v>45631</v>
      </c>
      <c r="H32" s="17">
        <f t="shared" si="1"/>
        <v>736</v>
      </c>
      <c r="I32" s="2">
        <v>45689</v>
      </c>
      <c r="J32" s="17">
        <f t="shared" si="2"/>
        <v>58</v>
      </c>
      <c r="L32" s="2"/>
      <c r="M32" s="17"/>
      <c r="N32" s="2"/>
      <c r="O32" s="17"/>
      <c r="Q32" s="2"/>
      <c r="R32" s="17"/>
      <c r="S32" s="2"/>
      <c r="T32" s="17"/>
      <c r="V32" s="2"/>
      <c r="W32" s="17"/>
      <c r="X32" s="2"/>
      <c r="Y32" s="17"/>
      <c r="AA32" s="2"/>
      <c r="AB32" s="17"/>
      <c r="AC32" s="2"/>
      <c r="AD32" s="17"/>
    </row>
    <row r="33" spans="2:30" x14ac:dyDescent="0.25">
      <c r="B33" s="13" t="s">
        <v>46</v>
      </c>
      <c r="C33" s="15">
        <v>44394</v>
      </c>
      <c r="D33" s="3">
        <v>44840</v>
      </c>
      <c r="E33" s="17">
        <f t="shared" si="0"/>
        <v>446</v>
      </c>
      <c r="G33" s="2">
        <v>45069</v>
      </c>
      <c r="H33" s="17">
        <f t="shared" si="1"/>
        <v>229</v>
      </c>
      <c r="I33" s="2">
        <v>45462</v>
      </c>
      <c r="J33" s="17">
        <f t="shared" si="2"/>
        <v>393</v>
      </c>
      <c r="L33" s="2">
        <v>45628</v>
      </c>
      <c r="M33" s="17">
        <f>L33-I33</f>
        <v>166</v>
      </c>
      <c r="N33" s="2">
        <v>45807</v>
      </c>
      <c r="O33" s="17">
        <f>N33-L33</f>
        <v>179</v>
      </c>
      <c r="Q33" s="2"/>
      <c r="R33" s="17"/>
      <c r="S33" s="2"/>
      <c r="T33" s="17"/>
      <c r="V33" s="2"/>
      <c r="W33" s="17"/>
      <c r="X33" s="2"/>
      <c r="Y33" s="17"/>
      <c r="AA33" s="2"/>
      <c r="AB33" s="17"/>
      <c r="AC33" s="2"/>
      <c r="AD33" s="17"/>
    </row>
    <row r="34" spans="2:30" x14ac:dyDescent="0.25">
      <c r="B34" s="13" t="s">
        <v>47</v>
      </c>
      <c r="C34" s="15">
        <v>44380</v>
      </c>
      <c r="D34" s="3">
        <v>44793</v>
      </c>
      <c r="E34" s="17">
        <f t="shared" si="0"/>
        <v>413</v>
      </c>
      <c r="G34" s="2">
        <v>45062</v>
      </c>
      <c r="H34" s="17">
        <f t="shared" si="1"/>
        <v>269</v>
      </c>
      <c r="I34" s="2">
        <v>45796</v>
      </c>
      <c r="J34" s="17">
        <f t="shared" si="2"/>
        <v>734</v>
      </c>
      <c r="L34" s="2"/>
      <c r="M34" s="17"/>
      <c r="N34" s="2"/>
      <c r="O34" s="17"/>
      <c r="Q34" s="2"/>
      <c r="R34" s="17"/>
      <c r="S34" s="2"/>
      <c r="T34" s="17"/>
      <c r="V34" s="2"/>
      <c r="W34" s="17"/>
      <c r="X34" s="2"/>
      <c r="Y34" s="17"/>
      <c r="AA34" s="2"/>
      <c r="AB34" s="17"/>
      <c r="AC34" s="2"/>
      <c r="AD34" s="17"/>
    </row>
    <row r="35" spans="2:30" x14ac:dyDescent="0.25">
      <c r="B35" s="13" t="s">
        <v>48</v>
      </c>
      <c r="C35" s="15">
        <v>44380</v>
      </c>
      <c r="D35" s="3">
        <v>44936</v>
      </c>
      <c r="E35" s="17">
        <f t="shared" si="0"/>
        <v>556</v>
      </c>
      <c r="G35" s="2">
        <v>45069</v>
      </c>
      <c r="H35" s="17">
        <f t="shared" si="1"/>
        <v>133</v>
      </c>
      <c r="I35" s="2">
        <v>45462</v>
      </c>
      <c r="J35" s="17">
        <f t="shared" si="2"/>
        <v>393</v>
      </c>
      <c r="L35" s="2">
        <v>45628</v>
      </c>
      <c r="M35" s="17">
        <f>L35-I35</f>
        <v>166</v>
      </c>
      <c r="N35" s="2">
        <v>45807</v>
      </c>
      <c r="O35" s="17">
        <f>N35-L35</f>
        <v>179</v>
      </c>
      <c r="Q35" s="2"/>
      <c r="R35" s="17"/>
      <c r="S35" s="2"/>
      <c r="T35" s="17"/>
      <c r="V35" s="2"/>
      <c r="W35" s="17"/>
      <c r="X35" s="2"/>
      <c r="Y35" s="17"/>
      <c r="AA35" s="2"/>
      <c r="AB35" s="17"/>
      <c r="AC35" s="2"/>
      <c r="AD35" s="17"/>
    </row>
    <row r="36" spans="2:30" ht="5.0999999999999996" customHeight="1" x14ac:dyDescent="0.25">
      <c r="B36" s="13"/>
    </row>
    <row r="37" spans="2:30" x14ac:dyDescent="0.25">
      <c r="B37" s="13" t="s">
        <v>49</v>
      </c>
      <c r="C37" s="15">
        <v>44317</v>
      </c>
      <c r="D37" s="3">
        <v>44883</v>
      </c>
      <c r="E37" s="17">
        <f t="shared" si="0"/>
        <v>566</v>
      </c>
      <c r="G37" s="2">
        <v>45069</v>
      </c>
      <c r="H37" s="17">
        <f t="shared" si="1"/>
        <v>186</v>
      </c>
      <c r="I37" s="2">
        <v>45587</v>
      </c>
      <c r="J37" s="17">
        <f t="shared" si="2"/>
        <v>518</v>
      </c>
      <c r="L37" s="2"/>
      <c r="M37" s="17"/>
      <c r="N37" s="2"/>
      <c r="O37" s="17"/>
      <c r="Q37" s="2"/>
      <c r="R37" s="17"/>
      <c r="S37" s="2"/>
      <c r="T37" s="17"/>
      <c r="V37" s="2"/>
      <c r="W37" s="17"/>
      <c r="X37" s="2"/>
      <c r="Y37" s="17"/>
      <c r="AA37" s="2"/>
      <c r="AB37" s="17"/>
      <c r="AC37" s="2"/>
      <c r="AD37" s="17"/>
    </row>
    <row r="38" spans="2:30" x14ac:dyDescent="0.25">
      <c r="B38" s="13" t="s">
        <v>50</v>
      </c>
      <c r="C38" s="15">
        <v>44317</v>
      </c>
      <c r="D38" s="3">
        <v>44956</v>
      </c>
      <c r="E38" s="17">
        <f t="shared" si="0"/>
        <v>639</v>
      </c>
      <c r="G38" s="2">
        <v>45069</v>
      </c>
      <c r="H38" s="17">
        <f t="shared" si="1"/>
        <v>113</v>
      </c>
      <c r="I38" s="2">
        <v>45462</v>
      </c>
      <c r="J38" s="17">
        <f t="shared" si="2"/>
        <v>393</v>
      </c>
      <c r="L38" s="2">
        <v>45635</v>
      </c>
      <c r="M38" s="17">
        <f>L38-I38</f>
        <v>173</v>
      </c>
      <c r="N38" s="2">
        <v>45807</v>
      </c>
      <c r="O38" s="17">
        <f>N38-L38</f>
        <v>172</v>
      </c>
      <c r="Q38" s="2"/>
      <c r="R38" s="17"/>
      <c r="S38" s="2"/>
      <c r="T38" s="17"/>
      <c r="V38" s="2"/>
      <c r="W38" s="17"/>
      <c r="X38" s="2"/>
      <c r="Y38" s="17"/>
      <c r="AA38" s="2"/>
      <c r="AB38" s="17"/>
      <c r="AC38" s="2"/>
      <c r="AD38" s="17"/>
    </row>
    <row r="39" spans="2:30" x14ac:dyDescent="0.25">
      <c r="B39" s="13" t="s">
        <v>51</v>
      </c>
      <c r="C39" s="15">
        <v>44317</v>
      </c>
      <c r="D39" s="3">
        <v>45038</v>
      </c>
      <c r="E39" s="17">
        <f t="shared" si="0"/>
        <v>721</v>
      </c>
      <c r="G39" s="2">
        <v>45062</v>
      </c>
      <c r="H39" s="17">
        <f t="shared" si="1"/>
        <v>24</v>
      </c>
      <c r="I39" s="2">
        <v>45754</v>
      </c>
      <c r="J39" s="17">
        <f t="shared" si="2"/>
        <v>692</v>
      </c>
      <c r="L39" s="2"/>
      <c r="M39" s="17"/>
      <c r="N39" s="2"/>
      <c r="O39" s="17"/>
      <c r="Q39" s="2"/>
      <c r="R39" s="17"/>
      <c r="S39" s="2"/>
      <c r="T39" s="17"/>
      <c r="V39" s="2"/>
      <c r="W39" s="17"/>
      <c r="X39" s="2"/>
      <c r="Y39" s="17"/>
      <c r="AA39" s="2"/>
      <c r="AB39" s="17"/>
      <c r="AC39" s="2"/>
      <c r="AD39" s="17"/>
    </row>
    <row r="40" spans="2:30" x14ac:dyDescent="0.25">
      <c r="B40" s="13" t="s">
        <v>52</v>
      </c>
      <c r="C40" s="15">
        <v>44317</v>
      </c>
      <c r="D40" s="3">
        <v>44968</v>
      </c>
      <c r="E40" s="17">
        <f t="shared" si="0"/>
        <v>651</v>
      </c>
      <c r="G40" s="2">
        <v>45069</v>
      </c>
      <c r="H40" s="17">
        <f t="shared" si="1"/>
        <v>101</v>
      </c>
      <c r="I40" s="2">
        <v>45462</v>
      </c>
      <c r="J40" s="17">
        <f t="shared" si="2"/>
        <v>393</v>
      </c>
      <c r="L40" s="19">
        <v>45462</v>
      </c>
      <c r="M40" s="18">
        <f>L40-I40</f>
        <v>0</v>
      </c>
      <c r="N40" s="2">
        <v>45777</v>
      </c>
      <c r="O40" s="17">
        <f>N40-L40</f>
        <v>315</v>
      </c>
      <c r="Q40" s="2"/>
      <c r="R40" s="17"/>
      <c r="S40" s="2"/>
      <c r="T40" s="17"/>
      <c r="V40" s="2"/>
      <c r="W40" s="17"/>
      <c r="X40" s="2"/>
      <c r="Y40" s="17"/>
      <c r="AA40" s="2"/>
      <c r="AB40" s="17"/>
      <c r="AC40" s="2"/>
      <c r="AD40" s="17"/>
    </row>
    <row r="41" spans="2:30" ht="5.0999999999999996" customHeight="1" x14ac:dyDescent="0.25">
      <c r="B41" s="13"/>
    </row>
    <row r="42" spans="2:30" x14ac:dyDescent="0.25">
      <c r="B42" s="13" t="s">
        <v>53</v>
      </c>
      <c r="C42" s="15">
        <v>44317</v>
      </c>
      <c r="D42" s="3">
        <v>45062</v>
      </c>
      <c r="E42" s="17">
        <f t="shared" si="0"/>
        <v>745</v>
      </c>
      <c r="G42" s="19">
        <v>45062</v>
      </c>
      <c r="H42" s="18">
        <f t="shared" si="1"/>
        <v>0</v>
      </c>
      <c r="I42" s="2">
        <v>45486</v>
      </c>
      <c r="J42" s="17">
        <f t="shared" si="2"/>
        <v>424</v>
      </c>
      <c r="L42" s="2">
        <v>45631</v>
      </c>
      <c r="M42" s="17">
        <f t="shared" ref="M42:M48" si="3">L42-I42</f>
        <v>145</v>
      </c>
      <c r="N42" s="2">
        <v>45786</v>
      </c>
      <c r="O42" s="17">
        <f t="shared" ref="O42:O48" si="4">N42-L42</f>
        <v>155</v>
      </c>
      <c r="Q42" s="2"/>
      <c r="R42" s="17"/>
      <c r="S42" s="2"/>
      <c r="T42" s="17"/>
      <c r="V42" s="2"/>
      <c r="W42" s="17"/>
      <c r="X42" s="2"/>
      <c r="Y42" s="17"/>
      <c r="AA42" s="2"/>
      <c r="AB42" s="17"/>
      <c r="AC42" s="2"/>
      <c r="AD42" s="17"/>
    </row>
    <row r="43" spans="2:30" x14ac:dyDescent="0.25">
      <c r="B43" s="13" t="s">
        <v>54</v>
      </c>
      <c r="C43" s="15">
        <v>44317</v>
      </c>
      <c r="D43" s="3">
        <v>44901</v>
      </c>
      <c r="E43" s="17">
        <f t="shared" si="0"/>
        <v>584</v>
      </c>
      <c r="G43" s="2">
        <v>45069</v>
      </c>
      <c r="H43" s="17">
        <f t="shared" si="1"/>
        <v>168</v>
      </c>
      <c r="I43" s="2">
        <v>45462</v>
      </c>
      <c r="J43" s="17">
        <f t="shared" si="2"/>
        <v>393</v>
      </c>
      <c r="L43" s="19">
        <v>45462</v>
      </c>
      <c r="M43" s="18">
        <f t="shared" si="3"/>
        <v>0</v>
      </c>
      <c r="N43" s="2">
        <v>45807</v>
      </c>
      <c r="O43" s="17">
        <f t="shared" si="4"/>
        <v>345</v>
      </c>
      <c r="Q43" s="2"/>
      <c r="R43" s="17"/>
      <c r="S43" s="2"/>
      <c r="T43" s="17"/>
      <c r="V43" s="2"/>
      <c r="W43" s="17"/>
      <c r="X43" s="2"/>
      <c r="Y43" s="17"/>
      <c r="AA43" s="2"/>
      <c r="AB43" s="17"/>
      <c r="AC43" s="2"/>
      <c r="AD43" s="17"/>
    </row>
    <row r="44" spans="2:30" x14ac:dyDescent="0.25">
      <c r="B44" s="13" t="s">
        <v>55</v>
      </c>
      <c r="C44" s="15">
        <v>44317</v>
      </c>
      <c r="D44" s="3">
        <v>44919</v>
      </c>
      <c r="E44" s="17">
        <f t="shared" si="0"/>
        <v>602</v>
      </c>
      <c r="G44" s="2">
        <v>45062</v>
      </c>
      <c r="H44" s="17">
        <f t="shared" si="1"/>
        <v>143</v>
      </c>
      <c r="I44" s="2">
        <v>45593</v>
      </c>
      <c r="J44" s="17">
        <f t="shared" si="2"/>
        <v>531</v>
      </c>
      <c r="L44" s="2">
        <v>45631</v>
      </c>
      <c r="M44" s="17">
        <f t="shared" si="3"/>
        <v>38</v>
      </c>
      <c r="N44" s="2">
        <v>45796</v>
      </c>
      <c r="O44" s="17">
        <f t="shared" si="4"/>
        <v>165</v>
      </c>
      <c r="Q44" s="2"/>
      <c r="R44" s="17"/>
      <c r="S44" s="2"/>
      <c r="T44" s="17"/>
      <c r="V44" s="2"/>
      <c r="W44" s="17"/>
      <c r="X44" s="2"/>
      <c r="Y44" s="17"/>
      <c r="AA44" s="2"/>
      <c r="AB44" s="17"/>
      <c r="AC44" s="2"/>
      <c r="AD44" s="17"/>
    </row>
    <row r="45" spans="2:30" x14ac:dyDescent="0.25">
      <c r="B45" s="13" t="s">
        <v>56</v>
      </c>
      <c r="C45" s="15">
        <v>44317</v>
      </c>
      <c r="D45" s="3">
        <v>44844</v>
      </c>
      <c r="E45" s="17">
        <f t="shared" si="0"/>
        <v>527</v>
      </c>
      <c r="G45" s="2">
        <v>45069</v>
      </c>
      <c r="H45" s="17">
        <f t="shared" si="1"/>
        <v>225</v>
      </c>
      <c r="I45" s="2">
        <v>45462</v>
      </c>
      <c r="J45" s="17">
        <f t="shared" si="2"/>
        <v>393</v>
      </c>
      <c r="L45" s="2">
        <v>45628</v>
      </c>
      <c r="M45" s="17">
        <f t="shared" si="3"/>
        <v>166</v>
      </c>
      <c r="N45" s="2">
        <v>45807</v>
      </c>
      <c r="O45" s="17">
        <f t="shared" si="4"/>
        <v>179</v>
      </c>
      <c r="Q45" s="2"/>
      <c r="R45" s="17"/>
      <c r="S45" s="2"/>
      <c r="T45" s="17"/>
      <c r="V45" s="2"/>
      <c r="W45" s="17"/>
      <c r="X45" s="2"/>
      <c r="Y45" s="17"/>
      <c r="AA45" s="2"/>
      <c r="AB45" s="17"/>
      <c r="AC45" s="2"/>
      <c r="AD45" s="17"/>
    </row>
    <row r="46" spans="2:30" ht="5.0999999999999996" customHeight="1" x14ac:dyDescent="0.25">
      <c r="B46" s="13"/>
    </row>
    <row r="47" spans="2:30" x14ac:dyDescent="0.25">
      <c r="B47" s="13" t="s">
        <v>57</v>
      </c>
      <c r="C47" s="15">
        <v>44317</v>
      </c>
      <c r="D47" s="3">
        <v>44673</v>
      </c>
      <c r="E47" s="17">
        <f t="shared" si="0"/>
        <v>356</v>
      </c>
      <c r="G47" s="2">
        <v>45062</v>
      </c>
      <c r="H47" s="17">
        <f t="shared" si="1"/>
        <v>389</v>
      </c>
      <c r="I47" s="2">
        <v>45631</v>
      </c>
      <c r="J47" s="17">
        <f t="shared" si="2"/>
        <v>569</v>
      </c>
      <c r="L47" s="19">
        <v>45631</v>
      </c>
      <c r="M47" s="18">
        <f t="shared" si="3"/>
        <v>0</v>
      </c>
      <c r="N47" s="2">
        <v>45796</v>
      </c>
      <c r="O47" s="17">
        <f t="shared" si="4"/>
        <v>165</v>
      </c>
      <c r="Q47" s="2"/>
      <c r="R47" s="17"/>
      <c r="S47" s="2"/>
      <c r="T47" s="17"/>
      <c r="V47" s="2"/>
      <c r="W47" s="17"/>
      <c r="X47" s="2"/>
      <c r="Y47" s="17"/>
      <c r="AA47" s="2"/>
      <c r="AB47" s="17"/>
      <c r="AC47" s="2"/>
      <c r="AD47" s="17"/>
    </row>
    <row r="48" spans="2:30" x14ac:dyDescent="0.25">
      <c r="B48" s="13" t="s">
        <v>58</v>
      </c>
      <c r="C48" s="15">
        <v>44317</v>
      </c>
      <c r="D48" s="3">
        <v>45069</v>
      </c>
      <c r="E48" s="17">
        <f t="shared" si="0"/>
        <v>752</v>
      </c>
      <c r="G48" s="19">
        <v>45069</v>
      </c>
      <c r="H48" s="18">
        <f t="shared" si="1"/>
        <v>0</v>
      </c>
      <c r="I48" s="2">
        <v>45462</v>
      </c>
      <c r="J48" s="17">
        <f t="shared" si="2"/>
        <v>393</v>
      </c>
      <c r="L48" s="19">
        <v>45462</v>
      </c>
      <c r="M48" s="18">
        <f t="shared" si="3"/>
        <v>0</v>
      </c>
      <c r="N48" s="2">
        <v>45784</v>
      </c>
      <c r="O48" s="17">
        <f t="shared" si="4"/>
        <v>322</v>
      </c>
      <c r="Q48" s="2"/>
      <c r="R48" s="17"/>
      <c r="S48" s="2"/>
      <c r="T48" s="17"/>
      <c r="V48" s="2"/>
      <c r="W48" s="17"/>
      <c r="X48" s="2"/>
      <c r="Y48" s="17"/>
      <c r="AA48" s="2"/>
      <c r="AB48" s="17"/>
      <c r="AC48" s="2"/>
      <c r="AD48" s="17"/>
    </row>
    <row r="49" spans="2:7" ht="20.100000000000001" customHeight="1" x14ac:dyDescent="0.25"/>
    <row r="50" spans="2:7" x14ac:dyDescent="0.25">
      <c r="B50" t="s">
        <v>10</v>
      </c>
      <c r="D50" s="19">
        <v>45373</v>
      </c>
      <c r="E50" s="18">
        <v>0</v>
      </c>
      <c r="G50" t="s">
        <v>25</v>
      </c>
    </row>
    <row r="51" spans="2:7" x14ac:dyDescent="0.25">
      <c r="D51" s="20">
        <f>$A$3</f>
        <v>0</v>
      </c>
      <c r="E51" s="21">
        <v>465</v>
      </c>
      <c r="G51" t="s">
        <v>26</v>
      </c>
    </row>
  </sheetData>
  <mergeCells count="2">
    <mergeCell ref="A1:B2"/>
    <mergeCell ref="A3:B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graph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2025-03-19T10:59:11Z</dcterms:created>
  <dcterms:modified xsi:type="dcterms:W3CDTF">2025-07-21T08:58:58Z</dcterms:modified>
</cp:coreProperties>
</file>