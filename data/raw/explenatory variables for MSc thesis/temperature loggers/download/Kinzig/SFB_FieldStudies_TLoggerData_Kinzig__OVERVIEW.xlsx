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en\3 RESIST\9 sciebo\b_Environmental Data\Temperature (Logger Data)\Kinzig\"/>
    </mc:Choice>
  </mc:AlternateContent>
  <xr:revisionPtr revIDLastSave="0" documentId="13_ncr:1_{7D0AF4F1-66D2-4B31-BF35-6EF519F960CC}" xr6:coauthVersionLast="47" xr6:coauthVersionMax="47" xr10:uidLastSave="{00000000-0000-0000-0000-000000000000}"/>
  <bookViews>
    <workbookView xWindow="-28920" yWindow="-120" windowWidth="29040" windowHeight="18240" tabRatio="788" xr2:uid="{00000000-000D-0000-FFFF-FFFF00000000}"/>
  </bookViews>
  <sheets>
    <sheet name="graph" sheetId="13" r:id="rId1"/>
    <sheet name="table" sheetId="1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2" l="1"/>
  <c r="N51" i="12"/>
  <c r="O51" i="12" s="1"/>
  <c r="N50" i="12"/>
  <c r="N49" i="12"/>
  <c r="O49" i="12" s="1"/>
  <c r="I48" i="12"/>
  <c r="N46" i="12"/>
  <c r="N45" i="12"/>
  <c r="N44" i="12"/>
  <c r="N43" i="12"/>
  <c r="N41" i="12"/>
  <c r="I40" i="12"/>
  <c r="I39" i="12"/>
  <c r="N38" i="12"/>
  <c r="AC36" i="12"/>
  <c r="N35" i="12"/>
  <c r="N34" i="12"/>
  <c r="N33" i="12"/>
  <c r="I31" i="12"/>
  <c r="S30" i="12"/>
  <c r="N29" i="12"/>
  <c r="N28" i="12"/>
  <c r="S27" i="12"/>
  <c r="N26" i="12"/>
  <c r="N25" i="12"/>
  <c r="N24" i="12"/>
  <c r="N22" i="12"/>
  <c r="I21" i="12"/>
  <c r="N19" i="12"/>
  <c r="I20" i="12"/>
  <c r="I17" i="12"/>
  <c r="N16" i="12"/>
  <c r="S15" i="12"/>
  <c r="N14" i="12"/>
  <c r="N12" i="12"/>
  <c r="S11" i="12"/>
  <c r="N10" i="12"/>
  <c r="N9" i="12"/>
  <c r="N7" i="12"/>
  <c r="N6" i="12"/>
  <c r="S4" i="12"/>
  <c r="I5" i="12"/>
  <c r="J48" i="12"/>
  <c r="M51" i="12"/>
  <c r="O50" i="12"/>
  <c r="M50" i="12"/>
  <c r="M49" i="12"/>
  <c r="H48" i="12"/>
  <c r="O46" i="12" l="1"/>
  <c r="O45" i="12"/>
  <c r="O44" i="12"/>
  <c r="O43" i="12"/>
  <c r="M46" i="12"/>
  <c r="M45" i="12"/>
  <c r="M44" i="12"/>
  <c r="M43" i="12"/>
  <c r="O41" i="12" l="1"/>
  <c r="M41" i="12"/>
  <c r="J40" i="12"/>
  <c r="J41" i="12"/>
  <c r="H40" i="12"/>
  <c r="J39" i="12"/>
  <c r="H39" i="12"/>
  <c r="O38" i="12"/>
  <c r="M38" i="12"/>
  <c r="AD36" i="12" l="1"/>
  <c r="AB36" i="12"/>
  <c r="O35" i="12"/>
  <c r="M35" i="12"/>
  <c r="O34" i="12"/>
  <c r="M34" i="12"/>
  <c r="O33" i="12"/>
  <c r="M33" i="12"/>
  <c r="J31" i="12" l="1"/>
  <c r="H31" i="12"/>
  <c r="T30" i="12"/>
  <c r="R30" i="12"/>
  <c r="O29" i="12"/>
  <c r="M29" i="12"/>
  <c r="O28" i="12"/>
  <c r="M28" i="12"/>
  <c r="T27" i="12"/>
  <c r="R27" i="12"/>
  <c r="O26" i="12"/>
  <c r="M26" i="12"/>
  <c r="O25" i="12"/>
  <c r="O24" i="12"/>
  <c r="M25" i="12"/>
  <c r="M24" i="12"/>
  <c r="O19" i="12" l="1"/>
  <c r="O22" i="12"/>
  <c r="M22" i="12"/>
  <c r="J21" i="12"/>
  <c r="H21" i="12"/>
  <c r="J20" i="12"/>
  <c r="H20" i="12"/>
  <c r="M19" i="12"/>
  <c r="J17" i="12" l="1"/>
  <c r="H17" i="12"/>
  <c r="O16" i="12"/>
  <c r="M16" i="12"/>
  <c r="T15" i="12"/>
  <c r="R15" i="12"/>
  <c r="O14" i="12"/>
  <c r="M14" i="12"/>
  <c r="O12" i="12" l="1"/>
  <c r="M12" i="12"/>
  <c r="R11" i="12"/>
  <c r="T11" i="12"/>
  <c r="O10" i="12"/>
  <c r="M10" i="12"/>
  <c r="O9" i="12"/>
  <c r="M9" i="12"/>
  <c r="O7" i="12" l="1"/>
  <c r="M7" i="12"/>
  <c r="O6" i="12"/>
  <c r="M6" i="12"/>
  <c r="H5" i="12"/>
  <c r="J5" i="12"/>
  <c r="R4" i="12"/>
  <c r="T4" i="12"/>
  <c r="J51" i="12" l="1"/>
  <c r="J50" i="12"/>
  <c r="J49" i="12"/>
  <c r="H51" i="12"/>
  <c r="H50" i="12"/>
  <c r="H49" i="12"/>
  <c r="E51" i="12"/>
  <c r="E50" i="12"/>
  <c r="E49" i="12"/>
  <c r="E48" i="12"/>
  <c r="J46" i="12"/>
  <c r="J45" i="12"/>
  <c r="J44" i="12"/>
  <c r="J43" i="12"/>
  <c r="H46" i="12"/>
  <c r="H45" i="12"/>
  <c r="H44" i="12"/>
  <c r="H43" i="12"/>
  <c r="E46" i="12"/>
  <c r="E45" i="12"/>
  <c r="E44" i="12"/>
  <c r="E43" i="12"/>
  <c r="H41" i="12"/>
  <c r="J38" i="12"/>
  <c r="H38" i="12"/>
  <c r="E41" i="12"/>
  <c r="E40" i="12"/>
  <c r="E39" i="12"/>
  <c r="E38" i="12"/>
  <c r="Y36" i="12" l="1"/>
  <c r="T36" i="12"/>
  <c r="W36" i="12"/>
  <c r="R36" i="12"/>
  <c r="O36" i="12"/>
  <c r="M36" i="12"/>
  <c r="J36" i="12"/>
  <c r="J35" i="12"/>
  <c r="J34" i="12"/>
  <c r="J33" i="12"/>
  <c r="H36" i="12"/>
  <c r="H35" i="12"/>
  <c r="H34" i="12"/>
  <c r="H33" i="12"/>
  <c r="E36" i="12"/>
  <c r="E35" i="12"/>
  <c r="E34" i="12"/>
  <c r="E33" i="12"/>
  <c r="O30" i="12" l="1"/>
  <c r="O27" i="12"/>
  <c r="M30" i="12"/>
  <c r="J28" i="12"/>
  <c r="J29" i="12"/>
  <c r="J30" i="12"/>
  <c r="H28" i="12"/>
  <c r="H29" i="12"/>
  <c r="H30" i="12"/>
  <c r="E28" i="12"/>
  <c r="E29" i="12"/>
  <c r="E30" i="12"/>
  <c r="E31" i="12"/>
  <c r="M27" i="12"/>
  <c r="J27" i="12"/>
  <c r="J26" i="12"/>
  <c r="J25" i="12"/>
  <c r="J24" i="12"/>
  <c r="H27" i="12"/>
  <c r="H26" i="12"/>
  <c r="H25" i="12"/>
  <c r="H24" i="12"/>
  <c r="E27" i="12"/>
  <c r="E26" i="12"/>
  <c r="E25" i="12"/>
  <c r="E24" i="12"/>
  <c r="J22" i="12" l="1"/>
  <c r="H22" i="12"/>
  <c r="J19" i="12"/>
  <c r="H19" i="12"/>
  <c r="E22" i="12"/>
  <c r="E21" i="12"/>
  <c r="E20" i="12"/>
  <c r="E19" i="12"/>
  <c r="O15" i="12"/>
  <c r="M15" i="12"/>
  <c r="J16" i="12"/>
  <c r="J15" i="12"/>
  <c r="J14" i="12"/>
  <c r="H16" i="12"/>
  <c r="H15" i="12"/>
  <c r="H14" i="12"/>
  <c r="E17" i="12"/>
  <c r="E16" i="12"/>
  <c r="E15" i="12"/>
  <c r="E14" i="12"/>
  <c r="E11" i="12" l="1"/>
  <c r="E12" i="12"/>
  <c r="J12" i="12"/>
  <c r="H12" i="12"/>
  <c r="M11" i="12"/>
  <c r="O11" i="12"/>
  <c r="J11" i="12"/>
  <c r="H11" i="12"/>
  <c r="J10" i="12"/>
  <c r="H10" i="12"/>
  <c r="J9" i="12"/>
  <c r="H9" i="12"/>
  <c r="E10" i="12"/>
  <c r="E9" i="12"/>
  <c r="J7" i="12"/>
  <c r="H7" i="12"/>
  <c r="E7" i="12"/>
  <c r="E4" i="12"/>
  <c r="H4" i="12"/>
  <c r="J4" i="12"/>
  <c r="M4" i="12"/>
  <c r="O4" i="12"/>
  <c r="E5" i="12"/>
  <c r="E6" i="12"/>
  <c r="H6" i="12"/>
  <c r="J6" i="12"/>
</calcChain>
</file>

<file path=xl/sharedStrings.xml><?xml version="1.0" encoding="utf-8"?>
<sst xmlns="http://schemas.openxmlformats.org/spreadsheetml/2006/main" count="78" uniqueCount="62">
  <si>
    <t>Anfang</t>
  </si>
  <si>
    <t>Ende</t>
  </si>
  <si>
    <t>BIE1-A</t>
  </si>
  <si>
    <t>BIE1-B</t>
  </si>
  <si>
    <t>BIE2-A</t>
  </si>
  <si>
    <t>BIE2-B</t>
  </si>
  <si>
    <t>Tage 1</t>
  </si>
  <si>
    <t>Tage 2</t>
  </si>
  <si>
    <t>Tage 3</t>
  </si>
  <si>
    <t>Tage 4</t>
  </si>
  <si>
    <t>Tage 5</t>
  </si>
  <si>
    <t>Tage 6</t>
  </si>
  <si>
    <t>BRA1-A</t>
  </si>
  <si>
    <t>BRA1-B</t>
  </si>
  <si>
    <t>BRA2-A</t>
  </si>
  <si>
    <t>BRA2-B</t>
  </si>
  <si>
    <t>FAL1-A</t>
  </si>
  <si>
    <t>FAL1-B</t>
  </si>
  <si>
    <t>FAL2-A</t>
  </si>
  <si>
    <t>FAL2-B</t>
  </si>
  <si>
    <t>GRU1-A</t>
  </si>
  <si>
    <t>GRU2-B</t>
  </si>
  <si>
    <t>GRU1-B</t>
  </si>
  <si>
    <t>GRU2-A</t>
  </si>
  <si>
    <t>KIN1-A</t>
  </si>
  <si>
    <t>KIN1-B</t>
  </si>
  <si>
    <t>KIN2-A</t>
  </si>
  <si>
    <t>KIN2-B</t>
  </si>
  <si>
    <t>KIN3-A</t>
  </si>
  <si>
    <t>KIN3-B</t>
  </si>
  <si>
    <t>KIN4-A</t>
  </si>
  <si>
    <t>KIN4-B</t>
  </si>
  <si>
    <t>KRE1-A</t>
  </si>
  <si>
    <t>KRE2-A</t>
  </si>
  <si>
    <t>KRE1-B</t>
  </si>
  <si>
    <t>KRE2-B</t>
  </si>
  <si>
    <t>ORB1-A</t>
  </si>
  <si>
    <t>ORB2-A</t>
  </si>
  <si>
    <t>ORB1-B</t>
  </si>
  <si>
    <t>ORB2-B</t>
  </si>
  <si>
    <t>SAL1-A</t>
  </si>
  <si>
    <t>SAL2-A</t>
  </si>
  <si>
    <t>STE1-A</t>
  </si>
  <si>
    <t>STE2-A</t>
  </si>
  <si>
    <t>SAL1-B</t>
  </si>
  <si>
    <t>SAL2-B</t>
  </si>
  <si>
    <t>STE1-B</t>
  </si>
  <si>
    <t>STE2-B</t>
  </si>
  <si>
    <t>data collected</t>
  </si>
  <si>
    <t>data gap</t>
  </si>
  <si>
    <t>Legend</t>
  </si>
  <si>
    <t>logger still measuring, but not readed out yet</t>
  </si>
  <si>
    <t>interpretation of the colours see legend below the diagram</t>
  </si>
  <si>
    <t>measure period 1</t>
  </si>
  <si>
    <t>measure period 2</t>
  </si>
  <si>
    <t>measure period 3</t>
  </si>
  <si>
    <t>measure period 4</t>
  </si>
  <si>
    <t>measure period 5</t>
  </si>
  <si>
    <t>measure period 6</t>
  </si>
  <si>
    <t>fictitious end date of most recent measuring period (date will be continuously adjusted)</t>
  </si>
  <si>
    <t>fictitious
end date</t>
  </si>
  <si>
    <t>start of most recent measuring period | no gap to the previous measuring 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</si>
</sst>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lightUp">
        <fgColor theme="1"/>
        <bgColor rgb="FFFFFF00"/>
      </patternFill>
    </fill>
    <fill>
      <patternFill patternType="solid">
        <fgColor rgb="FFFFFFDF"/>
        <bgColor indexed="64"/>
      </patternFill>
    </fill>
    <fill>
      <patternFill patternType="solid">
        <fgColor rgb="FFD7E9CB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3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 wrapText="1"/>
    </xf>
    <xf numFmtId="164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 wrapText="1"/>
    </xf>
    <xf numFmtId="0" fontId="0" fillId="2" borderId="4" xfId="0" applyFill="1" applyBorder="1"/>
    <xf numFmtId="0" fontId="1" fillId="0" borderId="0" xfId="0" applyFont="1"/>
    <xf numFmtId="1" fontId="0" fillId="3" borderId="1" xfId="0" applyNumberFormat="1" applyFill="1" applyBorder="1" applyAlignment="1">
      <alignment vertical="center" wrapText="1"/>
    </xf>
    <xf numFmtId="164" fontId="0" fillId="5" borderId="2" xfId="0" applyNumberFormat="1" applyFill="1" applyBorder="1" applyAlignment="1">
      <alignment vertical="center"/>
    </xf>
    <xf numFmtId="1" fontId="0" fillId="5" borderId="1" xfId="0" applyNumberFormat="1" applyFill="1" applyBorder="1" applyAlignment="1">
      <alignment vertical="center" wrapText="1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4" fillId="0" borderId="0" xfId="0" applyFont="1"/>
    <xf numFmtId="164" fontId="0" fillId="8" borderId="1" xfId="0" applyNumberFormat="1" applyFill="1" applyBorder="1" applyAlignment="1">
      <alignment vertical="center"/>
    </xf>
    <xf numFmtId="164" fontId="0" fillId="8" borderId="3" xfId="0" applyNumberFormat="1" applyFill="1" applyBorder="1" applyAlignment="1">
      <alignment vertical="center"/>
    </xf>
    <xf numFmtId="1" fontId="0" fillId="8" borderId="1" xfId="0" applyNumberFormat="1" applyFill="1" applyBorder="1" applyAlignment="1">
      <alignment vertical="center" wrapText="1"/>
    </xf>
    <xf numFmtId="1" fontId="0" fillId="8" borderId="3" xfId="0" applyNumberFormat="1" applyFill="1" applyBorder="1" applyAlignment="1">
      <alignment vertical="center" wrapText="1"/>
    </xf>
    <xf numFmtId="164" fontId="0" fillId="9" borderId="2" xfId="0" applyNumberFormat="1" applyFill="1" applyBorder="1" applyAlignment="1">
      <alignment vertical="center"/>
    </xf>
    <xf numFmtId="1" fontId="0" fillId="9" borderId="1" xfId="0" applyNumberFormat="1" applyFill="1" applyBorder="1" applyAlignment="1">
      <alignment vertical="center" wrapText="1"/>
    </xf>
    <xf numFmtId="164" fontId="0" fillId="9" borderId="3" xfId="0" applyNumberFormat="1" applyFill="1" applyBorder="1" applyAlignment="1">
      <alignment vertical="center" wrapText="1"/>
    </xf>
    <xf numFmtId="164" fontId="0" fillId="9" borderId="1" xfId="0" applyNumberFormat="1" applyFill="1" applyBorder="1" applyAlignment="1">
      <alignment vertical="center" wrapText="1"/>
    </xf>
    <xf numFmtId="164" fontId="0" fillId="9" borderId="1" xfId="0" applyNumberFormat="1" applyFill="1" applyBorder="1" applyAlignment="1">
      <alignment vertical="center"/>
    </xf>
    <xf numFmtId="164" fontId="2" fillId="10" borderId="1" xfId="0" applyNumberFormat="1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164" fontId="5" fillId="10" borderId="6" xfId="0" applyNumberFormat="1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7E9CB"/>
      <color rgb="FFFFFFDF"/>
      <color rgb="FFFFA7A7"/>
      <color rgb="FFFFBDBD"/>
      <color rgb="FFFFFFCC"/>
      <color rgb="FF0000FF"/>
      <color rgb="FFFF99FF"/>
      <color rgb="FFFF66FF"/>
      <color rgb="FFA9CBE9"/>
      <color rgb="FF9BC2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 periods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table!$C$3</c:f>
              <c:strCache>
                <c:ptCount val="1"/>
                <c:pt idx="0">
                  <c:v>Anfang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table!$C$4:$C$51</c:f>
              <c:numCache>
                <c:formatCode>yyyy\-mm\-dd;@</c:formatCode>
                <c:ptCount val="48"/>
                <c:pt idx="0">
                  <c:v>44319</c:v>
                </c:pt>
                <c:pt idx="1">
                  <c:v>44319</c:v>
                </c:pt>
                <c:pt idx="2">
                  <c:v>44319</c:v>
                </c:pt>
                <c:pt idx="3">
                  <c:v>44319</c:v>
                </c:pt>
                <c:pt idx="5">
                  <c:v>44320</c:v>
                </c:pt>
                <c:pt idx="6">
                  <c:v>44320</c:v>
                </c:pt>
                <c:pt idx="7">
                  <c:v>44320</c:v>
                </c:pt>
                <c:pt idx="8">
                  <c:v>44320</c:v>
                </c:pt>
                <c:pt idx="10">
                  <c:v>44321</c:v>
                </c:pt>
                <c:pt idx="11">
                  <c:v>44321</c:v>
                </c:pt>
                <c:pt idx="12">
                  <c:v>44321</c:v>
                </c:pt>
                <c:pt idx="13">
                  <c:v>44321</c:v>
                </c:pt>
                <c:pt idx="15">
                  <c:v>44319</c:v>
                </c:pt>
                <c:pt idx="16">
                  <c:v>44319</c:v>
                </c:pt>
                <c:pt idx="17">
                  <c:v>44319</c:v>
                </c:pt>
                <c:pt idx="18">
                  <c:v>44319</c:v>
                </c:pt>
                <c:pt idx="20">
                  <c:v>44321</c:v>
                </c:pt>
                <c:pt idx="21">
                  <c:v>44321</c:v>
                </c:pt>
                <c:pt idx="22">
                  <c:v>44321</c:v>
                </c:pt>
                <c:pt idx="23">
                  <c:v>44321</c:v>
                </c:pt>
                <c:pt idx="24">
                  <c:v>44320</c:v>
                </c:pt>
                <c:pt idx="25">
                  <c:v>44320</c:v>
                </c:pt>
                <c:pt idx="26">
                  <c:v>44398</c:v>
                </c:pt>
                <c:pt idx="27">
                  <c:v>44320</c:v>
                </c:pt>
                <c:pt idx="29">
                  <c:v>44321</c:v>
                </c:pt>
                <c:pt idx="30">
                  <c:v>44321</c:v>
                </c:pt>
                <c:pt idx="31">
                  <c:v>44321</c:v>
                </c:pt>
                <c:pt idx="32">
                  <c:v>44321</c:v>
                </c:pt>
                <c:pt idx="34">
                  <c:v>44319</c:v>
                </c:pt>
                <c:pt idx="35">
                  <c:v>44319</c:v>
                </c:pt>
                <c:pt idx="36">
                  <c:v>44319</c:v>
                </c:pt>
                <c:pt idx="37">
                  <c:v>44319</c:v>
                </c:pt>
                <c:pt idx="39">
                  <c:v>44320</c:v>
                </c:pt>
                <c:pt idx="40">
                  <c:v>44320</c:v>
                </c:pt>
                <c:pt idx="41">
                  <c:v>44320</c:v>
                </c:pt>
                <c:pt idx="42">
                  <c:v>44320</c:v>
                </c:pt>
                <c:pt idx="44">
                  <c:v>44320</c:v>
                </c:pt>
                <c:pt idx="45">
                  <c:v>44320</c:v>
                </c:pt>
                <c:pt idx="46">
                  <c:v>44320</c:v>
                </c:pt>
                <c:pt idx="47">
                  <c:v>44320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9-412F-9B78-9EA6E3757782}"/>
            </c:ext>
          </c:extLst>
        </c:ser>
        <c:ser>
          <c:idx val="1"/>
          <c:order val="1"/>
          <c:tx>
            <c:strRef>
              <c:f>table!$E$3</c:f>
              <c:strCache>
                <c:ptCount val="1"/>
                <c:pt idx="0">
                  <c:v>Tage 1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table!$E$4:$E$51</c:f>
              <c:numCache>
                <c:formatCode>0</c:formatCode>
                <c:ptCount val="48"/>
                <c:pt idx="0">
                  <c:v>813</c:v>
                </c:pt>
                <c:pt idx="1">
                  <c:v>1267</c:v>
                </c:pt>
                <c:pt idx="2">
                  <c:v>689</c:v>
                </c:pt>
                <c:pt idx="3">
                  <c:v>608</c:v>
                </c:pt>
                <c:pt idx="5">
                  <c:v>640</c:v>
                </c:pt>
                <c:pt idx="6">
                  <c:v>562</c:v>
                </c:pt>
                <c:pt idx="7">
                  <c:v>71</c:v>
                </c:pt>
                <c:pt idx="8">
                  <c:v>768</c:v>
                </c:pt>
                <c:pt idx="10">
                  <c:v>833</c:v>
                </c:pt>
                <c:pt idx="11">
                  <c:v>551</c:v>
                </c:pt>
                <c:pt idx="12">
                  <c:v>622</c:v>
                </c:pt>
                <c:pt idx="13">
                  <c:v>1051</c:v>
                </c:pt>
                <c:pt idx="15">
                  <c:v>519</c:v>
                </c:pt>
                <c:pt idx="16">
                  <c:v>1053</c:v>
                </c:pt>
                <c:pt idx="17">
                  <c:v>1248</c:v>
                </c:pt>
                <c:pt idx="18">
                  <c:v>764</c:v>
                </c:pt>
                <c:pt idx="20">
                  <c:v>506</c:v>
                </c:pt>
                <c:pt idx="21">
                  <c:v>587</c:v>
                </c:pt>
                <c:pt idx="22">
                  <c:v>518</c:v>
                </c:pt>
                <c:pt idx="23">
                  <c:v>690</c:v>
                </c:pt>
                <c:pt idx="24">
                  <c:v>634</c:v>
                </c:pt>
                <c:pt idx="25">
                  <c:v>549</c:v>
                </c:pt>
                <c:pt idx="26">
                  <c:v>500</c:v>
                </c:pt>
                <c:pt idx="27">
                  <c:v>1053</c:v>
                </c:pt>
                <c:pt idx="29">
                  <c:v>796</c:v>
                </c:pt>
                <c:pt idx="30">
                  <c:v>863</c:v>
                </c:pt>
                <c:pt idx="31">
                  <c:v>803</c:v>
                </c:pt>
                <c:pt idx="32">
                  <c:v>69</c:v>
                </c:pt>
                <c:pt idx="34">
                  <c:v>127</c:v>
                </c:pt>
                <c:pt idx="35">
                  <c:v>1264</c:v>
                </c:pt>
                <c:pt idx="36">
                  <c:v>1230</c:v>
                </c:pt>
                <c:pt idx="37">
                  <c:v>825</c:v>
                </c:pt>
                <c:pt idx="39">
                  <c:v>190</c:v>
                </c:pt>
                <c:pt idx="40">
                  <c:v>693</c:v>
                </c:pt>
                <c:pt idx="41">
                  <c:v>383</c:v>
                </c:pt>
                <c:pt idx="42">
                  <c:v>617</c:v>
                </c:pt>
                <c:pt idx="44">
                  <c:v>1053</c:v>
                </c:pt>
                <c:pt idx="45">
                  <c:v>824</c:v>
                </c:pt>
                <c:pt idx="46">
                  <c:v>609</c:v>
                </c:pt>
                <c:pt idx="47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9-412F-9B78-9EA6E3757782}"/>
            </c:ext>
          </c:extLst>
        </c:ser>
        <c:ser>
          <c:idx val="2"/>
          <c:order val="2"/>
          <c:tx>
            <c:strRef>
              <c:f>table!$H$3</c:f>
              <c:strCache>
                <c:ptCount val="1"/>
                <c:pt idx="0">
                  <c:v>Tage 2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table!$H$4:$H$51</c:f>
              <c:numCache>
                <c:formatCode>0</c:formatCode>
                <c:ptCount val="48"/>
                <c:pt idx="0">
                  <c:v>63</c:v>
                </c:pt>
                <c:pt idx="1">
                  <c:v>0</c:v>
                </c:pt>
                <c:pt idx="2">
                  <c:v>187</c:v>
                </c:pt>
                <c:pt idx="3">
                  <c:v>268</c:v>
                </c:pt>
                <c:pt idx="5">
                  <c:v>206</c:v>
                </c:pt>
                <c:pt idx="6">
                  <c:v>284</c:v>
                </c:pt>
                <c:pt idx="7">
                  <c:v>55</c:v>
                </c:pt>
                <c:pt idx="8">
                  <c:v>78</c:v>
                </c:pt>
                <c:pt idx="10">
                  <c:v>50</c:v>
                </c:pt>
                <c:pt idx="11">
                  <c:v>149</c:v>
                </c:pt>
                <c:pt idx="12">
                  <c:v>78</c:v>
                </c:pt>
                <c:pt idx="13">
                  <c:v>0</c:v>
                </c:pt>
                <c:pt idx="15">
                  <c:v>183</c:v>
                </c:pt>
                <c:pt idx="16">
                  <c:v>195</c:v>
                </c:pt>
                <c:pt idx="17">
                  <c:v>0</c:v>
                </c:pt>
                <c:pt idx="18">
                  <c:v>112</c:v>
                </c:pt>
                <c:pt idx="20">
                  <c:v>25</c:v>
                </c:pt>
                <c:pt idx="21">
                  <c:v>107</c:v>
                </c:pt>
                <c:pt idx="22">
                  <c:v>13</c:v>
                </c:pt>
                <c:pt idx="23">
                  <c:v>4</c:v>
                </c:pt>
                <c:pt idx="24">
                  <c:v>61</c:v>
                </c:pt>
                <c:pt idx="25">
                  <c:v>146</c:v>
                </c:pt>
                <c:pt idx="26">
                  <c:v>117</c:v>
                </c:pt>
                <c:pt idx="27">
                  <c:v>0</c:v>
                </c:pt>
                <c:pt idx="29">
                  <c:v>87</c:v>
                </c:pt>
                <c:pt idx="30">
                  <c:v>20</c:v>
                </c:pt>
                <c:pt idx="31">
                  <c:v>80</c:v>
                </c:pt>
                <c:pt idx="32">
                  <c:v>72</c:v>
                </c:pt>
                <c:pt idx="34">
                  <c:v>281</c:v>
                </c:pt>
                <c:pt idx="35">
                  <c:v>0</c:v>
                </c:pt>
                <c:pt idx="36">
                  <c:v>34</c:v>
                </c:pt>
                <c:pt idx="37">
                  <c:v>22</c:v>
                </c:pt>
                <c:pt idx="39">
                  <c:v>217</c:v>
                </c:pt>
                <c:pt idx="40">
                  <c:v>153</c:v>
                </c:pt>
                <c:pt idx="41">
                  <c:v>10</c:v>
                </c:pt>
                <c:pt idx="42">
                  <c:v>229</c:v>
                </c:pt>
                <c:pt idx="44">
                  <c:v>0</c:v>
                </c:pt>
                <c:pt idx="45">
                  <c:v>3</c:v>
                </c:pt>
                <c:pt idx="46">
                  <c:v>86</c:v>
                </c:pt>
                <c:pt idx="4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9-412F-9B78-9EA6E3757782}"/>
            </c:ext>
          </c:extLst>
        </c:ser>
        <c:ser>
          <c:idx val="3"/>
          <c:order val="3"/>
          <c:tx>
            <c:strRef>
              <c:f>table!$J$3</c:f>
              <c:strCache>
                <c:ptCount val="1"/>
                <c:pt idx="0">
                  <c:v>Tage 2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1F-405A-BFBB-AD67FEA36937}"/>
              </c:ext>
            </c:extLst>
          </c:dPt>
          <c:dPt>
            <c:idx val="13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1F-405A-BFBB-AD67FEA36937}"/>
              </c:ext>
            </c:extLst>
          </c:dPt>
          <c:dPt>
            <c:idx val="16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1F-405A-BFBB-AD67FEA36937}"/>
              </c:ext>
            </c:extLst>
          </c:dPt>
          <c:dPt>
            <c:idx val="17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81F-405A-BFBB-AD67FEA36937}"/>
              </c:ext>
            </c:extLst>
          </c:dPt>
          <c:dPt>
            <c:idx val="27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81F-405A-BFBB-AD67FEA36937}"/>
              </c:ext>
            </c:extLst>
          </c:dPt>
          <c:dPt>
            <c:idx val="35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81F-405A-BFBB-AD67FEA36937}"/>
              </c:ext>
            </c:extLst>
          </c:dPt>
          <c:dPt>
            <c:idx val="36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C81F-405A-BFBB-AD67FEA36937}"/>
              </c:ext>
            </c:extLst>
          </c:dPt>
          <c:dPt>
            <c:idx val="44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81F-405A-BFBB-AD67FEA36937}"/>
              </c:ext>
            </c:extLst>
          </c:dPt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table!$J$4:$J$51</c:f>
              <c:numCache>
                <c:formatCode>0</c:formatCode>
                <c:ptCount val="48"/>
                <c:pt idx="0">
                  <c:v>46</c:v>
                </c:pt>
                <c:pt idx="1">
                  <c:v>313</c:v>
                </c:pt>
                <c:pt idx="2">
                  <c:v>391</c:v>
                </c:pt>
                <c:pt idx="3">
                  <c:v>391</c:v>
                </c:pt>
                <c:pt idx="5">
                  <c:v>417</c:v>
                </c:pt>
                <c:pt idx="6">
                  <c:v>417</c:v>
                </c:pt>
                <c:pt idx="7">
                  <c:v>393</c:v>
                </c:pt>
                <c:pt idx="8">
                  <c:v>222</c:v>
                </c:pt>
                <c:pt idx="10">
                  <c:v>226</c:v>
                </c:pt>
                <c:pt idx="11">
                  <c:v>321</c:v>
                </c:pt>
                <c:pt idx="12">
                  <c:v>366</c:v>
                </c:pt>
                <c:pt idx="13">
                  <c:v>527</c:v>
                </c:pt>
                <c:pt idx="15">
                  <c:v>546</c:v>
                </c:pt>
                <c:pt idx="16">
                  <c:v>332</c:v>
                </c:pt>
                <c:pt idx="17">
                  <c:v>332</c:v>
                </c:pt>
                <c:pt idx="18">
                  <c:v>372</c:v>
                </c:pt>
                <c:pt idx="20">
                  <c:v>730</c:v>
                </c:pt>
                <c:pt idx="21">
                  <c:v>567</c:v>
                </c:pt>
                <c:pt idx="22">
                  <c:v>730</c:v>
                </c:pt>
                <c:pt idx="23">
                  <c:v>224</c:v>
                </c:pt>
                <c:pt idx="24">
                  <c:v>567</c:v>
                </c:pt>
                <c:pt idx="25">
                  <c:v>567</c:v>
                </c:pt>
                <c:pt idx="26">
                  <c:v>193</c:v>
                </c:pt>
                <c:pt idx="27">
                  <c:v>526</c:v>
                </c:pt>
                <c:pt idx="29">
                  <c:v>323</c:v>
                </c:pt>
                <c:pt idx="30">
                  <c:v>329</c:v>
                </c:pt>
                <c:pt idx="31">
                  <c:v>212</c:v>
                </c:pt>
                <c:pt idx="32">
                  <c:v>19</c:v>
                </c:pt>
                <c:pt idx="34">
                  <c:v>649</c:v>
                </c:pt>
                <c:pt idx="35">
                  <c:v>316</c:v>
                </c:pt>
                <c:pt idx="36">
                  <c:v>316</c:v>
                </c:pt>
                <c:pt idx="37">
                  <c:v>417</c:v>
                </c:pt>
                <c:pt idx="39">
                  <c:v>856</c:v>
                </c:pt>
                <c:pt idx="40">
                  <c:v>417</c:v>
                </c:pt>
                <c:pt idx="41">
                  <c:v>870</c:v>
                </c:pt>
                <c:pt idx="42">
                  <c:v>417</c:v>
                </c:pt>
                <c:pt idx="44">
                  <c:v>526</c:v>
                </c:pt>
                <c:pt idx="45">
                  <c:v>226</c:v>
                </c:pt>
                <c:pt idx="46">
                  <c:v>567</c:v>
                </c:pt>
                <c:pt idx="47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99-412F-9B78-9EA6E3757782}"/>
            </c:ext>
          </c:extLst>
        </c:ser>
        <c:ser>
          <c:idx val="4"/>
          <c:order val="4"/>
          <c:tx>
            <c:strRef>
              <c:f>table!$M$3</c:f>
              <c:strCache>
                <c:ptCount val="1"/>
                <c:pt idx="0">
                  <c:v>Tage 3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table!$M$4:$M$51</c:f>
              <c:numCache>
                <c:formatCode>0</c:formatCode>
                <c:ptCount val="48"/>
                <c:pt idx="0">
                  <c:v>131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327</c:v>
                </c:pt>
                <c:pt idx="8">
                  <c:v>195</c:v>
                </c:pt>
                <c:pt idx="10">
                  <c:v>137</c:v>
                </c:pt>
                <c:pt idx="11">
                  <c:v>30</c:v>
                </c:pt>
                <c:pt idx="12">
                  <c:v>199</c:v>
                </c:pt>
                <c:pt idx="15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134</c:v>
                </c:pt>
                <c:pt idx="24">
                  <c:v>0</c:v>
                </c:pt>
                <c:pt idx="25">
                  <c:v>0</c:v>
                </c:pt>
                <c:pt idx="26">
                  <c:v>165</c:v>
                </c:pt>
                <c:pt idx="29">
                  <c:v>59</c:v>
                </c:pt>
                <c:pt idx="30">
                  <c:v>34</c:v>
                </c:pt>
                <c:pt idx="31">
                  <c:v>151</c:v>
                </c:pt>
                <c:pt idx="32">
                  <c:v>134</c:v>
                </c:pt>
                <c:pt idx="34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99-412F-9B78-9EA6E3757782}"/>
            </c:ext>
          </c:extLst>
        </c:ser>
        <c:ser>
          <c:idx val="5"/>
          <c:order val="5"/>
          <c:tx>
            <c:strRef>
              <c:f>table!$O$3</c:f>
              <c:strCache>
                <c:ptCount val="1"/>
                <c:pt idx="0">
                  <c:v>Tage 3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1F-405A-BFBB-AD67FEA36937}"/>
              </c:ext>
            </c:extLst>
          </c:dPt>
          <c:dPt>
            <c:idx val="3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1F-405A-BFBB-AD67FEA36937}"/>
              </c:ext>
            </c:extLst>
          </c:dPt>
          <c:dPt>
            <c:idx val="5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1F-405A-BFBB-AD67FEA36937}"/>
              </c:ext>
            </c:extLst>
          </c:dPt>
          <c:dPt>
            <c:idx val="6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1F-405A-BFBB-AD67FEA36937}"/>
              </c:ext>
            </c:extLst>
          </c:dPt>
          <c:dPt>
            <c:idx val="8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1F-405A-BFBB-AD67FEA36937}"/>
              </c:ext>
            </c:extLst>
          </c:dPt>
          <c:dPt>
            <c:idx val="10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81F-405A-BFBB-AD67FEA36937}"/>
              </c:ext>
            </c:extLst>
          </c:dPt>
          <c:dPt>
            <c:idx val="12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81F-405A-BFBB-AD67FEA36937}"/>
              </c:ext>
            </c:extLst>
          </c:dPt>
          <c:dPt>
            <c:idx val="15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81F-405A-BFBB-AD67FEA36937}"/>
              </c:ext>
            </c:extLst>
          </c:dPt>
          <c:dPt>
            <c:idx val="18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81F-405A-BFBB-AD67FEA36937}"/>
              </c:ext>
            </c:extLst>
          </c:dPt>
          <c:dPt>
            <c:idx val="20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81F-405A-BFBB-AD67FEA36937}"/>
              </c:ext>
            </c:extLst>
          </c:dPt>
          <c:dPt>
            <c:idx val="21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81F-405A-BFBB-AD67FEA36937}"/>
              </c:ext>
            </c:extLst>
          </c:dPt>
          <c:dPt>
            <c:idx val="22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81F-405A-BFBB-AD67FEA36937}"/>
              </c:ext>
            </c:extLst>
          </c:dPt>
          <c:dPt>
            <c:idx val="24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81F-405A-BFBB-AD67FEA36937}"/>
              </c:ext>
            </c:extLst>
          </c:dPt>
          <c:dPt>
            <c:idx val="25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81F-405A-BFBB-AD67FEA36937}"/>
              </c:ext>
            </c:extLst>
          </c:dPt>
          <c:dPt>
            <c:idx val="29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81F-405A-BFBB-AD67FEA36937}"/>
              </c:ext>
            </c:extLst>
          </c:dPt>
          <c:dPt>
            <c:idx val="30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81F-405A-BFBB-AD67FEA36937}"/>
              </c:ext>
            </c:extLst>
          </c:dPt>
          <c:dPt>
            <c:idx val="31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81F-405A-BFBB-AD67FEA36937}"/>
              </c:ext>
            </c:extLst>
          </c:dPt>
          <c:dPt>
            <c:idx val="34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C81F-405A-BFBB-AD67FEA36937}"/>
              </c:ext>
            </c:extLst>
          </c:dPt>
          <c:dPt>
            <c:idx val="37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81F-405A-BFBB-AD67FEA36937}"/>
              </c:ext>
            </c:extLst>
          </c:dPt>
          <c:dPt>
            <c:idx val="39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C81F-405A-BFBB-AD67FEA36937}"/>
              </c:ext>
            </c:extLst>
          </c:dPt>
          <c:dPt>
            <c:idx val="40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81F-405A-BFBB-AD67FEA36937}"/>
              </c:ext>
            </c:extLst>
          </c:dPt>
          <c:dPt>
            <c:idx val="41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C81F-405A-BFBB-AD67FEA36937}"/>
              </c:ext>
            </c:extLst>
          </c:dPt>
          <c:dPt>
            <c:idx val="42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81F-405A-BFBB-AD67FEA36937}"/>
              </c:ext>
            </c:extLst>
          </c:dPt>
          <c:dPt>
            <c:idx val="45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C81F-405A-BFBB-AD67FEA36937}"/>
              </c:ext>
            </c:extLst>
          </c:dPt>
          <c:dPt>
            <c:idx val="46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81F-405A-BFBB-AD67FEA36937}"/>
              </c:ext>
            </c:extLst>
          </c:dPt>
          <c:dPt>
            <c:idx val="47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C81F-405A-BFBB-AD67FEA36937}"/>
              </c:ext>
            </c:extLst>
          </c:dPt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table!$O$4:$O$51</c:f>
              <c:numCache>
                <c:formatCode>0</c:formatCode>
                <c:ptCount val="48"/>
                <c:pt idx="0">
                  <c:v>67</c:v>
                </c:pt>
                <c:pt idx="2">
                  <c:v>313</c:v>
                </c:pt>
                <c:pt idx="3">
                  <c:v>313</c:v>
                </c:pt>
                <c:pt idx="5">
                  <c:v>316</c:v>
                </c:pt>
                <c:pt idx="6">
                  <c:v>316</c:v>
                </c:pt>
                <c:pt idx="7">
                  <c:v>136</c:v>
                </c:pt>
                <c:pt idx="8">
                  <c:v>316</c:v>
                </c:pt>
                <c:pt idx="10">
                  <c:v>332</c:v>
                </c:pt>
                <c:pt idx="11">
                  <c:v>45</c:v>
                </c:pt>
                <c:pt idx="12">
                  <c:v>313</c:v>
                </c:pt>
                <c:pt idx="15">
                  <c:v>332</c:v>
                </c:pt>
                <c:pt idx="18">
                  <c:v>332</c:v>
                </c:pt>
                <c:pt idx="20">
                  <c:v>317</c:v>
                </c:pt>
                <c:pt idx="21">
                  <c:v>317</c:v>
                </c:pt>
                <c:pt idx="22">
                  <c:v>317</c:v>
                </c:pt>
                <c:pt idx="23">
                  <c:v>209</c:v>
                </c:pt>
                <c:pt idx="24">
                  <c:v>317</c:v>
                </c:pt>
                <c:pt idx="25">
                  <c:v>317</c:v>
                </c:pt>
                <c:pt idx="26">
                  <c:v>209</c:v>
                </c:pt>
                <c:pt idx="29">
                  <c:v>313</c:v>
                </c:pt>
                <c:pt idx="30">
                  <c:v>332</c:v>
                </c:pt>
                <c:pt idx="31">
                  <c:v>332</c:v>
                </c:pt>
                <c:pt idx="32">
                  <c:v>343</c:v>
                </c:pt>
                <c:pt idx="34">
                  <c:v>523</c:v>
                </c:pt>
                <c:pt idx="37">
                  <c:v>316</c:v>
                </c:pt>
                <c:pt idx="39">
                  <c:v>316</c:v>
                </c:pt>
                <c:pt idx="40">
                  <c:v>316</c:v>
                </c:pt>
                <c:pt idx="41">
                  <c:v>316</c:v>
                </c:pt>
                <c:pt idx="42">
                  <c:v>316</c:v>
                </c:pt>
                <c:pt idx="45">
                  <c:v>526</c:v>
                </c:pt>
                <c:pt idx="46">
                  <c:v>317</c:v>
                </c:pt>
                <c:pt idx="47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99-412F-9B78-9EA6E3757782}"/>
            </c:ext>
          </c:extLst>
        </c:ser>
        <c:ser>
          <c:idx val="6"/>
          <c:order val="6"/>
          <c:tx>
            <c:strRef>
              <c:f>table!$R$3</c:f>
              <c:strCache>
                <c:ptCount val="1"/>
                <c:pt idx="0">
                  <c:v>Tage 4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table!$R$4:$R$51</c:f>
              <c:numCache>
                <c:formatCode>0</c:formatCode>
                <c:ptCount val="48"/>
                <c:pt idx="0">
                  <c:v>148</c:v>
                </c:pt>
                <c:pt idx="7">
                  <c:v>74</c:v>
                </c:pt>
                <c:pt idx="11">
                  <c:v>169</c:v>
                </c:pt>
                <c:pt idx="23">
                  <c:v>0</c:v>
                </c:pt>
                <c:pt idx="26">
                  <c:v>0</c:v>
                </c:pt>
                <c:pt idx="32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99-412F-9B78-9EA6E3757782}"/>
            </c:ext>
          </c:extLst>
        </c:ser>
        <c:ser>
          <c:idx val="7"/>
          <c:order val="7"/>
          <c:tx>
            <c:strRef>
              <c:f>table!$T$3</c:f>
              <c:strCache>
                <c:ptCount val="1"/>
                <c:pt idx="0">
                  <c:v>Tage 4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81F-405A-BFBB-AD67FEA36937}"/>
              </c:ext>
            </c:extLst>
          </c:dPt>
          <c:dPt>
            <c:idx val="7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81F-405A-BFBB-AD67FEA36937}"/>
              </c:ext>
            </c:extLst>
          </c:dPt>
          <c:dPt>
            <c:idx val="11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1F-405A-BFBB-AD67FEA36937}"/>
              </c:ext>
            </c:extLst>
          </c:dPt>
          <c:dPt>
            <c:idx val="23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81F-405A-BFBB-AD67FEA36937}"/>
              </c:ext>
            </c:extLst>
          </c:dPt>
          <c:dPt>
            <c:idx val="26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81F-405A-BFBB-AD67FEA36937}"/>
              </c:ext>
            </c:extLst>
          </c:dPt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table!$T$4:$T$51</c:f>
              <c:numCache>
                <c:formatCode>0</c:formatCode>
                <c:ptCount val="48"/>
                <c:pt idx="0">
                  <c:v>312</c:v>
                </c:pt>
                <c:pt idx="7">
                  <c:v>523</c:v>
                </c:pt>
                <c:pt idx="11">
                  <c:v>313</c:v>
                </c:pt>
                <c:pt idx="23">
                  <c:v>317</c:v>
                </c:pt>
                <c:pt idx="26">
                  <c:v>317</c:v>
                </c:pt>
                <c:pt idx="3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99-412F-9B78-9EA6E3757782}"/>
            </c:ext>
          </c:extLst>
        </c:ser>
        <c:ser>
          <c:idx val="8"/>
          <c:order val="8"/>
          <c:tx>
            <c:strRef>
              <c:f>table!$W$3</c:f>
              <c:strCache>
                <c:ptCount val="1"/>
                <c:pt idx="0">
                  <c:v>Tage 5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table!$W$4:$W$51</c:f>
              <c:numCache>
                <c:formatCode>0</c:formatCode>
                <c:ptCount val="48"/>
                <c:pt idx="3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99-412F-9B78-9EA6E3757782}"/>
            </c:ext>
          </c:extLst>
        </c:ser>
        <c:ser>
          <c:idx val="9"/>
          <c:order val="9"/>
          <c:tx>
            <c:strRef>
              <c:f>table!$Y$3</c:f>
              <c:strCache>
                <c:ptCount val="1"/>
                <c:pt idx="0">
                  <c:v>Tage 5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table!$Y$4:$Y$51</c:f>
              <c:numCache>
                <c:formatCode>0</c:formatCode>
                <c:ptCount val="48"/>
                <c:pt idx="3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99-412F-9B78-9EA6E3757782}"/>
            </c:ext>
          </c:extLst>
        </c:ser>
        <c:ser>
          <c:idx val="10"/>
          <c:order val="10"/>
          <c:tx>
            <c:strRef>
              <c:f>table!$AB$3</c:f>
              <c:strCache>
                <c:ptCount val="1"/>
                <c:pt idx="0">
                  <c:v>Tage 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32"/>
            <c:invertIfNegative val="0"/>
            <c:bubble3D val="0"/>
            <c:spPr>
              <a:solidFill>
                <a:srgbClr val="FFA7A7"/>
              </a:solid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81F-405A-BFBB-AD67FEA36937}"/>
              </c:ext>
            </c:extLst>
          </c:dPt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table!$AB$4:$AB$51</c:f>
              <c:numCache>
                <c:formatCode>0</c:formatCode>
                <c:ptCount val="48"/>
                <c:pt idx="3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99-412F-9B78-9EA6E3757782}"/>
            </c:ext>
          </c:extLst>
        </c:ser>
        <c:ser>
          <c:idx val="11"/>
          <c:order val="11"/>
          <c:tx>
            <c:strRef>
              <c:f>table!$AD$3</c:f>
              <c:strCache>
                <c:ptCount val="1"/>
                <c:pt idx="0">
                  <c:v>Tage 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32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81F-405A-BFBB-AD67FEA36937}"/>
              </c:ext>
            </c:extLst>
          </c:dPt>
          <c:cat>
            <c:strRef>
              <c:f>table!$B$4:$B$51</c:f>
              <c:strCache>
                <c:ptCount val="48"/>
                <c:pt idx="0">
                  <c:v>BIE1-A</c:v>
                </c:pt>
                <c:pt idx="1">
                  <c:v>BIE1-B</c:v>
                </c:pt>
                <c:pt idx="2">
                  <c:v>BIE2-A</c:v>
                </c:pt>
                <c:pt idx="3">
                  <c:v>BIE2-B</c:v>
                </c:pt>
                <c:pt idx="5">
                  <c:v>BRA1-A</c:v>
                </c:pt>
                <c:pt idx="6">
                  <c:v>BRA1-B</c:v>
                </c:pt>
                <c:pt idx="7">
                  <c:v>BRA2-A</c:v>
                </c:pt>
                <c:pt idx="8">
                  <c:v>BRA2-B</c:v>
                </c:pt>
                <c:pt idx="10">
                  <c:v>FAL1-A</c:v>
                </c:pt>
                <c:pt idx="11">
                  <c:v>FAL1-B</c:v>
                </c:pt>
                <c:pt idx="12">
                  <c:v>FAL2-A</c:v>
                </c:pt>
                <c:pt idx="13">
                  <c:v>FAL2-B</c:v>
                </c:pt>
                <c:pt idx="15">
                  <c:v>GRU1-A</c:v>
                </c:pt>
                <c:pt idx="16">
                  <c:v>GRU1-B</c:v>
                </c:pt>
                <c:pt idx="17">
                  <c:v>GRU2-A</c:v>
                </c:pt>
                <c:pt idx="18">
                  <c:v>GRU2-B</c:v>
                </c:pt>
                <c:pt idx="20">
                  <c:v>KIN1-A</c:v>
                </c:pt>
                <c:pt idx="21">
                  <c:v>KIN1-B</c:v>
                </c:pt>
                <c:pt idx="22">
                  <c:v>KIN2-A</c:v>
                </c:pt>
                <c:pt idx="23">
                  <c:v>KIN2-B</c:v>
                </c:pt>
                <c:pt idx="24">
                  <c:v>KIN3-A</c:v>
                </c:pt>
                <c:pt idx="25">
                  <c:v>KIN3-B</c:v>
                </c:pt>
                <c:pt idx="26">
                  <c:v>KIN4-A</c:v>
                </c:pt>
                <c:pt idx="27">
                  <c:v>KIN4-B</c:v>
                </c:pt>
                <c:pt idx="29">
                  <c:v>KRE1-A</c:v>
                </c:pt>
                <c:pt idx="30">
                  <c:v>KRE1-B</c:v>
                </c:pt>
                <c:pt idx="31">
                  <c:v>KRE2-A</c:v>
                </c:pt>
                <c:pt idx="32">
                  <c:v>KRE2-B</c:v>
                </c:pt>
                <c:pt idx="34">
                  <c:v>ORB1-A</c:v>
                </c:pt>
                <c:pt idx="35">
                  <c:v>ORB1-B</c:v>
                </c:pt>
                <c:pt idx="36">
                  <c:v>ORB2-A</c:v>
                </c:pt>
                <c:pt idx="37">
                  <c:v>ORB2-B</c:v>
                </c:pt>
                <c:pt idx="39">
                  <c:v>SAL1-A</c:v>
                </c:pt>
                <c:pt idx="40">
                  <c:v>SAL1-B</c:v>
                </c:pt>
                <c:pt idx="41">
                  <c:v>SAL2-A</c:v>
                </c:pt>
                <c:pt idx="42">
                  <c:v>SAL2-B</c:v>
                </c:pt>
                <c:pt idx="44">
                  <c:v>STE1-A</c:v>
                </c:pt>
                <c:pt idx="45">
                  <c:v>STE1-B</c:v>
                </c:pt>
                <c:pt idx="46">
                  <c:v>STE2-A</c:v>
                </c:pt>
                <c:pt idx="47">
                  <c:v>STE2-B</c:v>
                </c:pt>
              </c:strCache>
            </c:strRef>
          </c:cat>
          <c:val>
            <c:numRef>
              <c:f>table!$AD$4:$AD$51</c:f>
              <c:numCache>
                <c:formatCode>0</c:formatCode>
                <c:ptCount val="48"/>
                <c:pt idx="3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B99-412F-9B78-9EA6E375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5974232"/>
        <c:axId val="635977472"/>
      </c:barChart>
      <c:catAx>
        <c:axId val="635974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5977472"/>
        <c:crosses val="autoZero"/>
        <c:auto val="1"/>
        <c:lblAlgn val="ctr"/>
        <c:lblOffset val="100"/>
        <c:tickMarkSkip val="1"/>
        <c:noMultiLvlLbl val="0"/>
      </c:catAx>
      <c:valAx>
        <c:axId val="635977472"/>
        <c:scaling>
          <c:orientation val="minMax"/>
          <c:max val="46000"/>
          <c:min val="44318"/>
        </c:scaling>
        <c:delete val="0"/>
        <c:axPos val="t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2"/>
              </a:solidFill>
              <a:round/>
            </a:ln>
            <a:effectLst/>
          </c:spPr>
        </c:minorGridlines>
        <c:numFmt formatCode="yyyy\-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5974232"/>
        <c:crosses val="autoZero"/>
        <c:crossBetween val="between"/>
        <c:majorUnit val="60"/>
        <c:min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25</xdr:col>
      <xdr:colOff>0</xdr:colOff>
      <xdr:row>45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5F6D497-A37D-476F-9774-3A08B0F21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showGridLines="0" tabSelected="1" zoomScaleNormal="100" workbookViewId="0"/>
  </sheetViews>
  <sheetFormatPr baseColWidth="10" defaultRowHeight="15" x14ac:dyDescent="0.25"/>
  <cols>
    <col min="1" max="1" width="3.7109375" customWidth="1"/>
    <col min="3" max="3" width="2.7109375" customWidth="1"/>
    <col min="5" max="5" width="6.140625" customWidth="1"/>
  </cols>
  <sheetData>
    <row r="1" spans="1:1" x14ac:dyDescent="0.25">
      <c r="A1" s="15" t="s">
        <v>52</v>
      </c>
    </row>
    <row r="47" spans="2:2" x14ac:dyDescent="0.25">
      <c r="B47" t="s">
        <v>50</v>
      </c>
    </row>
    <row r="48" spans="2:2" ht="5.0999999999999996" customHeight="1" x14ac:dyDescent="0.25"/>
    <row r="49" spans="2:4" s="12" customFormat="1" ht="12" customHeight="1" x14ac:dyDescent="0.25">
      <c r="B49" s="11"/>
      <c r="D49" s="12" t="s">
        <v>48</v>
      </c>
    </row>
    <row r="50" spans="2:4" ht="5.0999999999999996" customHeight="1" x14ac:dyDescent="0.25"/>
    <row r="51" spans="2:4" s="12" customFormat="1" ht="12" customHeight="1" x14ac:dyDescent="0.25">
      <c r="B51" s="13"/>
      <c r="D51" s="12" t="s">
        <v>49</v>
      </c>
    </row>
    <row r="52" spans="2:4" ht="5.0999999999999996" customHeight="1" x14ac:dyDescent="0.25"/>
    <row r="53" spans="2:4" s="12" customFormat="1" ht="12" customHeight="1" x14ac:dyDescent="0.25">
      <c r="B53" s="14"/>
      <c r="D53" s="12" t="s">
        <v>51</v>
      </c>
    </row>
  </sheetData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5" x14ac:dyDescent="0.25"/>
  <cols>
    <col min="1" max="1" width="3.7109375" customWidth="1"/>
    <col min="2" max="2" width="8.7109375" customWidth="1"/>
    <col min="5" max="5" width="6.7109375" customWidth="1"/>
    <col min="6" max="6" width="4.7109375" customWidth="1"/>
    <col min="8" max="8" width="6.7109375" customWidth="1"/>
    <col min="10" max="10" width="6.7109375" customWidth="1"/>
    <col min="11" max="11" width="4.7109375" customWidth="1"/>
    <col min="13" max="13" width="6.7109375" customWidth="1"/>
    <col min="15" max="15" width="6.7109375" customWidth="1"/>
    <col min="16" max="16" width="4.7109375" customWidth="1"/>
    <col min="18" max="18" width="6.7109375" customWidth="1"/>
    <col min="20" max="20" width="6.7109375" customWidth="1"/>
    <col min="21" max="21" width="4.7109375" customWidth="1"/>
    <col min="23" max="23" width="6.7109375" customWidth="1"/>
    <col min="25" max="25" width="6.7109375" customWidth="1"/>
    <col min="26" max="26" width="4.7109375" customWidth="1"/>
    <col min="28" max="28" width="6.7109375" customWidth="1"/>
    <col min="30" max="30" width="6.7109375" customWidth="1"/>
  </cols>
  <sheetData>
    <row r="1" spans="1:30" x14ac:dyDescent="0.25">
      <c r="A1" s="29" t="s">
        <v>60</v>
      </c>
      <c r="B1" s="29"/>
    </row>
    <row r="2" spans="1:30" s="7" customFormat="1" x14ac:dyDescent="0.25">
      <c r="A2" s="29"/>
      <c r="B2" s="29"/>
      <c r="C2" s="7" t="s">
        <v>53</v>
      </c>
      <c r="G2" s="7" t="s">
        <v>54</v>
      </c>
      <c r="L2" s="7" t="s">
        <v>55</v>
      </c>
      <c r="Q2" s="7" t="s">
        <v>56</v>
      </c>
      <c r="V2" s="7" t="s">
        <v>57</v>
      </c>
      <c r="AA2" s="7" t="s">
        <v>58</v>
      </c>
    </row>
    <row r="3" spans="1:30" x14ac:dyDescent="0.25">
      <c r="A3" s="27">
        <v>45899</v>
      </c>
      <c r="B3" s="28"/>
      <c r="C3" s="6" t="s">
        <v>0</v>
      </c>
      <c r="D3" s="6" t="s">
        <v>1</v>
      </c>
      <c r="E3" s="6" t="s">
        <v>6</v>
      </c>
      <c r="G3" s="6" t="s">
        <v>0</v>
      </c>
      <c r="H3" s="6" t="s">
        <v>7</v>
      </c>
      <c r="I3" s="6" t="s">
        <v>1</v>
      </c>
      <c r="J3" s="6" t="s">
        <v>7</v>
      </c>
      <c r="L3" s="6" t="s">
        <v>0</v>
      </c>
      <c r="M3" s="6" t="s">
        <v>8</v>
      </c>
      <c r="N3" s="6" t="s">
        <v>1</v>
      </c>
      <c r="O3" s="6" t="s">
        <v>8</v>
      </c>
      <c r="Q3" s="6" t="s">
        <v>0</v>
      </c>
      <c r="R3" s="6" t="s">
        <v>9</v>
      </c>
      <c r="S3" s="6" t="s">
        <v>1</v>
      </c>
      <c r="T3" s="6" t="s">
        <v>9</v>
      </c>
      <c r="V3" s="6" t="s">
        <v>0</v>
      </c>
      <c r="W3" s="6" t="s">
        <v>10</v>
      </c>
      <c r="X3" s="6" t="s">
        <v>1</v>
      </c>
      <c r="Y3" s="6" t="s">
        <v>10</v>
      </c>
      <c r="AA3" s="6" t="s">
        <v>0</v>
      </c>
      <c r="AB3" s="6" t="s">
        <v>11</v>
      </c>
      <c r="AC3" s="6" t="s">
        <v>1</v>
      </c>
      <c r="AD3" s="6" t="s">
        <v>11</v>
      </c>
    </row>
    <row r="4" spans="1:30" x14ac:dyDescent="0.25">
      <c r="B4" t="s">
        <v>2</v>
      </c>
      <c r="C4" s="17">
        <v>44319</v>
      </c>
      <c r="D4" s="1">
        <v>45132</v>
      </c>
      <c r="E4" s="19">
        <f>D4-C4</f>
        <v>813</v>
      </c>
      <c r="G4" s="2">
        <v>45195</v>
      </c>
      <c r="H4" s="18">
        <f>G4-D4</f>
        <v>63</v>
      </c>
      <c r="I4" s="3">
        <v>45241</v>
      </c>
      <c r="J4" s="18">
        <f>I4-G4</f>
        <v>46</v>
      </c>
      <c r="L4" s="2">
        <v>45372</v>
      </c>
      <c r="M4" s="18">
        <f>L4-I4</f>
        <v>131</v>
      </c>
      <c r="N4" s="3">
        <v>45439</v>
      </c>
      <c r="O4" s="18">
        <f>N4-L4</f>
        <v>67</v>
      </c>
      <c r="Q4" s="4">
        <v>45587</v>
      </c>
      <c r="R4" s="18">
        <f>Q4-N4</f>
        <v>148</v>
      </c>
      <c r="S4" s="25">
        <f>$A$3</f>
        <v>45899</v>
      </c>
      <c r="T4" s="26">
        <f>S4-Q4</f>
        <v>312</v>
      </c>
      <c r="V4" s="4"/>
      <c r="W4" s="18"/>
      <c r="X4" s="3"/>
      <c r="Y4" s="18"/>
      <c r="AA4" s="4"/>
      <c r="AB4" s="18"/>
      <c r="AC4" s="3"/>
      <c r="AD4" s="18"/>
    </row>
    <row r="5" spans="1:30" x14ac:dyDescent="0.25">
      <c r="B5" t="s">
        <v>3</v>
      </c>
      <c r="C5" s="17">
        <v>44319</v>
      </c>
      <c r="D5" s="3">
        <v>45586</v>
      </c>
      <c r="E5" s="18">
        <f>D5-C5</f>
        <v>1267</v>
      </c>
      <c r="G5" s="9">
        <v>45586</v>
      </c>
      <c r="H5" s="10">
        <f>G5-D5</f>
        <v>0</v>
      </c>
      <c r="I5" s="25">
        <f>$A$3</f>
        <v>45899</v>
      </c>
      <c r="J5" s="26">
        <f>I5-G5</f>
        <v>313</v>
      </c>
      <c r="L5" s="4"/>
      <c r="M5" s="18"/>
      <c r="N5" s="4"/>
      <c r="O5" s="18"/>
      <c r="Q5" s="4"/>
      <c r="R5" s="18"/>
      <c r="S5" s="4"/>
      <c r="T5" s="18"/>
      <c r="V5" s="4"/>
      <c r="W5" s="18"/>
      <c r="X5" s="4"/>
      <c r="Y5" s="18"/>
      <c r="AA5" s="4"/>
      <c r="AB5" s="18"/>
      <c r="AC5" s="4"/>
      <c r="AD5" s="18"/>
    </row>
    <row r="6" spans="1:30" x14ac:dyDescent="0.25">
      <c r="B6" t="s">
        <v>4</v>
      </c>
      <c r="C6" s="16">
        <v>44319</v>
      </c>
      <c r="D6" s="3">
        <v>45008</v>
      </c>
      <c r="E6" s="18">
        <f>D6-C6</f>
        <v>689</v>
      </c>
      <c r="G6" s="4">
        <v>45195</v>
      </c>
      <c r="H6" s="18">
        <f>G6-D6</f>
        <v>187</v>
      </c>
      <c r="I6" s="5">
        <v>45586</v>
      </c>
      <c r="J6" s="18">
        <f>I6-G6</f>
        <v>391</v>
      </c>
      <c r="L6" s="20">
        <v>45586</v>
      </c>
      <c r="M6" s="21">
        <f>L6-I6</f>
        <v>0</v>
      </c>
      <c r="N6" s="25">
        <f>$A$3</f>
        <v>45899</v>
      </c>
      <c r="O6" s="26">
        <f>N6-L6</f>
        <v>313</v>
      </c>
      <c r="Q6" s="4"/>
      <c r="R6" s="18"/>
      <c r="S6" s="5"/>
      <c r="T6" s="18"/>
      <c r="V6" s="4"/>
      <c r="W6" s="18"/>
      <c r="X6" s="5"/>
      <c r="Y6" s="18"/>
      <c r="AA6" s="4"/>
      <c r="AB6" s="18"/>
      <c r="AC6" s="5"/>
      <c r="AD6" s="18"/>
    </row>
    <row r="7" spans="1:30" x14ac:dyDescent="0.25">
      <c r="B7" t="s">
        <v>5</v>
      </c>
      <c r="C7" s="17">
        <v>44319</v>
      </c>
      <c r="D7" s="1">
        <v>44927</v>
      </c>
      <c r="E7" s="18">
        <f>D7-C7</f>
        <v>608</v>
      </c>
      <c r="G7" s="2">
        <v>45195</v>
      </c>
      <c r="H7" s="18">
        <f>G7-D7</f>
        <v>268</v>
      </c>
      <c r="I7" s="2">
        <v>45586</v>
      </c>
      <c r="J7" s="18">
        <f>I7-G7</f>
        <v>391</v>
      </c>
      <c r="L7" s="20">
        <v>45586</v>
      </c>
      <c r="M7" s="21">
        <f>L7-I7</f>
        <v>0</v>
      </c>
      <c r="N7" s="25">
        <f>$A$3</f>
        <v>45899</v>
      </c>
      <c r="O7" s="26">
        <f>N7-L7</f>
        <v>313</v>
      </c>
      <c r="Q7" s="2"/>
      <c r="R7" s="18"/>
      <c r="S7" s="2"/>
      <c r="T7" s="18"/>
      <c r="V7" s="2"/>
      <c r="W7" s="18"/>
      <c r="X7" s="2"/>
      <c r="Y7" s="18"/>
      <c r="AA7" s="2"/>
      <c r="AB7" s="18"/>
      <c r="AC7" s="2"/>
      <c r="AD7" s="18"/>
    </row>
    <row r="8" spans="1:30" ht="5.0999999999999996" customHeight="1" x14ac:dyDescent="0.25"/>
    <row r="9" spans="1:30" x14ac:dyDescent="0.25">
      <c r="B9" t="s">
        <v>12</v>
      </c>
      <c r="C9" s="16">
        <v>44320</v>
      </c>
      <c r="D9" s="3">
        <v>44960</v>
      </c>
      <c r="E9" s="18">
        <f>D9-C9</f>
        <v>640</v>
      </c>
      <c r="G9" s="2">
        <v>45166</v>
      </c>
      <c r="H9" s="18">
        <f>G9-D9</f>
        <v>206</v>
      </c>
      <c r="I9" s="2">
        <v>45583</v>
      </c>
      <c r="J9" s="18">
        <f>I9-G9</f>
        <v>417</v>
      </c>
      <c r="L9" s="24">
        <v>45583</v>
      </c>
      <c r="M9" s="21">
        <f>L9-I9</f>
        <v>0</v>
      </c>
      <c r="N9" s="25">
        <f>$A$3</f>
        <v>45899</v>
      </c>
      <c r="O9" s="26">
        <f>N9-L9</f>
        <v>316</v>
      </c>
      <c r="Q9" s="2"/>
      <c r="R9" s="18"/>
      <c r="S9" s="2"/>
      <c r="T9" s="18"/>
      <c r="V9" s="4"/>
      <c r="W9" s="18"/>
      <c r="X9" s="3"/>
      <c r="Y9" s="18"/>
      <c r="AA9" s="4"/>
      <c r="AB9" s="18"/>
      <c r="AC9" s="3"/>
      <c r="AD9" s="18"/>
    </row>
    <row r="10" spans="1:30" x14ac:dyDescent="0.25">
      <c r="B10" t="s">
        <v>13</v>
      </c>
      <c r="C10" s="17">
        <v>44320</v>
      </c>
      <c r="D10" s="1">
        <v>44882</v>
      </c>
      <c r="E10" s="18">
        <f>D10-C10</f>
        <v>562</v>
      </c>
      <c r="G10" s="2">
        <v>45166</v>
      </c>
      <c r="H10" s="18">
        <f>G10-D10</f>
        <v>284</v>
      </c>
      <c r="I10" s="2">
        <v>45583</v>
      </c>
      <c r="J10" s="18">
        <f>I10-G10</f>
        <v>417</v>
      </c>
      <c r="L10" s="24">
        <v>45583</v>
      </c>
      <c r="M10" s="21">
        <f>L10-I10</f>
        <v>0</v>
      </c>
      <c r="N10" s="25">
        <f>$A$3</f>
        <v>45899</v>
      </c>
      <c r="O10" s="26">
        <f>N10-L10</f>
        <v>316</v>
      </c>
      <c r="Q10" s="2"/>
      <c r="R10" s="18"/>
      <c r="S10" s="2"/>
      <c r="T10" s="18"/>
      <c r="V10" s="4"/>
      <c r="W10" s="18"/>
      <c r="X10" s="4"/>
      <c r="Y10" s="18"/>
      <c r="AA10" s="4"/>
      <c r="AB10" s="18"/>
      <c r="AC10" s="4"/>
      <c r="AD10" s="18"/>
    </row>
    <row r="11" spans="1:30" x14ac:dyDescent="0.25">
      <c r="B11" t="s">
        <v>14</v>
      </c>
      <c r="C11" s="17">
        <v>44320</v>
      </c>
      <c r="D11" s="1">
        <v>44391</v>
      </c>
      <c r="E11" s="18">
        <f t="shared" ref="E11:E12" si="0">D11-C11</f>
        <v>71</v>
      </c>
      <c r="G11" s="2">
        <v>44446</v>
      </c>
      <c r="H11" s="18">
        <f>G11-D11</f>
        <v>55</v>
      </c>
      <c r="I11" s="2">
        <v>44839</v>
      </c>
      <c r="J11" s="18">
        <f>I11-G11</f>
        <v>393</v>
      </c>
      <c r="L11" s="2">
        <v>45166</v>
      </c>
      <c r="M11" s="18">
        <f>L11-I11</f>
        <v>327</v>
      </c>
      <c r="N11" s="2">
        <v>45302</v>
      </c>
      <c r="O11" s="18">
        <f>N11-L11</f>
        <v>136</v>
      </c>
      <c r="Q11" s="2">
        <v>45376</v>
      </c>
      <c r="R11" s="18">
        <f>Q11-N11</f>
        <v>74</v>
      </c>
      <c r="S11" s="25">
        <f>$A$3</f>
        <v>45899</v>
      </c>
      <c r="T11" s="26">
        <f>S11-Q11</f>
        <v>523</v>
      </c>
      <c r="V11" s="4"/>
      <c r="W11" s="18"/>
      <c r="X11" s="5"/>
      <c r="Y11" s="18"/>
      <c r="AA11" s="4"/>
      <c r="AB11" s="18"/>
      <c r="AC11" s="5"/>
      <c r="AD11" s="18"/>
    </row>
    <row r="12" spans="1:30" x14ac:dyDescent="0.25">
      <c r="B12" t="s">
        <v>15</v>
      </c>
      <c r="C12" s="17">
        <v>44320</v>
      </c>
      <c r="D12" s="1">
        <v>45088</v>
      </c>
      <c r="E12" s="18">
        <f t="shared" si="0"/>
        <v>768</v>
      </c>
      <c r="G12" s="2">
        <v>45166</v>
      </c>
      <c r="H12" s="18">
        <f>G12-D12</f>
        <v>78</v>
      </c>
      <c r="I12" s="2">
        <v>45388</v>
      </c>
      <c r="J12" s="18">
        <f t="shared" ref="J12" si="1">I12-G12</f>
        <v>222</v>
      </c>
      <c r="L12" s="2">
        <v>45583</v>
      </c>
      <c r="M12" s="18">
        <f>L12-I12</f>
        <v>195</v>
      </c>
      <c r="N12" s="25">
        <f>$A$3</f>
        <v>45899</v>
      </c>
      <c r="O12" s="26">
        <f>N12-L12</f>
        <v>316</v>
      </c>
      <c r="Q12" s="2"/>
      <c r="R12" s="18"/>
      <c r="S12" s="2"/>
      <c r="T12" s="18"/>
      <c r="V12" s="2"/>
      <c r="W12" s="18"/>
      <c r="X12" s="2"/>
      <c r="Y12" s="18"/>
      <c r="AA12" s="2"/>
      <c r="AB12" s="18"/>
      <c r="AC12" s="2"/>
      <c r="AD12" s="18"/>
    </row>
    <row r="13" spans="1:30" ht="5.0999999999999996" customHeight="1" x14ac:dyDescent="0.25"/>
    <row r="14" spans="1:30" x14ac:dyDescent="0.25">
      <c r="B14" t="s">
        <v>16</v>
      </c>
      <c r="C14" s="16">
        <v>44321</v>
      </c>
      <c r="D14" s="3">
        <v>45154</v>
      </c>
      <c r="E14" s="18">
        <f>D14-C14</f>
        <v>833</v>
      </c>
      <c r="G14" s="2">
        <v>45204</v>
      </c>
      <c r="H14" s="18">
        <f>G14-D14</f>
        <v>50</v>
      </c>
      <c r="I14" s="2">
        <v>45430</v>
      </c>
      <c r="J14" s="18">
        <f>I14-G14</f>
        <v>226</v>
      </c>
      <c r="L14" s="2">
        <v>45567</v>
      </c>
      <c r="M14" s="18">
        <f>L14-I14</f>
        <v>137</v>
      </c>
      <c r="N14" s="25">
        <f>$A$3</f>
        <v>45899</v>
      </c>
      <c r="O14" s="26">
        <f>N14-L14</f>
        <v>332</v>
      </c>
      <c r="Q14" s="2"/>
      <c r="R14" s="18"/>
      <c r="S14" s="2"/>
      <c r="T14" s="18"/>
      <c r="V14" s="2"/>
      <c r="W14" s="18"/>
      <c r="X14" s="2"/>
      <c r="Y14" s="18"/>
      <c r="AA14" s="2"/>
      <c r="AB14" s="18"/>
      <c r="AC14" s="2"/>
      <c r="AD14" s="18"/>
    </row>
    <row r="15" spans="1:30" x14ac:dyDescent="0.25">
      <c r="B15" t="s">
        <v>17</v>
      </c>
      <c r="C15" s="17">
        <v>44321</v>
      </c>
      <c r="D15" s="1">
        <v>44872</v>
      </c>
      <c r="E15" s="18">
        <f>D15-C15</f>
        <v>551</v>
      </c>
      <c r="G15" s="2">
        <v>45021</v>
      </c>
      <c r="H15" s="18">
        <f>G15-D15</f>
        <v>149</v>
      </c>
      <c r="I15" s="2">
        <v>45342</v>
      </c>
      <c r="J15" s="18">
        <f>I15-G15</f>
        <v>321</v>
      </c>
      <c r="L15" s="2">
        <v>45372</v>
      </c>
      <c r="M15" s="18">
        <f>L15-I15</f>
        <v>30</v>
      </c>
      <c r="N15" s="2">
        <v>45417</v>
      </c>
      <c r="O15" s="18">
        <f>N15-L15</f>
        <v>45</v>
      </c>
      <c r="Q15" s="2">
        <v>45586</v>
      </c>
      <c r="R15" s="18">
        <f>Q15-N15</f>
        <v>169</v>
      </c>
      <c r="S15" s="25">
        <f>$A$3</f>
        <v>45899</v>
      </c>
      <c r="T15" s="26">
        <f>S15-Q15</f>
        <v>313</v>
      </c>
      <c r="V15" s="2"/>
      <c r="W15" s="18"/>
      <c r="X15" s="2"/>
      <c r="Y15" s="18"/>
      <c r="AA15" s="2"/>
      <c r="AB15" s="18"/>
      <c r="AC15" s="2"/>
      <c r="AD15" s="18"/>
    </row>
    <row r="16" spans="1:30" x14ac:dyDescent="0.25">
      <c r="B16" t="s">
        <v>18</v>
      </c>
      <c r="C16" s="17">
        <v>44321</v>
      </c>
      <c r="D16" s="1">
        <v>44943</v>
      </c>
      <c r="E16" s="18">
        <f t="shared" ref="E16:E17" si="2">D16-C16</f>
        <v>622</v>
      </c>
      <c r="G16" s="2">
        <v>45021</v>
      </c>
      <c r="H16" s="18">
        <f>G16-D16</f>
        <v>78</v>
      </c>
      <c r="I16" s="2">
        <v>45387</v>
      </c>
      <c r="J16" s="18">
        <f>I16-G16</f>
        <v>366</v>
      </c>
      <c r="L16" s="2">
        <v>45586</v>
      </c>
      <c r="M16" s="18">
        <f>L16-I16</f>
        <v>199</v>
      </c>
      <c r="N16" s="25">
        <f>$A$3</f>
        <v>45899</v>
      </c>
      <c r="O16" s="26">
        <f>N16-L16</f>
        <v>313</v>
      </c>
      <c r="Q16" s="2"/>
      <c r="R16" s="18"/>
      <c r="S16" s="2"/>
      <c r="T16" s="18"/>
      <c r="V16" s="2"/>
      <c r="W16" s="18"/>
      <c r="X16" s="2"/>
      <c r="Y16" s="18"/>
      <c r="AA16" s="2"/>
      <c r="AB16" s="18"/>
      <c r="AC16" s="2"/>
      <c r="AD16" s="18"/>
    </row>
    <row r="17" spans="2:30" x14ac:dyDescent="0.25">
      <c r="B17" t="s">
        <v>19</v>
      </c>
      <c r="C17" s="17">
        <v>44321</v>
      </c>
      <c r="D17" s="1">
        <v>45372</v>
      </c>
      <c r="E17" s="18">
        <f t="shared" si="2"/>
        <v>1051</v>
      </c>
      <c r="G17" s="20">
        <v>45372</v>
      </c>
      <c r="H17" s="21">
        <f>G17-D17</f>
        <v>0</v>
      </c>
      <c r="I17" s="25">
        <f>$A$3</f>
        <v>45899</v>
      </c>
      <c r="J17" s="26">
        <f>I17-G17</f>
        <v>527</v>
      </c>
      <c r="L17" s="2"/>
      <c r="M17" s="18"/>
      <c r="N17" s="2"/>
      <c r="O17" s="18"/>
      <c r="Q17" s="2"/>
      <c r="R17" s="18"/>
      <c r="S17" s="2"/>
      <c r="T17" s="18"/>
      <c r="V17" s="2"/>
      <c r="W17" s="18"/>
      <c r="X17" s="2"/>
      <c r="Y17" s="18"/>
      <c r="AA17" s="2"/>
      <c r="AB17" s="18"/>
      <c r="AC17" s="2"/>
      <c r="AD17" s="18"/>
    </row>
    <row r="18" spans="2:30" ht="5.0999999999999996" customHeight="1" x14ac:dyDescent="0.25"/>
    <row r="19" spans="2:30" x14ac:dyDescent="0.25">
      <c r="B19" t="s">
        <v>20</v>
      </c>
      <c r="C19" s="16">
        <v>44319</v>
      </c>
      <c r="D19" s="3">
        <v>44838</v>
      </c>
      <c r="E19" s="18">
        <f>D19-C19</f>
        <v>519</v>
      </c>
      <c r="G19" s="2">
        <v>45021</v>
      </c>
      <c r="H19" s="18">
        <f>G19-D19</f>
        <v>183</v>
      </c>
      <c r="I19" s="2">
        <v>45567</v>
      </c>
      <c r="J19" s="18">
        <f>I19-G19</f>
        <v>546</v>
      </c>
      <c r="L19" s="24">
        <v>45567</v>
      </c>
      <c r="M19" s="21">
        <f>L19-I19</f>
        <v>0</v>
      </c>
      <c r="N19" s="25">
        <f>$A$3</f>
        <v>45899</v>
      </c>
      <c r="O19" s="26">
        <f>N19-L19</f>
        <v>332</v>
      </c>
      <c r="Q19" s="2"/>
      <c r="R19" s="18"/>
      <c r="S19" s="2"/>
      <c r="T19" s="18"/>
      <c r="V19" s="2"/>
      <c r="W19" s="18"/>
      <c r="X19" s="2"/>
      <c r="Y19" s="18"/>
      <c r="AA19" s="2"/>
      <c r="AB19" s="18"/>
      <c r="AC19" s="2"/>
      <c r="AD19" s="18"/>
    </row>
    <row r="20" spans="2:30" x14ac:dyDescent="0.25">
      <c r="B20" t="s">
        <v>22</v>
      </c>
      <c r="C20" s="17">
        <v>44319</v>
      </c>
      <c r="D20" s="1">
        <v>45372</v>
      </c>
      <c r="E20" s="18">
        <f>D20-C20</f>
        <v>1053</v>
      </c>
      <c r="G20" s="2">
        <v>45567</v>
      </c>
      <c r="H20" s="18">
        <f>G20-D20</f>
        <v>195</v>
      </c>
      <c r="I20" s="25">
        <f>$A$3</f>
        <v>45899</v>
      </c>
      <c r="J20" s="26">
        <f>I20-G20</f>
        <v>332</v>
      </c>
      <c r="L20" s="2"/>
      <c r="M20" s="18"/>
      <c r="N20" s="2"/>
      <c r="O20" s="18"/>
      <c r="Q20" s="2"/>
      <c r="R20" s="18"/>
      <c r="S20" s="2"/>
      <c r="T20" s="18"/>
      <c r="V20" s="2"/>
      <c r="W20" s="18"/>
      <c r="X20" s="2"/>
      <c r="Y20" s="18"/>
      <c r="AA20" s="2"/>
      <c r="AB20" s="18"/>
      <c r="AC20" s="2"/>
      <c r="AD20" s="18"/>
    </row>
    <row r="21" spans="2:30" x14ac:dyDescent="0.25">
      <c r="B21" t="s">
        <v>23</v>
      </c>
      <c r="C21" s="17">
        <v>44319</v>
      </c>
      <c r="D21" s="1">
        <v>45567</v>
      </c>
      <c r="E21" s="18">
        <f t="shared" ref="E21:E22" si="3">D21-C21</f>
        <v>1248</v>
      </c>
      <c r="G21" s="22">
        <v>45567</v>
      </c>
      <c r="H21" s="21">
        <f>G21-D21</f>
        <v>0</v>
      </c>
      <c r="I21" s="25">
        <f>$A$3</f>
        <v>45899</v>
      </c>
      <c r="J21" s="26">
        <f>I21-G21</f>
        <v>332</v>
      </c>
      <c r="L21" s="2"/>
      <c r="M21" s="18"/>
      <c r="N21" s="2"/>
      <c r="O21" s="18"/>
      <c r="Q21" s="2"/>
      <c r="R21" s="18"/>
      <c r="S21" s="2"/>
      <c r="T21" s="18"/>
      <c r="V21" s="2"/>
      <c r="W21" s="18"/>
      <c r="X21" s="2"/>
      <c r="Y21" s="18"/>
      <c r="AA21" s="2"/>
      <c r="AB21" s="18"/>
      <c r="AC21" s="2"/>
      <c r="AD21" s="18"/>
    </row>
    <row r="22" spans="2:30" x14ac:dyDescent="0.25">
      <c r="B22" t="s">
        <v>21</v>
      </c>
      <c r="C22" s="17">
        <v>44319</v>
      </c>
      <c r="D22" s="1">
        <v>45083</v>
      </c>
      <c r="E22" s="18">
        <f t="shared" si="3"/>
        <v>764</v>
      </c>
      <c r="G22" s="2">
        <v>45195</v>
      </c>
      <c r="H22" s="18">
        <f>G22-D22</f>
        <v>112</v>
      </c>
      <c r="I22" s="2">
        <v>45567</v>
      </c>
      <c r="J22" s="18">
        <f>I22-G22</f>
        <v>372</v>
      </c>
      <c r="L22" s="24">
        <v>45567</v>
      </c>
      <c r="M22" s="21">
        <f>L22-I22</f>
        <v>0</v>
      </c>
      <c r="N22" s="25">
        <f>$A$3</f>
        <v>45899</v>
      </c>
      <c r="O22" s="26">
        <f>N22-L22</f>
        <v>332</v>
      </c>
      <c r="Q22" s="2"/>
      <c r="R22" s="18"/>
      <c r="S22" s="2"/>
      <c r="T22" s="18"/>
      <c r="V22" s="2"/>
      <c r="W22" s="18"/>
      <c r="X22" s="2"/>
      <c r="Y22" s="18"/>
      <c r="AA22" s="2"/>
      <c r="AB22" s="18"/>
      <c r="AC22" s="2"/>
      <c r="AD22" s="18"/>
    </row>
    <row r="23" spans="2:30" ht="5.0999999999999996" customHeight="1" x14ac:dyDescent="0.25"/>
    <row r="24" spans="2:30" x14ac:dyDescent="0.25">
      <c r="B24" t="s">
        <v>24</v>
      </c>
      <c r="C24" s="16">
        <v>44321</v>
      </c>
      <c r="D24" s="3">
        <v>44827</v>
      </c>
      <c r="E24" s="18">
        <f>D24-C24</f>
        <v>506</v>
      </c>
      <c r="G24" s="2">
        <v>44852</v>
      </c>
      <c r="H24" s="18">
        <f t="shared" ref="H24:H30" si="4">G24-D24</f>
        <v>25</v>
      </c>
      <c r="I24" s="2">
        <v>45582</v>
      </c>
      <c r="J24" s="18">
        <f t="shared" ref="J24:J30" si="5">I24-G24</f>
        <v>730</v>
      </c>
      <c r="L24" s="24">
        <v>45582</v>
      </c>
      <c r="M24" s="21">
        <f t="shared" ref="M24:M30" si="6">L24-I24</f>
        <v>0</v>
      </c>
      <c r="N24" s="25">
        <f t="shared" ref="N24:N26" si="7">$A$3</f>
        <v>45899</v>
      </c>
      <c r="O24" s="26">
        <f t="shared" ref="O24:O30" si="8">N24-L24</f>
        <v>317</v>
      </c>
      <c r="Q24" s="2"/>
      <c r="R24" s="18"/>
      <c r="S24" s="2"/>
      <c r="T24" s="18"/>
      <c r="V24" s="2"/>
      <c r="W24" s="18"/>
      <c r="X24" s="2"/>
      <c r="Y24" s="18"/>
      <c r="AA24" s="2"/>
      <c r="AB24" s="18"/>
      <c r="AC24" s="2"/>
      <c r="AD24" s="18"/>
    </row>
    <row r="25" spans="2:30" x14ac:dyDescent="0.25">
      <c r="B25" t="s">
        <v>25</v>
      </c>
      <c r="C25" s="17">
        <v>44321</v>
      </c>
      <c r="D25" s="1">
        <v>44908</v>
      </c>
      <c r="E25" s="18">
        <f>D25-C25</f>
        <v>587</v>
      </c>
      <c r="G25" s="2">
        <v>45015</v>
      </c>
      <c r="H25" s="18">
        <f t="shared" si="4"/>
        <v>107</v>
      </c>
      <c r="I25" s="2">
        <v>45582</v>
      </c>
      <c r="J25" s="18">
        <f t="shared" si="5"/>
        <v>567</v>
      </c>
      <c r="L25" s="24">
        <v>45582</v>
      </c>
      <c r="M25" s="21">
        <f t="shared" si="6"/>
        <v>0</v>
      </c>
      <c r="N25" s="25">
        <f t="shared" si="7"/>
        <v>45899</v>
      </c>
      <c r="O25" s="26">
        <f t="shared" si="8"/>
        <v>317</v>
      </c>
      <c r="Q25" s="2"/>
      <c r="R25" s="18"/>
      <c r="S25" s="2"/>
      <c r="T25" s="18"/>
      <c r="V25" s="2"/>
      <c r="W25" s="18"/>
      <c r="X25" s="2"/>
      <c r="Y25" s="18"/>
      <c r="AA25" s="2"/>
      <c r="AB25" s="18"/>
      <c r="AC25" s="2"/>
      <c r="AD25" s="18"/>
    </row>
    <row r="26" spans="2:30" x14ac:dyDescent="0.25">
      <c r="B26" t="s">
        <v>26</v>
      </c>
      <c r="C26" s="17">
        <v>44321</v>
      </c>
      <c r="D26" s="1">
        <v>44839</v>
      </c>
      <c r="E26" s="18">
        <f t="shared" ref="E26:E51" si="9">D26-C26</f>
        <v>518</v>
      </c>
      <c r="G26" s="2">
        <v>44852</v>
      </c>
      <c r="H26" s="18">
        <f t="shared" si="4"/>
        <v>13</v>
      </c>
      <c r="I26" s="2">
        <v>45582</v>
      </c>
      <c r="J26" s="18">
        <f t="shared" si="5"/>
        <v>730</v>
      </c>
      <c r="L26" s="24">
        <v>45582</v>
      </c>
      <c r="M26" s="21">
        <f t="shared" si="6"/>
        <v>0</v>
      </c>
      <c r="N26" s="25">
        <f t="shared" si="7"/>
        <v>45899</v>
      </c>
      <c r="O26" s="26">
        <f t="shared" si="8"/>
        <v>317</v>
      </c>
      <c r="Q26" s="2"/>
      <c r="R26" s="18"/>
      <c r="S26" s="2"/>
      <c r="T26" s="18"/>
      <c r="V26" s="2"/>
      <c r="W26" s="18"/>
      <c r="X26" s="2"/>
      <c r="Y26" s="18"/>
      <c r="AA26" s="2"/>
      <c r="AB26" s="18"/>
      <c r="AC26" s="2"/>
      <c r="AD26" s="18"/>
    </row>
    <row r="27" spans="2:30" x14ac:dyDescent="0.25">
      <c r="B27" t="s">
        <v>27</v>
      </c>
      <c r="C27" s="17">
        <v>44321</v>
      </c>
      <c r="D27" s="1">
        <v>45011</v>
      </c>
      <c r="E27" s="18">
        <f t="shared" si="9"/>
        <v>690</v>
      </c>
      <c r="G27" s="2">
        <v>45015</v>
      </c>
      <c r="H27" s="18">
        <f t="shared" si="4"/>
        <v>4</v>
      </c>
      <c r="I27" s="2">
        <v>45239</v>
      </c>
      <c r="J27" s="18">
        <f t="shared" si="5"/>
        <v>224</v>
      </c>
      <c r="L27" s="2">
        <v>45373</v>
      </c>
      <c r="M27" s="18">
        <f t="shared" si="6"/>
        <v>134</v>
      </c>
      <c r="N27" s="2">
        <v>45582</v>
      </c>
      <c r="O27" s="18">
        <f t="shared" si="8"/>
        <v>209</v>
      </c>
      <c r="Q27" s="24">
        <v>45582</v>
      </c>
      <c r="R27" s="21">
        <f>Q27-N27</f>
        <v>0</v>
      </c>
      <c r="S27" s="25">
        <f>$A$3</f>
        <v>45899</v>
      </c>
      <c r="T27" s="26">
        <f>S27-Q27</f>
        <v>317</v>
      </c>
      <c r="V27" s="2"/>
      <c r="W27" s="18"/>
      <c r="X27" s="2"/>
      <c r="Y27" s="18"/>
      <c r="AA27" s="2"/>
      <c r="AB27" s="18"/>
      <c r="AC27" s="2"/>
      <c r="AD27" s="18"/>
    </row>
    <row r="28" spans="2:30" x14ac:dyDescent="0.25">
      <c r="B28" t="s">
        <v>28</v>
      </c>
      <c r="C28" s="16">
        <v>44320</v>
      </c>
      <c r="D28" s="3">
        <v>44954</v>
      </c>
      <c r="E28" s="18">
        <f t="shared" si="9"/>
        <v>634</v>
      </c>
      <c r="G28" s="2">
        <v>45015</v>
      </c>
      <c r="H28" s="18">
        <f t="shared" si="4"/>
        <v>61</v>
      </c>
      <c r="I28" s="2">
        <v>45582</v>
      </c>
      <c r="J28" s="18">
        <f t="shared" si="5"/>
        <v>567</v>
      </c>
      <c r="L28" s="24">
        <v>45582</v>
      </c>
      <c r="M28" s="21">
        <f t="shared" si="6"/>
        <v>0</v>
      </c>
      <c r="N28" s="25">
        <f t="shared" ref="N28:N29" si="10">$A$3</f>
        <v>45899</v>
      </c>
      <c r="O28" s="26">
        <f t="shared" si="8"/>
        <v>317</v>
      </c>
      <c r="Q28" s="2"/>
      <c r="R28" s="18"/>
      <c r="S28" s="2"/>
      <c r="T28" s="18"/>
      <c r="V28" s="2"/>
      <c r="W28" s="18"/>
      <c r="X28" s="2"/>
      <c r="Y28" s="18"/>
      <c r="AA28" s="2"/>
      <c r="AB28" s="18"/>
      <c r="AC28" s="2"/>
      <c r="AD28" s="18"/>
    </row>
    <row r="29" spans="2:30" x14ac:dyDescent="0.25">
      <c r="B29" t="s">
        <v>29</v>
      </c>
      <c r="C29" s="17">
        <v>44320</v>
      </c>
      <c r="D29" s="1">
        <v>44869</v>
      </c>
      <c r="E29" s="18">
        <f t="shared" si="9"/>
        <v>549</v>
      </c>
      <c r="G29" s="2">
        <v>45015</v>
      </c>
      <c r="H29" s="18">
        <f t="shared" si="4"/>
        <v>146</v>
      </c>
      <c r="I29" s="2">
        <v>45582</v>
      </c>
      <c r="J29" s="18">
        <f t="shared" si="5"/>
        <v>567</v>
      </c>
      <c r="L29" s="24">
        <v>45582</v>
      </c>
      <c r="M29" s="21">
        <f t="shared" si="6"/>
        <v>0</v>
      </c>
      <c r="N29" s="25">
        <f t="shared" si="10"/>
        <v>45899</v>
      </c>
      <c r="O29" s="26">
        <f t="shared" si="8"/>
        <v>317</v>
      </c>
      <c r="Q29" s="2"/>
      <c r="R29" s="18"/>
      <c r="S29" s="2"/>
      <c r="T29" s="18"/>
      <c r="V29" s="2"/>
      <c r="W29" s="18"/>
      <c r="X29" s="2"/>
      <c r="Y29" s="18"/>
      <c r="AA29" s="2"/>
      <c r="AB29" s="18"/>
      <c r="AC29" s="2"/>
      <c r="AD29" s="18"/>
    </row>
    <row r="30" spans="2:30" x14ac:dyDescent="0.25">
      <c r="B30" t="s">
        <v>30</v>
      </c>
      <c r="C30" s="17">
        <v>44398</v>
      </c>
      <c r="D30" s="1">
        <v>44898</v>
      </c>
      <c r="E30" s="18">
        <f t="shared" si="9"/>
        <v>500</v>
      </c>
      <c r="G30" s="2">
        <v>45015</v>
      </c>
      <c r="H30" s="18">
        <f t="shared" si="4"/>
        <v>117</v>
      </c>
      <c r="I30" s="2">
        <v>45208</v>
      </c>
      <c r="J30" s="18">
        <f t="shared" si="5"/>
        <v>193</v>
      </c>
      <c r="L30" s="2">
        <v>45373</v>
      </c>
      <c r="M30" s="18">
        <f t="shared" si="6"/>
        <v>165</v>
      </c>
      <c r="N30" s="2">
        <v>45582</v>
      </c>
      <c r="O30" s="18">
        <f t="shared" si="8"/>
        <v>209</v>
      </c>
      <c r="Q30" s="24">
        <v>45582</v>
      </c>
      <c r="R30" s="21">
        <f>Q30-N30</f>
        <v>0</v>
      </c>
      <c r="S30" s="25">
        <f>$A$3</f>
        <v>45899</v>
      </c>
      <c r="T30" s="26">
        <f>S30-Q30</f>
        <v>317</v>
      </c>
      <c r="V30" s="2"/>
      <c r="W30" s="18"/>
      <c r="X30" s="2"/>
      <c r="Y30" s="18"/>
      <c r="AA30" s="2"/>
      <c r="AB30" s="18"/>
      <c r="AC30" s="2"/>
      <c r="AD30" s="18"/>
    </row>
    <row r="31" spans="2:30" x14ac:dyDescent="0.25">
      <c r="B31" t="s">
        <v>31</v>
      </c>
      <c r="C31" s="17">
        <v>44320</v>
      </c>
      <c r="D31" s="1">
        <v>45373</v>
      </c>
      <c r="E31" s="18">
        <f t="shared" si="9"/>
        <v>1053</v>
      </c>
      <c r="G31" s="22">
        <v>45373</v>
      </c>
      <c r="H31" s="21">
        <f>G31-D31</f>
        <v>0</v>
      </c>
      <c r="I31" s="25">
        <f>$A$3</f>
        <v>45899</v>
      </c>
      <c r="J31" s="26">
        <f>I31-G31</f>
        <v>526</v>
      </c>
      <c r="L31" s="2"/>
      <c r="M31" s="18"/>
      <c r="N31" s="2"/>
      <c r="O31" s="18"/>
      <c r="Q31" s="2"/>
      <c r="R31" s="18"/>
      <c r="S31" s="2"/>
      <c r="T31" s="18"/>
      <c r="V31" s="2"/>
      <c r="W31" s="18"/>
      <c r="X31" s="2"/>
      <c r="Y31" s="18"/>
      <c r="AA31" s="2"/>
      <c r="AB31" s="18"/>
      <c r="AC31" s="2"/>
      <c r="AD31" s="18"/>
    </row>
    <row r="32" spans="2:30" ht="5.0999999999999996" customHeight="1" x14ac:dyDescent="0.25"/>
    <row r="33" spans="2:30" x14ac:dyDescent="0.25">
      <c r="B33" t="s">
        <v>32</v>
      </c>
      <c r="C33" s="16">
        <v>44321</v>
      </c>
      <c r="D33" s="3">
        <v>45117</v>
      </c>
      <c r="E33" s="18">
        <f t="shared" si="9"/>
        <v>796</v>
      </c>
      <c r="G33" s="2">
        <v>45204</v>
      </c>
      <c r="H33" s="18">
        <f t="shared" ref="H33:H38" si="11">G33-D33</f>
        <v>87</v>
      </c>
      <c r="I33" s="2">
        <v>45527</v>
      </c>
      <c r="J33" s="18">
        <f t="shared" ref="J33:J38" si="12">I33-G33</f>
        <v>323</v>
      </c>
      <c r="L33" s="2">
        <v>45586</v>
      </c>
      <c r="M33" s="18">
        <f>L33-I33</f>
        <v>59</v>
      </c>
      <c r="N33" s="25">
        <f t="shared" ref="N33:N35" si="13">$A$3</f>
        <v>45899</v>
      </c>
      <c r="O33" s="26">
        <f>N33-L33</f>
        <v>313</v>
      </c>
      <c r="Q33" s="2"/>
      <c r="R33" s="18"/>
      <c r="S33" s="2"/>
      <c r="T33" s="18"/>
      <c r="V33" s="2"/>
      <c r="W33" s="18"/>
      <c r="X33" s="2"/>
      <c r="Y33" s="18"/>
      <c r="AA33" s="2"/>
      <c r="AB33" s="18"/>
      <c r="AC33" s="2"/>
      <c r="AD33" s="18"/>
    </row>
    <row r="34" spans="2:30" x14ac:dyDescent="0.25">
      <c r="B34" t="s">
        <v>34</v>
      </c>
      <c r="C34" s="17">
        <v>44321</v>
      </c>
      <c r="D34" s="1">
        <v>45184</v>
      </c>
      <c r="E34" s="18">
        <f t="shared" si="9"/>
        <v>863</v>
      </c>
      <c r="G34" s="2">
        <v>45204</v>
      </c>
      <c r="H34" s="18">
        <f t="shared" si="11"/>
        <v>20</v>
      </c>
      <c r="I34" s="2">
        <v>45533</v>
      </c>
      <c r="J34" s="18">
        <f t="shared" si="12"/>
        <v>329</v>
      </c>
      <c r="L34" s="2">
        <v>45567</v>
      </c>
      <c r="M34" s="18">
        <f>L34-I34</f>
        <v>34</v>
      </c>
      <c r="N34" s="25">
        <f t="shared" si="13"/>
        <v>45899</v>
      </c>
      <c r="O34" s="26">
        <f>N34-L34</f>
        <v>332</v>
      </c>
      <c r="Q34" s="2"/>
      <c r="R34" s="18"/>
      <c r="S34" s="2"/>
      <c r="T34" s="18"/>
      <c r="V34" s="2"/>
      <c r="W34" s="18"/>
      <c r="X34" s="2"/>
      <c r="Y34" s="18"/>
      <c r="AA34" s="2"/>
      <c r="AB34" s="18"/>
      <c r="AC34" s="2"/>
      <c r="AD34" s="18"/>
    </row>
    <row r="35" spans="2:30" x14ac:dyDescent="0.25">
      <c r="B35" t="s">
        <v>33</v>
      </c>
      <c r="C35" s="17">
        <v>44321</v>
      </c>
      <c r="D35" s="1">
        <v>45124</v>
      </c>
      <c r="E35" s="18">
        <f t="shared" si="9"/>
        <v>803</v>
      </c>
      <c r="G35" s="2">
        <v>45204</v>
      </c>
      <c r="H35" s="18">
        <f t="shared" si="11"/>
        <v>80</v>
      </c>
      <c r="I35" s="2">
        <v>45416</v>
      </c>
      <c r="J35" s="18">
        <f t="shared" si="12"/>
        <v>212</v>
      </c>
      <c r="L35" s="2">
        <v>45567</v>
      </c>
      <c r="M35" s="18">
        <f>L35-I35</f>
        <v>151</v>
      </c>
      <c r="N35" s="25">
        <f t="shared" si="13"/>
        <v>45899</v>
      </c>
      <c r="O35" s="26">
        <f>N35-L35</f>
        <v>332</v>
      </c>
      <c r="Q35" s="2"/>
      <c r="R35" s="18"/>
      <c r="S35" s="2"/>
      <c r="T35" s="18"/>
      <c r="V35" s="2"/>
      <c r="W35" s="18"/>
      <c r="X35" s="2"/>
      <c r="Y35" s="18"/>
      <c r="AA35" s="2"/>
      <c r="AB35" s="18"/>
      <c r="AC35" s="2"/>
      <c r="AD35" s="18"/>
    </row>
    <row r="36" spans="2:30" x14ac:dyDescent="0.25">
      <c r="B36" t="s">
        <v>35</v>
      </c>
      <c r="C36" s="17">
        <v>44321</v>
      </c>
      <c r="D36" s="1">
        <v>44390</v>
      </c>
      <c r="E36" s="18">
        <f t="shared" si="9"/>
        <v>69</v>
      </c>
      <c r="G36" s="2">
        <v>44462</v>
      </c>
      <c r="H36" s="18">
        <f t="shared" si="11"/>
        <v>72</v>
      </c>
      <c r="I36" s="2">
        <v>44481</v>
      </c>
      <c r="J36" s="18">
        <f t="shared" si="12"/>
        <v>19</v>
      </c>
      <c r="L36" s="2">
        <v>44615</v>
      </c>
      <c r="M36" s="18">
        <f>L36-I36</f>
        <v>134</v>
      </c>
      <c r="N36" s="2">
        <v>44958</v>
      </c>
      <c r="O36" s="18">
        <f>N36-L36</f>
        <v>343</v>
      </c>
      <c r="Q36" s="2">
        <v>45204</v>
      </c>
      <c r="R36" s="18">
        <f>Q36-N36</f>
        <v>246</v>
      </c>
      <c r="S36" s="2">
        <v>45324</v>
      </c>
      <c r="T36" s="18">
        <f>S36-Q36</f>
        <v>120</v>
      </c>
      <c r="V36" s="2">
        <v>45372</v>
      </c>
      <c r="W36" s="18">
        <f>V36-S36</f>
        <v>48</v>
      </c>
      <c r="X36" s="2">
        <v>45487</v>
      </c>
      <c r="Y36" s="18">
        <f>X36-V36</f>
        <v>115</v>
      </c>
      <c r="AA36" s="2">
        <v>45567</v>
      </c>
      <c r="AB36" s="8">
        <f>AA36-X36</f>
        <v>80</v>
      </c>
      <c r="AC36" s="25">
        <f>$A$3</f>
        <v>45899</v>
      </c>
      <c r="AD36" s="26">
        <f>AC36-AA36</f>
        <v>332</v>
      </c>
    </row>
    <row r="37" spans="2:30" ht="5.0999999999999996" customHeight="1" x14ac:dyDescent="0.25"/>
    <row r="38" spans="2:30" x14ac:dyDescent="0.25">
      <c r="B38" t="s">
        <v>36</v>
      </c>
      <c r="C38" s="16">
        <v>44319</v>
      </c>
      <c r="D38" s="3">
        <v>44446</v>
      </c>
      <c r="E38" s="18">
        <f t="shared" si="9"/>
        <v>127</v>
      </c>
      <c r="G38" s="2">
        <v>44727</v>
      </c>
      <c r="H38" s="18">
        <f t="shared" si="11"/>
        <v>281</v>
      </c>
      <c r="I38" s="2">
        <v>45376</v>
      </c>
      <c r="J38" s="18">
        <f t="shared" si="12"/>
        <v>649</v>
      </c>
      <c r="L38" s="24">
        <v>45376</v>
      </c>
      <c r="M38" s="21">
        <f>L38-I38</f>
        <v>0</v>
      </c>
      <c r="N38" s="25">
        <f>$A$3</f>
        <v>45899</v>
      </c>
      <c r="O38" s="26">
        <f>N38-L38</f>
        <v>523</v>
      </c>
      <c r="Q38" s="2"/>
      <c r="R38" s="18"/>
      <c r="S38" s="2"/>
      <c r="T38" s="18"/>
      <c r="V38" s="2"/>
      <c r="W38" s="18"/>
      <c r="X38" s="2"/>
      <c r="Y38" s="18"/>
      <c r="AA38" s="2"/>
      <c r="AB38" s="18"/>
      <c r="AC38" s="2"/>
      <c r="AD38" s="18"/>
    </row>
    <row r="39" spans="2:30" x14ac:dyDescent="0.25">
      <c r="B39" t="s">
        <v>38</v>
      </c>
      <c r="C39" s="16">
        <v>44319</v>
      </c>
      <c r="D39" s="3">
        <v>45583</v>
      </c>
      <c r="E39" s="18">
        <f t="shared" si="9"/>
        <v>1264</v>
      </c>
      <c r="G39" s="23">
        <v>45583</v>
      </c>
      <c r="H39" s="21">
        <f>G39-D39</f>
        <v>0</v>
      </c>
      <c r="I39" s="25">
        <f t="shared" ref="I39:I40" si="14">$A$3</f>
        <v>45899</v>
      </c>
      <c r="J39" s="26">
        <f>I39-G39</f>
        <v>316</v>
      </c>
      <c r="L39" s="2"/>
      <c r="M39" s="18"/>
      <c r="N39" s="2"/>
      <c r="O39" s="18"/>
      <c r="Q39" s="2"/>
      <c r="R39" s="18"/>
      <c r="S39" s="2"/>
      <c r="T39" s="18"/>
      <c r="V39" s="2"/>
      <c r="W39" s="18"/>
      <c r="X39" s="2"/>
      <c r="Y39" s="18"/>
      <c r="AA39" s="2"/>
      <c r="AB39" s="18"/>
      <c r="AC39" s="2"/>
      <c r="AD39" s="18"/>
    </row>
    <row r="40" spans="2:30" x14ac:dyDescent="0.25">
      <c r="B40" t="s">
        <v>37</v>
      </c>
      <c r="C40" s="16">
        <v>44319</v>
      </c>
      <c r="D40" s="3">
        <v>45549</v>
      </c>
      <c r="E40" s="18">
        <f t="shared" si="9"/>
        <v>1230</v>
      </c>
      <c r="G40" s="2">
        <v>45583</v>
      </c>
      <c r="H40" s="18">
        <f t="shared" ref="H40" si="15">G40-D40</f>
        <v>34</v>
      </c>
      <c r="I40" s="25">
        <f t="shared" si="14"/>
        <v>45899</v>
      </c>
      <c r="J40" s="26">
        <f>I40-G40</f>
        <v>316</v>
      </c>
      <c r="L40" s="2"/>
      <c r="M40" s="18"/>
      <c r="N40" s="2"/>
      <c r="O40" s="18"/>
      <c r="Q40" s="2"/>
      <c r="R40" s="18"/>
      <c r="S40" s="2"/>
      <c r="T40" s="18"/>
      <c r="V40" s="2"/>
      <c r="W40" s="18"/>
      <c r="X40" s="2"/>
      <c r="Y40" s="18"/>
      <c r="AA40" s="2"/>
      <c r="AB40" s="18"/>
      <c r="AC40" s="2"/>
      <c r="AD40" s="18"/>
    </row>
    <row r="41" spans="2:30" x14ac:dyDescent="0.25">
      <c r="B41" t="s">
        <v>39</v>
      </c>
      <c r="C41" s="16">
        <v>44319</v>
      </c>
      <c r="D41" s="3">
        <v>45144</v>
      </c>
      <c r="E41" s="18">
        <f t="shared" si="9"/>
        <v>825</v>
      </c>
      <c r="G41" s="2">
        <v>45166</v>
      </c>
      <c r="H41" s="18">
        <f t="shared" ref="H41" si="16">G41-D41</f>
        <v>22</v>
      </c>
      <c r="I41" s="2">
        <v>45583</v>
      </c>
      <c r="J41" s="18">
        <f t="shared" ref="J41" si="17">I41-G41</f>
        <v>417</v>
      </c>
      <c r="L41" s="24">
        <v>45583</v>
      </c>
      <c r="M41" s="21">
        <f>L41-I41</f>
        <v>0</v>
      </c>
      <c r="N41" s="25">
        <f>$A$3</f>
        <v>45899</v>
      </c>
      <c r="O41" s="26">
        <f>N41-L41</f>
        <v>316</v>
      </c>
      <c r="Q41" s="2"/>
      <c r="R41" s="18"/>
      <c r="S41" s="2"/>
      <c r="T41" s="18"/>
      <c r="V41" s="2"/>
      <c r="W41" s="18"/>
      <c r="X41" s="2"/>
      <c r="Y41" s="18"/>
      <c r="AA41" s="2"/>
      <c r="AB41" s="18"/>
      <c r="AC41" s="2"/>
      <c r="AD41" s="18"/>
    </row>
    <row r="42" spans="2:30" ht="5.0999999999999996" customHeight="1" x14ac:dyDescent="0.25"/>
    <row r="43" spans="2:30" x14ac:dyDescent="0.25">
      <c r="B43" t="s">
        <v>40</v>
      </c>
      <c r="C43" s="16">
        <v>44320</v>
      </c>
      <c r="D43" s="3">
        <v>44510</v>
      </c>
      <c r="E43" s="18">
        <f t="shared" si="9"/>
        <v>190</v>
      </c>
      <c r="G43" s="2">
        <v>44727</v>
      </c>
      <c r="H43" s="18">
        <f t="shared" ref="H43:H46" si="18">G43-D43</f>
        <v>217</v>
      </c>
      <c r="I43" s="2">
        <v>45583</v>
      </c>
      <c r="J43" s="18">
        <f t="shared" ref="J43:J46" si="19">I43-G43</f>
        <v>856</v>
      </c>
      <c r="L43" s="24">
        <v>45583</v>
      </c>
      <c r="M43" s="21">
        <f t="shared" ref="M43:M46" si="20">L43-I43</f>
        <v>0</v>
      </c>
      <c r="N43" s="25">
        <f t="shared" ref="N43:N46" si="21">$A$3</f>
        <v>45899</v>
      </c>
      <c r="O43" s="26">
        <f t="shared" ref="O43:O46" si="22">N43-L43</f>
        <v>316</v>
      </c>
      <c r="Q43" s="2"/>
      <c r="R43" s="18"/>
      <c r="S43" s="2"/>
      <c r="T43" s="18"/>
      <c r="V43" s="2"/>
      <c r="W43" s="18"/>
      <c r="X43" s="2"/>
      <c r="Y43" s="18"/>
      <c r="AA43" s="2"/>
      <c r="AB43" s="18"/>
      <c r="AC43" s="2"/>
      <c r="AD43" s="18"/>
    </row>
    <row r="44" spans="2:30" x14ac:dyDescent="0.25">
      <c r="B44" t="s">
        <v>44</v>
      </c>
      <c r="C44" s="16">
        <v>44320</v>
      </c>
      <c r="D44" s="3">
        <v>45013</v>
      </c>
      <c r="E44" s="18">
        <f t="shared" si="9"/>
        <v>693</v>
      </c>
      <c r="G44" s="2">
        <v>45166</v>
      </c>
      <c r="H44" s="18">
        <f t="shared" si="18"/>
        <v>153</v>
      </c>
      <c r="I44" s="2">
        <v>45583</v>
      </c>
      <c r="J44" s="18">
        <f t="shared" si="19"/>
        <v>417</v>
      </c>
      <c r="L44" s="24">
        <v>45583</v>
      </c>
      <c r="M44" s="21">
        <f t="shared" si="20"/>
        <v>0</v>
      </c>
      <c r="N44" s="25">
        <f t="shared" si="21"/>
        <v>45899</v>
      </c>
      <c r="O44" s="26">
        <f t="shared" si="22"/>
        <v>316</v>
      </c>
      <c r="Q44" s="2"/>
      <c r="R44" s="18"/>
      <c r="S44" s="2"/>
      <c r="T44" s="18"/>
      <c r="V44" s="2"/>
      <c r="W44" s="18"/>
      <c r="X44" s="2"/>
      <c r="Y44" s="18"/>
      <c r="AA44" s="2"/>
      <c r="AB44" s="18"/>
      <c r="AC44" s="2"/>
      <c r="AD44" s="18"/>
    </row>
    <row r="45" spans="2:30" x14ac:dyDescent="0.25">
      <c r="B45" t="s">
        <v>41</v>
      </c>
      <c r="C45" s="16">
        <v>44320</v>
      </c>
      <c r="D45" s="3">
        <v>44703</v>
      </c>
      <c r="E45" s="18">
        <f t="shared" si="9"/>
        <v>383</v>
      </c>
      <c r="G45" s="2">
        <v>44713</v>
      </c>
      <c r="H45" s="18">
        <f t="shared" si="18"/>
        <v>10</v>
      </c>
      <c r="I45" s="2">
        <v>45583</v>
      </c>
      <c r="J45" s="18">
        <f t="shared" si="19"/>
        <v>870</v>
      </c>
      <c r="L45" s="24">
        <v>45583</v>
      </c>
      <c r="M45" s="21">
        <f t="shared" si="20"/>
        <v>0</v>
      </c>
      <c r="N45" s="25">
        <f t="shared" si="21"/>
        <v>45899</v>
      </c>
      <c r="O45" s="26">
        <f t="shared" si="22"/>
        <v>316</v>
      </c>
      <c r="Q45" s="2"/>
      <c r="R45" s="18"/>
      <c r="S45" s="2"/>
      <c r="T45" s="18"/>
      <c r="V45" s="2"/>
      <c r="W45" s="18"/>
      <c r="X45" s="2"/>
      <c r="Y45" s="18"/>
      <c r="AA45" s="2"/>
      <c r="AB45" s="18"/>
      <c r="AC45" s="2"/>
      <c r="AD45" s="18"/>
    </row>
    <row r="46" spans="2:30" x14ac:dyDescent="0.25">
      <c r="B46" t="s">
        <v>45</v>
      </c>
      <c r="C46" s="16">
        <v>44320</v>
      </c>
      <c r="D46" s="3">
        <v>44937</v>
      </c>
      <c r="E46" s="18">
        <f t="shared" si="9"/>
        <v>617</v>
      </c>
      <c r="G46" s="2">
        <v>45166</v>
      </c>
      <c r="H46" s="18">
        <f t="shared" si="18"/>
        <v>229</v>
      </c>
      <c r="I46" s="2">
        <v>45583</v>
      </c>
      <c r="J46" s="18">
        <f t="shared" si="19"/>
        <v>417</v>
      </c>
      <c r="L46" s="24">
        <v>45583</v>
      </c>
      <c r="M46" s="21">
        <f t="shared" si="20"/>
        <v>0</v>
      </c>
      <c r="N46" s="25">
        <f t="shared" si="21"/>
        <v>45899</v>
      </c>
      <c r="O46" s="26">
        <f t="shared" si="22"/>
        <v>316</v>
      </c>
      <c r="Q46" s="2"/>
      <c r="R46" s="18"/>
      <c r="S46" s="2"/>
      <c r="T46" s="18"/>
      <c r="V46" s="2"/>
      <c r="W46" s="18"/>
      <c r="X46" s="2"/>
      <c r="Y46" s="18"/>
      <c r="AA46" s="2"/>
      <c r="AB46" s="18"/>
      <c r="AC46" s="2"/>
      <c r="AD46" s="18"/>
    </row>
    <row r="47" spans="2:30" ht="5.0999999999999996" customHeight="1" x14ac:dyDescent="0.25"/>
    <row r="48" spans="2:30" x14ac:dyDescent="0.25">
      <c r="B48" t="s">
        <v>42</v>
      </c>
      <c r="C48" s="16">
        <v>44320</v>
      </c>
      <c r="D48" s="3">
        <v>45373</v>
      </c>
      <c r="E48" s="18">
        <f t="shared" si="9"/>
        <v>1053</v>
      </c>
      <c r="G48" s="24">
        <v>45373</v>
      </c>
      <c r="H48" s="21">
        <f>G48-D48</f>
        <v>0</v>
      </c>
      <c r="I48" s="25">
        <f>$A$3</f>
        <v>45899</v>
      </c>
      <c r="J48" s="26">
        <f>I48-G48</f>
        <v>526</v>
      </c>
      <c r="L48" s="2"/>
      <c r="M48" s="18"/>
      <c r="N48" s="2"/>
      <c r="O48" s="18"/>
      <c r="Q48" s="2"/>
      <c r="R48" s="18"/>
      <c r="S48" s="2"/>
      <c r="T48" s="18"/>
      <c r="V48" s="2"/>
      <c r="W48" s="18"/>
      <c r="X48" s="2"/>
      <c r="Y48" s="18"/>
      <c r="AA48" s="2"/>
      <c r="AB48" s="18"/>
      <c r="AC48" s="2"/>
      <c r="AD48" s="18"/>
    </row>
    <row r="49" spans="2:30" x14ac:dyDescent="0.25">
      <c r="B49" t="s">
        <v>46</v>
      </c>
      <c r="C49" s="16">
        <v>44320</v>
      </c>
      <c r="D49" s="3">
        <v>45144</v>
      </c>
      <c r="E49" s="18">
        <f t="shared" si="9"/>
        <v>824</v>
      </c>
      <c r="G49" s="2">
        <v>45147</v>
      </c>
      <c r="H49" s="18">
        <f t="shared" ref="H49:H51" si="23">G49-D49</f>
        <v>3</v>
      </c>
      <c r="I49" s="2">
        <v>45373</v>
      </c>
      <c r="J49" s="18">
        <f t="shared" ref="J49:J51" si="24">I49-G49</f>
        <v>226</v>
      </c>
      <c r="L49" s="24">
        <v>45373</v>
      </c>
      <c r="M49" s="21">
        <f t="shared" ref="M49" si="25">L49-I49</f>
        <v>0</v>
      </c>
      <c r="N49" s="25">
        <f t="shared" ref="N49:N51" si="26">$A$3</f>
        <v>45899</v>
      </c>
      <c r="O49" s="26">
        <f t="shared" ref="O49" si="27">N49-L49</f>
        <v>526</v>
      </c>
      <c r="Q49" s="2"/>
      <c r="R49" s="18"/>
      <c r="S49" s="2"/>
      <c r="T49" s="18"/>
      <c r="V49" s="2"/>
      <c r="W49" s="18"/>
      <c r="X49" s="2"/>
      <c r="Y49" s="18"/>
      <c r="AA49" s="2"/>
      <c r="AB49" s="18"/>
      <c r="AC49" s="2"/>
      <c r="AD49" s="18"/>
    </row>
    <row r="50" spans="2:30" x14ac:dyDescent="0.25">
      <c r="B50" t="s">
        <v>43</v>
      </c>
      <c r="C50" s="16">
        <v>44320</v>
      </c>
      <c r="D50" s="3">
        <v>44929</v>
      </c>
      <c r="E50" s="18">
        <f t="shared" si="9"/>
        <v>609</v>
      </c>
      <c r="G50" s="2">
        <v>45015</v>
      </c>
      <c r="H50" s="18">
        <f t="shared" si="23"/>
        <v>86</v>
      </c>
      <c r="I50" s="2">
        <v>45582</v>
      </c>
      <c r="J50" s="18">
        <f t="shared" si="24"/>
        <v>567</v>
      </c>
      <c r="L50" s="24">
        <v>45582</v>
      </c>
      <c r="M50" s="21">
        <f t="shared" ref="M50:M51" si="28">L50-I50</f>
        <v>0</v>
      </c>
      <c r="N50" s="25">
        <f t="shared" si="26"/>
        <v>45899</v>
      </c>
      <c r="O50" s="26">
        <f t="shared" ref="O50:O51" si="29">N50-L50</f>
        <v>317</v>
      </c>
      <c r="Q50" s="2"/>
      <c r="R50" s="18"/>
      <c r="S50" s="2"/>
      <c r="T50" s="18"/>
      <c r="V50" s="2"/>
      <c r="W50" s="18"/>
      <c r="X50" s="2"/>
      <c r="Y50" s="18"/>
      <c r="AA50" s="2"/>
      <c r="AB50" s="18"/>
      <c r="AC50" s="2"/>
      <c r="AD50" s="18"/>
    </row>
    <row r="51" spans="2:30" x14ac:dyDescent="0.25">
      <c r="B51" t="s">
        <v>47</v>
      </c>
      <c r="C51" s="16">
        <v>44320</v>
      </c>
      <c r="D51" s="3">
        <v>45008</v>
      </c>
      <c r="E51" s="18">
        <f t="shared" si="9"/>
        <v>688</v>
      </c>
      <c r="G51" s="2">
        <v>45015</v>
      </c>
      <c r="H51" s="18">
        <f t="shared" si="23"/>
        <v>7</v>
      </c>
      <c r="I51" s="2">
        <v>45582</v>
      </c>
      <c r="J51" s="18">
        <f t="shared" si="24"/>
        <v>567</v>
      </c>
      <c r="L51" s="24">
        <v>45582</v>
      </c>
      <c r="M51" s="21">
        <f t="shared" si="28"/>
        <v>0</v>
      </c>
      <c r="N51" s="25">
        <f t="shared" si="26"/>
        <v>45899</v>
      </c>
      <c r="O51" s="26">
        <f t="shared" si="29"/>
        <v>317</v>
      </c>
      <c r="Q51" s="2"/>
      <c r="R51" s="18"/>
      <c r="S51" s="2"/>
      <c r="T51" s="18"/>
      <c r="V51" s="2"/>
      <c r="W51" s="18"/>
      <c r="X51" s="2"/>
      <c r="Y51" s="18"/>
      <c r="AA51" s="2"/>
      <c r="AB51" s="18"/>
      <c r="AC51" s="2"/>
      <c r="AD51" s="18"/>
    </row>
    <row r="52" spans="2:30" ht="20.100000000000001" customHeight="1" x14ac:dyDescent="0.25"/>
    <row r="53" spans="2:30" x14ac:dyDescent="0.25">
      <c r="B53" t="s">
        <v>50</v>
      </c>
      <c r="D53" s="24">
        <v>45373</v>
      </c>
      <c r="E53" s="21">
        <v>0</v>
      </c>
      <c r="G53" t="s">
        <v>61</v>
      </c>
    </row>
    <row r="54" spans="2:30" x14ac:dyDescent="0.25">
      <c r="D54" s="25">
        <f>$A$3</f>
        <v>45899</v>
      </c>
      <c r="E54" s="26">
        <v>465</v>
      </c>
      <c r="G54" t="s">
        <v>59</v>
      </c>
    </row>
  </sheetData>
  <mergeCells count="2">
    <mergeCell ref="A3:B3"/>
    <mergeCell ref="A1:B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graph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2025-03-19T10:59:11Z</dcterms:created>
  <dcterms:modified xsi:type="dcterms:W3CDTF">2025-07-18T08:31:29Z</dcterms:modified>
</cp:coreProperties>
</file>