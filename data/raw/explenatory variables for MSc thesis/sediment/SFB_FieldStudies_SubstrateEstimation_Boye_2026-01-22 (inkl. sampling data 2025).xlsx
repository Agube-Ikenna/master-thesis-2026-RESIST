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aten\3 RESIST\9 sciebo\b_Environmental Data\Substrate Estimation\"/>
    </mc:Choice>
  </mc:AlternateContent>
  <xr:revisionPtr revIDLastSave="0" documentId="13_ncr:1_{F1D1E579-CE1B-49D7-80C9-CD8C51FA5D12}" xr6:coauthVersionLast="47" xr6:coauthVersionMax="47" xr10:uidLastSave="{00000000-0000-0000-0000-000000000000}"/>
  <bookViews>
    <workbookView xWindow="-120" yWindow="-120" windowWidth="29040" windowHeight="18240" activeTab="4" xr2:uid="{00000000-000D-0000-FFFF-FFFF00000000}"/>
  </bookViews>
  <sheets>
    <sheet name="year 2021" sheetId="1" r:id="rId1"/>
    <sheet name="year 2022" sheetId="5" r:id="rId2"/>
    <sheet name="year 2023" sheetId="8" r:id="rId3"/>
    <sheet name="year 2024" sheetId="9" r:id="rId4"/>
    <sheet name="year 2025" sheetId="10" r:id="rId5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2" i="10" l="1"/>
  <c r="V17" i="10" l="1"/>
  <c r="V18" i="10"/>
  <c r="V5" i="10" l="1"/>
  <c r="V27" i="10" l="1"/>
  <c r="V26" i="10"/>
  <c r="V24" i="10"/>
  <c r="V27" i="9"/>
  <c r="V26" i="9"/>
  <c r="V25" i="9"/>
  <c r="V24" i="9"/>
  <c r="V6" i="10"/>
  <c r="V7" i="10"/>
  <c r="V9" i="10"/>
  <c r="V10" i="10"/>
  <c r="V11" i="10"/>
  <c r="V13" i="10"/>
  <c r="V14" i="10"/>
  <c r="V15" i="10"/>
  <c r="V19" i="10"/>
  <c r="V21" i="10"/>
  <c r="V23" i="10"/>
  <c r="V20" i="10"/>
  <c r="V16" i="10"/>
  <c r="V12" i="10"/>
  <c r="V8" i="10"/>
  <c r="V24" i="8"/>
  <c r="V25" i="8"/>
  <c r="V26" i="8"/>
  <c r="V27" i="8"/>
  <c r="V23" i="9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5" i="9"/>
  <c r="V4" i="9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13" i="5"/>
  <c r="V14" i="5"/>
  <c r="V15" i="5"/>
  <c r="V16" i="5"/>
  <c r="V17" i="5"/>
  <c r="V18" i="5"/>
  <c r="V19" i="5"/>
  <c r="V23" i="5"/>
  <c r="V22" i="5"/>
  <c r="V21" i="5"/>
  <c r="V20" i="5"/>
  <c r="V12" i="5"/>
  <c r="V11" i="5"/>
  <c r="V10" i="5"/>
  <c r="V9" i="5"/>
  <c r="V8" i="5"/>
  <c r="V7" i="5"/>
  <c r="V6" i="5"/>
  <c r="V5" i="5"/>
  <c r="V4" i="5"/>
  <c r="V11" i="1"/>
  <c r="V13" i="1"/>
  <c r="V8" i="1"/>
  <c r="V10" i="1"/>
  <c r="V9" i="1"/>
  <c r="V7" i="1"/>
  <c r="V12" i="1"/>
  <c r="V20" i="1"/>
  <c r="V4" i="1"/>
  <c r="V4" i="10" l="1"/>
  <c r="V16" i="1"/>
  <c r="V15" i="1"/>
  <c r="V14" i="1"/>
  <c r="V19" i="1"/>
  <c r="V6" i="1"/>
  <c r="V5" i="1"/>
  <c r="V23" i="1"/>
  <c r="V18" i="1"/>
  <c r="V21" i="1"/>
  <c r="V22" i="1"/>
</calcChain>
</file>

<file path=xl/sharedStrings.xml><?xml version="1.0" encoding="utf-8"?>
<sst xmlns="http://schemas.openxmlformats.org/spreadsheetml/2006/main" count="397" uniqueCount="111">
  <si>
    <t>sites</t>
  </si>
  <si>
    <t>submers</t>
  </si>
  <si>
    <t>emers</t>
  </si>
  <si>
    <t>CPOM</t>
  </si>
  <si>
    <t>FPOM</t>
  </si>
  <si>
    <t>x</t>
  </si>
  <si>
    <t>share of mineral substrates</t>
  </si>
  <si>
    <t>share of organic substrates</t>
  </si>
  <si>
    <t>sum</t>
  </si>
  <si>
    <t>notes on habitats</t>
  </si>
  <si>
    <t>notes on biology</t>
  </si>
  <si>
    <t>algae</t>
  </si>
  <si>
    <t>living parts</t>
  </si>
  <si>
    <t>xylal</t>
  </si>
  <si>
    <t>sapro</t>
  </si>
  <si>
    <t>debris</t>
  </si>
  <si>
    <t>mega</t>
  </si>
  <si>
    <t>makro</t>
  </si>
  <si>
    <t>meso</t>
  </si>
  <si>
    <t>mikro</t>
  </si>
  <si>
    <t>akal</t>
  </si>
  <si>
    <t>psam</t>
  </si>
  <si>
    <t>arg</t>
  </si>
  <si>
    <t>tech_1</t>
  </si>
  <si>
    <t>tech_2</t>
  </si>
  <si>
    <t>VORob</t>
  </si>
  <si>
    <t>NATohBo</t>
  </si>
  <si>
    <t>WITob</t>
  </si>
  <si>
    <t>BOYohB224</t>
  </si>
  <si>
    <t>BOYohBr</t>
  </si>
  <si>
    <t>QUAohBo</t>
  </si>
  <si>
    <t>HAAun</t>
  </si>
  <si>
    <t>HAAob</t>
  </si>
  <si>
    <t>BOYohSp</t>
  </si>
  <si>
    <t>BOYuhSp</t>
  </si>
  <si>
    <t>BOYuhHa</t>
  </si>
  <si>
    <t>BOYohKi</t>
  </si>
  <si>
    <t>BRAohBo</t>
  </si>
  <si>
    <t>SCHohVo</t>
  </si>
  <si>
    <t>BOYkl</t>
  </si>
  <si>
    <t>BRAob</t>
  </si>
  <si>
    <t>KIRob</t>
  </si>
  <si>
    <t>KIRun</t>
  </si>
  <si>
    <t>x (70%)</t>
  </si>
  <si>
    <t>x (80%)</t>
  </si>
  <si>
    <t>x (50%)</t>
  </si>
  <si>
    <t>x (40%)</t>
  </si>
  <si>
    <t>FPOM auf Sand</t>
  </si>
  <si>
    <t>FPOM auf CPOM</t>
  </si>
  <si>
    <t>Steinschüttung unter Argyllal, FPOM auf Argyllal</t>
  </si>
  <si>
    <t>Psammal mit FPOM</t>
  </si>
  <si>
    <t xml:space="preserve">Makro- und Mikrolthal als Technolithal 1 </t>
  </si>
  <si>
    <t>Akal mit Mikrolithal</t>
  </si>
  <si>
    <t>Technolithal 1 als Mesolithal</t>
  </si>
  <si>
    <t>Mesolithal als Technoverbau</t>
  </si>
  <si>
    <t>Meso- und Mikrolithal als Technolithal 1</t>
  </si>
  <si>
    <t>Algen auf Technolithal</t>
  </si>
  <si>
    <t>Mesolithal als Technolithal</t>
  </si>
  <si>
    <t>4x Cordulegaster</t>
  </si>
  <si>
    <t>keine Stichlinge</t>
  </si>
  <si>
    <t>Stichlinge</t>
  </si>
  <si>
    <t>1x Cordulegaster Sp.</t>
  </si>
  <si>
    <t>25x Sphaerium</t>
  </si>
  <si>
    <t>.</t>
  </si>
  <si>
    <t>LIEohBo</t>
  </si>
  <si>
    <t>------- not assessed -------</t>
  </si>
  <si>
    <t>date | 2021</t>
  </si>
  <si>
    <t>date | 2022</t>
  </si>
  <si>
    <t>x = share below 5%</t>
  </si>
  <si>
    <t>date | 2024</t>
  </si>
  <si>
    <t>date | 2023</t>
  </si>
  <si>
    <t>yyyy-mm-dd</t>
  </si>
  <si>
    <t>4 sticklebacks</t>
  </si>
  <si>
    <t>3 sticklebacks, 2 Calopteryx sp.</t>
  </si>
  <si>
    <t>mesolithal as technolithal</t>
  </si>
  <si>
    <t xml:space="preserve">3 sticklebacks </t>
  </si>
  <si>
    <t>technolithals as mesolithal</t>
  </si>
  <si>
    <t>2 sticklebacks, 1 bullhead</t>
  </si>
  <si>
    <t>3 sticklebacks</t>
  </si>
  <si>
    <t>3 sticklenacks, 1 bullhead</t>
  </si>
  <si>
    <t>FPOM above dam, 1 psammal sample with mesolithal above</t>
  </si>
  <si>
    <t>2 alkal samples especially fine</t>
  </si>
  <si>
    <t>8 sticklebacks</t>
  </si>
  <si>
    <t>3 stickleback, 1 Cordulegaster</t>
  </si>
  <si>
    <t>3 sticklebacks, 20 Potamopygrus</t>
  </si>
  <si>
    <t>11 sticklebacks, 10 Potamopygrus</t>
  </si>
  <si>
    <t>1 stickleback</t>
  </si>
  <si>
    <t>Psammal samples with FPOM</t>
  </si>
  <si>
    <t>20 sticklebacks</t>
  </si>
  <si>
    <t>occasionally mirkrolithal below CPOM</t>
  </si>
  <si>
    <t>1 stickleback, 1 Cordulegaster</t>
  </si>
  <si>
    <t>B_NATob</t>
  </si>
  <si>
    <t>B_VORmi</t>
  </si>
  <si>
    <t>B_VORob</t>
  </si>
  <si>
    <t>B_WITun</t>
  </si>
  <si>
    <t>information about habitats below 5% is missing</t>
  </si>
  <si>
    <t>date | 2025</t>
  </si>
  <si>
    <t>CPOM/FPOM auf Sand; 42 cm WS3,8 cm WS; CPOM/FPOM vermischt</t>
  </si>
  <si>
    <t>Techno = Meso, Mikro; 34,4 cm WS</t>
  </si>
  <si>
    <t>Makro = Techno; 15 cm WS</t>
  </si>
  <si>
    <t>Meso = Techno</t>
  </si>
  <si>
    <t>Techno = Makro, Meso, Mikro; 34,4 cm WS</t>
  </si>
  <si>
    <t>12,7 cm WS; Techno = Meso; FPOM auf Sand</t>
  </si>
  <si>
    <t>13 cm WS</t>
  </si>
  <si>
    <t>6,2 cm WS; FPOM auf Sand</t>
  </si>
  <si>
    <t>CPOM auf Sand</t>
  </si>
  <si>
    <t>2,5 cm WS; Techno = Meso; Akal = Kalksinter</t>
  </si>
  <si>
    <t>VORuhSc</t>
  </si>
  <si>
    <t>meso = techno</t>
  </si>
  <si>
    <t>3,8 cm WS</t>
  </si>
  <si>
    <t>------- not sampled 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</si>
</sst>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Calibri"/>
      <family val="2"/>
      <scheme val="minor"/>
    </font>
    <font>
      <sz val="11"/>
      <color rgb="FF806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CCFF"/>
        <bgColor rgb="FFFFCCFF"/>
      </patternFill>
    </fill>
    <fill>
      <patternFill patternType="solid">
        <fgColor theme="2"/>
        <bgColor theme="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7" fillId="0" borderId="0" xfId="0" applyFont="1"/>
    <xf numFmtId="0" fontId="8" fillId="0" borderId="1" xfId="0" applyFont="1" applyBorder="1"/>
    <xf numFmtId="0" fontId="3" fillId="6" borderId="1" xfId="0" applyFont="1" applyFill="1" applyBorder="1" applyAlignment="1">
      <alignment horizontal="center"/>
    </xf>
    <xf numFmtId="0" fontId="4" fillId="0" borderId="1" xfId="0" applyFont="1" applyFill="1" applyBorder="1"/>
    <xf numFmtId="164" fontId="2" fillId="0" borderId="1" xfId="0" applyNumberFormat="1" applyFont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0" borderId="1" xfId="0" applyFont="1" applyBorder="1"/>
    <xf numFmtId="164" fontId="9" fillId="0" borderId="1" xfId="0" applyNumberFormat="1" applyFont="1" applyBorder="1"/>
    <xf numFmtId="0" fontId="4" fillId="7" borderId="1" xfId="0" applyFont="1" applyFill="1" applyBorder="1"/>
    <xf numFmtId="0" fontId="6" fillId="2" borderId="1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49" fontId="3" fillId="5" borderId="6" xfId="0" applyNumberFormat="1" applyFont="1" applyFill="1" applyBorder="1" applyAlignment="1">
      <alignment horizontal="center"/>
    </xf>
    <xf numFmtId="49" fontId="3" fillId="6" borderId="4" xfId="0" applyNumberFormat="1" applyFont="1" applyFill="1" applyBorder="1" applyAlignment="1">
      <alignment horizontal="center"/>
    </xf>
    <xf numFmtId="49" fontId="3" fillId="6" borderId="5" xfId="0" applyNumberFormat="1" applyFont="1" applyFill="1" applyBorder="1" applyAlignment="1">
      <alignment horizontal="center"/>
    </xf>
    <xf numFmtId="49" fontId="3" fillId="6" borderId="6" xfId="0" applyNumberFormat="1" applyFont="1" applyFill="1" applyBorder="1" applyAlignment="1">
      <alignment horizontal="center"/>
    </xf>
  </cellXfs>
  <cellStyles count="2">
    <cellStyle name="Standard" xfId="0" builtinId="0"/>
    <cellStyle name="Standard_Tabelle1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baseColWidth="10" defaultRowHeight="15" x14ac:dyDescent="0.25"/>
  <cols>
    <col min="1" max="1" width="1.7109375" style="8" customWidth="1"/>
    <col min="2" max="2" width="10.7109375" style="8" customWidth="1"/>
    <col min="3" max="3" width="11.42578125" style="8"/>
    <col min="4" max="15" width="8.7109375" style="8" customWidth="1"/>
    <col min="16" max="16" width="9.7109375" style="8" customWidth="1"/>
    <col min="17" max="22" width="8.7109375" style="8" customWidth="1"/>
    <col min="23" max="23" width="27.7109375" style="1" customWidth="1"/>
    <col min="24" max="24" width="22.7109375" style="1" customWidth="1"/>
    <col min="25" max="16384" width="11.42578125" style="8"/>
  </cols>
  <sheetData>
    <row r="1" spans="2:24" ht="9.9499999999999993" customHeight="1" x14ac:dyDescent="0.25">
      <c r="W1" s="8"/>
    </row>
    <row r="2" spans="2:24" x14ac:dyDescent="0.25">
      <c r="B2" s="7" t="s">
        <v>0</v>
      </c>
      <c r="C2" s="7" t="s">
        <v>66</v>
      </c>
      <c r="D2" s="26" t="s">
        <v>6</v>
      </c>
      <c r="E2" s="26"/>
      <c r="F2" s="26"/>
      <c r="G2" s="26"/>
      <c r="H2" s="26"/>
      <c r="I2" s="26"/>
      <c r="J2" s="26"/>
      <c r="K2" s="26"/>
      <c r="L2" s="26"/>
      <c r="M2" s="27" t="s">
        <v>7</v>
      </c>
      <c r="N2" s="28"/>
      <c r="O2" s="28"/>
      <c r="P2" s="28"/>
      <c r="Q2" s="28"/>
      <c r="R2" s="28"/>
      <c r="S2" s="28"/>
      <c r="T2" s="28"/>
      <c r="U2" s="29"/>
      <c r="V2" s="30" t="s">
        <v>8</v>
      </c>
      <c r="W2" s="2"/>
      <c r="X2" s="2"/>
    </row>
    <row r="3" spans="2:24" x14ac:dyDescent="0.25">
      <c r="B3" s="9"/>
      <c r="C3" s="14" t="s">
        <v>71</v>
      </c>
      <c r="D3" s="10" t="s">
        <v>16</v>
      </c>
      <c r="E3" s="11" t="s">
        <v>17</v>
      </c>
      <c r="F3" s="11" t="s">
        <v>18</v>
      </c>
      <c r="G3" s="11" t="s">
        <v>19</v>
      </c>
      <c r="H3" s="12" t="s">
        <v>20</v>
      </c>
      <c r="I3" s="11" t="s">
        <v>21</v>
      </c>
      <c r="J3" s="12" t="s">
        <v>22</v>
      </c>
      <c r="K3" s="11" t="s">
        <v>23</v>
      </c>
      <c r="L3" s="11" t="s">
        <v>24</v>
      </c>
      <c r="M3" s="13" t="s">
        <v>11</v>
      </c>
      <c r="N3" s="13" t="s">
        <v>1</v>
      </c>
      <c r="O3" s="13" t="s">
        <v>2</v>
      </c>
      <c r="P3" s="13" t="s">
        <v>12</v>
      </c>
      <c r="Q3" s="13" t="s">
        <v>13</v>
      </c>
      <c r="R3" s="13" t="s">
        <v>3</v>
      </c>
      <c r="S3" s="13" t="s">
        <v>4</v>
      </c>
      <c r="T3" s="13" t="s">
        <v>14</v>
      </c>
      <c r="U3" s="13" t="s">
        <v>15</v>
      </c>
      <c r="V3" s="31"/>
      <c r="W3" s="2" t="s">
        <v>9</v>
      </c>
      <c r="X3" s="2" t="s">
        <v>10</v>
      </c>
    </row>
    <row r="4" spans="2:24" x14ac:dyDescent="0.25">
      <c r="B4" s="3" t="s">
        <v>39</v>
      </c>
      <c r="C4" s="4">
        <v>44278</v>
      </c>
      <c r="D4" s="5"/>
      <c r="E4" s="5"/>
      <c r="F4" s="5"/>
      <c r="G4" s="5"/>
      <c r="H4" s="5">
        <v>30</v>
      </c>
      <c r="I4" s="5">
        <v>50</v>
      </c>
      <c r="J4" s="5"/>
      <c r="K4" s="5"/>
      <c r="L4" s="5"/>
      <c r="M4" s="6"/>
      <c r="N4" s="6"/>
      <c r="O4" s="6"/>
      <c r="P4" s="6"/>
      <c r="Q4" s="6"/>
      <c r="R4" s="6">
        <v>20</v>
      </c>
      <c r="S4" s="6"/>
      <c r="T4" s="6"/>
      <c r="U4" s="6"/>
      <c r="V4" s="3">
        <f t="shared" ref="V4:V16" si="0">SUM(D4:U4)</f>
        <v>100</v>
      </c>
      <c r="W4" s="2"/>
      <c r="X4" s="2" t="s">
        <v>63</v>
      </c>
    </row>
    <row r="5" spans="2:24" x14ac:dyDescent="0.25">
      <c r="B5" s="3" t="s">
        <v>28</v>
      </c>
      <c r="C5" s="4">
        <v>44309</v>
      </c>
      <c r="D5" s="5"/>
      <c r="E5" s="5"/>
      <c r="F5" s="5"/>
      <c r="G5" s="5"/>
      <c r="H5" s="5">
        <v>30</v>
      </c>
      <c r="I5" s="5">
        <v>50</v>
      </c>
      <c r="J5" s="5"/>
      <c r="K5" s="5"/>
      <c r="L5" s="5"/>
      <c r="M5" s="6"/>
      <c r="N5" s="6">
        <v>15</v>
      </c>
      <c r="O5" s="6"/>
      <c r="P5" s="6">
        <v>5</v>
      </c>
      <c r="Q5" s="6"/>
      <c r="R5" s="6"/>
      <c r="S5" s="6" t="s">
        <v>45</v>
      </c>
      <c r="T5" s="6"/>
      <c r="U5" s="6"/>
      <c r="V5" s="3">
        <f t="shared" si="0"/>
        <v>100</v>
      </c>
      <c r="W5" s="2" t="s">
        <v>47</v>
      </c>
      <c r="X5" s="2" t="s">
        <v>63</v>
      </c>
    </row>
    <row r="6" spans="2:24" x14ac:dyDescent="0.25">
      <c r="B6" s="3" t="s">
        <v>29</v>
      </c>
      <c r="C6" s="4">
        <v>44281</v>
      </c>
      <c r="D6" s="5"/>
      <c r="E6" s="5" t="s">
        <v>5</v>
      </c>
      <c r="F6" s="5"/>
      <c r="G6" s="5">
        <v>35</v>
      </c>
      <c r="H6" s="5">
        <v>5</v>
      </c>
      <c r="I6" s="5">
        <v>50</v>
      </c>
      <c r="J6" s="5"/>
      <c r="K6" s="5"/>
      <c r="L6" s="5"/>
      <c r="M6" s="6"/>
      <c r="N6" s="6"/>
      <c r="O6" s="6"/>
      <c r="P6" s="6"/>
      <c r="Q6" s="6">
        <v>10</v>
      </c>
      <c r="R6" s="6" t="s">
        <v>5</v>
      </c>
      <c r="S6" s="6" t="s">
        <v>5</v>
      </c>
      <c r="T6" s="6"/>
      <c r="U6" s="6"/>
      <c r="V6" s="3">
        <f t="shared" si="0"/>
        <v>100</v>
      </c>
      <c r="W6" s="2" t="s">
        <v>51</v>
      </c>
      <c r="X6" s="2" t="s">
        <v>63</v>
      </c>
    </row>
    <row r="7" spans="2:24" x14ac:dyDescent="0.25">
      <c r="B7" s="3" t="s">
        <v>36</v>
      </c>
      <c r="C7" s="4">
        <v>44279</v>
      </c>
      <c r="D7" s="5"/>
      <c r="E7" s="5"/>
      <c r="F7" s="5">
        <v>5</v>
      </c>
      <c r="G7" s="5"/>
      <c r="H7" s="5">
        <v>20</v>
      </c>
      <c r="I7" s="5">
        <v>55</v>
      </c>
      <c r="J7" s="5"/>
      <c r="K7" s="5"/>
      <c r="L7" s="5"/>
      <c r="M7" s="6" t="s">
        <v>5</v>
      </c>
      <c r="N7" s="6">
        <v>20</v>
      </c>
      <c r="O7" s="6" t="s">
        <v>5</v>
      </c>
      <c r="P7" s="6" t="s">
        <v>5</v>
      </c>
      <c r="Q7" s="6"/>
      <c r="R7" s="6" t="s">
        <v>5</v>
      </c>
      <c r="S7" s="6"/>
      <c r="T7" s="6"/>
      <c r="U7" s="6"/>
      <c r="V7" s="3">
        <f t="shared" si="0"/>
        <v>100</v>
      </c>
      <c r="W7" s="2" t="s">
        <v>57</v>
      </c>
      <c r="X7" s="2" t="s">
        <v>63</v>
      </c>
    </row>
    <row r="8" spans="2:24" x14ac:dyDescent="0.25">
      <c r="B8" s="3" t="s">
        <v>33</v>
      </c>
      <c r="C8" s="4">
        <v>44279</v>
      </c>
      <c r="D8" s="5"/>
      <c r="E8" s="5"/>
      <c r="F8" s="5">
        <v>30</v>
      </c>
      <c r="G8" s="5"/>
      <c r="H8" s="5" t="s">
        <v>5</v>
      </c>
      <c r="I8" s="5">
        <v>60</v>
      </c>
      <c r="J8" s="5"/>
      <c r="K8" s="5"/>
      <c r="L8" s="5"/>
      <c r="M8" s="6"/>
      <c r="N8" s="6"/>
      <c r="O8" s="6"/>
      <c r="P8" s="6"/>
      <c r="Q8" s="6"/>
      <c r="R8" s="6">
        <v>10</v>
      </c>
      <c r="S8" s="6"/>
      <c r="T8" s="6"/>
      <c r="U8" s="6"/>
      <c r="V8" s="3">
        <f t="shared" si="0"/>
        <v>100</v>
      </c>
      <c r="W8" s="2" t="s">
        <v>54</v>
      </c>
      <c r="X8" s="2" t="s">
        <v>63</v>
      </c>
    </row>
    <row r="9" spans="2:24" x14ac:dyDescent="0.25">
      <c r="B9" s="3" t="s">
        <v>35</v>
      </c>
      <c r="C9" s="4">
        <v>44279</v>
      </c>
      <c r="D9" s="5"/>
      <c r="E9" s="5"/>
      <c r="F9" s="5" t="s">
        <v>5</v>
      </c>
      <c r="G9" s="5" t="s">
        <v>5</v>
      </c>
      <c r="H9" s="5">
        <v>45</v>
      </c>
      <c r="I9" s="5"/>
      <c r="J9" s="5"/>
      <c r="K9" s="5"/>
      <c r="L9" s="5">
        <v>55</v>
      </c>
      <c r="M9" s="6" t="s">
        <v>43</v>
      </c>
      <c r="N9" s="6"/>
      <c r="O9" s="6"/>
      <c r="P9" s="6" t="s">
        <v>5</v>
      </c>
      <c r="Q9" s="6"/>
      <c r="R9" s="6"/>
      <c r="S9" s="6"/>
      <c r="T9" s="6"/>
      <c r="U9" s="6"/>
      <c r="V9" s="3">
        <f t="shared" si="0"/>
        <v>100</v>
      </c>
      <c r="W9" s="2" t="s">
        <v>56</v>
      </c>
      <c r="X9" s="2" t="s">
        <v>63</v>
      </c>
    </row>
    <row r="10" spans="2:24" x14ac:dyDescent="0.25">
      <c r="B10" s="3" t="s">
        <v>34</v>
      </c>
      <c r="C10" s="4">
        <v>44279</v>
      </c>
      <c r="D10" s="5"/>
      <c r="E10" s="5"/>
      <c r="F10" s="5">
        <v>5</v>
      </c>
      <c r="G10" s="5">
        <v>35</v>
      </c>
      <c r="H10" s="5"/>
      <c r="I10" s="5">
        <v>35</v>
      </c>
      <c r="J10" s="5"/>
      <c r="K10" s="5"/>
      <c r="L10" s="5"/>
      <c r="M10" s="6"/>
      <c r="N10" s="6">
        <v>10</v>
      </c>
      <c r="O10" s="6"/>
      <c r="P10" s="6">
        <v>10</v>
      </c>
      <c r="Q10" s="6"/>
      <c r="R10" s="6">
        <v>5</v>
      </c>
      <c r="S10" s="6" t="s">
        <v>5</v>
      </c>
      <c r="T10" s="6"/>
      <c r="U10" s="6"/>
      <c r="V10" s="3">
        <f t="shared" si="0"/>
        <v>100</v>
      </c>
      <c r="W10" s="2" t="s">
        <v>55</v>
      </c>
      <c r="X10" s="2" t="s">
        <v>62</v>
      </c>
    </row>
    <row r="11" spans="2:24" x14ac:dyDescent="0.25">
      <c r="B11" s="3" t="s">
        <v>40</v>
      </c>
      <c r="C11" s="4">
        <v>44278</v>
      </c>
      <c r="D11" s="5"/>
      <c r="E11" s="5"/>
      <c r="F11" s="5"/>
      <c r="G11" s="5"/>
      <c r="H11" s="5">
        <v>5</v>
      </c>
      <c r="I11" s="5">
        <v>80</v>
      </c>
      <c r="J11" s="5"/>
      <c r="K11" s="5"/>
      <c r="L11" s="5"/>
      <c r="M11" s="6"/>
      <c r="N11" s="6" t="s">
        <v>5</v>
      </c>
      <c r="O11" s="6"/>
      <c r="P11" s="6">
        <v>10</v>
      </c>
      <c r="Q11" s="6"/>
      <c r="R11" s="6">
        <v>5</v>
      </c>
      <c r="S11" s="6" t="s">
        <v>5</v>
      </c>
      <c r="T11" s="6"/>
      <c r="U11" s="6"/>
      <c r="V11" s="3">
        <f t="shared" si="0"/>
        <v>100</v>
      </c>
      <c r="W11" s="2"/>
      <c r="X11" s="2" t="s">
        <v>63</v>
      </c>
    </row>
    <row r="12" spans="2:24" x14ac:dyDescent="0.25">
      <c r="B12" s="3" t="s">
        <v>37</v>
      </c>
      <c r="C12" s="4">
        <v>44278</v>
      </c>
      <c r="D12" s="5"/>
      <c r="E12" s="5"/>
      <c r="F12" s="5"/>
      <c r="G12" s="5"/>
      <c r="H12" s="5">
        <v>5</v>
      </c>
      <c r="I12" s="5">
        <v>85</v>
      </c>
      <c r="J12" s="5"/>
      <c r="K12" s="5"/>
      <c r="L12" s="5"/>
      <c r="M12" s="6"/>
      <c r="N12" s="6" t="s">
        <v>5</v>
      </c>
      <c r="O12" s="6"/>
      <c r="P12" s="6">
        <v>10</v>
      </c>
      <c r="Q12" s="6"/>
      <c r="R12" s="6"/>
      <c r="S12" s="6"/>
      <c r="T12" s="6"/>
      <c r="U12" s="6"/>
      <c r="V12" s="3">
        <f t="shared" si="0"/>
        <v>100</v>
      </c>
      <c r="W12" s="2"/>
      <c r="X12" s="2" t="s">
        <v>63</v>
      </c>
    </row>
    <row r="13" spans="2:24" x14ac:dyDescent="0.25">
      <c r="B13" s="3" t="s">
        <v>32</v>
      </c>
      <c r="C13" s="4">
        <v>44281</v>
      </c>
      <c r="D13" s="5"/>
      <c r="E13" s="5"/>
      <c r="F13" s="5"/>
      <c r="G13" s="5"/>
      <c r="H13" s="5"/>
      <c r="I13" s="5">
        <v>40</v>
      </c>
      <c r="J13" s="5"/>
      <c r="K13" s="5">
        <v>40</v>
      </c>
      <c r="L13" s="5"/>
      <c r="M13" s="6"/>
      <c r="N13" s="6">
        <v>5</v>
      </c>
      <c r="O13" s="6"/>
      <c r="P13" s="6" t="s">
        <v>5</v>
      </c>
      <c r="Q13" s="6"/>
      <c r="R13" s="6">
        <v>15</v>
      </c>
      <c r="S13" s="6" t="s">
        <v>5</v>
      </c>
      <c r="T13" s="6"/>
      <c r="U13" s="6"/>
      <c r="V13" s="3">
        <f t="shared" si="0"/>
        <v>100</v>
      </c>
      <c r="W13" s="2" t="s">
        <v>53</v>
      </c>
      <c r="X13" s="2" t="s">
        <v>61</v>
      </c>
    </row>
    <row r="14" spans="2:24" x14ac:dyDescent="0.25">
      <c r="B14" s="3" t="s">
        <v>31</v>
      </c>
      <c r="C14" s="4">
        <v>44281</v>
      </c>
      <c r="D14" s="5"/>
      <c r="E14" s="5"/>
      <c r="F14" s="5"/>
      <c r="G14" s="5"/>
      <c r="H14" s="5" t="s">
        <v>5</v>
      </c>
      <c r="I14" s="5"/>
      <c r="J14" s="5"/>
      <c r="K14" s="5"/>
      <c r="L14" s="5"/>
      <c r="M14" s="6"/>
      <c r="N14" s="6">
        <v>90</v>
      </c>
      <c r="O14" s="6"/>
      <c r="P14" s="6">
        <v>10</v>
      </c>
      <c r="Q14" s="6"/>
      <c r="R14" s="6"/>
      <c r="S14" s="6" t="s">
        <v>5</v>
      </c>
      <c r="T14" s="6"/>
      <c r="U14" s="6"/>
      <c r="V14" s="3">
        <f t="shared" si="0"/>
        <v>100</v>
      </c>
      <c r="W14" s="2"/>
      <c r="X14" s="2" t="s">
        <v>60</v>
      </c>
    </row>
    <row r="15" spans="2:24" x14ac:dyDescent="0.25">
      <c r="B15" s="3" t="s">
        <v>41</v>
      </c>
      <c r="C15" s="4">
        <v>44277</v>
      </c>
      <c r="D15" s="5"/>
      <c r="E15" s="5"/>
      <c r="F15" s="5"/>
      <c r="G15" s="5"/>
      <c r="H15" s="5"/>
      <c r="I15" s="5">
        <v>75</v>
      </c>
      <c r="J15" s="5"/>
      <c r="K15" s="5"/>
      <c r="L15" s="5"/>
      <c r="M15" s="6"/>
      <c r="N15" s="6">
        <v>10</v>
      </c>
      <c r="O15" s="6"/>
      <c r="P15" s="6">
        <v>5</v>
      </c>
      <c r="Q15" s="6"/>
      <c r="R15" s="6">
        <v>10</v>
      </c>
      <c r="S15" s="6" t="s">
        <v>46</v>
      </c>
      <c r="T15" s="6"/>
      <c r="U15" s="6"/>
      <c r="V15" s="3">
        <f t="shared" si="0"/>
        <v>100</v>
      </c>
      <c r="W15" s="2" t="s">
        <v>47</v>
      </c>
      <c r="X15" s="2" t="s">
        <v>63</v>
      </c>
    </row>
    <row r="16" spans="2:24" x14ac:dyDescent="0.25">
      <c r="B16" s="3" t="s">
        <v>42</v>
      </c>
      <c r="C16" s="4">
        <v>44277</v>
      </c>
      <c r="D16" s="5"/>
      <c r="E16" s="5"/>
      <c r="F16" s="5"/>
      <c r="G16" s="5"/>
      <c r="H16" s="5"/>
      <c r="I16" s="5">
        <v>40</v>
      </c>
      <c r="J16" s="5"/>
      <c r="K16" s="5"/>
      <c r="L16" s="5"/>
      <c r="M16" s="6"/>
      <c r="N16" s="6">
        <v>55</v>
      </c>
      <c r="O16" s="6"/>
      <c r="P16" s="6"/>
      <c r="Q16" s="6"/>
      <c r="R16" s="6">
        <v>5</v>
      </c>
      <c r="S16" s="6" t="s">
        <v>45</v>
      </c>
      <c r="T16" s="6"/>
      <c r="U16" s="6"/>
      <c r="V16" s="3">
        <f t="shared" si="0"/>
        <v>100</v>
      </c>
      <c r="W16" s="2" t="s">
        <v>47</v>
      </c>
      <c r="X16" s="2" t="s">
        <v>63</v>
      </c>
    </row>
    <row r="17" spans="2:24" x14ac:dyDescent="0.25">
      <c r="B17" s="3" t="s">
        <v>64</v>
      </c>
      <c r="C17" s="15"/>
      <c r="D17" s="32" t="s">
        <v>65</v>
      </c>
      <c r="E17" s="33"/>
      <c r="F17" s="33"/>
      <c r="G17" s="33"/>
      <c r="H17" s="33"/>
      <c r="I17" s="33"/>
      <c r="J17" s="33"/>
      <c r="K17" s="33"/>
      <c r="L17" s="34"/>
      <c r="M17" s="35" t="s">
        <v>65</v>
      </c>
      <c r="N17" s="36"/>
      <c r="O17" s="36"/>
      <c r="P17" s="36"/>
      <c r="Q17" s="36"/>
      <c r="R17" s="36"/>
      <c r="S17" s="36"/>
      <c r="T17" s="36"/>
      <c r="U17" s="37"/>
      <c r="V17" s="25"/>
      <c r="W17" s="2"/>
      <c r="X17" s="2"/>
    </row>
    <row r="18" spans="2:24" x14ac:dyDescent="0.25">
      <c r="B18" s="3" t="s">
        <v>26</v>
      </c>
      <c r="C18" s="4">
        <v>44309</v>
      </c>
      <c r="D18" s="5"/>
      <c r="E18" s="5"/>
      <c r="F18" s="5"/>
      <c r="G18" s="5"/>
      <c r="H18" s="5"/>
      <c r="I18" s="5"/>
      <c r="J18" s="5">
        <v>100</v>
      </c>
      <c r="K18" s="5"/>
      <c r="L18" s="5"/>
      <c r="M18" s="6"/>
      <c r="N18" s="6"/>
      <c r="O18" s="6"/>
      <c r="P18" s="6"/>
      <c r="Q18" s="6"/>
      <c r="R18" s="6"/>
      <c r="S18" s="6" t="s">
        <v>5</v>
      </c>
      <c r="T18" s="6"/>
      <c r="U18" s="6"/>
      <c r="V18" s="3">
        <f t="shared" ref="V18:V23" si="1">SUM(D18:U18)</f>
        <v>100</v>
      </c>
      <c r="W18" s="2" t="s">
        <v>49</v>
      </c>
      <c r="X18" s="2" t="s">
        <v>63</v>
      </c>
    </row>
    <row r="19" spans="2:24" x14ac:dyDescent="0.25">
      <c r="B19" s="3" t="s">
        <v>30</v>
      </c>
      <c r="C19" s="4">
        <v>44281</v>
      </c>
      <c r="D19" s="5"/>
      <c r="E19" s="5"/>
      <c r="F19" s="5"/>
      <c r="G19" s="5"/>
      <c r="H19" s="5">
        <v>20</v>
      </c>
      <c r="I19" s="5">
        <v>5</v>
      </c>
      <c r="J19" s="5"/>
      <c r="K19" s="5"/>
      <c r="L19" s="5"/>
      <c r="M19" s="6"/>
      <c r="N19" s="6">
        <v>5</v>
      </c>
      <c r="O19" s="6"/>
      <c r="P19" s="6"/>
      <c r="Q19" s="6">
        <v>10</v>
      </c>
      <c r="R19" s="6">
        <v>60</v>
      </c>
      <c r="S19" s="6"/>
      <c r="T19" s="6"/>
      <c r="U19" s="6"/>
      <c r="V19" s="3">
        <f t="shared" si="1"/>
        <v>100</v>
      </c>
      <c r="W19" s="2" t="s">
        <v>52</v>
      </c>
      <c r="X19" s="2" t="s">
        <v>59</v>
      </c>
    </row>
    <row r="20" spans="2:24" x14ac:dyDescent="0.25">
      <c r="B20" s="3" t="s">
        <v>38</v>
      </c>
      <c r="C20" s="4">
        <v>44278</v>
      </c>
      <c r="D20" s="5"/>
      <c r="E20" s="5"/>
      <c r="F20" s="5"/>
      <c r="G20" s="5"/>
      <c r="H20" s="5">
        <v>15</v>
      </c>
      <c r="I20" s="5">
        <v>35</v>
      </c>
      <c r="J20" s="5"/>
      <c r="K20" s="5"/>
      <c r="L20" s="5"/>
      <c r="M20" s="6"/>
      <c r="N20" s="6"/>
      <c r="O20" s="6"/>
      <c r="P20" s="6"/>
      <c r="Q20" s="6"/>
      <c r="R20" s="6">
        <v>50</v>
      </c>
      <c r="S20" s="6"/>
      <c r="T20" s="6"/>
      <c r="U20" s="6"/>
      <c r="V20" s="3">
        <f t="shared" si="1"/>
        <v>100</v>
      </c>
      <c r="W20" s="2"/>
      <c r="X20" s="2" t="s">
        <v>63</v>
      </c>
    </row>
    <row r="21" spans="2:24" x14ac:dyDescent="0.25">
      <c r="B21" s="3" t="s">
        <v>25</v>
      </c>
      <c r="C21" s="4">
        <v>44285</v>
      </c>
      <c r="D21" s="5"/>
      <c r="E21" s="5"/>
      <c r="F21" s="5"/>
      <c r="G21" s="5"/>
      <c r="H21" s="5"/>
      <c r="I21" s="5" t="s">
        <v>5</v>
      </c>
      <c r="J21" s="5"/>
      <c r="K21" s="5"/>
      <c r="L21" s="5"/>
      <c r="M21" s="6"/>
      <c r="N21" s="6"/>
      <c r="O21" s="6"/>
      <c r="P21" s="6"/>
      <c r="Q21" s="6"/>
      <c r="R21" s="6">
        <v>100</v>
      </c>
      <c r="S21" s="6" t="s">
        <v>44</v>
      </c>
      <c r="T21" s="6"/>
      <c r="U21" s="6"/>
      <c r="V21" s="3">
        <f t="shared" si="1"/>
        <v>100</v>
      </c>
      <c r="W21" s="2" t="s">
        <v>48</v>
      </c>
      <c r="X21" s="2" t="s">
        <v>63</v>
      </c>
    </row>
    <row r="22" spans="2:24" x14ac:dyDescent="0.25">
      <c r="B22" s="3" t="s">
        <v>107</v>
      </c>
      <c r="C22" s="4">
        <v>44285</v>
      </c>
      <c r="D22" s="5"/>
      <c r="E22" s="5"/>
      <c r="F22" s="5"/>
      <c r="G22" s="5">
        <v>40</v>
      </c>
      <c r="H22" s="5"/>
      <c r="I22" s="5">
        <v>35</v>
      </c>
      <c r="J22" s="5"/>
      <c r="K22" s="5"/>
      <c r="L22" s="5"/>
      <c r="M22" s="6"/>
      <c r="N22" s="6"/>
      <c r="O22" s="6"/>
      <c r="P22" s="6">
        <v>10</v>
      </c>
      <c r="Q22" s="6"/>
      <c r="R22" s="6">
        <v>15</v>
      </c>
      <c r="S22" s="6" t="s">
        <v>43</v>
      </c>
      <c r="T22" s="6"/>
      <c r="U22" s="6"/>
      <c r="V22" s="3">
        <f t="shared" si="1"/>
        <v>100</v>
      </c>
      <c r="W22" s="2" t="s">
        <v>47</v>
      </c>
      <c r="X22" s="2" t="s">
        <v>63</v>
      </c>
    </row>
    <row r="23" spans="2:24" x14ac:dyDescent="0.25">
      <c r="B23" s="3" t="s">
        <v>27</v>
      </c>
      <c r="C23" s="4">
        <v>44281</v>
      </c>
      <c r="D23" s="5"/>
      <c r="E23" s="5"/>
      <c r="F23" s="5"/>
      <c r="G23" s="5"/>
      <c r="H23" s="5"/>
      <c r="I23" s="5">
        <v>10</v>
      </c>
      <c r="J23" s="5"/>
      <c r="K23" s="5"/>
      <c r="L23" s="5"/>
      <c r="M23" s="6"/>
      <c r="N23" s="6"/>
      <c r="O23" s="6">
        <v>30</v>
      </c>
      <c r="P23" s="6">
        <v>10</v>
      </c>
      <c r="Q23" s="6"/>
      <c r="R23" s="6">
        <v>35</v>
      </c>
      <c r="S23" s="6">
        <v>15</v>
      </c>
      <c r="T23" s="6"/>
      <c r="U23" s="6"/>
      <c r="V23" s="3">
        <f t="shared" si="1"/>
        <v>100</v>
      </c>
      <c r="W23" s="2" t="s">
        <v>50</v>
      </c>
      <c r="X23" s="2" t="s">
        <v>58</v>
      </c>
    </row>
    <row r="24" spans="2:24" ht="5.0999999999999996" customHeight="1" x14ac:dyDescent="0.25"/>
    <row r="25" spans="2:24" x14ac:dyDescent="0.25">
      <c r="D25" s="8" t="s">
        <v>68</v>
      </c>
    </row>
  </sheetData>
  <sortState xmlns:xlrd2="http://schemas.microsoft.com/office/spreadsheetml/2017/richdata2" ref="B4:X23">
    <sortCondition ref="B4:B23"/>
  </sortState>
  <mergeCells count="5">
    <mergeCell ref="D2:L2"/>
    <mergeCell ref="M2:U2"/>
    <mergeCell ref="V2:V3"/>
    <mergeCell ref="D17:L17"/>
    <mergeCell ref="M17:U17"/>
  </mergeCells>
  <pageMargins left="0.7" right="0.7" top="0.78740157500000008" bottom="0.78740157500000008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2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baseColWidth="10" defaultRowHeight="15" x14ac:dyDescent="0.25"/>
  <cols>
    <col min="1" max="1" width="1.7109375" style="8" customWidth="1"/>
    <col min="2" max="2" width="10.7109375" style="8" customWidth="1"/>
    <col min="3" max="3" width="11.42578125" style="8"/>
    <col min="4" max="15" width="8.7109375" style="8" customWidth="1"/>
    <col min="16" max="16" width="9.7109375" style="8" customWidth="1"/>
    <col min="17" max="22" width="8.7109375" style="8" customWidth="1"/>
    <col min="23" max="23" width="27.7109375" style="1" customWidth="1"/>
    <col min="24" max="24" width="22.7109375" style="1" customWidth="1"/>
    <col min="25" max="16384" width="11.42578125" style="8"/>
  </cols>
  <sheetData>
    <row r="1" spans="2:24" ht="9.9499999999999993" customHeight="1" x14ac:dyDescent="0.25">
      <c r="W1" s="8"/>
    </row>
    <row r="2" spans="2:24" x14ac:dyDescent="0.25">
      <c r="B2" s="7" t="s">
        <v>0</v>
      </c>
      <c r="C2" s="7" t="s">
        <v>67</v>
      </c>
      <c r="D2" s="26" t="s">
        <v>6</v>
      </c>
      <c r="E2" s="26"/>
      <c r="F2" s="26"/>
      <c r="G2" s="26"/>
      <c r="H2" s="26"/>
      <c r="I2" s="26"/>
      <c r="J2" s="26"/>
      <c r="K2" s="26"/>
      <c r="L2" s="26"/>
      <c r="M2" s="27" t="s">
        <v>7</v>
      </c>
      <c r="N2" s="28"/>
      <c r="O2" s="28"/>
      <c r="P2" s="28"/>
      <c r="Q2" s="28"/>
      <c r="R2" s="28"/>
      <c r="S2" s="28"/>
      <c r="T2" s="28"/>
      <c r="U2" s="29"/>
      <c r="V2" s="30" t="s">
        <v>8</v>
      </c>
      <c r="W2" s="2"/>
      <c r="X2" s="2"/>
    </row>
    <row r="3" spans="2:24" x14ac:dyDescent="0.25">
      <c r="B3" s="9"/>
      <c r="C3" s="14" t="s">
        <v>71</v>
      </c>
      <c r="D3" s="10" t="s">
        <v>16</v>
      </c>
      <c r="E3" s="11" t="s">
        <v>17</v>
      </c>
      <c r="F3" s="11" t="s">
        <v>18</v>
      </c>
      <c r="G3" s="11" t="s">
        <v>19</v>
      </c>
      <c r="H3" s="12" t="s">
        <v>20</v>
      </c>
      <c r="I3" s="11" t="s">
        <v>21</v>
      </c>
      <c r="J3" s="12" t="s">
        <v>22</v>
      </c>
      <c r="K3" s="11" t="s">
        <v>23</v>
      </c>
      <c r="L3" s="11" t="s">
        <v>24</v>
      </c>
      <c r="M3" s="13" t="s">
        <v>11</v>
      </c>
      <c r="N3" s="13" t="s">
        <v>1</v>
      </c>
      <c r="O3" s="13" t="s">
        <v>2</v>
      </c>
      <c r="P3" s="13" t="s">
        <v>12</v>
      </c>
      <c r="Q3" s="13" t="s">
        <v>13</v>
      </c>
      <c r="R3" s="13" t="s">
        <v>3</v>
      </c>
      <c r="S3" s="13" t="s">
        <v>4</v>
      </c>
      <c r="T3" s="13" t="s">
        <v>14</v>
      </c>
      <c r="U3" s="13" t="s">
        <v>15</v>
      </c>
      <c r="V3" s="31"/>
      <c r="W3" s="2" t="s">
        <v>9</v>
      </c>
      <c r="X3" s="2" t="s">
        <v>10</v>
      </c>
    </row>
    <row r="4" spans="2:24" x14ac:dyDescent="0.25">
      <c r="B4" s="3" t="s">
        <v>39</v>
      </c>
      <c r="C4" s="4">
        <v>44642</v>
      </c>
      <c r="D4" s="5"/>
      <c r="E4" s="5"/>
      <c r="F4" s="5">
        <v>5</v>
      </c>
      <c r="G4" s="5"/>
      <c r="H4" s="5">
        <v>10</v>
      </c>
      <c r="I4" s="5">
        <v>40</v>
      </c>
      <c r="J4" s="5"/>
      <c r="K4" s="5"/>
      <c r="L4" s="5"/>
      <c r="M4" s="6"/>
      <c r="N4" s="6"/>
      <c r="O4" s="6"/>
      <c r="P4" s="6"/>
      <c r="Q4" s="6">
        <v>10</v>
      </c>
      <c r="R4" s="6">
        <v>35</v>
      </c>
      <c r="S4" s="6"/>
      <c r="T4" s="6"/>
      <c r="U4" s="6"/>
      <c r="V4" s="3">
        <f t="shared" ref="V4:V12" si="0">SUM(D4:U4)</f>
        <v>100</v>
      </c>
      <c r="W4" s="2"/>
      <c r="X4" s="2" t="s">
        <v>72</v>
      </c>
    </row>
    <row r="5" spans="2:24" x14ac:dyDescent="0.25">
      <c r="B5" s="3" t="s">
        <v>28</v>
      </c>
      <c r="C5" s="4">
        <v>44643</v>
      </c>
      <c r="D5" s="5"/>
      <c r="E5" s="5"/>
      <c r="F5" s="5"/>
      <c r="G5" s="5"/>
      <c r="H5" s="5">
        <v>30</v>
      </c>
      <c r="I5" s="5">
        <v>45</v>
      </c>
      <c r="J5" s="5"/>
      <c r="K5" s="5"/>
      <c r="L5" s="5"/>
      <c r="M5" s="6"/>
      <c r="N5" s="6">
        <v>15</v>
      </c>
      <c r="O5" s="6"/>
      <c r="P5" s="6">
        <v>5</v>
      </c>
      <c r="Q5" s="6"/>
      <c r="R5" s="6">
        <v>5</v>
      </c>
      <c r="S5" s="6"/>
      <c r="T5" s="6"/>
      <c r="U5" s="6"/>
      <c r="V5" s="3">
        <f t="shared" si="0"/>
        <v>100</v>
      </c>
      <c r="W5" s="2"/>
      <c r="X5" s="2" t="s">
        <v>73</v>
      </c>
    </row>
    <row r="6" spans="2:24" x14ac:dyDescent="0.25">
      <c r="B6" s="3" t="s">
        <v>29</v>
      </c>
      <c r="C6" s="4">
        <v>44642</v>
      </c>
      <c r="D6" s="5"/>
      <c r="E6" s="5">
        <v>5</v>
      </c>
      <c r="F6" s="5">
        <v>30</v>
      </c>
      <c r="G6" s="5">
        <v>5</v>
      </c>
      <c r="H6" s="5">
        <v>10</v>
      </c>
      <c r="I6" s="5">
        <v>30</v>
      </c>
      <c r="J6" s="5"/>
      <c r="K6" s="5"/>
      <c r="L6" s="5"/>
      <c r="M6" s="6"/>
      <c r="N6" s="6" t="s">
        <v>5</v>
      </c>
      <c r="O6" s="6"/>
      <c r="P6" s="6"/>
      <c r="Q6" s="6">
        <v>15</v>
      </c>
      <c r="R6" s="6">
        <v>5</v>
      </c>
      <c r="S6" s="6"/>
      <c r="T6" s="6"/>
      <c r="U6" s="6"/>
      <c r="V6" s="3">
        <f t="shared" si="0"/>
        <v>100</v>
      </c>
      <c r="W6" s="2" t="s">
        <v>74</v>
      </c>
      <c r="X6" s="2" t="s">
        <v>75</v>
      </c>
    </row>
    <row r="7" spans="2:24" x14ac:dyDescent="0.25">
      <c r="B7" s="3" t="s">
        <v>36</v>
      </c>
      <c r="C7" s="4">
        <v>44644</v>
      </c>
      <c r="D7" s="5"/>
      <c r="E7" s="5"/>
      <c r="F7" s="5"/>
      <c r="G7" s="5"/>
      <c r="H7" s="5">
        <v>50</v>
      </c>
      <c r="I7" s="5">
        <v>30</v>
      </c>
      <c r="J7" s="5"/>
      <c r="K7" s="5">
        <v>10</v>
      </c>
      <c r="L7" s="5"/>
      <c r="M7" s="6"/>
      <c r="N7" s="6" t="s">
        <v>5</v>
      </c>
      <c r="O7" s="6" t="s">
        <v>5</v>
      </c>
      <c r="P7" s="6">
        <v>10</v>
      </c>
      <c r="Q7" s="6"/>
      <c r="R7" s="6" t="s">
        <v>5</v>
      </c>
      <c r="S7" s="6" t="s">
        <v>5</v>
      </c>
      <c r="T7" s="6"/>
      <c r="U7" s="6"/>
      <c r="V7" s="3">
        <f t="shared" si="0"/>
        <v>100</v>
      </c>
      <c r="W7" s="2" t="s">
        <v>76</v>
      </c>
      <c r="X7" s="2"/>
    </row>
    <row r="8" spans="2:24" x14ac:dyDescent="0.25">
      <c r="B8" s="3" t="s">
        <v>33</v>
      </c>
      <c r="C8" s="4">
        <v>44643</v>
      </c>
      <c r="D8" s="5"/>
      <c r="E8" s="5">
        <v>5</v>
      </c>
      <c r="F8" s="5">
        <v>25</v>
      </c>
      <c r="G8" s="5"/>
      <c r="H8" s="5">
        <v>5</v>
      </c>
      <c r="I8" s="5">
        <v>50</v>
      </c>
      <c r="J8" s="5"/>
      <c r="K8" s="5"/>
      <c r="L8" s="5"/>
      <c r="M8" s="6"/>
      <c r="N8" s="6"/>
      <c r="O8" s="6"/>
      <c r="P8" s="6" t="s">
        <v>5</v>
      </c>
      <c r="Q8" s="6">
        <v>10</v>
      </c>
      <c r="R8" s="6">
        <v>5</v>
      </c>
      <c r="S8" s="6"/>
      <c r="T8" s="6"/>
      <c r="U8" s="6"/>
      <c r="V8" s="3">
        <f t="shared" si="0"/>
        <v>100</v>
      </c>
      <c r="W8" s="2"/>
      <c r="X8" s="2" t="s">
        <v>77</v>
      </c>
    </row>
    <row r="9" spans="2:24" x14ac:dyDescent="0.25">
      <c r="B9" s="3" t="s">
        <v>35</v>
      </c>
      <c r="C9" s="4">
        <v>44644</v>
      </c>
      <c r="D9" s="5"/>
      <c r="E9" s="5"/>
      <c r="F9" s="5"/>
      <c r="G9" s="5"/>
      <c r="H9" s="5"/>
      <c r="I9" s="5">
        <v>70</v>
      </c>
      <c r="J9" s="5"/>
      <c r="K9" s="5"/>
      <c r="L9" s="5">
        <v>30</v>
      </c>
      <c r="M9" s="6"/>
      <c r="N9" s="6"/>
      <c r="O9" s="6"/>
      <c r="P9" s="6" t="s">
        <v>5</v>
      </c>
      <c r="Q9" s="6"/>
      <c r="R9" s="6" t="s">
        <v>5</v>
      </c>
      <c r="S9" s="6" t="s">
        <v>5</v>
      </c>
      <c r="T9" s="6"/>
      <c r="U9" s="6"/>
      <c r="V9" s="3">
        <f t="shared" si="0"/>
        <v>100</v>
      </c>
      <c r="W9" s="2"/>
      <c r="X9" s="2" t="s">
        <v>78</v>
      </c>
    </row>
    <row r="10" spans="2:24" x14ac:dyDescent="0.25">
      <c r="B10" s="3" t="s">
        <v>34</v>
      </c>
      <c r="C10" s="4">
        <v>44643</v>
      </c>
      <c r="D10" s="5"/>
      <c r="E10" s="5">
        <v>5</v>
      </c>
      <c r="F10" s="5">
        <v>10</v>
      </c>
      <c r="G10" s="5">
        <v>30</v>
      </c>
      <c r="H10" s="5"/>
      <c r="I10" s="5">
        <v>30</v>
      </c>
      <c r="J10" s="5"/>
      <c r="K10" s="5"/>
      <c r="L10" s="5"/>
      <c r="M10" s="6"/>
      <c r="N10" s="6">
        <v>10</v>
      </c>
      <c r="O10" s="6"/>
      <c r="P10" s="6">
        <v>10</v>
      </c>
      <c r="Q10" s="6" t="s">
        <v>5</v>
      </c>
      <c r="R10" s="6">
        <v>5</v>
      </c>
      <c r="S10" s="6"/>
      <c r="T10" s="6"/>
      <c r="U10" s="6"/>
      <c r="V10" s="3">
        <f t="shared" si="0"/>
        <v>100</v>
      </c>
      <c r="W10" s="2"/>
      <c r="X10" s="2" t="s">
        <v>79</v>
      </c>
    </row>
    <row r="11" spans="2:24" x14ac:dyDescent="0.25">
      <c r="B11" s="3" t="s">
        <v>40</v>
      </c>
      <c r="C11" s="4">
        <v>44642</v>
      </c>
      <c r="D11" s="5"/>
      <c r="E11" s="5"/>
      <c r="F11" s="5"/>
      <c r="G11" s="5"/>
      <c r="H11" s="5">
        <v>10</v>
      </c>
      <c r="I11" s="5">
        <v>60</v>
      </c>
      <c r="J11" s="5"/>
      <c r="K11" s="5"/>
      <c r="L11" s="5"/>
      <c r="M11" s="6"/>
      <c r="N11" s="6" t="s">
        <v>5</v>
      </c>
      <c r="O11" s="6"/>
      <c r="P11" s="6">
        <v>10</v>
      </c>
      <c r="Q11" s="6"/>
      <c r="R11" s="6">
        <v>10</v>
      </c>
      <c r="S11" s="6">
        <v>10</v>
      </c>
      <c r="T11" s="6"/>
      <c r="U11" s="6"/>
      <c r="V11" s="3">
        <f t="shared" si="0"/>
        <v>100</v>
      </c>
      <c r="W11" s="2" t="s">
        <v>80</v>
      </c>
      <c r="X11" s="2"/>
    </row>
    <row r="12" spans="2:24" x14ac:dyDescent="0.25">
      <c r="B12" s="3" t="s">
        <v>37</v>
      </c>
      <c r="C12" s="4">
        <v>44642</v>
      </c>
      <c r="D12" s="5"/>
      <c r="E12" s="5"/>
      <c r="F12" s="5"/>
      <c r="G12" s="5"/>
      <c r="H12" s="5">
        <v>15</v>
      </c>
      <c r="I12" s="5">
        <v>70</v>
      </c>
      <c r="J12" s="5"/>
      <c r="K12" s="5"/>
      <c r="L12" s="5"/>
      <c r="M12" s="6"/>
      <c r="N12" s="6"/>
      <c r="O12" s="6"/>
      <c r="P12" s="6">
        <v>10</v>
      </c>
      <c r="Q12" s="6"/>
      <c r="R12" s="6">
        <v>5</v>
      </c>
      <c r="S12" s="6"/>
      <c r="T12" s="6"/>
      <c r="U12" s="6"/>
      <c r="V12" s="3">
        <f t="shared" si="0"/>
        <v>100</v>
      </c>
      <c r="W12" s="2" t="s">
        <v>81</v>
      </c>
      <c r="X12" s="2" t="s">
        <v>82</v>
      </c>
    </row>
    <row r="13" spans="2:24" x14ac:dyDescent="0.25">
      <c r="B13" s="3" t="s">
        <v>32</v>
      </c>
      <c r="C13" s="4">
        <v>44642</v>
      </c>
      <c r="D13" s="5"/>
      <c r="E13" s="5"/>
      <c r="F13" s="5"/>
      <c r="G13" s="5"/>
      <c r="H13" s="5"/>
      <c r="I13" s="5">
        <v>40</v>
      </c>
      <c r="J13" s="5"/>
      <c r="K13" s="5">
        <v>40</v>
      </c>
      <c r="L13" s="5"/>
      <c r="M13" s="6"/>
      <c r="N13" s="6"/>
      <c r="O13" s="6"/>
      <c r="P13" s="6"/>
      <c r="Q13" s="6"/>
      <c r="R13" s="6">
        <v>20</v>
      </c>
      <c r="S13" s="6"/>
      <c r="T13" s="6"/>
      <c r="U13" s="6"/>
      <c r="V13" s="3">
        <f t="shared" ref="V13:V19" si="1">SUM(D13:U13)</f>
        <v>100</v>
      </c>
      <c r="W13" s="2"/>
      <c r="X13" s="2"/>
    </row>
    <row r="14" spans="2:24" x14ac:dyDescent="0.25">
      <c r="B14" s="3" t="s">
        <v>31</v>
      </c>
      <c r="C14" s="4">
        <v>44642</v>
      </c>
      <c r="D14" s="5"/>
      <c r="E14" s="5"/>
      <c r="F14" s="5"/>
      <c r="G14" s="5">
        <v>15</v>
      </c>
      <c r="H14" s="5"/>
      <c r="I14" s="5">
        <v>25</v>
      </c>
      <c r="J14" s="5"/>
      <c r="K14" s="5"/>
      <c r="L14" s="5"/>
      <c r="M14" s="6"/>
      <c r="N14" s="6">
        <v>50</v>
      </c>
      <c r="O14" s="6"/>
      <c r="P14" s="6">
        <v>10</v>
      </c>
      <c r="Q14" s="6"/>
      <c r="R14" s="6"/>
      <c r="S14" s="6"/>
      <c r="T14" s="6"/>
      <c r="U14" s="6"/>
      <c r="V14" s="3">
        <f t="shared" si="1"/>
        <v>100</v>
      </c>
      <c r="W14" s="2"/>
      <c r="X14" s="2" t="s">
        <v>83</v>
      </c>
    </row>
    <row r="15" spans="2:24" x14ac:dyDescent="0.25">
      <c r="B15" s="3" t="s">
        <v>41</v>
      </c>
      <c r="C15" s="4">
        <v>44641</v>
      </c>
      <c r="D15" s="5"/>
      <c r="E15" s="5"/>
      <c r="F15" s="5"/>
      <c r="G15" s="5"/>
      <c r="H15" s="5"/>
      <c r="I15" s="5">
        <v>55</v>
      </c>
      <c r="J15" s="5"/>
      <c r="K15" s="5"/>
      <c r="L15" s="5"/>
      <c r="M15" s="6"/>
      <c r="N15" s="6">
        <v>25</v>
      </c>
      <c r="O15" s="6"/>
      <c r="P15" s="6">
        <v>5</v>
      </c>
      <c r="Q15" s="6"/>
      <c r="R15" s="6">
        <v>15</v>
      </c>
      <c r="S15" s="6" t="s">
        <v>5</v>
      </c>
      <c r="T15" s="6"/>
      <c r="U15" s="6"/>
      <c r="V15" s="3">
        <f t="shared" si="1"/>
        <v>100</v>
      </c>
      <c r="W15" s="2"/>
      <c r="X15" s="2" t="s">
        <v>84</v>
      </c>
    </row>
    <row r="16" spans="2:24" x14ac:dyDescent="0.25">
      <c r="B16" s="3" t="s">
        <v>42</v>
      </c>
      <c r="C16" s="4">
        <v>44641</v>
      </c>
      <c r="D16" s="5"/>
      <c r="E16" s="5"/>
      <c r="F16" s="5"/>
      <c r="G16" s="5"/>
      <c r="H16" s="5"/>
      <c r="I16" s="5">
        <v>30</v>
      </c>
      <c r="J16" s="5"/>
      <c r="K16" s="5"/>
      <c r="L16" s="5"/>
      <c r="M16" s="6"/>
      <c r="N16" s="6">
        <v>55</v>
      </c>
      <c r="O16" s="6"/>
      <c r="P16" s="6"/>
      <c r="Q16" s="6"/>
      <c r="R16" s="6">
        <v>15</v>
      </c>
      <c r="S16" s="6" t="s">
        <v>5</v>
      </c>
      <c r="T16" s="6"/>
      <c r="U16" s="6"/>
      <c r="V16" s="3">
        <f t="shared" si="1"/>
        <v>100</v>
      </c>
      <c r="W16" s="2"/>
      <c r="X16" s="2" t="s">
        <v>85</v>
      </c>
    </row>
    <row r="17" spans="2:24" x14ac:dyDescent="0.25">
      <c r="B17" s="3" t="s">
        <v>64</v>
      </c>
      <c r="C17" s="4">
        <v>44641</v>
      </c>
      <c r="D17" s="5"/>
      <c r="E17" s="5"/>
      <c r="F17" s="5"/>
      <c r="G17" s="5"/>
      <c r="H17" s="5"/>
      <c r="I17" s="5">
        <v>20</v>
      </c>
      <c r="J17" s="5">
        <v>5</v>
      </c>
      <c r="K17" s="5"/>
      <c r="L17" s="5"/>
      <c r="M17" s="6">
        <v>10</v>
      </c>
      <c r="N17" s="6"/>
      <c r="O17" s="6">
        <v>55</v>
      </c>
      <c r="P17" s="6"/>
      <c r="Q17" s="6">
        <v>10</v>
      </c>
      <c r="R17" s="6"/>
      <c r="S17" s="6" t="s">
        <v>5</v>
      </c>
      <c r="T17" s="6"/>
      <c r="U17" s="6"/>
      <c r="V17" s="3">
        <f t="shared" si="1"/>
        <v>100</v>
      </c>
      <c r="W17" s="2"/>
      <c r="X17" s="2" t="s">
        <v>72</v>
      </c>
    </row>
    <row r="18" spans="2:24" x14ac:dyDescent="0.25">
      <c r="B18" s="3" t="s">
        <v>26</v>
      </c>
      <c r="C18" s="4">
        <v>44643</v>
      </c>
      <c r="D18" s="5"/>
      <c r="E18" s="5"/>
      <c r="F18" s="5"/>
      <c r="G18" s="5">
        <v>10</v>
      </c>
      <c r="H18" s="5">
        <v>55</v>
      </c>
      <c r="I18" s="5"/>
      <c r="J18" s="5">
        <v>30</v>
      </c>
      <c r="K18" s="5"/>
      <c r="L18" s="5"/>
      <c r="M18" s="6"/>
      <c r="N18" s="6">
        <v>5</v>
      </c>
      <c r="O18" s="6"/>
      <c r="P18" s="6"/>
      <c r="Q18" s="6"/>
      <c r="R18" s="6"/>
      <c r="S18" s="6" t="s">
        <v>5</v>
      </c>
      <c r="T18" s="6"/>
      <c r="U18" s="6"/>
      <c r="V18" s="3">
        <f t="shared" si="1"/>
        <v>100</v>
      </c>
      <c r="W18" s="2"/>
      <c r="X18" s="2" t="s">
        <v>86</v>
      </c>
    </row>
    <row r="19" spans="2:24" x14ac:dyDescent="0.25">
      <c r="B19" s="3" t="s">
        <v>30</v>
      </c>
      <c r="C19" s="4">
        <v>44643</v>
      </c>
      <c r="D19" s="5"/>
      <c r="E19" s="5"/>
      <c r="F19" s="5"/>
      <c r="G19" s="5">
        <v>5</v>
      </c>
      <c r="H19" s="5"/>
      <c r="I19" s="5">
        <v>45</v>
      </c>
      <c r="J19" s="5"/>
      <c r="K19" s="5"/>
      <c r="L19" s="5"/>
      <c r="M19" s="6"/>
      <c r="N19" s="6" t="s">
        <v>5</v>
      </c>
      <c r="O19" s="6"/>
      <c r="P19" s="6"/>
      <c r="Q19" s="6">
        <v>10</v>
      </c>
      <c r="R19" s="6">
        <v>35</v>
      </c>
      <c r="S19" s="6">
        <v>5</v>
      </c>
      <c r="T19" s="6"/>
      <c r="U19" s="6"/>
      <c r="V19" s="3">
        <f t="shared" si="1"/>
        <v>100</v>
      </c>
      <c r="W19" s="2" t="s">
        <v>87</v>
      </c>
      <c r="X19" s="2" t="s">
        <v>88</v>
      </c>
    </row>
    <row r="20" spans="2:24" x14ac:dyDescent="0.25">
      <c r="B20" s="3" t="s">
        <v>38</v>
      </c>
      <c r="C20" s="4">
        <v>44641</v>
      </c>
      <c r="D20" s="5"/>
      <c r="E20" s="5"/>
      <c r="F20" s="5"/>
      <c r="G20" s="5"/>
      <c r="H20" s="5">
        <v>5</v>
      </c>
      <c r="I20" s="5"/>
      <c r="J20" s="5">
        <v>60</v>
      </c>
      <c r="K20" s="5"/>
      <c r="L20" s="5"/>
      <c r="M20" s="6"/>
      <c r="N20" s="6"/>
      <c r="O20" s="6"/>
      <c r="P20" s="6">
        <v>5</v>
      </c>
      <c r="Q20" s="6"/>
      <c r="R20" s="6">
        <v>30</v>
      </c>
      <c r="S20" s="6"/>
      <c r="T20" s="6"/>
      <c r="U20" s="6"/>
      <c r="V20" s="3">
        <f>SUM(D20:U20)</f>
        <v>100</v>
      </c>
      <c r="W20" s="2"/>
      <c r="X20" s="2"/>
    </row>
    <row r="21" spans="2:24" x14ac:dyDescent="0.25">
      <c r="B21" s="3" t="s">
        <v>25</v>
      </c>
      <c r="C21" s="4">
        <v>44641</v>
      </c>
      <c r="D21" s="5"/>
      <c r="E21" s="5"/>
      <c r="F21" s="5"/>
      <c r="G21" s="5"/>
      <c r="H21" s="5">
        <v>5</v>
      </c>
      <c r="I21" s="5">
        <v>5</v>
      </c>
      <c r="J21" s="5">
        <v>5</v>
      </c>
      <c r="K21" s="5"/>
      <c r="L21" s="5"/>
      <c r="M21" s="6"/>
      <c r="N21" s="6"/>
      <c r="O21" s="6"/>
      <c r="P21" s="6"/>
      <c r="Q21" s="6">
        <v>5</v>
      </c>
      <c r="R21" s="6">
        <v>80</v>
      </c>
      <c r="S21" s="6"/>
      <c r="T21" s="6"/>
      <c r="U21" s="6"/>
      <c r="V21" s="3">
        <f>SUM(D21:U21)</f>
        <v>100</v>
      </c>
      <c r="W21" s="2" t="s">
        <v>89</v>
      </c>
      <c r="X21" s="2" t="s">
        <v>82</v>
      </c>
    </row>
    <row r="22" spans="2:24" x14ac:dyDescent="0.25">
      <c r="B22" s="3" t="s">
        <v>107</v>
      </c>
      <c r="C22" s="4">
        <v>44641</v>
      </c>
      <c r="D22" s="5"/>
      <c r="E22" s="5"/>
      <c r="F22" s="5"/>
      <c r="G22" s="5">
        <v>5</v>
      </c>
      <c r="H22" s="5"/>
      <c r="I22" s="5">
        <v>55</v>
      </c>
      <c r="J22" s="5"/>
      <c r="K22" s="5"/>
      <c r="L22" s="5"/>
      <c r="M22" s="6"/>
      <c r="N22" s="6">
        <v>15</v>
      </c>
      <c r="O22" s="6"/>
      <c r="P22" s="6">
        <v>15</v>
      </c>
      <c r="Q22" s="6"/>
      <c r="R22" s="6">
        <v>5</v>
      </c>
      <c r="S22" s="6">
        <v>5</v>
      </c>
      <c r="T22" s="6"/>
      <c r="U22" s="6"/>
      <c r="V22" s="3">
        <f>SUM(D22:U22)</f>
        <v>100</v>
      </c>
      <c r="W22" s="2"/>
      <c r="X22" s="2" t="s">
        <v>86</v>
      </c>
    </row>
    <row r="23" spans="2:24" x14ac:dyDescent="0.25">
      <c r="B23" s="3" t="s">
        <v>27</v>
      </c>
      <c r="C23" s="4">
        <v>44643</v>
      </c>
      <c r="D23" s="5"/>
      <c r="E23" s="5"/>
      <c r="F23" s="5"/>
      <c r="G23" s="5"/>
      <c r="H23" s="5"/>
      <c r="I23" s="5">
        <v>10</v>
      </c>
      <c r="J23" s="5"/>
      <c r="K23" s="5"/>
      <c r="L23" s="5"/>
      <c r="M23" s="6"/>
      <c r="N23" s="6"/>
      <c r="O23" s="6">
        <v>30</v>
      </c>
      <c r="P23" s="6">
        <v>10</v>
      </c>
      <c r="Q23" s="6"/>
      <c r="R23" s="6">
        <v>30</v>
      </c>
      <c r="S23" s="6">
        <v>20</v>
      </c>
      <c r="T23" s="6"/>
      <c r="U23" s="6"/>
      <c r="V23" s="3">
        <f>SUM(D23:U23)</f>
        <v>100</v>
      </c>
      <c r="W23" s="2"/>
      <c r="X23" s="2" t="s">
        <v>90</v>
      </c>
    </row>
    <row r="24" spans="2:24" ht="5.0999999999999996" customHeight="1" x14ac:dyDescent="0.25"/>
    <row r="25" spans="2:24" x14ac:dyDescent="0.25">
      <c r="D25" s="8" t="s">
        <v>68</v>
      </c>
    </row>
  </sheetData>
  <mergeCells count="3">
    <mergeCell ref="D2:L2"/>
    <mergeCell ref="M2:U2"/>
    <mergeCell ref="V2:V3"/>
  </mergeCells>
  <pageMargins left="0.7" right="0.7" top="0.78740157500000008" bottom="0.78740157500000008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baseColWidth="10" defaultRowHeight="15" x14ac:dyDescent="0.25"/>
  <cols>
    <col min="1" max="1" width="1.7109375" style="8" customWidth="1"/>
    <col min="2" max="2" width="10.7109375" style="8" customWidth="1"/>
    <col min="3" max="3" width="11.42578125" style="8"/>
    <col min="4" max="15" width="8.7109375" style="8" customWidth="1"/>
    <col min="16" max="16" width="9.7109375" style="8" customWidth="1"/>
    <col min="17" max="22" width="8.7109375" style="8" customWidth="1"/>
    <col min="23" max="23" width="27.7109375" style="1" customWidth="1"/>
    <col min="24" max="24" width="22.7109375" style="1" customWidth="1"/>
    <col min="25" max="16384" width="11.42578125" style="8"/>
  </cols>
  <sheetData>
    <row r="1" spans="2:24" ht="9.9499999999999993" customHeight="1" x14ac:dyDescent="0.25">
      <c r="W1" s="8"/>
    </row>
    <row r="2" spans="2:24" x14ac:dyDescent="0.25">
      <c r="B2" s="7" t="s">
        <v>0</v>
      </c>
      <c r="C2" s="7" t="s">
        <v>70</v>
      </c>
      <c r="D2" s="26" t="s">
        <v>6</v>
      </c>
      <c r="E2" s="26"/>
      <c r="F2" s="26"/>
      <c r="G2" s="26"/>
      <c r="H2" s="26"/>
      <c r="I2" s="26"/>
      <c r="J2" s="26"/>
      <c r="K2" s="26"/>
      <c r="L2" s="26"/>
      <c r="M2" s="27" t="s">
        <v>7</v>
      </c>
      <c r="N2" s="28"/>
      <c r="O2" s="28"/>
      <c r="P2" s="28"/>
      <c r="Q2" s="28"/>
      <c r="R2" s="28"/>
      <c r="S2" s="28"/>
      <c r="T2" s="28"/>
      <c r="U2" s="29"/>
      <c r="V2" s="30" t="s">
        <v>8</v>
      </c>
      <c r="W2" s="2"/>
      <c r="X2" s="2"/>
    </row>
    <row r="3" spans="2:24" x14ac:dyDescent="0.25">
      <c r="B3" s="9"/>
      <c r="C3" s="14" t="s">
        <v>71</v>
      </c>
      <c r="D3" s="10" t="s">
        <v>16</v>
      </c>
      <c r="E3" s="11" t="s">
        <v>17</v>
      </c>
      <c r="F3" s="11" t="s">
        <v>18</v>
      </c>
      <c r="G3" s="11" t="s">
        <v>19</v>
      </c>
      <c r="H3" s="12" t="s">
        <v>20</v>
      </c>
      <c r="I3" s="11" t="s">
        <v>21</v>
      </c>
      <c r="J3" s="12" t="s">
        <v>22</v>
      </c>
      <c r="K3" s="11" t="s">
        <v>23</v>
      </c>
      <c r="L3" s="11" t="s">
        <v>24</v>
      </c>
      <c r="M3" s="13" t="s">
        <v>11</v>
      </c>
      <c r="N3" s="13" t="s">
        <v>1</v>
      </c>
      <c r="O3" s="13" t="s">
        <v>2</v>
      </c>
      <c r="P3" s="13" t="s">
        <v>12</v>
      </c>
      <c r="Q3" s="13" t="s">
        <v>13</v>
      </c>
      <c r="R3" s="13" t="s">
        <v>3</v>
      </c>
      <c r="S3" s="13" t="s">
        <v>4</v>
      </c>
      <c r="T3" s="13" t="s">
        <v>14</v>
      </c>
      <c r="U3" s="13" t="s">
        <v>15</v>
      </c>
      <c r="V3" s="31"/>
      <c r="W3" s="2" t="s">
        <v>9</v>
      </c>
      <c r="X3" s="2" t="s">
        <v>10</v>
      </c>
    </row>
    <row r="4" spans="2:24" x14ac:dyDescent="0.25">
      <c r="B4" s="3" t="s">
        <v>39</v>
      </c>
      <c r="C4" s="4">
        <v>45006</v>
      </c>
      <c r="D4" s="5"/>
      <c r="E4" s="5"/>
      <c r="F4" s="5"/>
      <c r="G4" s="5"/>
      <c r="H4" s="5">
        <v>5</v>
      </c>
      <c r="I4" s="5">
        <v>25</v>
      </c>
      <c r="J4" s="5"/>
      <c r="K4" s="5"/>
      <c r="L4" s="5"/>
      <c r="M4" s="6"/>
      <c r="N4" s="6"/>
      <c r="O4" s="6"/>
      <c r="P4" s="6">
        <v>5</v>
      </c>
      <c r="Q4" s="6"/>
      <c r="R4" s="6">
        <v>55</v>
      </c>
      <c r="S4" s="6">
        <v>10</v>
      </c>
      <c r="T4" s="6"/>
      <c r="U4" s="6"/>
      <c r="V4" s="3">
        <f t="shared" ref="V4:V19" si="0">SUM(D4:U4)</f>
        <v>100</v>
      </c>
      <c r="W4" s="2"/>
      <c r="X4" s="2"/>
    </row>
    <row r="5" spans="2:24" x14ac:dyDescent="0.25">
      <c r="B5" s="3" t="s">
        <v>28</v>
      </c>
      <c r="C5" s="4">
        <v>45008</v>
      </c>
      <c r="D5" s="5"/>
      <c r="E5" s="5"/>
      <c r="F5" s="5"/>
      <c r="G5" s="5"/>
      <c r="H5" s="5">
        <v>15</v>
      </c>
      <c r="I5" s="5">
        <v>55</v>
      </c>
      <c r="J5" s="5"/>
      <c r="K5" s="5"/>
      <c r="L5" s="5"/>
      <c r="M5" s="6"/>
      <c r="N5" s="6">
        <v>10</v>
      </c>
      <c r="O5" s="6"/>
      <c r="P5" s="6">
        <v>20</v>
      </c>
      <c r="Q5" s="6"/>
      <c r="R5" s="6"/>
      <c r="S5" s="6"/>
      <c r="T5" s="6"/>
      <c r="U5" s="6"/>
      <c r="V5" s="3">
        <f t="shared" si="0"/>
        <v>100</v>
      </c>
      <c r="W5" s="2"/>
      <c r="X5" s="2"/>
    </row>
    <row r="6" spans="2:24" x14ac:dyDescent="0.25">
      <c r="B6" s="3" t="s">
        <v>29</v>
      </c>
      <c r="C6" s="4">
        <v>45007</v>
      </c>
      <c r="D6" s="5"/>
      <c r="E6" s="5"/>
      <c r="F6" s="5">
        <v>50</v>
      </c>
      <c r="G6" s="5"/>
      <c r="H6" s="5">
        <v>5</v>
      </c>
      <c r="I6" s="5">
        <v>35</v>
      </c>
      <c r="J6" s="5"/>
      <c r="K6" s="5"/>
      <c r="L6" s="5"/>
      <c r="M6" s="6"/>
      <c r="N6" s="6"/>
      <c r="O6" s="6"/>
      <c r="P6" s="6">
        <v>10</v>
      </c>
      <c r="Q6" s="6"/>
      <c r="R6" s="6"/>
      <c r="S6" s="6"/>
      <c r="T6" s="6"/>
      <c r="U6" s="6"/>
      <c r="V6" s="3">
        <f t="shared" si="0"/>
        <v>100</v>
      </c>
      <c r="W6" s="2"/>
      <c r="X6" s="2"/>
    </row>
    <row r="7" spans="2:24" x14ac:dyDescent="0.25">
      <c r="B7" s="3" t="s">
        <v>36</v>
      </c>
      <c r="C7" s="4">
        <v>45007</v>
      </c>
      <c r="D7" s="5"/>
      <c r="E7" s="5"/>
      <c r="F7" s="5">
        <v>15</v>
      </c>
      <c r="G7" s="5">
        <v>15</v>
      </c>
      <c r="H7" s="5">
        <v>50</v>
      </c>
      <c r="I7" s="5">
        <v>5</v>
      </c>
      <c r="J7" s="5"/>
      <c r="K7" s="5"/>
      <c r="L7" s="5"/>
      <c r="M7" s="6"/>
      <c r="N7" s="6">
        <v>5</v>
      </c>
      <c r="O7" s="6"/>
      <c r="P7" s="6">
        <v>10</v>
      </c>
      <c r="Q7" s="6"/>
      <c r="R7" s="6"/>
      <c r="S7" s="6"/>
      <c r="T7" s="6"/>
      <c r="U7" s="6"/>
      <c r="V7" s="3">
        <f t="shared" si="0"/>
        <v>100</v>
      </c>
      <c r="W7" s="2"/>
      <c r="X7" s="2"/>
    </row>
    <row r="8" spans="2:24" x14ac:dyDescent="0.25">
      <c r="B8" s="3" t="s">
        <v>33</v>
      </c>
      <c r="C8" s="4">
        <v>45007</v>
      </c>
      <c r="D8" s="5"/>
      <c r="E8" s="5">
        <v>20</v>
      </c>
      <c r="F8" s="5">
        <v>20</v>
      </c>
      <c r="G8" s="5"/>
      <c r="H8" s="5">
        <v>25</v>
      </c>
      <c r="I8" s="5">
        <v>15</v>
      </c>
      <c r="J8" s="5"/>
      <c r="K8" s="5"/>
      <c r="L8" s="5"/>
      <c r="M8" s="6"/>
      <c r="N8" s="6"/>
      <c r="O8" s="6">
        <v>5</v>
      </c>
      <c r="P8" s="6"/>
      <c r="Q8" s="6"/>
      <c r="R8" s="6">
        <v>10</v>
      </c>
      <c r="S8" s="6">
        <v>5</v>
      </c>
      <c r="T8" s="6"/>
      <c r="U8" s="6"/>
      <c r="V8" s="3">
        <f t="shared" si="0"/>
        <v>100</v>
      </c>
      <c r="W8" s="2"/>
      <c r="X8" s="2"/>
    </row>
    <row r="9" spans="2:24" x14ac:dyDescent="0.25">
      <c r="B9" s="3" t="s">
        <v>35</v>
      </c>
      <c r="C9" s="4">
        <v>45008</v>
      </c>
      <c r="D9" s="5"/>
      <c r="E9" s="5"/>
      <c r="F9" s="5">
        <v>5</v>
      </c>
      <c r="G9" s="5">
        <v>30</v>
      </c>
      <c r="H9" s="5">
        <v>40</v>
      </c>
      <c r="I9" s="5"/>
      <c r="J9" s="5">
        <v>20</v>
      </c>
      <c r="K9" s="5"/>
      <c r="L9" s="5"/>
      <c r="M9" s="6"/>
      <c r="N9" s="6"/>
      <c r="O9" s="6"/>
      <c r="P9" s="6"/>
      <c r="Q9" s="6"/>
      <c r="R9" s="6"/>
      <c r="S9" s="6">
        <v>5</v>
      </c>
      <c r="T9" s="6"/>
      <c r="U9" s="6"/>
      <c r="V9" s="3">
        <f t="shared" si="0"/>
        <v>100</v>
      </c>
      <c r="W9" s="2"/>
      <c r="X9" s="2"/>
    </row>
    <row r="10" spans="2:24" x14ac:dyDescent="0.25">
      <c r="B10" s="3" t="s">
        <v>34</v>
      </c>
      <c r="C10" s="4">
        <v>45007</v>
      </c>
      <c r="D10" s="5"/>
      <c r="E10" s="5">
        <v>10</v>
      </c>
      <c r="F10" s="5">
        <v>20</v>
      </c>
      <c r="G10" s="5">
        <v>15</v>
      </c>
      <c r="H10" s="5">
        <v>15</v>
      </c>
      <c r="I10" s="5">
        <v>15</v>
      </c>
      <c r="J10" s="5"/>
      <c r="K10" s="5"/>
      <c r="L10" s="5"/>
      <c r="M10" s="6"/>
      <c r="N10" s="6">
        <v>15</v>
      </c>
      <c r="O10" s="6"/>
      <c r="P10" s="6">
        <v>5</v>
      </c>
      <c r="Q10" s="6"/>
      <c r="R10" s="6">
        <v>5</v>
      </c>
      <c r="S10" s="6"/>
      <c r="T10" s="6"/>
      <c r="U10" s="6"/>
      <c r="V10" s="3">
        <f t="shared" si="0"/>
        <v>100</v>
      </c>
      <c r="W10" s="2"/>
      <c r="X10" s="2"/>
    </row>
    <row r="11" spans="2:24" x14ac:dyDescent="0.25">
      <c r="B11" s="3" t="s">
        <v>40</v>
      </c>
      <c r="C11" s="4">
        <v>45006</v>
      </c>
      <c r="D11" s="5"/>
      <c r="E11" s="5"/>
      <c r="F11" s="5"/>
      <c r="G11" s="5"/>
      <c r="H11" s="5">
        <v>5</v>
      </c>
      <c r="I11" s="5">
        <v>60</v>
      </c>
      <c r="J11" s="5"/>
      <c r="K11" s="5"/>
      <c r="L11" s="5"/>
      <c r="M11" s="6"/>
      <c r="N11" s="6"/>
      <c r="O11" s="6"/>
      <c r="P11" s="6">
        <v>5</v>
      </c>
      <c r="Q11" s="6">
        <v>5</v>
      </c>
      <c r="R11" s="6">
        <v>5</v>
      </c>
      <c r="S11" s="6">
        <v>20</v>
      </c>
      <c r="T11" s="6"/>
      <c r="U11" s="6"/>
      <c r="V11" s="3">
        <f t="shared" si="0"/>
        <v>100</v>
      </c>
      <c r="W11" s="2"/>
      <c r="X11" s="2"/>
    </row>
    <row r="12" spans="2:24" x14ac:dyDescent="0.25">
      <c r="B12" s="3" t="s">
        <v>37</v>
      </c>
      <c r="C12" s="4">
        <v>45006</v>
      </c>
      <c r="D12" s="5"/>
      <c r="E12" s="5"/>
      <c r="F12" s="5"/>
      <c r="G12" s="5"/>
      <c r="H12" s="5">
        <v>5</v>
      </c>
      <c r="I12" s="5">
        <v>60</v>
      </c>
      <c r="J12" s="5"/>
      <c r="K12" s="5"/>
      <c r="L12" s="5"/>
      <c r="M12" s="6"/>
      <c r="N12" s="6"/>
      <c r="O12" s="6"/>
      <c r="P12" s="6">
        <v>5</v>
      </c>
      <c r="Q12" s="6">
        <v>5</v>
      </c>
      <c r="R12" s="6">
        <v>5</v>
      </c>
      <c r="S12" s="6">
        <v>20</v>
      </c>
      <c r="T12" s="6"/>
      <c r="U12" s="6"/>
      <c r="V12" s="3">
        <f t="shared" si="0"/>
        <v>100</v>
      </c>
      <c r="W12" s="2"/>
      <c r="X12" s="2"/>
    </row>
    <row r="13" spans="2:24" x14ac:dyDescent="0.25">
      <c r="B13" s="3" t="s">
        <v>32</v>
      </c>
      <c r="C13" s="4">
        <v>45008</v>
      </c>
      <c r="D13" s="5"/>
      <c r="E13" s="5"/>
      <c r="F13" s="5">
        <v>25</v>
      </c>
      <c r="G13" s="5">
        <v>15</v>
      </c>
      <c r="H13" s="5"/>
      <c r="I13" s="5"/>
      <c r="J13" s="5">
        <v>25</v>
      </c>
      <c r="K13" s="5"/>
      <c r="L13" s="5"/>
      <c r="M13" s="6"/>
      <c r="N13" s="6"/>
      <c r="O13" s="6"/>
      <c r="P13" s="6">
        <v>10</v>
      </c>
      <c r="Q13" s="6"/>
      <c r="R13" s="6">
        <v>20</v>
      </c>
      <c r="S13" s="6">
        <v>5</v>
      </c>
      <c r="T13" s="6"/>
      <c r="U13" s="6"/>
      <c r="V13" s="3">
        <f t="shared" si="0"/>
        <v>100</v>
      </c>
      <c r="W13" s="2"/>
      <c r="X13" s="2"/>
    </row>
    <row r="14" spans="2:24" x14ac:dyDescent="0.25">
      <c r="B14" s="3" t="s">
        <v>31</v>
      </c>
      <c r="C14" s="4">
        <v>45008</v>
      </c>
      <c r="D14" s="5"/>
      <c r="E14" s="5"/>
      <c r="F14" s="5">
        <v>5</v>
      </c>
      <c r="G14" s="5">
        <v>15</v>
      </c>
      <c r="H14" s="5">
        <v>15</v>
      </c>
      <c r="I14" s="5"/>
      <c r="J14" s="5">
        <v>5</v>
      </c>
      <c r="K14" s="5"/>
      <c r="L14" s="5"/>
      <c r="M14" s="6"/>
      <c r="N14" s="6">
        <v>25</v>
      </c>
      <c r="O14" s="6"/>
      <c r="P14" s="6">
        <v>30</v>
      </c>
      <c r="Q14" s="6"/>
      <c r="R14" s="6"/>
      <c r="S14" s="6">
        <v>5</v>
      </c>
      <c r="T14" s="6"/>
      <c r="U14" s="6"/>
      <c r="V14" s="3">
        <f t="shared" si="0"/>
        <v>100</v>
      </c>
      <c r="W14" s="2"/>
      <c r="X14" s="2"/>
    </row>
    <row r="15" spans="2:24" x14ac:dyDescent="0.25">
      <c r="B15" s="3" t="s">
        <v>41</v>
      </c>
      <c r="C15" s="4">
        <v>45005</v>
      </c>
      <c r="D15" s="5"/>
      <c r="E15" s="5"/>
      <c r="F15" s="5"/>
      <c r="G15" s="5"/>
      <c r="H15" s="5">
        <v>5</v>
      </c>
      <c r="I15" s="5">
        <v>10</v>
      </c>
      <c r="J15" s="5"/>
      <c r="K15" s="5"/>
      <c r="L15" s="5"/>
      <c r="M15" s="6"/>
      <c r="N15" s="6">
        <v>60</v>
      </c>
      <c r="O15" s="6"/>
      <c r="P15" s="6">
        <v>5</v>
      </c>
      <c r="Q15" s="6"/>
      <c r="R15" s="6"/>
      <c r="S15" s="6">
        <v>20</v>
      </c>
      <c r="T15" s="6"/>
      <c r="U15" s="6"/>
      <c r="V15" s="3">
        <f t="shared" si="0"/>
        <v>100</v>
      </c>
      <c r="W15" s="2"/>
      <c r="X15" s="2"/>
    </row>
    <row r="16" spans="2:24" x14ac:dyDescent="0.25">
      <c r="B16" s="3" t="s">
        <v>42</v>
      </c>
      <c r="C16" s="4">
        <v>45005</v>
      </c>
      <c r="D16" s="5"/>
      <c r="E16" s="5"/>
      <c r="F16" s="5"/>
      <c r="G16" s="5"/>
      <c r="H16" s="5"/>
      <c r="I16" s="5">
        <v>25</v>
      </c>
      <c r="J16" s="5"/>
      <c r="K16" s="5"/>
      <c r="L16" s="5"/>
      <c r="M16" s="6"/>
      <c r="N16" s="6">
        <v>55</v>
      </c>
      <c r="O16" s="6"/>
      <c r="P16" s="6"/>
      <c r="Q16" s="6"/>
      <c r="R16" s="6">
        <v>15</v>
      </c>
      <c r="S16" s="6">
        <v>5</v>
      </c>
      <c r="T16" s="6"/>
      <c r="U16" s="6"/>
      <c r="V16" s="3">
        <f t="shared" si="0"/>
        <v>100</v>
      </c>
      <c r="W16" s="2"/>
      <c r="X16" s="2"/>
    </row>
    <row r="17" spans="2:24" x14ac:dyDescent="0.25">
      <c r="B17" s="3" t="s">
        <v>64</v>
      </c>
      <c r="C17" s="4">
        <v>45008</v>
      </c>
      <c r="D17" s="5"/>
      <c r="E17" s="5"/>
      <c r="F17" s="5">
        <v>20</v>
      </c>
      <c r="G17" s="5"/>
      <c r="H17" s="5">
        <v>5</v>
      </c>
      <c r="I17" s="5"/>
      <c r="J17" s="5">
        <v>5</v>
      </c>
      <c r="K17" s="5"/>
      <c r="L17" s="5"/>
      <c r="M17" s="6">
        <v>15</v>
      </c>
      <c r="N17" s="6"/>
      <c r="O17" s="6">
        <v>45</v>
      </c>
      <c r="P17" s="6"/>
      <c r="Q17" s="6">
        <v>5</v>
      </c>
      <c r="R17" s="6"/>
      <c r="S17" s="6">
        <v>5</v>
      </c>
      <c r="T17" s="6"/>
      <c r="U17" s="6"/>
      <c r="V17" s="3">
        <f t="shared" si="0"/>
        <v>100</v>
      </c>
      <c r="W17" s="2"/>
      <c r="X17" s="2"/>
    </row>
    <row r="18" spans="2:24" x14ac:dyDescent="0.25">
      <c r="B18" s="3" t="s">
        <v>26</v>
      </c>
      <c r="C18" s="4">
        <v>45008</v>
      </c>
      <c r="D18" s="5"/>
      <c r="E18" s="5"/>
      <c r="F18" s="5"/>
      <c r="G18" s="5"/>
      <c r="H18" s="5">
        <v>5</v>
      </c>
      <c r="I18" s="5"/>
      <c r="J18" s="5">
        <v>15</v>
      </c>
      <c r="K18" s="5"/>
      <c r="L18" s="5"/>
      <c r="M18" s="6">
        <v>5</v>
      </c>
      <c r="N18" s="6">
        <v>55</v>
      </c>
      <c r="O18" s="6">
        <v>20</v>
      </c>
      <c r="P18" s="6"/>
      <c r="Q18" s="6"/>
      <c r="R18" s="6"/>
      <c r="S18" s="6"/>
      <c r="T18" s="6"/>
      <c r="U18" s="6"/>
      <c r="V18" s="3">
        <f t="shared" si="0"/>
        <v>100</v>
      </c>
      <c r="W18" s="2"/>
      <c r="X18" s="2"/>
    </row>
    <row r="19" spans="2:24" x14ac:dyDescent="0.25">
      <c r="B19" s="3" t="s">
        <v>30</v>
      </c>
      <c r="C19" s="4">
        <v>45006</v>
      </c>
      <c r="D19" s="5"/>
      <c r="E19" s="5"/>
      <c r="F19" s="5"/>
      <c r="G19" s="5">
        <v>10</v>
      </c>
      <c r="H19" s="5"/>
      <c r="I19" s="5"/>
      <c r="J19" s="5">
        <v>60</v>
      </c>
      <c r="K19" s="5"/>
      <c r="L19" s="5"/>
      <c r="M19" s="6"/>
      <c r="N19" s="6"/>
      <c r="O19" s="6"/>
      <c r="P19" s="6">
        <v>5</v>
      </c>
      <c r="Q19" s="6"/>
      <c r="R19" s="6">
        <v>25</v>
      </c>
      <c r="S19" s="6"/>
      <c r="T19" s="6"/>
      <c r="U19" s="6"/>
      <c r="V19" s="3">
        <f t="shared" si="0"/>
        <v>100</v>
      </c>
      <c r="W19" s="2"/>
      <c r="X19" s="2"/>
    </row>
    <row r="20" spans="2:24" x14ac:dyDescent="0.25">
      <c r="B20" s="3" t="s">
        <v>38</v>
      </c>
      <c r="C20" s="4">
        <v>45005</v>
      </c>
      <c r="D20" s="5"/>
      <c r="E20" s="5"/>
      <c r="F20" s="5"/>
      <c r="G20" s="5"/>
      <c r="H20" s="5">
        <v>5</v>
      </c>
      <c r="I20" s="5">
        <v>40</v>
      </c>
      <c r="J20" s="5"/>
      <c r="K20" s="5"/>
      <c r="L20" s="5"/>
      <c r="M20" s="6"/>
      <c r="N20" s="6"/>
      <c r="O20" s="6"/>
      <c r="P20" s="6"/>
      <c r="Q20" s="6">
        <v>5</v>
      </c>
      <c r="R20" s="6">
        <v>45</v>
      </c>
      <c r="S20" s="6">
        <v>5</v>
      </c>
      <c r="T20" s="6"/>
      <c r="U20" s="6"/>
      <c r="V20" s="3">
        <f>SUM(D20:U20)</f>
        <v>100</v>
      </c>
      <c r="W20" s="2"/>
      <c r="X20" s="2"/>
    </row>
    <row r="21" spans="2:24" x14ac:dyDescent="0.25">
      <c r="B21" s="3" t="s">
        <v>25</v>
      </c>
      <c r="C21" s="4">
        <v>45005</v>
      </c>
      <c r="D21" s="5"/>
      <c r="E21" s="5"/>
      <c r="F21" s="5"/>
      <c r="G21" s="5"/>
      <c r="H21" s="5"/>
      <c r="I21" s="5">
        <v>10</v>
      </c>
      <c r="J21" s="5">
        <v>5</v>
      </c>
      <c r="K21" s="5"/>
      <c r="L21" s="5"/>
      <c r="M21" s="6"/>
      <c r="N21" s="6"/>
      <c r="O21" s="6"/>
      <c r="P21" s="6"/>
      <c r="Q21" s="6">
        <v>5</v>
      </c>
      <c r="R21" s="6">
        <v>80</v>
      </c>
      <c r="S21" s="6"/>
      <c r="T21" s="6"/>
      <c r="U21" s="6"/>
      <c r="V21" s="3">
        <f>SUM(D21:U21)</f>
        <v>100</v>
      </c>
      <c r="W21" s="2"/>
      <c r="X21" s="2"/>
    </row>
    <row r="22" spans="2:24" x14ac:dyDescent="0.25">
      <c r="B22" s="3" t="s">
        <v>107</v>
      </c>
      <c r="C22" s="4">
        <v>45005</v>
      </c>
      <c r="D22" s="5"/>
      <c r="E22" s="5"/>
      <c r="F22" s="5">
        <v>5</v>
      </c>
      <c r="G22" s="5"/>
      <c r="H22" s="5">
        <v>10</v>
      </c>
      <c r="I22" s="5">
        <v>15</v>
      </c>
      <c r="J22" s="5"/>
      <c r="K22" s="5"/>
      <c r="L22" s="5"/>
      <c r="M22" s="6"/>
      <c r="N22" s="6"/>
      <c r="O22" s="6"/>
      <c r="P22" s="6">
        <v>10</v>
      </c>
      <c r="Q22" s="6"/>
      <c r="R22" s="6">
        <v>20</v>
      </c>
      <c r="S22" s="6">
        <v>40</v>
      </c>
      <c r="T22" s="6"/>
      <c r="U22" s="6"/>
      <c r="V22" s="3">
        <f>SUM(D22:U22)</f>
        <v>100</v>
      </c>
      <c r="W22" s="2"/>
      <c r="X22" s="2"/>
    </row>
    <row r="23" spans="2:24" x14ac:dyDescent="0.25">
      <c r="B23" s="3" t="s">
        <v>27</v>
      </c>
      <c r="C23" s="4">
        <v>45006</v>
      </c>
      <c r="D23" s="5"/>
      <c r="E23" s="5"/>
      <c r="F23" s="5"/>
      <c r="G23" s="5"/>
      <c r="H23" s="5"/>
      <c r="I23" s="5"/>
      <c r="J23" s="5"/>
      <c r="K23" s="5">
        <v>5</v>
      </c>
      <c r="L23" s="5">
        <v>5</v>
      </c>
      <c r="M23" s="6"/>
      <c r="N23" s="6"/>
      <c r="O23" s="6">
        <v>10</v>
      </c>
      <c r="P23" s="6">
        <v>20</v>
      </c>
      <c r="Q23" s="6"/>
      <c r="R23" s="6">
        <v>30</v>
      </c>
      <c r="S23" s="6">
        <v>30</v>
      </c>
      <c r="T23" s="6"/>
      <c r="U23" s="6"/>
      <c r="V23" s="3">
        <f>SUM(D23:U23)</f>
        <v>100</v>
      </c>
      <c r="W23" s="2"/>
      <c r="X23" s="2"/>
    </row>
    <row r="24" spans="2:24" x14ac:dyDescent="0.25">
      <c r="B24" s="23" t="s">
        <v>91</v>
      </c>
      <c r="C24" s="24">
        <v>45008</v>
      </c>
      <c r="D24" s="5"/>
      <c r="E24" s="5"/>
      <c r="F24" s="5"/>
      <c r="G24" s="5"/>
      <c r="H24" s="5"/>
      <c r="I24" s="5">
        <v>30</v>
      </c>
      <c r="J24" s="5"/>
      <c r="K24" s="5"/>
      <c r="L24" s="5"/>
      <c r="M24" s="6"/>
      <c r="N24" s="6"/>
      <c r="O24" s="6">
        <v>40</v>
      </c>
      <c r="P24" s="6"/>
      <c r="Q24" s="6"/>
      <c r="R24" s="6">
        <v>20</v>
      </c>
      <c r="S24" s="6">
        <v>10</v>
      </c>
      <c r="T24" s="6"/>
      <c r="U24" s="6"/>
      <c r="V24" s="3">
        <f t="shared" ref="V24:V27" si="1">SUM(D24:U24)</f>
        <v>100</v>
      </c>
      <c r="W24" s="2"/>
      <c r="X24" s="2"/>
    </row>
    <row r="25" spans="2:24" x14ac:dyDescent="0.25">
      <c r="B25" s="23" t="s">
        <v>92</v>
      </c>
      <c r="C25" s="24">
        <v>45005</v>
      </c>
      <c r="D25" s="5"/>
      <c r="E25" s="5"/>
      <c r="F25" s="5"/>
      <c r="G25" s="5">
        <v>15</v>
      </c>
      <c r="H25" s="5">
        <v>10</v>
      </c>
      <c r="I25" s="5">
        <v>55</v>
      </c>
      <c r="J25" s="5"/>
      <c r="K25" s="5"/>
      <c r="L25" s="5"/>
      <c r="M25" s="6"/>
      <c r="N25" s="6"/>
      <c r="O25" s="6"/>
      <c r="P25" s="6"/>
      <c r="Q25" s="6"/>
      <c r="R25" s="6">
        <v>15</v>
      </c>
      <c r="S25" s="6">
        <v>5</v>
      </c>
      <c r="T25" s="6"/>
      <c r="U25" s="6"/>
      <c r="V25" s="3">
        <f t="shared" si="1"/>
        <v>100</v>
      </c>
      <c r="W25" s="2"/>
      <c r="X25" s="2"/>
    </row>
    <row r="26" spans="2:24" x14ac:dyDescent="0.25">
      <c r="B26" s="23" t="s">
        <v>93</v>
      </c>
      <c r="C26" s="24">
        <v>45005</v>
      </c>
      <c r="D26" s="5"/>
      <c r="E26" s="5"/>
      <c r="F26" s="5"/>
      <c r="G26" s="5"/>
      <c r="H26" s="5"/>
      <c r="I26" s="5">
        <v>70</v>
      </c>
      <c r="J26" s="5"/>
      <c r="K26" s="5"/>
      <c r="L26" s="5"/>
      <c r="M26" s="6"/>
      <c r="N26" s="6"/>
      <c r="O26" s="6"/>
      <c r="P26" s="6"/>
      <c r="Q26" s="6">
        <v>5</v>
      </c>
      <c r="R26" s="6">
        <v>25</v>
      </c>
      <c r="S26" s="6"/>
      <c r="T26" s="6"/>
      <c r="U26" s="6"/>
      <c r="V26" s="3">
        <f t="shared" si="1"/>
        <v>100</v>
      </c>
      <c r="W26" s="2"/>
      <c r="X26" s="2"/>
    </row>
    <row r="27" spans="2:24" x14ac:dyDescent="0.25">
      <c r="B27" s="23" t="s">
        <v>94</v>
      </c>
      <c r="C27" s="24">
        <v>45006</v>
      </c>
      <c r="D27" s="5"/>
      <c r="E27" s="5"/>
      <c r="F27" s="5"/>
      <c r="G27" s="5"/>
      <c r="H27" s="5"/>
      <c r="I27" s="5">
        <v>65</v>
      </c>
      <c r="J27" s="5"/>
      <c r="K27" s="5"/>
      <c r="L27" s="5"/>
      <c r="M27" s="6"/>
      <c r="N27" s="6"/>
      <c r="O27" s="6">
        <v>5</v>
      </c>
      <c r="P27" s="6"/>
      <c r="Q27" s="6"/>
      <c r="R27" s="6">
        <v>30</v>
      </c>
      <c r="S27" s="6"/>
      <c r="T27" s="6"/>
      <c r="U27" s="6"/>
      <c r="V27" s="3">
        <f t="shared" si="1"/>
        <v>100</v>
      </c>
      <c r="W27" s="2"/>
      <c r="X27" s="2"/>
    </row>
    <row r="28" spans="2:24" ht="5.0999999999999996" customHeight="1" x14ac:dyDescent="0.25"/>
    <row r="29" spans="2:24" x14ac:dyDescent="0.25">
      <c r="D29" s="16" t="s">
        <v>95</v>
      </c>
    </row>
  </sheetData>
  <mergeCells count="3">
    <mergeCell ref="D2:L2"/>
    <mergeCell ref="M2:U2"/>
    <mergeCell ref="V2:V3"/>
  </mergeCells>
  <pageMargins left="0.7" right="0.7" top="0.78740157500000008" bottom="0.78740157500000008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baseColWidth="10" defaultRowHeight="15" x14ac:dyDescent="0.25"/>
  <cols>
    <col min="1" max="1" width="1.7109375" style="8" customWidth="1"/>
    <col min="2" max="2" width="10.7109375" style="8" customWidth="1"/>
    <col min="3" max="3" width="11.42578125" style="8"/>
    <col min="4" max="15" width="8.7109375" style="8" customWidth="1"/>
    <col min="16" max="16" width="9.7109375" style="8" customWidth="1"/>
    <col min="17" max="22" width="8.7109375" style="8" customWidth="1"/>
    <col min="23" max="23" width="27.7109375" style="1" customWidth="1"/>
    <col min="24" max="24" width="22.7109375" style="1" customWidth="1"/>
    <col min="25" max="16384" width="11.42578125" style="8"/>
  </cols>
  <sheetData>
    <row r="1" spans="2:24" ht="9.9499999999999993" customHeight="1" x14ac:dyDescent="0.25">
      <c r="W1" s="8"/>
    </row>
    <row r="2" spans="2:24" x14ac:dyDescent="0.25">
      <c r="B2" s="7" t="s">
        <v>0</v>
      </c>
      <c r="C2" s="7" t="s">
        <v>69</v>
      </c>
      <c r="D2" s="26" t="s">
        <v>6</v>
      </c>
      <c r="E2" s="26"/>
      <c r="F2" s="26"/>
      <c r="G2" s="26"/>
      <c r="H2" s="26"/>
      <c r="I2" s="26"/>
      <c r="J2" s="26"/>
      <c r="K2" s="26"/>
      <c r="L2" s="26"/>
      <c r="M2" s="27" t="s">
        <v>7</v>
      </c>
      <c r="N2" s="28"/>
      <c r="O2" s="28"/>
      <c r="P2" s="28"/>
      <c r="Q2" s="28"/>
      <c r="R2" s="28"/>
      <c r="S2" s="28"/>
      <c r="T2" s="28"/>
      <c r="U2" s="29"/>
      <c r="V2" s="30" t="s">
        <v>8</v>
      </c>
      <c r="W2" s="2"/>
      <c r="X2" s="2"/>
    </row>
    <row r="3" spans="2:24" x14ac:dyDescent="0.25">
      <c r="B3" s="9"/>
      <c r="C3" s="14" t="s">
        <v>71</v>
      </c>
      <c r="D3" s="10" t="s">
        <v>16</v>
      </c>
      <c r="E3" s="11" t="s">
        <v>17</v>
      </c>
      <c r="F3" s="11" t="s">
        <v>18</v>
      </c>
      <c r="G3" s="11" t="s">
        <v>19</v>
      </c>
      <c r="H3" s="12" t="s">
        <v>20</v>
      </c>
      <c r="I3" s="11" t="s">
        <v>21</v>
      </c>
      <c r="J3" s="12" t="s">
        <v>22</v>
      </c>
      <c r="K3" s="11" t="s">
        <v>23</v>
      </c>
      <c r="L3" s="11" t="s">
        <v>24</v>
      </c>
      <c r="M3" s="13" t="s">
        <v>11</v>
      </c>
      <c r="N3" s="13" t="s">
        <v>1</v>
      </c>
      <c r="O3" s="13" t="s">
        <v>2</v>
      </c>
      <c r="P3" s="13" t="s">
        <v>12</v>
      </c>
      <c r="Q3" s="13" t="s">
        <v>13</v>
      </c>
      <c r="R3" s="13" t="s">
        <v>3</v>
      </c>
      <c r="S3" s="13" t="s">
        <v>4</v>
      </c>
      <c r="T3" s="13" t="s">
        <v>14</v>
      </c>
      <c r="U3" s="13" t="s">
        <v>15</v>
      </c>
      <c r="V3" s="31"/>
      <c r="W3" s="2" t="s">
        <v>9</v>
      </c>
      <c r="X3" s="2" t="s">
        <v>10</v>
      </c>
    </row>
    <row r="4" spans="2:24" x14ac:dyDescent="0.25">
      <c r="B4" s="3" t="s">
        <v>39</v>
      </c>
      <c r="C4" s="4">
        <v>45371</v>
      </c>
      <c r="D4" s="5"/>
      <c r="E4" s="5"/>
      <c r="F4" s="5"/>
      <c r="G4" s="5"/>
      <c r="H4" s="5"/>
      <c r="I4" s="5">
        <v>65</v>
      </c>
      <c r="J4" s="5"/>
      <c r="K4" s="5"/>
      <c r="L4" s="5"/>
      <c r="M4" s="6"/>
      <c r="N4" s="6"/>
      <c r="O4" s="6"/>
      <c r="P4" s="6">
        <v>10</v>
      </c>
      <c r="Q4" s="6">
        <v>15</v>
      </c>
      <c r="R4" s="6">
        <v>10</v>
      </c>
      <c r="S4" s="6" t="s">
        <v>5</v>
      </c>
      <c r="T4" s="6"/>
      <c r="U4" s="6"/>
      <c r="V4" s="3">
        <f t="shared" ref="V4:V19" si="0">SUM(D4:U4)</f>
        <v>100</v>
      </c>
      <c r="W4" s="2"/>
      <c r="X4" s="2"/>
    </row>
    <row r="5" spans="2:24" x14ac:dyDescent="0.25">
      <c r="B5" s="3" t="s">
        <v>28</v>
      </c>
      <c r="C5" s="4">
        <v>45372</v>
      </c>
      <c r="D5" s="5"/>
      <c r="E5" s="5"/>
      <c r="F5" s="5"/>
      <c r="G5" s="5">
        <v>10</v>
      </c>
      <c r="H5" s="5">
        <v>10</v>
      </c>
      <c r="I5" s="5">
        <v>50</v>
      </c>
      <c r="J5" s="5"/>
      <c r="K5" s="5"/>
      <c r="L5" s="5"/>
      <c r="M5" s="6"/>
      <c r="N5" s="6"/>
      <c r="O5" s="6"/>
      <c r="P5" s="6">
        <v>20</v>
      </c>
      <c r="Q5" s="6"/>
      <c r="R5" s="6">
        <v>5</v>
      </c>
      <c r="S5" s="6">
        <v>5</v>
      </c>
      <c r="T5" s="6"/>
      <c r="U5" s="6"/>
      <c r="V5" s="3">
        <f t="shared" si="0"/>
        <v>100</v>
      </c>
      <c r="W5" s="2"/>
      <c r="X5" s="2"/>
    </row>
    <row r="6" spans="2:24" x14ac:dyDescent="0.25">
      <c r="B6" s="3" t="s">
        <v>29</v>
      </c>
      <c r="C6" s="4">
        <v>45371</v>
      </c>
      <c r="D6" s="5"/>
      <c r="E6" s="5"/>
      <c r="F6" s="5">
        <v>25</v>
      </c>
      <c r="G6" s="5"/>
      <c r="H6" s="5">
        <v>5</v>
      </c>
      <c r="I6" s="5">
        <v>50</v>
      </c>
      <c r="J6" s="5"/>
      <c r="K6" s="5"/>
      <c r="L6" s="5"/>
      <c r="M6" s="6" t="s">
        <v>5</v>
      </c>
      <c r="N6" s="6"/>
      <c r="O6" s="6"/>
      <c r="P6" s="6">
        <v>15</v>
      </c>
      <c r="Q6" s="6">
        <v>5</v>
      </c>
      <c r="R6" s="6"/>
      <c r="S6" s="6"/>
      <c r="T6" s="6"/>
      <c r="U6" s="6"/>
      <c r="V6" s="3">
        <f t="shared" si="0"/>
        <v>100</v>
      </c>
      <c r="W6" s="2"/>
      <c r="X6" s="2"/>
    </row>
    <row r="7" spans="2:24" x14ac:dyDescent="0.25">
      <c r="B7" s="3" t="s">
        <v>36</v>
      </c>
      <c r="C7" s="4">
        <v>45371</v>
      </c>
      <c r="D7" s="5">
        <v>10</v>
      </c>
      <c r="E7" s="5"/>
      <c r="F7" s="5">
        <v>10</v>
      </c>
      <c r="G7" s="5">
        <v>10</v>
      </c>
      <c r="H7" s="5"/>
      <c r="I7" s="5">
        <v>45</v>
      </c>
      <c r="J7" s="5"/>
      <c r="K7" s="5"/>
      <c r="L7" s="5"/>
      <c r="M7" s="6"/>
      <c r="N7" s="6"/>
      <c r="O7" s="6"/>
      <c r="P7" s="6">
        <v>20</v>
      </c>
      <c r="Q7" s="6">
        <v>5</v>
      </c>
      <c r="R7" s="6"/>
      <c r="S7" s="6"/>
      <c r="T7" s="6"/>
      <c r="U7" s="6"/>
      <c r="V7" s="3">
        <f t="shared" si="0"/>
        <v>100</v>
      </c>
      <c r="W7" s="2"/>
      <c r="X7" s="2"/>
    </row>
    <row r="8" spans="2:24" x14ac:dyDescent="0.25">
      <c r="B8" s="3" t="s">
        <v>33</v>
      </c>
      <c r="C8" s="4">
        <v>45370</v>
      </c>
      <c r="D8" s="5">
        <v>10</v>
      </c>
      <c r="E8" s="5">
        <v>35</v>
      </c>
      <c r="F8" s="5">
        <v>5</v>
      </c>
      <c r="G8" s="5"/>
      <c r="H8" s="5"/>
      <c r="I8" s="5">
        <v>25</v>
      </c>
      <c r="J8" s="5"/>
      <c r="K8" s="5"/>
      <c r="L8" s="5"/>
      <c r="M8" s="6"/>
      <c r="N8" s="6"/>
      <c r="O8" s="6"/>
      <c r="P8" s="6">
        <v>15</v>
      </c>
      <c r="Q8" s="6"/>
      <c r="R8" s="6">
        <v>10</v>
      </c>
      <c r="S8" s="6"/>
      <c r="T8" s="6"/>
      <c r="U8" s="6"/>
      <c r="V8" s="3">
        <f t="shared" si="0"/>
        <v>100</v>
      </c>
      <c r="W8" s="2"/>
      <c r="X8" s="2"/>
    </row>
    <row r="9" spans="2:24" x14ac:dyDescent="0.25">
      <c r="B9" s="3" t="s">
        <v>35</v>
      </c>
      <c r="C9" s="4">
        <v>45369</v>
      </c>
      <c r="D9" s="5"/>
      <c r="E9" s="5">
        <v>10</v>
      </c>
      <c r="F9" s="5">
        <v>15</v>
      </c>
      <c r="G9" s="5">
        <v>30</v>
      </c>
      <c r="H9" s="5">
        <v>20</v>
      </c>
      <c r="I9" s="5">
        <v>5</v>
      </c>
      <c r="J9" s="5">
        <v>10</v>
      </c>
      <c r="K9" s="5" t="s">
        <v>5</v>
      </c>
      <c r="L9" s="5"/>
      <c r="M9" s="6"/>
      <c r="N9" s="6" t="s">
        <v>5</v>
      </c>
      <c r="O9" s="6"/>
      <c r="P9" s="6"/>
      <c r="Q9" s="6"/>
      <c r="R9" s="6"/>
      <c r="S9" s="6">
        <v>10</v>
      </c>
      <c r="T9" s="6"/>
      <c r="U9" s="6"/>
      <c r="V9" s="3">
        <f t="shared" si="0"/>
        <v>100</v>
      </c>
      <c r="W9" s="2"/>
      <c r="X9" s="2"/>
    </row>
    <row r="10" spans="2:24" x14ac:dyDescent="0.25">
      <c r="B10" s="3" t="s">
        <v>34</v>
      </c>
      <c r="C10" s="4">
        <v>45370</v>
      </c>
      <c r="D10" s="5"/>
      <c r="E10" s="5">
        <v>35</v>
      </c>
      <c r="F10" s="5">
        <v>15</v>
      </c>
      <c r="G10" s="5">
        <v>15</v>
      </c>
      <c r="H10" s="5">
        <v>5</v>
      </c>
      <c r="I10" s="5"/>
      <c r="J10" s="5"/>
      <c r="K10" s="5">
        <v>5</v>
      </c>
      <c r="L10" s="5"/>
      <c r="M10" s="6"/>
      <c r="N10" s="6">
        <v>5</v>
      </c>
      <c r="O10" s="6"/>
      <c r="P10" s="6">
        <v>15</v>
      </c>
      <c r="Q10" s="6">
        <v>5</v>
      </c>
      <c r="R10" s="6"/>
      <c r="S10" s="6"/>
      <c r="T10" s="6"/>
      <c r="U10" s="6"/>
      <c r="V10" s="3">
        <f t="shared" si="0"/>
        <v>100</v>
      </c>
      <c r="W10" s="2"/>
      <c r="X10" s="2"/>
    </row>
    <row r="11" spans="2:24" x14ac:dyDescent="0.25">
      <c r="B11" s="3" t="s">
        <v>40</v>
      </c>
      <c r="C11" s="4">
        <v>45371</v>
      </c>
      <c r="D11" s="5"/>
      <c r="E11" s="5"/>
      <c r="F11" s="5"/>
      <c r="G11" s="5">
        <v>5</v>
      </c>
      <c r="H11" s="5" t="s">
        <v>5</v>
      </c>
      <c r="I11" s="5">
        <v>55</v>
      </c>
      <c r="J11" s="5"/>
      <c r="K11" s="5"/>
      <c r="L11" s="5"/>
      <c r="M11" s="6"/>
      <c r="N11" s="6"/>
      <c r="O11" s="6"/>
      <c r="P11" s="6">
        <v>15</v>
      </c>
      <c r="Q11" s="6">
        <v>5</v>
      </c>
      <c r="R11" s="6">
        <v>15</v>
      </c>
      <c r="S11" s="6">
        <v>5</v>
      </c>
      <c r="T11" s="6"/>
      <c r="U11" s="6"/>
      <c r="V11" s="3">
        <f t="shared" si="0"/>
        <v>100</v>
      </c>
      <c r="W11" s="2"/>
      <c r="X11" s="2"/>
    </row>
    <row r="12" spans="2:24" x14ac:dyDescent="0.25">
      <c r="B12" s="3" t="s">
        <v>37</v>
      </c>
      <c r="C12" s="4">
        <v>45371</v>
      </c>
      <c r="D12" s="5"/>
      <c r="E12" s="5"/>
      <c r="F12" s="5"/>
      <c r="G12" s="5">
        <v>10</v>
      </c>
      <c r="H12" s="5">
        <v>5</v>
      </c>
      <c r="I12" s="5">
        <v>30</v>
      </c>
      <c r="J12" s="5">
        <v>10</v>
      </c>
      <c r="K12" s="5"/>
      <c r="L12" s="5"/>
      <c r="M12" s="6"/>
      <c r="N12" s="6" t="s">
        <v>5</v>
      </c>
      <c r="O12" s="6"/>
      <c r="P12" s="6">
        <v>20</v>
      </c>
      <c r="Q12" s="6"/>
      <c r="R12" s="6">
        <v>5</v>
      </c>
      <c r="S12" s="6">
        <v>20</v>
      </c>
      <c r="T12" s="6"/>
      <c r="U12" s="6"/>
      <c r="V12" s="3">
        <f t="shared" si="0"/>
        <v>100</v>
      </c>
      <c r="W12" s="2"/>
      <c r="X12" s="2"/>
    </row>
    <row r="13" spans="2:24" x14ac:dyDescent="0.25">
      <c r="B13" s="3" t="s">
        <v>32</v>
      </c>
      <c r="C13" s="4">
        <v>45372</v>
      </c>
      <c r="D13" s="5">
        <v>5</v>
      </c>
      <c r="E13" s="5">
        <v>15</v>
      </c>
      <c r="F13" s="5">
        <v>15</v>
      </c>
      <c r="G13" s="5">
        <v>5</v>
      </c>
      <c r="H13" s="5"/>
      <c r="I13" s="5">
        <v>30</v>
      </c>
      <c r="J13" s="5"/>
      <c r="K13" s="5"/>
      <c r="L13" s="5"/>
      <c r="M13" s="6"/>
      <c r="N13" s="6"/>
      <c r="O13" s="6"/>
      <c r="P13" s="6">
        <v>15</v>
      </c>
      <c r="Q13" s="6"/>
      <c r="R13" s="6">
        <v>15</v>
      </c>
      <c r="S13" s="6" t="s">
        <v>5</v>
      </c>
      <c r="T13" s="6"/>
      <c r="U13" s="6"/>
      <c r="V13" s="3">
        <f t="shared" si="0"/>
        <v>100</v>
      </c>
      <c r="W13" s="2"/>
      <c r="X13" s="2"/>
    </row>
    <row r="14" spans="2:24" x14ac:dyDescent="0.25">
      <c r="B14" s="3" t="s">
        <v>31</v>
      </c>
      <c r="C14" s="4">
        <v>45372</v>
      </c>
      <c r="D14" s="5"/>
      <c r="E14" s="5">
        <v>5</v>
      </c>
      <c r="F14" s="5">
        <v>10</v>
      </c>
      <c r="G14" s="5">
        <v>15</v>
      </c>
      <c r="H14" s="5"/>
      <c r="I14" s="5">
        <v>40</v>
      </c>
      <c r="J14" s="5"/>
      <c r="K14" s="5"/>
      <c r="L14" s="5"/>
      <c r="M14" s="6"/>
      <c r="N14" s="6">
        <v>10</v>
      </c>
      <c r="O14" s="6"/>
      <c r="P14" s="6">
        <v>10</v>
      </c>
      <c r="Q14" s="6"/>
      <c r="R14" s="6">
        <v>5</v>
      </c>
      <c r="S14" s="6">
        <v>5</v>
      </c>
      <c r="T14" s="6"/>
      <c r="U14" s="6"/>
      <c r="V14" s="3">
        <f t="shared" si="0"/>
        <v>100</v>
      </c>
      <c r="W14" s="2"/>
      <c r="X14" s="2"/>
    </row>
    <row r="15" spans="2:24" x14ac:dyDescent="0.25">
      <c r="B15" s="3" t="s">
        <v>41</v>
      </c>
      <c r="C15" s="4">
        <v>45369</v>
      </c>
      <c r="D15" s="5"/>
      <c r="E15" s="5"/>
      <c r="F15" s="5"/>
      <c r="G15" s="5">
        <v>5</v>
      </c>
      <c r="H15" s="5"/>
      <c r="I15" s="5">
        <v>35</v>
      </c>
      <c r="J15" s="5"/>
      <c r="K15" s="5"/>
      <c r="L15" s="5"/>
      <c r="M15" s="6"/>
      <c r="N15" s="6">
        <v>30</v>
      </c>
      <c r="O15" s="6"/>
      <c r="P15" s="6">
        <v>5</v>
      </c>
      <c r="Q15" s="6"/>
      <c r="R15" s="6">
        <v>5</v>
      </c>
      <c r="S15" s="6">
        <v>20</v>
      </c>
      <c r="T15" s="6"/>
      <c r="U15" s="6"/>
      <c r="V15" s="3">
        <f t="shared" si="0"/>
        <v>100</v>
      </c>
      <c r="W15" s="2"/>
      <c r="X15" s="2"/>
    </row>
    <row r="16" spans="2:24" x14ac:dyDescent="0.25">
      <c r="B16" s="3" t="s">
        <v>42</v>
      </c>
      <c r="C16" s="4">
        <v>45369</v>
      </c>
      <c r="D16" s="5"/>
      <c r="E16" s="5"/>
      <c r="F16" s="5"/>
      <c r="G16" s="5"/>
      <c r="H16" s="5"/>
      <c r="I16" s="5">
        <v>20</v>
      </c>
      <c r="J16" s="5"/>
      <c r="K16" s="5"/>
      <c r="L16" s="5"/>
      <c r="M16" s="6"/>
      <c r="N16" s="6">
        <v>25</v>
      </c>
      <c r="O16" s="6" t="s">
        <v>5</v>
      </c>
      <c r="P16" s="6">
        <v>5</v>
      </c>
      <c r="Q16" s="6">
        <v>5</v>
      </c>
      <c r="R16" s="6">
        <v>10</v>
      </c>
      <c r="S16" s="6">
        <v>35</v>
      </c>
      <c r="T16" s="6"/>
      <c r="U16" s="6"/>
      <c r="V16" s="3">
        <f t="shared" si="0"/>
        <v>100</v>
      </c>
      <c r="W16" s="2"/>
      <c r="X16" s="2"/>
    </row>
    <row r="17" spans="2:24" x14ac:dyDescent="0.25">
      <c r="B17" s="3" t="s">
        <v>64</v>
      </c>
      <c r="C17" s="4">
        <v>45369</v>
      </c>
      <c r="D17" s="5"/>
      <c r="E17" s="5"/>
      <c r="F17" s="5">
        <v>55</v>
      </c>
      <c r="G17" s="5"/>
      <c r="H17" s="5"/>
      <c r="I17" s="5">
        <v>15</v>
      </c>
      <c r="J17" s="5"/>
      <c r="K17" s="5"/>
      <c r="L17" s="5"/>
      <c r="M17" s="6"/>
      <c r="N17" s="6"/>
      <c r="O17" s="6">
        <v>20</v>
      </c>
      <c r="P17" s="6"/>
      <c r="Q17" s="6" t="s">
        <v>5</v>
      </c>
      <c r="R17" s="6">
        <v>5</v>
      </c>
      <c r="S17" s="6">
        <v>5</v>
      </c>
      <c r="T17" s="6"/>
      <c r="U17" s="6"/>
      <c r="V17" s="3">
        <f t="shared" si="0"/>
        <v>100</v>
      </c>
      <c r="W17" s="2"/>
      <c r="X17" s="2"/>
    </row>
    <row r="18" spans="2:24" x14ac:dyDescent="0.25">
      <c r="B18" s="3" t="s">
        <v>26</v>
      </c>
      <c r="C18" s="4">
        <v>45372</v>
      </c>
      <c r="D18" s="5"/>
      <c r="E18" s="5"/>
      <c r="F18" s="5"/>
      <c r="G18" s="5"/>
      <c r="H18" s="5"/>
      <c r="I18" s="5"/>
      <c r="J18" s="5">
        <v>35</v>
      </c>
      <c r="K18" s="5"/>
      <c r="L18" s="5"/>
      <c r="M18" s="6"/>
      <c r="N18" s="6">
        <v>40</v>
      </c>
      <c r="O18" s="6"/>
      <c r="P18" s="6">
        <v>10</v>
      </c>
      <c r="Q18" s="6"/>
      <c r="R18" s="6">
        <v>10</v>
      </c>
      <c r="S18" s="6">
        <v>5</v>
      </c>
      <c r="T18" s="6"/>
      <c r="U18" s="6"/>
      <c r="V18" s="3">
        <f t="shared" si="0"/>
        <v>100</v>
      </c>
      <c r="W18" s="2"/>
      <c r="X18" s="2"/>
    </row>
    <row r="19" spans="2:24" x14ac:dyDescent="0.25">
      <c r="B19" s="3" t="s">
        <v>30</v>
      </c>
      <c r="C19" s="4">
        <v>45371</v>
      </c>
      <c r="D19" s="5"/>
      <c r="E19" s="5"/>
      <c r="F19" s="5"/>
      <c r="G19" s="5">
        <v>10</v>
      </c>
      <c r="H19" s="5"/>
      <c r="I19" s="5">
        <v>10</v>
      </c>
      <c r="J19" s="5"/>
      <c r="K19" s="5"/>
      <c r="L19" s="5"/>
      <c r="M19" s="6"/>
      <c r="N19" s="6" t="s">
        <v>5</v>
      </c>
      <c r="O19" s="6"/>
      <c r="P19" s="6">
        <v>10</v>
      </c>
      <c r="Q19" s="6"/>
      <c r="R19" s="6">
        <v>30</v>
      </c>
      <c r="S19" s="6">
        <v>40</v>
      </c>
      <c r="T19" s="6"/>
      <c r="U19" s="6"/>
      <c r="V19" s="3">
        <f t="shared" si="0"/>
        <v>100</v>
      </c>
      <c r="W19" s="2"/>
      <c r="X19" s="2"/>
    </row>
    <row r="20" spans="2:24" x14ac:dyDescent="0.25">
      <c r="B20" s="3" t="s">
        <v>38</v>
      </c>
      <c r="C20" s="4">
        <v>45370</v>
      </c>
      <c r="D20" s="5"/>
      <c r="E20" s="5"/>
      <c r="F20" s="5"/>
      <c r="G20" s="5">
        <v>5</v>
      </c>
      <c r="H20" s="5"/>
      <c r="I20" s="5">
        <v>60</v>
      </c>
      <c r="J20" s="5">
        <v>5</v>
      </c>
      <c r="K20" s="5"/>
      <c r="L20" s="5"/>
      <c r="M20" s="6"/>
      <c r="N20" s="6"/>
      <c r="O20" s="6"/>
      <c r="P20" s="6">
        <v>5</v>
      </c>
      <c r="Q20" s="6">
        <v>5</v>
      </c>
      <c r="R20" s="6">
        <v>15</v>
      </c>
      <c r="S20" s="6">
        <v>5</v>
      </c>
      <c r="T20" s="6"/>
      <c r="U20" s="6"/>
      <c r="V20" s="3">
        <f>SUM(D20:U20)</f>
        <v>100</v>
      </c>
      <c r="W20" s="2"/>
      <c r="X20" s="2"/>
    </row>
    <row r="21" spans="2:24" x14ac:dyDescent="0.25">
      <c r="B21" s="3" t="s">
        <v>25</v>
      </c>
      <c r="C21" s="4">
        <v>45369</v>
      </c>
      <c r="D21" s="5"/>
      <c r="E21" s="5"/>
      <c r="F21" s="5"/>
      <c r="G21" s="5">
        <v>15</v>
      </c>
      <c r="H21" s="5"/>
      <c r="I21" s="5">
        <v>5</v>
      </c>
      <c r="J21" s="5">
        <v>5</v>
      </c>
      <c r="K21" s="5"/>
      <c r="L21" s="5"/>
      <c r="M21" s="6"/>
      <c r="N21" s="6"/>
      <c r="O21" s="6"/>
      <c r="P21" s="6"/>
      <c r="Q21" s="6">
        <v>10</v>
      </c>
      <c r="R21" s="6">
        <v>65</v>
      </c>
      <c r="S21" s="6"/>
      <c r="T21" s="6"/>
      <c r="U21" s="6"/>
      <c r="V21" s="3">
        <f>SUM(D21:U21)</f>
        <v>100</v>
      </c>
      <c r="W21" s="2"/>
      <c r="X21" s="2"/>
    </row>
    <row r="22" spans="2:24" x14ac:dyDescent="0.25">
      <c r="B22" s="3" t="s">
        <v>107</v>
      </c>
      <c r="C22" s="4">
        <v>45369</v>
      </c>
      <c r="D22" s="5"/>
      <c r="E22" s="5">
        <v>15</v>
      </c>
      <c r="F22" s="5"/>
      <c r="G22" s="5">
        <v>15</v>
      </c>
      <c r="H22" s="5"/>
      <c r="I22" s="5">
        <v>30</v>
      </c>
      <c r="J22" s="5">
        <v>5</v>
      </c>
      <c r="K22" s="5"/>
      <c r="L22" s="5" t="s">
        <v>5</v>
      </c>
      <c r="M22" s="6"/>
      <c r="N22" s="6"/>
      <c r="O22" s="6"/>
      <c r="P22" s="6">
        <v>30</v>
      </c>
      <c r="Q22" s="6"/>
      <c r="R22" s="6">
        <v>5</v>
      </c>
      <c r="S22" s="6"/>
      <c r="T22" s="6"/>
      <c r="U22" s="6"/>
      <c r="V22" s="3">
        <f>SUM(D22:U22)</f>
        <v>100</v>
      </c>
      <c r="W22" s="2"/>
      <c r="X22" s="2"/>
    </row>
    <row r="23" spans="2:24" x14ac:dyDescent="0.25">
      <c r="B23" s="3" t="s">
        <v>27</v>
      </c>
      <c r="C23" s="4">
        <v>45372</v>
      </c>
      <c r="D23" s="5"/>
      <c r="E23" s="5"/>
      <c r="F23" s="5">
        <v>10</v>
      </c>
      <c r="G23" s="5"/>
      <c r="H23" s="5"/>
      <c r="I23" s="5" t="s">
        <v>5</v>
      </c>
      <c r="J23" s="5"/>
      <c r="K23" s="5" t="s">
        <v>5</v>
      </c>
      <c r="L23" s="5"/>
      <c r="M23" s="6"/>
      <c r="N23" s="6"/>
      <c r="O23" s="6">
        <v>30</v>
      </c>
      <c r="P23" s="6">
        <v>10</v>
      </c>
      <c r="Q23" s="6"/>
      <c r="R23" s="6">
        <v>40</v>
      </c>
      <c r="S23" s="6">
        <v>10</v>
      </c>
      <c r="T23" s="6"/>
      <c r="U23" s="6"/>
      <c r="V23" s="3">
        <f>SUM(D23:U23)</f>
        <v>100</v>
      </c>
      <c r="W23" s="2"/>
      <c r="X23" s="2"/>
    </row>
    <row r="24" spans="2:24" x14ac:dyDescent="0.25">
      <c r="B24" s="23" t="s">
        <v>91</v>
      </c>
      <c r="C24" s="24">
        <v>45378</v>
      </c>
      <c r="D24" s="5"/>
      <c r="E24" s="5"/>
      <c r="F24" s="5"/>
      <c r="G24" s="5"/>
      <c r="H24" s="5"/>
      <c r="I24" s="5">
        <v>5</v>
      </c>
      <c r="J24" s="5"/>
      <c r="K24" s="5"/>
      <c r="L24" s="5"/>
      <c r="M24" s="6"/>
      <c r="N24" s="6">
        <v>20</v>
      </c>
      <c r="O24" s="6">
        <v>25</v>
      </c>
      <c r="P24" s="6"/>
      <c r="Q24" s="6"/>
      <c r="R24" s="6">
        <v>40</v>
      </c>
      <c r="S24" s="6">
        <v>10</v>
      </c>
      <c r="T24" s="6"/>
      <c r="U24" s="6"/>
      <c r="V24" s="3">
        <f t="shared" ref="V24:V27" si="1">SUM(D24:U24)</f>
        <v>100</v>
      </c>
      <c r="W24" s="2"/>
      <c r="X24" s="2"/>
    </row>
    <row r="25" spans="2:24" x14ac:dyDescent="0.25">
      <c r="B25" s="23" t="s">
        <v>92</v>
      </c>
      <c r="C25" s="24">
        <v>45370</v>
      </c>
      <c r="D25" s="5"/>
      <c r="E25" s="5"/>
      <c r="F25" s="5"/>
      <c r="G25" s="5">
        <v>5</v>
      </c>
      <c r="H25" s="5">
        <v>25</v>
      </c>
      <c r="I25" s="5">
        <v>60</v>
      </c>
      <c r="J25" s="5"/>
      <c r="K25" s="5"/>
      <c r="L25" s="5"/>
      <c r="M25" s="6"/>
      <c r="N25" s="6"/>
      <c r="O25" s="6"/>
      <c r="P25" s="6" t="s">
        <v>5</v>
      </c>
      <c r="Q25" s="6">
        <v>5</v>
      </c>
      <c r="R25" s="6">
        <v>5</v>
      </c>
      <c r="S25" s="6" t="s">
        <v>5</v>
      </c>
      <c r="T25" s="6"/>
      <c r="U25" s="6"/>
      <c r="V25" s="3">
        <f t="shared" si="1"/>
        <v>100</v>
      </c>
      <c r="W25" s="2"/>
      <c r="X25" s="2"/>
    </row>
    <row r="26" spans="2:24" x14ac:dyDescent="0.25">
      <c r="B26" s="23" t="s">
        <v>93</v>
      </c>
      <c r="C26" s="24">
        <v>45370</v>
      </c>
      <c r="D26" s="5"/>
      <c r="E26" s="5"/>
      <c r="F26" s="5"/>
      <c r="G26" s="5"/>
      <c r="H26" s="5"/>
      <c r="I26" s="5">
        <v>35</v>
      </c>
      <c r="J26" s="5">
        <v>5</v>
      </c>
      <c r="K26" s="5"/>
      <c r="L26" s="5"/>
      <c r="M26" s="6"/>
      <c r="N26" s="6"/>
      <c r="O26" s="6"/>
      <c r="P26" s="6">
        <v>5</v>
      </c>
      <c r="Q26" s="6">
        <v>15</v>
      </c>
      <c r="R26" s="6">
        <v>40</v>
      </c>
      <c r="S26" s="6" t="s">
        <v>5</v>
      </c>
      <c r="T26" s="6"/>
      <c r="U26" s="6"/>
      <c r="V26" s="3">
        <f t="shared" si="1"/>
        <v>100</v>
      </c>
      <c r="W26" s="2"/>
      <c r="X26" s="2"/>
    </row>
    <row r="27" spans="2:24" x14ac:dyDescent="0.25">
      <c r="B27" s="23" t="s">
        <v>94</v>
      </c>
      <c r="C27" s="24">
        <v>45378</v>
      </c>
      <c r="D27" s="5"/>
      <c r="E27" s="5"/>
      <c r="F27" s="5"/>
      <c r="G27" s="5"/>
      <c r="H27" s="5">
        <v>15</v>
      </c>
      <c r="I27" s="5">
        <v>60</v>
      </c>
      <c r="J27" s="5"/>
      <c r="K27" s="5"/>
      <c r="L27" s="5"/>
      <c r="M27" s="6"/>
      <c r="N27" s="6"/>
      <c r="O27" s="6"/>
      <c r="P27" s="6"/>
      <c r="Q27" s="6"/>
      <c r="R27" s="6">
        <v>20</v>
      </c>
      <c r="S27" s="6">
        <v>5</v>
      </c>
      <c r="T27" s="6"/>
      <c r="U27" s="6"/>
      <c r="V27" s="3">
        <f t="shared" si="1"/>
        <v>100</v>
      </c>
      <c r="W27" s="2"/>
      <c r="X27" s="2"/>
    </row>
    <row r="28" spans="2:24" ht="5.0999999999999996" customHeight="1" x14ac:dyDescent="0.25"/>
    <row r="29" spans="2:24" x14ac:dyDescent="0.25">
      <c r="D29" s="8" t="s">
        <v>68</v>
      </c>
    </row>
  </sheetData>
  <mergeCells count="3">
    <mergeCell ref="D2:L2"/>
    <mergeCell ref="M2:U2"/>
    <mergeCell ref="V2:V3"/>
  </mergeCells>
  <pageMargins left="0.7" right="0.7" top="0.78740157500000008" bottom="0.78740157500000008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29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Q23" sqref="Q23"/>
    </sheetView>
  </sheetViews>
  <sheetFormatPr baseColWidth="10" defaultRowHeight="15" x14ac:dyDescent="0.25"/>
  <cols>
    <col min="1" max="1" width="1.7109375" style="8" customWidth="1"/>
    <col min="2" max="2" width="10.7109375" style="8" customWidth="1"/>
    <col min="3" max="3" width="11.42578125" style="8"/>
    <col min="4" max="15" width="8.7109375" style="8" customWidth="1"/>
    <col min="16" max="16" width="9.7109375" style="8" customWidth="1"/>
    <col min="17" max="22" width="8.7109375" style="8" customWidth="1"/>
    <col min="23" max="23" width="36.7109375" style="1" customWidth="1"/>
    <col min="24" max="24" width="22.7109375" style="1" customWidth="1"/>
    <col min="25" max="16384" width="11.42578125" style="8"/>
  </cols>
  <sheetData>
    <row r="1" spans="2:24" ht="9.9499999999999993" customHeight="1" x14ac:dyDescent="0.25">
      <c r="W1" s="8"/>
    </row>
    <row r="2" spans="2:24" x14ac:dyDescent="0.25">
      <c r="B2" s="7" t="s">
        <v>0</v>
      </c>
      <c r="C2" s="7" t="s">
        <v>96</v>
      </c>
      <c r="D2" s="26" t="s">
        <v>6</v>
      </c>
      <c r="E2" s="26"/>
      <c r="F2" s="26"/>
      <c r="G2" s="26"/>
      <c r="H2" s="26"/>
      <c r="I2" s="26"/>
      <c r="J2" s="26"/>
      <c r="K2" s="26"/>
      <c r="L2" s="26"/>
      <c r="M2" s="27" t="s">
        <v>7</v>
      </c>
      <c r="N2" s="28"/>
      <c r="O2" s="28"/>
      <c r="P2" s="28"/>
      <c r="Q2" s="28"/>
      <c r="R2" s="28"/>
      <c r="S2" s="28"/>
      <c r="T2" s="28"/>
      <c r="U2" s="29"/>
      <c r="V2" s="30" t="s">
        <v>8</v>
      </c>
      <c r="W2" s="2"/>
      <c r="X2" s="2"/>
    </row>
    <row r="3" spans="2:24" x14ac:dyDescent="0.25">
      <c r="B3" s="9"/>
      <c r="C3" s="14" t="s">
        <v>71</v>
      </c>
      <c r="D3" s="10" t="s">
        <v>16</v>
      </c>
      <c r="E3" s="11" t="s">
        <v>17</v>
      </c>
      <c r="F3" s="11" t="s">
        <v>18</v>
      </c>
      <c r="G3" s="11" t="s">
        <v>19</v>
      </c>
      <c r="H3" s="12" t="s">
        <v>20</v>
      </c>
      <c r="I3" s="11" t="s">
        <v>21</v>
      </c>
      <c r="J3" s="12" t="s">
        <v>22</v>
      </c>
      <c r="K3" s="11" t="s">
        <v>23</v>
      </c>
      <c r="L3" s="11" t="s">
        <v>24</v>
      </c>
      <c r="M3" s="13" t="s">
        <v>11</v>
      </c>
      <c r="N3" s="13" t="s">
        <v>1</v>
      </c>
      <c r="O3" s="13" t="s">
        <v>2</v>
      </c>
      <c r="P3" s="13" t="s">
        <v>12</v>
      </c>
      <c r="Q3" s="13" t="s">
        <v>13</v>
      </c>
      <c r="R3" s="13" t="s">
        <v>3</v>
      </c>
      <c r="S3" s="13" t="s">
        <v>4</v>
      </c>
      <c r="T3" s="13" t="s">
        <v>14</v>
      </c>
      <c r="U3" s="13" t="s">
        <v>15</v>
      </c>
      <c r="V3" s="31"/>
      <c r="W3" s="2" t="s">
        <v>9</v>
      </c>
      <c r="X3" s="2" t="s">
        <v>10</v>
      </c>
    </row>
    <row r="4" spans="2:24" x14ac:dyDescent="0.25">
      <c r="B4" s="3" t="s">
        <v>39</v>
      </c>
      <c r="C4" s="4">
        <v>45735</v>
      </c>
      <c r="D4" s="5"/>
      <c r="E4" s="5"/>
      <c r="F4" s="5"/>
      <c r="G4" s="5"/>
      <c r="H4" s="5"/>
      <c r="I4" s="5">
        <v>50</v>
      </c>
      <c r="J4" s="5"/>
      <c r="K4" s="5"/>
      <c r="L4" s="5"/>
      <c r="M4" s="6"/>
      <c r="N4" s="6"/>
      <c r="O4" s="6"/>
      <c r="P4" s="6" t="s">
        <v>5</v>
      </c>
      <c r="Q4" s="6" t="s">
        <v>5</v>
      </c>
      <c r="R4" s="6">
        <v>50</v>
      </c>
      <c r="S4" s="6"/>
      <c r="T4" s="6"/>
      <c r="U4" s="6"/>
      <c r="V4" s="3">
        <f t="shared" ref="V4:V19" si="0">SUM(D4:U4)</f>
        <v>100</v>
      </c>
      <c r="W4" s="17"/>
      <c r="X4" s="2"/>
    </row>
    <row r="5" spans="2:24" x14ac:dyDescent="0.25">
      <c r="B5" s="3" t="s">
        <v>28</v>
      </c>
      <c r="C5" s="4">
        <v>45737</v>
      </c>
      <c r="D5" s="5"/>
      <c r="E5" s="5"/>
      <c r="F5" s="5" t="s">
        <v>5</v>
      </c>
      <c r="G5" s="5"/>
      <c r="H5" s="5">
        <v>10</v>
      </c>
      <c r="I5" s="5">
        <v>40</v>
      </c>
      <c r="J5" s="5"/>
      <c r="K5" s="5"/>
      <c r="L5" s="5"/>
      <c r="M5" s="6"/>
      <c r="N5" s="6" t="s">
        <v>5</v>
      </c>
      <c r="O5" s="6" t="s">
        <v>5</v>
      </c>
      <c r="P5" s="6">
        <v>20</v>
      </c>
      <c r="Q5" s="6"/>
      <c r="R5" s="6">
        <v>15</v>
      </c>
      <c r="S5" s="6">
        <v>15</v>
      </c>
      <c r="T5" s="6"/>
      <c r="U5" s="6"/>
      <c r="V5" s="3">
        <f t="shared" si="0"/>
        <v>100</v>
      </c>
      <c r="W5" s="17" t="s">
        <v>97</v>
      </c>
      <c r="X5" s="2"/>
    </row>
    <row r="6" spans="2:24" x14ac:dyDescent="0.25">
      <c r="B6" s="3" t="s">
        <v>29</v>
      </c>
      <c r="C6" s="4">
        <v>45736</v>
      </c>
      <c r="D6" s="5"/>
      <c r="E6" s="5"/>
      <c r="F6" s="5"/>
      <c r="G6" s="5"/>
      <c r="H6" s="5">
        <v>10</v>
      </c>
      <c r="I6" s="5">
        <v>15</v>
      </c>
      <c r="J6" s="5"/>
      <c r="K6" s="5">
        <v>65</v>
      </c>
      <c r="L6" s="5"/>
      <c r="M6" s="6"/>
      <c r="N6" s="6"/>
      <c r="O6" s="6"/>
      <c r="P6" s="6">
        <v>10</v>
      </c>
      <c r="Q6" s="6"/>
      <c r="R6" s="6"/>
      <c r="S6" s="6"/>
      <c r="T6" s="6"/>
      <c r="U6" s="6"/>
      <c r="V6" s="3">
        <f t="shared" si="0"/>
        <v>100</v>
      </c>
      <c r="W6" s="17"/>
      <c r="X6" s="2"/>
    </row>
    <row r="7" spans="2:24" x14ac:dyDescent="0.25">
      <c r="B7" s="3" t="s">
        <v>36</v>
      </c>
      <c r="C7" s="4">
        <v>45734</v>
      </c>
      <c r="D7" s="5"/>
      <c r="E7" s="5"/>
      <c r="F7" s="5"/>
      <c r="G7" s="5"/>
      <c r="H7" s="5">
        <v>25</v>
      </c>
      <c r="I7" s="5">
        <v>20</v>
      </c>
      <c r="J7" s="5"/>
      <c r="K7" s="5">
        <v>35</v>
      </c>
      <c r="L7" s="5"/>
      <c r="M7" s="6"/>
      <c r="N7" s="6">
        <v>5</v>
      </c>
      <c r="O7" s="6"/>
      <c r="P7" s="6">
        <v>15</v>
      </c>
      <c r="Q7" s="6"/>
      <c r="R7" s="6"/>
      <c r="S7" s="6"/>
      <c r="T7" s="6"/>
      <c r="U7" s="6"/>
      <c r="V7" s="3">
        <f t="shared" si="0"/>
        <v>100</v>
      </c>
      <c r="W7" s="17" t="s">
        <v>98</v>
      </c>
      <c r="X7" s="2"/>
    </row>
    <row r="8" spans="2:24" x14ac:dyDescent="0.25">
      <c r="B8" s="3" t="s">
        <v>33</v>
      </c>
      <c r="C8" s="4">
        <v>45734</v>
      </c>
      <c r="D8" s="5"/>
      <c r="E8" s="5">
        <v>75</v>
      </c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>
        <v>5</v>
      </c>
      <c r="R8" s="6">
        <v>10</v>
      </c>
      <c r="S8" s="6">
        <v>10</v>
      </c>
      <c r="T8" s="6"/>
      <c r="U8" s="6"/>
      <c r="V8" s="3">
        <f t="shared" si="0"/>
        <v>100</v>
      </c>
      <c r="W8" s="17" t="s">
        <v>99</v>
      </c>
      <c r="X8" s="2"/>
    </row>
    <row r="9" spans="2:24" x14ac:dyDescent="0.25">
      <c r="B9" s="3" t="s">
        <v>35</v>
      </c>
      <c r="C9" s="4">
        <v>45737</v>
      </c>
      <c r="D9" s="5"/>
      <c r="E9" s="5"/>
      <c r="F9" s="5">
        <v>10</v>
      </c>
      <c r="G9" s="5">
        <v>65</v>
      </c>
      <c r="H9" s="5"/>
      <c r="I9" s="5">
        <v>10</v>
      </c>
      <c r="J9" s="5"/>
      <c r="K9" s="5"/>
      <c r="L9" s="5"/>
      <c r="M9" s="6"/>
      <c r="N9" s="6">
        <v>5</v>
      </c>
      <c r="O9" s="6"/>
      <c r="P9" s="6">
        <v>10</v>
      </c>
      <c r="Q9" s="6"/>
      <c r="R9" s="6" t="s">
        <v>5</v>
      </c>
      <c r="S9" s="6" t="s">
        <v>5</v>
      </c>
      <c r="T9" s="6"/>
      <c r="U9" s="6"/>
      <c r="V9" s="3">
        <f t="shared" si="0"/>
        <v>100</v>
      </c>
      <c r="W9" s="17" t="s">
        <v>100</v>
      </c>
      <c r="X9" s="2"/>
    </row>
    <row r="10" spans="2:24" x14ac:dyDescent="0.25">
      <c r="B10" s="3" t="s">
        <v>34</v>
      </c>
      <c r="C10" s="4">
        <v>45734</v>
      </c>
      <c r="D10" s="5"/>
      <c r="E10" s="5"/>
      <c r="F10" s="5"/>
      <c r="G10" s="5">
        <v>30</v>
      </c>
      <c r="H10" s="5"/>
      <c r="I10" s="5">
        <v>10</v>
      </c>
      <c r="J10" s="5"/>
      <c r="K10" s="5">
        <v>45</v>
      </c>
      <c r="L10" s="5"/>
      <c r="M10" s="6"/>
      <c r="N10" s="6"/>
      <c r="O10" s="6"/>
      <c r="P10" s="6">
        <v>15</v>
      </c>
      <c r="Q10" s="6" t="s">
        <v>5</v>
      </c>
      <c r="R10" s="6"/>
      <c r="S10" s="6"/>
      <c r="T10" s="6"/>
      <c r="U10" s="6"/>
      <c r="V10" s="3">
        <f t="shared" si="0"/>
        <v>100</v>
      </c>
      <c r="W10" s="17" t="s">
        <v>101</v>
      </c>
      <c r="X10" s="2"/>
    </row>
    <row r="11" spans="2:24" x14ac:dyDescent="0.25">
      <c r="B11" s="3" t="s">
        <v>40</v>
      </c>
      <c r="C11" s="4">
        <v>45735</v>
      </c>
      <c r="D11" s="5"/>
      <c r="E11" s="5"/>
      <c r="F11" s="5"/>
      <c r="G11" s="5"/>
      <c r="H11" s="5"/>
      <c r="I11" s="5">
        <v>80</v>
      </c>
      <c r="J11" s="5"/>
      <c r="K11" s="5"/>
      <c r="L11" s="5"/>
      <c r="M11" s="6"/>
      <c r="N11" s="6"/>
      <c r="O11" s="6"/>
      <c r="P11" s="6" t="s">
        <v>5</v>
      </c>
      <c r="Q11" s="6"/>
      <c r="R11" s="6">
        <v>20</v>
      </c>
      <c r="S11" s="6" t="s">
        <v>5</v>
      </c>
      <c r="T11" s="6"/>
      <c r="U11" s="6"/>
      <c r="V11" s="3">
        <f t="shared" si="0"/>
        <v>100</v>
      </c>
      <c r="W11" s="17"/>
      <c r="X11" s="2"/>
    </row>
    <row r="12" spans="2:24" x14ac:dyDescent="0.25">
      <c r="B12" s="3" t="s">
        <v>37</v>
      </c>
      <c r="C12" s="4">
        <v>45735</v>
      </c>
      <c r="D12" s="5"/>
      <c r="E12" s="5"/>
      <c r="F12" s="5"/>
      <c r="G12" s="5"/>
      <c r="H12" s="5"/>
      <c r="I12" s="5">
        <v>60</v>
      </c>
      <c r="J12" s="5"/>
      <c r="K12" s="5"/>
      <c r="L12" s="5"/>
      <c r="M12" s="6"/>
      <c r="N12" s="6"/>
      <c r="O12" s="6"/>
      <c r="P12" s="6">
        <v>10</v>
      </c>
      <c r="Q12" s="6"/>
      <c r="R12" s="6" t="s">
        <v>5</v>
      </c>
      <c r="S12" s="6">
        <v>30</v>
      </c>
      <c r="T12" s="6"/>
      <c r="U12" s="6"/>
      <c r="V12" s="3">
        <f t="shared" si="0"/>
        <v>100</v>
      </c>
      <c r="W12" s="17"/>
      <c r="X12" s="2"/>
    </row>
    <row r="13" spans="2:24" x14ac:dyDescent="0.25">
      <c r="B13" s="3" t="s">
        <v>32</v>
      </c>
      <c r="C13" s="4">
        <v>45736</v>
      </c>
      <c r="D13" s="5"/>
      <c r="E13" s="5"/>
      <c r="F13" s="5"/>
      <c r="G13" s="5"/>
      <c r="H13" s="5"/>
      <c r="I13" s="5">
        <v>15</v>
      </c>
      <c r="J13" s="5"/>
      <c r="K13" s="5">
        <v>30</v>
      </c>
      <c r="L13" s="5"/>
      <c r="M13" s="6"/>
      <c r="N13" s="6"/>
      <c r="O13" s="6"/>
      <c r="P13" s="6">
        <v>10</v>
      </c>
      <c r="Q13" s="6"/>
      <c r="R13" s="6">
        <v>25</v>
      </c>
      <c r="S13" s="6">
        <v>20</v>
      </c>
      <c r="T13" s="6"/>
      <c r="U13" s="6"/>
      <c r="V13" s="3">
        <f t="shared" si="0"/>
        <v>100</v>
      </c>
      <c r="W13" s="17" t="s">
        <v>102</v>
      </c>
      <c r="X13" s="2"/>
    </row>
    <row r="14" spans="2:24" x14ac:dyDescent="0.25">
      <c r="B14" s="3" t="s">
        <v>31</v>
      </c>
      <c r="C14" s="4">
        <v>45736</v>
      </c>
      <c r="D14" s="5"/>
      <c r="E14" s="5"/>
      <c r="F14" s="5"/>
      <c r="G14" s="5">
        <v>10</v>
      </c>
      <c r="H14" s="5"/>
      <c r="I14" s="5">
        <v>70</v>
      </c>
      <c r="J14" s="5"/>
      <c r="K14" s="5"/>
      <c r="L14" s="5"/>
      <c r="M14" s="6"/>
      <c r="N14" s="6"/>
      <c r="O14" s="6">
        <v>5</v>
      </c>
      <c r="P14" s="6"/>
      <c r="Q14" s="6"/>
      <c r="R14" s="6">
        <v>5</v>
      </c>
      <c r="S14" s="6">
        <v>10</v>
      </c>
      <c r="T14" s="6"/>
      <c r="U14" s="6"/>
      <c r="V14" s="3">
        <f t="shared" si="0"/>
        <v>100</v>
      </c>
      <c r="W14" s="17" t="s">
        <v>103</v>
      </c>
      <c r="X14" s="2"/>
    </row>
    <row r="15" spans="2:24" x14ac:dyDescent="0.25">
      <c r="B15" s="3" t="s">
        <v>41</v>
      </c>
      <c r="C15" s="4">
        <v>45733</v>
      </c>
      <c r="D15" s="5"/>
      <c r="E15" s="5"/>
      <c r="F15" s="5"/>
      <c r="G15" s="5"/>
      <c r="H15" s="5" t="s">
        <v>5</v>
      </c>
      <c r="I15" s="5">
        <v>40</v>
      </c>
      <c r="J15" s="5"/>
      <c r="K15" s="5"/>
      <c r="L15" s="5"/>
      <c r="M15" s="6"/>
      <c r="N15" s="6">
        <v>5</v>
      </c>
      <c r="O15" s="6"/>
      <c r="P15" s="6"/>
      <c r="Q15" s="6" t="s">
        <v>5</v>
      </c>
      <c r="R15" s="6">
        <v>25</v>
      </c>
      <c r="S15" s="6">
        <v>30</v>
      </c>
      <c r="T15" s="6"/>
      <c r="U15" s="6"/>
      <c r="V15" s="3">
        <f t="shared" si="0"/>
        <v>100</v>
      </c>
      <c r="W15" s="17"/>
      <c r="X15" s="2"/>
    </row>
    <row r="16" spans="2:24" x14ac:dyDescent="0.25">
      <c r="B16" s="3" t="s">
        <v>42</v>
      </c>
      <c r="C16" s="4">
        <v>45733</v>
      </c>
      <c r="D16" s="5"/>
      <c r="E16" s="5"/>
      <c r="F16" s="5"/>
      <c r="G16" s="5"/>
      <c r="H16" s="5"/>
      <c r="I16" s="5">
        <v>35</v>
      </c>
      <c r="J16" s="5"/>
      <c r="K16" s="5"/>
      <c r="L16" s="5"/>
      <c r="M16" s="6"/>
      <c r="N16" s="6">
        <v>10</v>
      </c>
      <c r="O16" s="6"/>
      <c r="P16" s="6"/>
      <c r="Q16" s="6" t="s">
        <v>5</v>
      </c>
      <c r="R16" s="6">
        <v>15</v>
      </c>
      <c r="S16" s="6">
        <v>40</v>
      </c>
      <c r="T16" s="6"/>
      <c r="U16" s="6"/>
      <c r="V16" s="3">
        <f t="shared" si="0"/>
        <v>100</v>
      </c>
      <c r="W16" s="17"/>
      <c r="X16" s="2"/>
    </row>
    <row r="17" spans="2:24" x14ac:dyDescent="0.25">
      <c r="B17" s="2" t="s">
        <v>64</v>
      </c>
      <c r="C17" s="20">
        <v>45737</v>
      </c>
      <c r="D17" s="21"/>
      <c r="E17" s="21"/>
      <c r="F17" s="21">
        <v>35</v>
      </c>
      <c r="G17" s="21"/>
      <c r="H17" s="21"/>
      <c r="I17" s="21">
        <v>10</v>
      </c>
      <c r="J17" s="21"/>
      <c r="K17" s="21"/>
      <c r="L17" s="21"/>
      <c r="M17" s="22"/>
      <c r="N17" s="22">
        <v>10</v>
      </c>
      <c r="O17" s="22">
        <v>45</v>
      </c>
      <c r="P17" s="18"/>
      <c r="Q17" s="18"/>
      <c r="R17" s="18"/>
      <c r="S17" s="18"/>
      <c r="T17" s="6"/>
      <c r="U17" s="6"/>
      <c r="V17" s="3">
        <f t="shared" si="0"/>
        <v>100</v>
      </c>
      <c r="W17" s="17"/>
      <c r="X17" s="2"/>
    </row>
    <row r="18" spans="2:24" x14ac:dyDescent="0.25">
      <c r="B18" s="3" t="s">
        <v>26</v>
      </c>
      <c r="C18" s="4">
        <v>45737</v>
      </c>
      <c r="D18" s="5"/>
      <c r="E18" s="5"/>
      <c r="F18" s="5"/>
      <c r="G18" s="5">
        <v>10</v>
      </c>
      <c r="H18" s="5"/>
      <c r="I18" s="5">
        <v>55</v>
      </c>
      <c r="J18" s="5"/>
      <c r="K18" s="5"/>
      <c r="L18" s="5"/>
      <c r="M18" s="6"/>
      <c r="N18" s="6">
        <v>5</v>
      </c>
      <c r="O18" s="6" t="s">
        <v>5</v>
      </c>
      <c r="P18" s="6"/>
      <c r="Q18" s="6"/>
      <c r="R18" s="6"/>
      <c r="S18" s="6">
        <v>30</v>
      </c>
      <c r="T18" s="6"/>
      <c r="U18" s="6"/>
      <c r="V18" s="3">
        <f t="shared" si="0"/>
        <v>100</v>
      </c>
      <c r="W18" s="17" t="s">
        <v>47</v>
      </c>
      <c r="X18" s="2"/>
    </row>
    <row r="19" spans="2:24" x14ac:dyDescent="0.25">
      <c r="B19" s="3" t="s">
        <v>30</v>
      </c>
      <c r="C19" s="4">
        <v>45736</v>
      </c>
      <c r="D19" s="5"/>
      <c r="E19" s="5"/>
      <c r="F19" s="5"/>
      <c r="G19" s="5">
        <v>10</v>
      </c>
      <c r="H19" s="5"/>
      <c r="I19" s="5">
        <v>25</v>
      </c>
      <c r="J19" s="5"/>
      <c r="K19" s="5"/>
      <c r="L19" s="5"/>
      <c r="M19" s="6"/>
      <c r="N19" s="6"/>
      <c r="O19" s="6"/>
      <c r="P19" s="6">
        <v>10</v>
      </c>
      <c r="Q19" s="6" t="s">
        <v>5</v>
      </c>
      <c r="R19" s="6">
        <v>25</v>
      </c>
      <c r="S19" s="6">
        <v>30</v>
      </c>
      <c r="T19" s="6"/>
      <c r="U19" s="6"/>
      <c r="V19" s="3">
        <f t="shared" si="0"/>
        <v>100</v>
      </c>
      <c r="W19" s="17" t="s">
        <v>104</v>
      </c>
      <c r="X19" s="2"/>
    </row>
    <row r="20" spans="2:24" x14ac:dyDescent="0.25">
      <c r="B20" s="3" t="s">
        <v>38</v>
      </c>
      <c r="C20" s="4">
        <v>45733</v>
      </c>
      <c r="D20" s="5"/>
      <c r="E20" s="5"/>
      <c r="F20" s="5"/>
      <c r="G20" s="5"/>
      <c r="H20" s="5"/>
      <c r="I20" s="5">
        <v>75</v>
      </c>
      <c r="J20" s="5"/>
      <c r="K20" s="5"/>
      <c r="L20" s="5"/>
      <c r="M20" s="6"/>
      <c r="N20" s="6"/>
      <c r="O20" s="6"/>
      <c r="P20" s="6"/>
      <c r="Q20" s="6" t="s">
        <v>5</v>
      </c>
      <c r="R20" s="6">
        <v>25</v>
      </c>
      <c r="S20" s="6"/>
      <c r="T20" s="6"/>
      <c r="U20" s="6"/>
      <c r="V20" s="3">
        <f>SUM(D20:U20)</f>
        <v>100</v>
      </c>
      <c r="W20" s="17"/>
      <c r="X20" s="2"/>
    </row>
    <row r="21" spans="2:24" x14ac:dyDescent="0.25">
      <c r="B21" s="3" t="s">
        <v>25</v>
      </c>
      <c r="C21" s="4">
        <v>45734</v>
      </c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>
        <v>100</v>
      </c>
      <c r="S21" s="6"/>
      <c r="T21" s="6"/>
      <c r="U21" s="6"/>
      <c r="V21" s="3">
        <f>SUM(D21:U21)</f>
        <v>100</v>
      </c>
      <c r="W21" s="17" t="s">
        <v>105</v>
      </c>
      <c r="X21" s="2"/>
    </row>
    <row r="22" spans="2:24" x14ac:dyDescent="0.25">
      <c r="B22" s="19" t="s">
        <v>107</v>
      </c>
      <c r="C22" s="4">
        <v>45733</v>
      </c>
      <c r="D22" s="5"/>
      <c r="E22" s="5"/>
      <c r="F22" s="5"/>
      <c r="G22" s="5"/>
      <c r="H22" s="5"/>
      <c r="I22" s="5"/>
      <c r="J22" s="5"/>
      <c r="K22" s="5"/>
      <c r="L22" s="5"/>
      <c r="M22" s="6"/>
      <c r="N22" s="6"/>
      <c r="O22" s="6"/>
      <c r="P22" s="6">
        <v>10</v>
      </c>
      <c r="Q22" s="6" t="s">
        <v>5</v>
      </c>
      <c r="R22" s="6">
        <v>30</v>
      </c>
      <c r="S22" s="6">
        <v>60</v>
      </c>
      <c r="T22" s="6"/>
      <c r="U22" s="6"/>
      <c r="V22" s="3">
        <f>SUM(D22:U22)</f>
        <v>100</v>
      </c>
      <c r="W22" s="17"/>
      <c r="X22" s="2"/>
    </row>
    <row r="23" spans="2:24" x14ac:dyDescent="0.25">
      <c r="B23" s="3" t="s">
        <v>27</v>
      </c>
      <c r="C23" s="4">
        <v>45736</v>
      </c>
      <c r="D23" s="5"/>
      <c r="E23" s="5"/>
      <c r="F23" s="5"/>
      <c r="G23" s="5"/>
      <c r="H23" s="5">
        <v>45</v>
      </c>
      <c r="I23" s="5"/>
      <c r="J23" s="5"/>
      <c r="K23" s="5">
        <v>15</v>
      </c>
      <c r="L23" s="5"/>
      <c r="M23" s="6"/>
      <c r="N23" s="6"/>
      <c r="O23" s="6">
        <v>10</v>
      </c>
      <c r="P23" s="6">
        <v>10</v>
      </c>
      <c r="Q23" s="6"/>
      <c r="R23" s="6">
        <v>20</v>
      </c>
      <c r="S23" s="6"/>
      <c r="T23" s="6"/>
      <c r="U23" s="6"/>
      <c r="V23" s="3">
        <f>SUM(D23:U23)</f>
        <v>100</v>
      </c>
      <c r="W23" s="17" t="s">
        <v>106</v>
      </c>
      <c r="X23" s="2"/>
    </row>
    <row r="24" spans="2:24" x14ac:dyDescent="0.25">
      <c r="B24" s="23" t="s">
        <v>91</v>
      </c>
      <c r="C24" s="24">
        <v>45737</v>
      </c>
      <c r="D24" s="5"/>
      <c r="E24" s="5"/>
      <c r="F24" s="5">
        <v>10</v>
      </c>
      <c r="G24" s="5"/>
      <c r="H24" s="5">
        <v>15</v>
      </c>
      <c r="I24" s="5">
        <v>50</v>
      </c>
      <c r="J24" s="5"/>
      <c r="K24" s="5"/>
      <c r="L24" s="5"/>
      <c r="M24" s="6"/>
      <c r="N24" s="6"/>
      <c r="O24" s="6">
        <v>25</v>
      </c>
      <c r="P24" s="6"/>
      <c r="Q24" s="6"/>
      <c r="R24" s="6"/>
      <c r="S24" s="6"/>
      <c r="T24" s="6"/>
      <c r="U24" s="6"/>
      <c r="V24" s="3">
        <f t="shared" ref="V24:V27" si="1">SUM(D24:U24)</f>
        <v>100</v>
      </c>
      <c r="W24" s="17" t="s">
        <v>108</v>
      </c>
      <c r="X24" s="2"/>
    </row>
    <row r="25" spans="2:24" x14ac:dyDescent="0.25">
      <c r="B25" s="23" t="s">
        <v>92</v>
      </c>
      <c r="C25" s="24"/>
      <c r="D25" s="32" t="s">
        <v>110</v>
      </c>
      <c r="E25" s="33"/>
      <c r="F25" s="33"/>
      <c r="G25" s="33"/>
      <c r="H25" s="33"/>
      <c r="I25" s="33"/>
      <c r="J25" s="33"/>
      <c r="K25" s="33"/>
      <c r="L25" s="34"/>
      <c r="M25" s="35" t="s">
        <v>110</v>
      </c>
      <c r="N25" s="36"/>
      <c r="O25" s="36"/>
      <c r="P25" s="36"/>
      <c r="Q25" s="36"/>
      <c r="R25" s="36"/>
      <c r="S25" s="36"/>
      <c r="T25" s="36"/>
      <c r="U25" s="37"/>
      <c r="V25" s="25"/>
      <c r="W25" s="17"/>
      <c r="X25" s="2"/>
    </row>
    <row r="26" spans="2:24" x14ac:dyDescent="0.25">
      <c r="B26" s="23" t="s">
        <v>93</v>
      </c>
      <c r="C26" s="24">
        <v>45733</v>
      </c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  <c r="P26" s="6"/>
      <c r="Q26" s="6"/>
      <c r="R26" s="6">
        <v>100</v>
      </c>
      <c r="S26" s="6"/>
      <c r="T26" s="6"/>
      <c r="U26" s="6"/>
      <c r="V26" s="3">
        <f t="shared" si="1"/>
        <v>100</v>
      </c>
      <c r="W26" s="17" t="s">
        <v>105</v>
      </c>
      <c r="X26" s="2"/>
    </row>
    <row r="27" spans="2:24" x14ac:dyDescent="0.25">
      <c r="B27" s="23" t="s">
        <v>94</v>
      </c>
      <c r="C27" s="24">
        <v>45736</v>
      </c>
      <c r="D27" s="5"/>
      <c r="E27" s="5"/>
      <c r="F27" s="5"/>
      <c r="G27" s="5"/>
      <c r="H27" s="5"/>
      <c r="I27" s="5">
        <v>30</v>
      </c>
      <c r="J27" s="5"/>
      <c r="K27" s="5"/>
      <c r="L27" s="5"/>
      <c r="M27" s="6"/>
      <c r="N27" s="6"/>
      <c r="O27" s="6"/>
      <c r="P27" s="6">
        <v>10</v>
      </c>
      <c r="Q27" s="6"/>
      <c r="R27" s="6">
        <v>20</v>
      </c>
      <c r="S27" s="6">
        <v>40</v>
      </c>
      <c r="T27" s="6"/>
      <c r="U27" s="6"/>
      <c r="V27" s="3">
        <f t="shared" si="1"/>
        <v>100</v>
      </c>
      <c r="W27" s="17" t="s">
        <v>109</v>
      </c>
      <c r="X27" s="2"/>
    </row>
    <row r="28" spans="2:24" ht="5.0999999999999996" customHeight="1" x14ac:dyDescent="0.25"/>
    <row r="29" spans="2:24" x14ac:dyDescent="0.25">
      <c r="D29" s="8" t="s">
        <v>68</v>
      </c>
    </row>
  </sheetData>
  <mergeCells count="5">
    <mergeCell ref="D25:L25"/>
    <mergeCell ref="M25:U25"/>
    <mergeCell ref="D2:L2"/>
    <mergeCell ref="M2:U2"/>
    <mergeCell ref="V2:V3"/>
  </mergeCells>
  <pageMargins left="0.7" right="0.7" top="0.78740157500000008" bottom="0.7874015750000000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year 2021</vt:lpstr>
      <vt:lpstr>year 2022</vt:lpstr>
      <vt:lpstr>year 2023</vt:lpstr>
      <vt:lpstr>year 2024</vt:lpstr>
      <vt:lpstr>year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cvis_default</dc:creator>
  <cp:lastModifiedBy>Peter</cp:lastModifiedBy>
  <cp:revision>4</cp:revision>
  <dcterms:created xsi:type="dcterms:W3CDTF">2021-05-28T09:27:50Z</dcterms:created>
  <dcterms:modified xsi:type="dcterms:W3CDTF">2026-02-01T10:18:59Z</dcterms:modified>
</cp:coreProperties>
</file>