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gube\iCloudDrive\masters\Intership Files\"/>
    </mc:Choice>
  </mc:AlternateContent>
  <xr:revisionPtr revIDLastSave="0" documentId="13_ncr:1_{417C3F6C-D5E5-4A9A-BDCD-CADFACCB36C5}" xr6:coauthVersionLast="47" xr6:coauthVersionMax="47" xr10:uidLastSave="{00000000-0000-0000-0000-000000000000}"/>
  <bookViews>
    <workbookView xWindow="28692" yWindow="-108" windowWidth="29016" windowHeight="15696" tabRatio="483" xr2:uid="{00000000-000D-0000-FFFF-FFFF00000000}"/>
  </bookViews>
  <sheets>
    <sheet name="Tabelle1" sheetId="1" r:id="rId1"/>
  </sheets>
  <definedNames>
    <definedName name="_xlnm._FilterDatabase" localSheetId="0" hidden="1">Tabelle1!$A$1:$S$265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F261" i="1"/>
  <c r="F262" i="1" s="1"/>
  <c r="F263" i="1" s="1"/>
  <c r="F264" i="1" s="1"/>
  <c r="F265" i="1" s="1"/>
  <c r="F255" i="1"/>
  <c r="F256" i="1" s="1"/>
  <c r="F257" i="1" s="1"/>
  <c r="F258" i="1" s="1"/>
  <c r="F259" i="1" s="1"/>
  <c r="F249" i="1"/>
  <c r="F250" i="1" s="1"/>
  <c r="F251" i="1" s="1"/>
  <c r="F252" i="1" s="1"/>
  <c r="F253" i="1" s="1"/>
  <c r="F243" i="1"/>
  <c r="F244" i="1" s="1"/>
  <c r="F245" i="1" s="1"/>
  <c r="F246" i="1" s="1"/>
  <c r="F247" i="1" s="1"/>
  <c r="F237" i="1"/>
  <c r="F238" i="1" s="1"/>
  <c r="F239" i="1" s="1"/>
  <c r="F240" i="1" s="1"/>
  <c r="F241" i="1" s="1"/>
  <c r="F231" i="1"/>
  <c r="F232" i="1" s="1"/>
  <c r="F233" i="1" s="1"/>
  <c r="F234" i="1" s="1"/>
  <c r="F235" i="1" s="1"/>
  <c r="F225" i="1"/>
  <c r="F226" i="1" s="1"/>
  <c r="F227" i="1" s="1"/>
  <c r="F228" i="1" s="1"/>
  <c r="F229" i="1" s="1"/>
  <c r="F219" i="1"/>
  <c r="F220" i="1" s="1"/>
  <c r="F221" i="1" s="1"/>
  <c r="F222" i="1" s="1"/>
  <c r="F223" i="1" s="1"/>
  <c r="F213" i="1"/>
  <c r="F214" i="1" s="1"/>
  <c r="F215" i="1" s="1"/>
  <c r="F216" i="1" s="1"/>
  <c r="F217" i="1" s="1"/>
  <c r="F207" i="1"/>
  <c r="F208" i="1" s="1"/>
  <c r="F209" i="1" s="1"/>
  <c r="F210" i="1" s="1"/>
  <c r="F211" i="1" s="1"/>
  <c r="F201" i="1"/>
  <c r="F202" i="1" s="1"/>
  <c r="F203" i="1" s="1"/>
  <c r="F204" i="1" s="1"/>
  <c r="F205" i="1" s="1"/>
  <c r="F195" i="1"/>
  <c r="F196" i="1" s="1"/>
  <c r="F197" i="1" s="1"/>
  <c r="F198" i="1" s="1"/>
  <c r="F199" i="1" s="1"/>
  <c r="F189" i="1"/>
  <c r="F190" i="1" s="1"/>
  <c r="F191" i="1" s="1"/>
  <c r="F192" i="1" s="1"/>
  <c r="F193" i="1" s="1"/>
  <c r="F183" i="1"/>
  <c r="F184" i="1" s="1"/>
  <c r="F185" i="1" s="1"/>
  <c r="F186" i="1" s="1"/>
  <c r="F187" i="1" s="1"/>
  <c r="F177" i="1"/>
  <c r="F178" i="1" s="1"/>
  <c r="F179" i="1" s="1"/>
  <c r="F180" i="1" s="1"/>
  <c r="F181" i="1" s="1"/>
  <c r="F171" i="1"/>
  <c r="F172" i="1" s="1"/>
  <c r="F173" i="1" s="1"/>
  <c r="F174" i="1" s="1"/>
  <c r="F175" i="1" s="1"/>
  <c r="F165" i="1"/>
  <c r="F166" i="1" s="1"/>
  <c r="F167" i="1" s="1"/>
  <c r="F168" i="1" s="1"/>
  <c r="F169" i="1" s="1"/>
  <c r="N2" i="1"/>
</calcChain>
</file>

<file path=xl/sharedStrings.xml><?xml version="1.0" encoding="utf-8"?>
<sst xmlns="http://schemas.openxmlformats.org/spreadsheetml/2006/main" count="1317" uniqueCount="209">
  <si>
    <t>stream</t>
  </si>
  <si>
    <t>catchment</t>
  </si>
  <si>
    <t>type</t>
  </si>
  <si>
    <t>replicate</t>
  </si>
  <si>
    <t>date_deployment</t>
  </si>
  <si>
    <t>time_deployment</t>
  </si>
  <si>
    <t>date_sampled</t>
  </si>
  <si>
    <t>time_sampled</t>
  </si>
  <si>
    <t>bag_ID</t>
  </si>
  <si>
    <t>no_disks_DNA</t>
  </si>
  <si>
    <t>no_disks_FA</t>
  </si>
  <si>
    <t>no_disks_SIA</t>
  </si>
  <si>
    <t>no_disks_OMD</t>
  </si>
  <si>
    <t>no_disks_all</t>
  </si>
  <si>
    <t>rest_60_g</t>
  </si>
  <si>
    <t>rest_500_g</t>
  </si>
  <si>
    <t>OMD_60_mg</t>
  </si>
  <si>
    <t>OMD_500_mg</t>
  </si>
  <si>
    <t>comments</t>
  </si>
  <si>
    <t>BOYkl</t>
  </si>
  <si>
    <t>Boye</t>
  </si>
  <si>
    <t>fine</t>
  </si>
  <si>
    <t>rep 1</t>
  </si>
  <si>
    <t>rep 2</t>
  </si>
  <si>
    <t>rep 3</t>
  </si>
  <si>
    <t>coarse</t>
  </si>
  <si>
    <t>L036</t>
  </si>
  <si>
    <t>L118</t>
  </si>
  <si>
    <t>L190</t>
  </si>
  <si>
    <t>BOYohB224</t>
  </si>
  <si>
    <t>L227</t>
  </si>
  <si>
    <t>L059</t>
  </si>
  <si>
    <t>L160</t>
  </si>
  <si>
    <t>BOYohBr</t>
  </si>
  <si>
    <t>L146</t>
  </si>
  <si>
    <t>L156</t>
  </si>
  <si>
    <t>L204</t>
  </si>
  <si>
    <t>BOYohKi</t>
  </si>
  <si>
    <t>L201</t>
  </si>
  <si>
    <t>L005</t>
  </si>
  <si>
    <t>L015</t>
  </si>
  <si>
    <t>BOYohSp</t>
  </si>
  <si>
    <t>L148</t>
  </si>
  <si>
    <t>L071</t>
  </si>
  <si>
    <t>L067</t>
  </si>
  <si>
    <t>BOYuhHa</t>
  </si>
  <si>
    <t>L044</t>
  </si>
  <si>
    <t>L014</t>
  </si>
  <si>
    <t>L113</t>
  </si>
  <si>
    <t>BOYuhSp</t>
  </si>
  <si>
    <t>L159</t>
  </si>
  <si>
    <t>L139</t>
  </si>
  <si>
    <t>L082</t>
  </si>
  <si>
    <t>BRAob</t>
  </si>
  <si>
    <t>L178</t>
  </si>
  <si>
    <t>L200</t>
  </si>
  <si>
    <t>L208</t>
  </si>
  <si>
    <t>BRAohBo</t>
  </si>
  <si>
    <t>L213</t>
  </si>
  <si>
    <t>L081</t>
  </si>
  <si>
    <t>L064</t>
  </si>
  <si>
    <t>HAAob</t>
  </si>
  <si>
    <t>L073</t>
  </si>
  <si>
    <t>L317</t>
  </si>
  <si>
    <t>L109</t>
  </si>
  <si>
    <t>HAAun</t>
  </si>
  <si>
    <t>L320</t>
  </si>
  <si>
    <t>L195</t>
  </si>
  <si>
    <t>L011</t>
  </si>
  <si>
    <t>KIRob</t>
  </si>
  <si>
    <t>L147</t>
  </si>
  <si>
    <t>L145</t>
  </si>
  <si>
    <t>C120</t>
  </si>
  <si>
    <t>KIRun</t>
  </si>
  <si>
    <t>L110</t>
  </si>
  <si>
    <t>L116</t>
  </si>
  <si>
    <t>L172</t>
  </si>
  <si>
    <t>LIEohBo</t>
  </si>
  <si>
    <t>L039</t>
  </si>
  <si>
    <t>L203</t>
  </si>
  <si>
    <t>L138</t>
  </si>
  <si>
    <t>NATohBo</t>
  </si>
  <si>
    <t>L125</t>
  </si>
  <si>
    <t>L008</t>
  </si>
  <si>
    <t>L202</t>
  </si>
  <si>
    <t>QUAohBo</t>
  </si>
  <si>
    <t>L074</t>
  </si>
  <si>
    <t>L313</t>
  </si>
  <si>
    <t>L120</t>
  </si>
  <si>
    <t>ROTB</t>
  </si>
  <si>
    <t>L173</t>
  </si>
  <si>
    <t>L197</t>
  </si>
  <si>
    <t>L035</t>
  </si>
  <si>
    <t>SCHB</t>
  </si>
  <si>
    <t>L184</t>
  </si>
  <si>
    <t>L129</t>
  </si>
  <si>
    <t>L076</t>
  </si>
  <si>
    <t>SCHohVo</t>
  </si>
  <si>
    <t>L049</t>
  </si>
  <si>
    <t>L078</t>
  </si>
  <si>
    <t>L099</t>
  </si>
  <si>
    <t>SPEB</t>
  </si>
  <si>
    <t>L192</t>
  </si>
  <si>
    <t>L128</t>
  </si>
  <si>
    <t>L007</t>
  </si>
  <si>
    <t>VORohBo</t>
  </si>
  <si>
    <t>L013</t>
  </si>
  <si>
    <t>L126</t>
  </si>
  <si>
    <t>L066</t>
  </si>
  <si>
    <t>VORuhSc</t>
  </si>
  <si>
    <t>L318</t>
  </si>
  <si>
    <t>L183</t>
  </si>
  <si>
    <t>L030</t>
  </si>
  <si>
    <t>WITob</t>
  </si>
  <si>
    <t>L025</t>
  </si>
  <si>
    <t>L057</t>
  </si>
  <si>
    <t>L166</t>
  </si>
  <si>
    <t>BIE1</t>
  </si>
  <si>
    <t>Kinzig</t>
  </si>
  <si>
    <t>L214</t>
  </si>
  <si>
    <t>L199</t>
  </si>
  <si>
    <t>L096</t>
  </si>
  <si>
    <t>BIE2</t>
  </si>
  <si>
    <t>L027</t>
  </si>
  <si>
    <t>L150</t>
  </si>
  <si>
    <t>L012</t>
  </si>
  <si>
    <t>BRA1</t>
  </si>
  <si>
    <t>L069</t>
  </si>
  <si>
    <t>L215</t>
  </si>
  <si>
    <t>X</t>
  </si>
  <si>
    <t>BRA2</t>
  </si>
  <si>
    <t>L017</t>
  </si>
  <si>
    <t>L048</t>
  </si>
  <si>
    <t>FAL1</t>
  </si>
  <si>
    <t>C115</t>
  </si>
  <si>
    <t>L142</t>
  </si>
  <si>
    <t>L167</t>
  </si>
  <si>
    <t>FAL2</t>
  </si>
  <si>
    <t>GRU1</t>
  </si>
  <si>
    <t>L187</t>
  </si>
  <si>
    <t>L090</t>
  </si>
  <si>
    <t>L152</t>
  </si>
  <si>
    <t>GRU2</t>
  </si>
  <si>
    <t>L220</t>
  </si>
  <si>
    <t>L153</t>
  </si>
  <si>
    <t>C116</t>
  </si>
  <si>
    <t>KIN1</t>
  </si>
  <si>
    <t>L108</t>
  </si>
  <si>
    <t>L079</t>
  </si>
  <si>
    <t>L029</t>
  </si>
  <si>
    <t>KIN2</t>
  </si>
  <si>
    <t>L149</t>
  </si>
  <si>
    <t>L043</t>
  </si>
  <si>
    <t>L122</t>
  </si>
  <si>
    <t>KIN3</t>
  </si>
  <si>
    <t>L209</t>
  </si>
  <si>
    <t>C114</t>
  </si>
  <si>
    <t>L176</t>
  </si>
  <si>
    <t>KIN4</t>
  </si>
  <si>
    <t>L315</t>
  </si>
  <si>
    <t>L210</t>
  </si>
  <si>
    <t>L053</t>
  </si>
  <si>
    <t>KRE1</t>
  </si>
  <si>
    <t>L158</t>
  </si>
  <si>
    <t>L088</t>
  </si>
  <si>
    <t>L047</t>
  </si>
  <si>
    <t>KRE2</t>
  </si>
  <si>
    <t>L023</t>
  </si>
  <si>
    <t>L119</t>
  </si>
  <si>
    <t>L077</t>
  </si>
  <si>
    <t>KLI</t>
  </si>
  <si>
    <t>L062</t>
  </si>
  <si>
    <t>L101</t>
  </si>
  <si>
    <t>L086</t>
  </si>
  <si>
    <t>ORB1</t>
  </si>
  <si>
    <t>L052</t>
  </si>
  <si>
    <t>L217</t>
  </si>
  <si>
    <t>L127</t>
  </si>
  <si>
    <t>ORB2</t>
  </si>
  <si>
    <t>L038</t>
  </si>
  <si>
    <t>L089</t>
  </si>
  <si>
    <t>L311</t>
  </si>
  <si>
    <t>SAL1</t>
  </si>
  <si>
    <t>KAFE</t>
  </si>
  <si>
    <t>L105</t>
  </si>
  <si>
    <t>L140</t>
  </si>
  <si>
    <t>SAL2</t>
  </si>
  <si>
    <t>L221</t>
  </si>
  <si>
    <t>L223</t>
  </si>
  <si>
    <t>L028</t>
  </si>
  <si>
    <t>STE1</t>
  </si>
  <si>
    <t>C111</t>
  </si>
  <si>
    <t>L225</t>
  </si>
  <si>
    <t>L075</t>
  </si>
  <si>
    <t>STE2</t>
  </si>
  <si>
    <t>L112</t>
  </si>
  <si>
    <t>L003</t>
  </si>
  <si>
    <t>L319</t>
  </si>
  <si>
    <t>NA</t>
  </si>
  <si>
    <t>C118</t>
  </si>
  <si>
    <t>L314</t>
  </si>
  <si>
    <t>Insufficient intact leaf material available for disc preparation.</t>
  </si>
  <si>
    <t>Insufficient intact leaf material OMD analysis.</t>
  </si>
  <si>
    <t xml:space="preserve">leaves Leaf material fully decomposed only stems remained </t>
  </si>
  <si>
    <t>Significant leaf consumption by macroinvertebrates observed</t>
  </si>
  <si>
    <t>Only DNA sample disc could be prepared due to limited leaf material.</t>
  </si>
  <si>
    <t>Sample bags retrieved from stream shore</t>
  </si>
  <si>
    <t>Sample bag missing</t>
  </si>
  <si>
    <t>no measurable material for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</si>
</sst>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.000"/>
    <numFmt numFmtId="166" formatCode="#,##0.000"/>
  </numFmts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6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2"/>
  </cellXfs>
  <cellStyles count="3">
    <cellStyle name="Normal" xfId="0" builtinId="0"/>
    <cellStyle name="Normal 2" xfId="2" xr:uid="{8735E697-BDAB-4C35-A709-682CF4A29D51}"/>
    <cellStyle name="Standard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6"/>
  <sheetViews>
    <sheetView tabSelected="1" zoomScaleNormal="100" workbookViewId="0">
      <selection activeCell="F9" sqref="F9"/>
    </sheetView>
  </sheetViews>
  <sheetFormatPr defaultColWidth="10.6640625" defaultRowHeight="14.4" x14ac:dyDescent="0.3"/>
  <cols>
    <col min="2" max="2" width="9.6640625" bestFit="1" customWidth="1"/>
    <col min="3" max="3" width="6.44140625" bestFit="1" customWidth="1"/>
    <col min="4" max="4" width="17.88671875" customWidth="1"/>
    <col min="5" max="5" width="15.44140625" bestFit="1" customWidth="1"/>
    <col min="6" max="6" width="15.44140625" style="1" bestFit="1" customWidth="1"/>
    <col min="7" max="7" width="12.44140625" style="2" bestFit="1" customWidth="1"/>
    <col min="8" max="8" width="12.44140625" style="1" bestFit="1" customWidth="1"/>
    <col min="9" max="9" width="6.6640625" style="3" bestFit="1" customWidth="1"/>
    <col min="10" max="10" width="12.6640625" style="7" bestFit="1" customWidth="1"/>
    <col min="11" max="11" width="11" style="7" bestFit="1" customWidth="1"/>
    <col min="12" max="12" width="11.5546875" style="7" bestFit="1" customWidth="1"/>
    <col min="13" max="13" width="13.33203125" style="7" bestFit="1" customWidth="1"/>
    <col min="14" max="14" width="10.88671875" style="7" bestFit="1" customWidth="1"/>
    <col min="15" max="15" width="9" style="9" bestFit="1" customWidth="1"/>
    <col min="16" max="16" width="10" style="9" bestFit="1" customWidth="1"/>
    <col min="17" max="17" width="11.6640625" style="10" bestFit="1" customWidth="1"/>
    <col min="18" max="18" width="12.6640625" style="10" bestFit="1" customWidth="1"/>
    <col min="19" max="19" width="57.88671875" bestFit="1" customWidth="1"/>
    <col min="20" max="20" width="7.6640625" customWidth="1"/>
    <col min="21" max="21" width="9.88671875" customWidth="1"/>
  </cols>
  <sheetData>
    <row r="1" spans="1:19" s="11" customForma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3" t="s">
        <v>5</v>
      </c>
      <c r="G1" s="14" t="s">
        <v>6</v>
      </c>
      <c r="H1" s="13" t="s">
        <v>7</v>
      </c>
      <c r="I1" s="5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5" t="s">
        <v>16</v>
      </c>
      <c r="R1" s="15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s="2">
        <v>45720</v>
      </c>
      <c r="F2" s="1">
        <v>0.51041666666666696</v>
      </c>
      <c r="G2" s="2">
        <v>45735</v>
      </c>
      <c r="H2" s="1">
        <v>0.48611111111111099</v>
      </c>
      <c r="I2" s="3">
        <v>675</v>
      </c>
      <c r="J2">
        <v>1</v>
      </c>
      <c r="K2">
        <v>3</v>
      </c>
      <c r="L2">
        <v>4</v>
      </c>
      <c r="M2">
        <v>5</v>
      </c>
      <c r="N2">
        <f t="shared" ref="N2:N65" si="0">SUM(J2:M2)</f>
        <v>13</v>
      </c>
      <c r="O2" s="4">
        <v>2.2850000000000001</v>
      </c>
      <c r="P2" s="4">
        <v>0.16700000000000001</v>
      </c>
      <c r="Q2" s="10">
        <v>15.49</v>
      </c>
      <c r="R2" s="10">
        <v>1.06</v>
      </c>
    </row>
    <row r="3" spans="1:19" x14ac:dyDescent="0.3">
      <c r="A3" t="s">
        <v>19</v>
      </c>
      <c r="B3" t="s">
        <v>20</v>
      </c>
      <c r="C3" t="s">
        <v>21</v>
      </c>
      <c r="D3" t="s">
        <v>23</v>
      </c>
      <c r="E3" s="2">
        <v>45720</v>
      </c>
      <c r="F3" s="1">
        <v>0.51388888888888895</v>
      </c>
      <c r="G3" s="2">
        <v>45735</v>
      </c>
      <c r="H3" s="1">
        <v>1.4861111111111101</v>
      </c>
      <c r="I3" s="3">
        <v>527</v>
      </c>
      <c r="J3">
        <v>1</v>
      </c>
      <c r="K3">
        <v>3</v>
      </c>
      <c r="L3">
        <v>4</v>
      </c>
      <c r="M3">
        <v>5</v>
      </c>
      <c r="N3">
        <f t="shared" si="0"/>
        <v>13</v>
      </c>
      <c r="O3" s="4">
        <v>2.4</v>
      </c>
      <c r="P3" s="4">
        <v>0.21299999999999999</v>
      </c>
      <c r="Q3" s="10">
        <v>14.55</v>
      </c>
      <c r="R3" s="10">
        <v>0.99</v>
      </c>
    </row>
    <row r="4" spans="1:19" x14ac:dyDescent="0.3">
      <c r="A4" t="s">
        <v>19</v>
      </c>
      <c r="B4" t="s">
        <v>20</v>
      </c>
      <c r="C4" t="s">
        <v>21</v>
      </c>
      <c r="D4" t="s">
        <v>24</v>
      </c>
      <c r="E4" s="2">
        <v>45720</v>
      </c>
      <c r="F4" s="1">
        <v>0.51736111111111105</v>
      </c>
      <c r="G4" s="2">
        <v>45735</v>
      </c>
      <c r="H4" s="1">
        <v>2.4861111111111098</v>
      </c>
      <c r="I4" s="3">
        <v>294</v>
      </c>
      <c r="J4">
        <v>1</v>
      </c>
      <c r="K4">
        <v>3</v>
      </c>
      <c r="L4">
        <v>4</v>
      </c>
      <c r="M4">
        <v>5</v>
      </c>
      <c r="N4">
        <f t="shared" si="0"/>
        <v>13</v>
      </c>
      <c r="O4" s="4">
        <v>2.371</v>
      </c>
      <c r="P4" s="4">
        <v>0.24099999999999999</v>
      </c>
      <c r="Q4" s="10">
        <v>15.44</v>
      </c>
      <c r="R4" s="10">
        <v>1.18</v>
      </c>
    </row>
    <row r="5" spans="1:19" x14ac:dyDescent="0.3">
      <c r="A5" t="s">
        <v>19</v>
      </c>
      <c r="B5" t="s">
        <v>20</v>
      </c>
      <c r="C5" t="s">
        <v>25</v>
      </c>
      <c r="D5" t="s">
        <v>22</v>
      </c>
      <c r="E5" s="2">
        <v>45720</v>
      </c>
      <c r="F5" s="1">
        <v>0.52083333333333304</v>
      </c>
      <c r="G5" s="2">
        <v>45735</v>
      </c>
      <c r="H5" s="1">
        <v>3.4861111111111098</v>
      </c>
      <c r="I5" s="3" t="s">
        <v>26</v>
      </c>
      <c r="J5">
        <v>0</v>
      </c>
      <c r="K5">
        <v>0</v>
      </c>
      <c r="L5">
        <v>0</v>
      </c>
      <c r="M5">
        <v>0</v>
      </c>
      <c r="N5">
        <f t="shared" si="0"/>
        <v>0</v>
      </c>
      <c r="O5" s="4">
        <v>0.14699999999999999</v>
      </c>
      <c r="P5" s="4">
        <v>1.7000000000000001E-2</v>
      </c>
      <c r="Q5" s="10">
        <v>0</v>
      </c>
      <c r="R5" s="10">
        <v>0</v>
      </c>
      <c r="S5" t="s">
        <v>201</v>
      </c>
    </row>
    <row r="6" spans="1:19" x14ac:dyDescent="0.3">
      <c r="A6" t="s">
        <v>19</v>
      </c>
      <c r="B6" t="s">
        <v>20</v>
      </c>
      <c r="C6" t="s">
        <v>25</v>
      </c>
      <c r="D6" t="s">
        <v>23</v>
      </c>
      <c r="E6" s="2">
        <v>45720</v>
      </c>
      <c r="F6" s="1">
        <v>0.52430555555555602</v>
      </c>
      <c r="G6" s="2">
        <v>45735</v>
      </c>
      <c r="H6" s="1">
        <v>4.4861111111111098</v>
      </c>
      <c r="I6" s="3" t="s">
        <v>27</v>
      </c>
      <c r="J6">
        <v>1</v>
      </c>
      <c r="K6">
        <v>3</v>
      </c>
      <c r="L6">
        <v>4</v>
      </c>
      <c r="M6">
        <v>5</v>
      </c>
      <c r="N6">
        <f t="shared" si="0"/>
        <v>13</v>
      </c>
      <c r="O6" s="4">
        <v>0.23599999999999999</v>
      </c>
      <c r="P6" s="4">
        <v>6.0000000000000001E-3</v>
      </c>
      <c r="Q6" s="10">
        <v>10.9</v>
      </c>
      <c r="R6" s="10">
        <v>0.92</v>
      </c>
    </row>
    <row r="7" spans="1:19" x14ac:dyDescent="0.3">
      <c r="A7" t="s">
        <v>19</v>
      </c>
      <c r="B7" t="s">
        <v>20</v>
      </c>
      <c r="C7" t="s">
        <v>25</v>
      </c>
      <c r="D7" t="s">
        <v>24</v>
      </c>
      <c r="E7" s="2">
        <v>45720</v>
      </c>
      <c r="F7" s="1">
        <v>0.61111111111111105</v>
      </c>
      <c r="G7" s="2">
        <v>45735</v>
      </c>
      <c r="H7" s="1">
        <v>5.4861111111111098</v>
      </c>
      <c r="I7" s="3" t="s">
        <v>28</v>
      </c>
      <c r="J7">
        <v>1</v>
      </c>
      <c r="K7">
        <v>0</v>
      </c>
      <c r="L7">
        <v>0</v>
      </c>
      <c r="M7">
        <v>4</v>
      </c>
      <c r="N7">
        <f t="shared" si="0"/>
        <v>5</v>
      </c>
      <c r="O7" s="4">
        <v>0.245</v>
      </c>
      <c r="P7" s="4">
        <v>1.2999999999999999E-2</v>
      </c>
      <c r="Q7" s="10">
        <v>13.08</v>
      </c>
      <c r="R7" s="10">
        <v>0.77</v>
      </c>
    </row>
    <row r="8" spans="1:19" x14ac:dyDescent="0.3">
      <c r="A8" t="s">
        <v>29</v>
      </c>
      <c r="B8" t="s">
        <v>20</v>
      </c>
      <c r="C8" t="s">
        <v>21</v>
      </c>
      <c r="D8" t="s">
        <v>22</v>
      </c>
      <c r="E8" s="2">
        <v>45720</v>
      </c>
      <c r="F8" s="1">
        <v>0.71180555555555602</v>
      </c>
      <c r="G8" s="2">
        <v>45737</v>
      </c>
      <c r="H8" s="1">
        <v>0.5</v>
      </c>
      <c r="I8" s="3">
        <v>34</v>
      </c>
      <c r="J8">
        <v>1</v>
      </c>
      <c r="K8">
        <v>3</v>
      </c>
      <c r="L8">
        <v>4</v>
      </c>
      <c r="M8">
        <v>5</v>
      </c>
      <c r="N8">
        <f t="shared" si="0"/>
        <v>13</v>
      </c>
      <c r="O8" s="4">
        <v>2.6749999999999998</v>
      </c>
      <c r="P8" s="4">
        <v>0.433</v>
      </c>
      <c r="Q8" s="10">
        <v>27.56</v>
      </c>
      <c r="R8" s="10">
        <v>4.68</v>
      </c>
    </row>
    <row r="9" spans="1:19" x14ac:dyDescent="0.3">
      <c r="A9" t="s">
        <v>29</v>
      </c>
      <c r="B9" t="s">
        <v>20</v>
      </c>
      <c r="C9" t="s">
        <v>21</v>
      </c>
      <c r="D9" t="s">
        <v>23</v>
      </c>
      <c r="E9" s="2">
        <v>45720</v>
      </c>
      <c r="F9" s="1">
        <v>0.71875</v>
      </c>
      <c r="G9" s="2">
        <v>45737</v>
      </c>
      <c r="H9" s="1">
        <v>1.5</v>
      </c>
      <c r="I9" s="3">
        <v>124</v>
      </c>
      <c r="J9">
        <v>1</v>
      </c>
      <c r="K9">
        <v>3</v>
      </c>
      <c r="L9">
        <v>4</v>
      </c>
      <c r="M9">
        <v>5</v>
      </c>
      <c r="N9">
        <f t="shared" si="0"/>
        <v>13</v>
      </c>
      <c r="O9" s="4">
        <v>2.4209999999999998</v>
      </c>
      <c r="P9" s="4">
        <v>0.25</v>
      </c>
      <c r="Q9" s="10">
        <v>17.34</v>
      </c>
      <c r="R9" s="10">
        <v>1.47</v>
      </c>
    </row>
    <row r="10" spans="1:19" x14ac:dyDescent="0.3">
      <c r="A10" t="s">
        <v>29</v>
      </c>
      <c r="B10" t="s">
        <v>20</v>
      </c>
      <c r="C10" t="s">
        <v>21</v>
      </c>
      <c r="D10" t="s">
        <v>24</v>
      </c>
      <c r="E10" s="2">
        <v>45720</v>
      </c>
      <c r="F10" s="1">
        <v>0.72222222222222199</v>
      </c>
      <c r="G10" s="2">
        <v>45737</v>
      </c>
      <c r="H10" s="1">
        <v>2.5</v>
      </c>
      <c r="I10" s="3">
        <v>512</v>
      </c>
      <c r="J10">
        <v>1</v>
      </c>
      <c r="K10">
        <v>3</v>
      </c>
      <c r="L10">
        <v>4</v>
      </c>
      <c r="M10">
        <v>5</v>
      </c>
      <c r="N10">
        <f t="shared" si="0"/>
        <v>13</v>
      </c>
      <c r="O10" s="4">
        <v>2.649</v>
      </c>
      <c r="P10" s="4">
        <v>0.375</v>
      </c>
      <c r="Q10" s="10">
        <v>18.88</v>
      </c>
      <c r="R10" s="10">
        <v>2.36</v>
      </c>
    </row>
    <row r="11" spans="1:19" x14ac:dyDescent="0.3">
      <c r="A11" t="s">
        <v>29</v>
      </c>
      <c r="B11" t="s">
        <v>20</v>
      </c>
      <c r="C11" t="s">
        <v>25</v>
      </c>
      <c r="D11" t="s">
        <v>22</v>
      </c>
      <c r="E11" s="2">
        <v>45720</v>
      </c>
      <c r="F11" s="1">
        <v>0.72569444444444398</v>
      </c>
      <c r="G11" s="2">
        <v>45737</v>
      </c>
      <c r="H11" s="1">
        <v>3.5</v>
      </c>
      <c r="I11" s="3" t="s">
        <v>30</v>
      </c>
      <c r="J11">
        <v>1</v>
      </c>
      <c r="K11">
        <v>3</v>
      </c>
      <c r="L11">
        <v>0</v>
      </c>
      <c r="M11">
        <v>5</v>
      </c>
      <c r="N11">
        <f t="shared" si="0"/>
        <v>9</v>
      </c>
      <c r="O11" s="4">
        <v>0.80100000000000005</v>
      </c>
      <c r="P11" s="4">
        <v>7.8E-2</v>
      </c>
      <c r="Q11" s="10">
        <v>16.440000000000001</v>
      </c>
      <c r="R11" s="10">
        <v>1.41</v>
      </c>
    </row>
    <row r="12" spans="1:19" x14ac:dyDescent="0.3">
      <c r="A12" t="s">
        <v>29</v>
      </c>
      <c r="B12" t="s">
        <v>20</v>
      </c>
      <c r="C12" t="s">
        <v>25</v>
      </c>
      <c r="D12" t="s">
        <v>23</v>
      </c>
      <c r="E12" s="2">
        <v>45720</v>
      </c>
      <c r="F12" s="1">
        <v>0.72916666666666696</v>
      </c>
      <c r="G12" s="2">
        <v>45737</v>
      </c>
      <c r="H12" s="1">
        <v>4.5</v>
      </c>
      <c r="I12" s="3" t="s">
        <v>31</v>
      </c>
      <c r="J12">
        <v>1</v>
      </c>
      <c r="K12">
        <v>2</v>
      </c>
      <c r="L12">
        <v>0</v>
      </c>
      <c r="M12">
        <v>5</v>
      </c>
      <c r="N12">
        <f t="shared" si="0"/>
        <v>8</v>
      </c>
      <c r="O12" s="4">
        <v>0.56699999999999995</v>
      </c>
      <c r="P12" s="4">
        <v>5.1999999999999998E-2</v>
      </c>
      <c r="Q12" s="10">
        <v>13.79</v>
      </c>
      <c r="R12" s="10">
        <v>1.69</v>
      </c>
    </row>
    <row r="13" spans="1:19" x14ac:dyDescent="0.3">
      <c r="A13" t="s">
        <v>29</v>
      </c>
      <c r="B13" t="s">
        <v>20</v>
      </c>
      <c r="C13" t="s">
        <v>25</v>
      </c>
      <c r="D13" t="s">
        <v>24</v>
      </c>
      <c r="E13" s="2">
        <v>45720</v>
      </c>
      <c r="F13" s="1">
        <v>0.73263888888888895</v>
      </c>
      <c r="G13" s="2">
        <v>45737</v>
      </c>
      <c r="H13" s="1">
        <v>5.5</v>
      </c>
      <c r="I13" s="3" t="s">
        <v>32</v>
      </c>
      <c r="J13">
        <v>1</v>
      </c>
      <c r="K13">
        <v>3</v>
      </c>
      <c r="L13">
        <v>4</v>
      </c>
      <c r="M13">
        <v>5</v>
      </c>
      <c r="N13">
        <f t="shared" si="0"/>
        <v>13</v>
      </c>
      <c r="O13" s="4">
        <v>0.84099999999999997</v>
      </c>
      <c r="P13" s="4">
        <v>6.2E-2</v>
      </c>
      <c r="Q13" s="10">
        <v>18.95</v>
      </c>
      <c r="R13" s="10">
        <v>1.42</v>
      </c>
    </row>
    <row r="14" spans="1:19" x14ac:dyDescent="0.3">
      <c r="A14" t="s">
        <v>33</v>
      </c>
      <c r="B14" t="s">
        <v>20</v>
      </c>
      <c r="C14" t="s">
        <v>21</v>
      </c>
      <c r="D14" t="s">
        <v>22</v>
      </c>
      <c r="E14" s="2">
        <v>45720</v>
      </c>
      <c r="F14" s="1">
        <v>0.59722222222222199</v>
      </c>
      <c r="G14" s="2">
        <v>45736</v>
      </c>
      <c r="H14" s="1">
        <v>0.57638888888888895</v>
      </c>
      <c r="I14" s="3">
        <v>672</v>
      </c>
      <c r="J14">
        <v>1</v>
      </c>
      <c r="K14">
        <v>3</v>
      </c>
      <c r="L14">
        <v>4</v>
      </c>
      <c r="M14">
        <v>5</v>
      </c>
      <c r="N14">
        <f t="shared" si="0"/>
        <v>13</v>
      </c>
      <c r="O14" s="4">
        <v>2.2570000000000001</v>
      </c>
      <c r="P14" s="4">
        <v>0.27800000000000002</v>
      </c>
      <c r="Q14" s="10">
        <v>14.47</v>
      </c>
      <c r="R14" s="10">
        <v>1.5</v>
      </c>
    </row>
    <row r="15" spans="1:19" x14ac:dyDescent="0.3">
      <c r="A15" t="s">
        <v>33</v>
      </c>
      <c r="B15" t="s">
        <v>20</v>
      </c>
      <c r="C15" t="s">
        <v>21</v>
      </c>
      <c r="D15" t="s">
        <v>23</v>
      </c>
      <c r="E15" s="2">
        <v>45720</v>
      </c>
      <c r="F15" s="1">
        <v>0.60069444444444398</v>
      </c>
      <c r="G15" s="2">
        <v>45736</v>
      </c>
      <c r="H15" s="1">
        <v>0.57638888888888895</v>
      </c>
      <c r="I15" s="3">
        <v>61</v>
      </c>
      <c r="J15">
        <v>1</v>
      </c>
      <c r="K15">
        <v>3</v>
      </c>
      <c r="L15">
        <v>4</v>
      </c>
      <c r="M15">
        <v>5</v>
      </c>
      <c r="N15">
        <f t="shared" si="0"/>
        <v>13</v>
      </c>
      <c r="O15" s="4">
        <v>2.089</v>
      </c>
      <c r="P15" s="4">
        <v>0.23699999999999999</v>
      </c>
      <c r="Q15" s="10">
        <v>16.010000000000002</v>
      </c>
      <c r="R15" s="10">
        <v>1.33</v>
      </c>
    </row>
    <row r="16" spans="1:19" x14ac:dyDescent="0.3">
      <c r="A16" t="s">
        <v>33</v>
      </c>
      <c r="B16" t="s">
        <v>20</v>
      </c>
      <c r="C16" t="s">
        <v>21</v>
      </c>
      <c r="D16" t="s">
        <v>24</v>
      </c>
      <c r="E16" s="2">
        <v>45720</v>
      </c>
      <c r="F16" s="1">
        <v>0.60416666666666696</v>
      </c>
      <c r="G16" s="2">
        <v>45736</v>
      </c>
      <c r="H16" s="1">
        <v>0.57638888888888895</v>
      </c>
      <c r="I16" s="3">
        <v>573</v>
      </c>
      <c r="J16">
        <v>1</v>
      </c>
      <c r="K16">
        <v>3</v>
      </c>
      <c r="L16">
        <v>4</v>
      </c>
      <c r="M16">
        <v>5</v>
      </c>
      <c r="N16">
        <f t="shared" si="0"/>
        <v>13</v>
      </c>
      <c r="O16" s="4">
        <v>2.3039999999999998</v>
      </c>
      <c r="P16" s="4">
        <v>0.311</v>
      </c>
      <c r="Q16" s="10">
        <v>15.79</v>
      </c>
      <c r="R16" s="10">
        <v>1.1000000000000001</v>
      </c>
    </row>
    <row r="17" spans="1:19" x14ac:dyDescent="0.3">
      <c r="A17" t="s">
        <v>33</v>
      </c>
      <c r="B17" t="s">
        <v>20</v>
      </c>
      <c r="C17" t="s">
        <v>25</v>
      </c>
      <c r="D17" t="s">
        <v>22</v>
      </c>
      <c r="E17" s="2">
        <v>45720</v>
      </c>
      <c r="F17" s="1">
        <v>0.60763888888888895</v>
      </c>
      <c r="G17" s="2">
        <v>45736</v>
      </c>
      <c r="H17" s="1">
        <v>0.57638888888888895</v>
      </c>
      <c r="I17" s="3" t="s">
        <v>34</v>
      </c>
      <c r="J17">
        <v>1</v>
      </c>
      <c r="K17">
        <v>3</v>
      </c>
      <c r="L17">
        <v>2</v>
      </c>
      <c r="M17">
        <v>5</v>
      </c>
      <c r="N17">
        <f t="shared" si="0"/>
        <v>11</v>
      </c>
      <c r="O17" s="4">
        <v>0.496</v>
      </c>
      <c r="P17" s="4">
        <v>0.115</v>
      </c>
      <c r="Q17" s="10">
        <v>11.67</v>
      </c>
      <c r="R17" s="10">
        <v>1.28</v>
      </c>
    </row>
    <row r="18" spans="1:19" x14ac:dyDescent="0.3">
      <c r="A18" t="s">
        <v>33</v>
      </c>
      <c r="B18" t="s">
        <v>20</v>
      </c>
      <c r="C18" t="s">
        <v>25</v>
      </c>
      <c r="D18" t="s">
        <v>23</v>
      </c>
      <c r="E18" s="2">
        <v>45720</v>
      </c>
      <c r="F18" s="1">
        <v>0.61111111111111105</v>
      </c>
      <c r="G18" s="2">
        <v>45736</v>
      </c>
      <c r="H18" s="1">
        <v>0.57638888888888895</v>
      </c>
      <c r="I18" s="3" t="s">
        <v>35</v>
      </c>
      <c r="J18">
        <v>1</v>
      </c>
      <c r="K18">
        <v>0</v>
      </c>
      <c r="L18">
        <v>0</v>
      </c>
      <c r="M18">
        <v>0</v>
      </c>
      <c r="N18">
        <f t="shared" si="0"/>
        <v>1</v>
      </c>
      <c r="O18" s="4">
        <v>0.41399999999999998</v>
      </c>
      <c r="P18" s="4">
        <v>8.6999999999999994E-2</v>
      </c>
      <c r="Q18" s="10">
        <v>0</v>
      </c>
      <c r="R18" s="10">
        <v>0</v>
      </c>
      <c r="S18" t="s">
        <v>202</v>
      </c>
    </row>
    <row r="19" spans="1:19" x14ac:dyDescent="0.3">
      <c r="A19" t="s">
        <v>33</v>
      </c>
      <c r="B19" t="s">
        <v>20</v>
      </c>
      <c r="C19" t="s">
        <v>25</v>
      </c>
      <c r="D19" t="s">
        <v>24</v>
      </c>
      <c r="E19" s="2">
        <v>45720</v>
      </c>
      <c r="F19" s="1">
        <v>0.61458333333333304</v>
      </c>
      <c r="G19" s="2">
        <v>45736</v>
      </c>
      <c r="H19" s="1">
        <v>0.57638888888888895</v>
      </c>
      <c r="I19" s="3" t="s">
        <v>36</v>
      </c>
      <c r="J19">
        <v>0</v>
      </c>
      <c r="K19">
        <v>0</v>
      </c>
      <c r="L19">
        <v>0</v>
      </c>
      <c r="M19">
        <v>0</v>
      </c>
      <c r="N19">
        <f t="shared" si="0"/>
        <v>0</v>
      </c>
      <c r="O19" s="4">
        <v>0.29199999999999998</v>
      </c>
      <c r="P19" s="4">
        <v>0.09</v>
      </c>
      <c r="Q19" s="10">
        <v>0</v>
      </c>
      <c r="R19" s="10">
        <v>0</v>
      </c>
      <c r="S19" t="s">
        <v>203</v>
      </c>
    </row>
    <row r="20" spans="1:19" x14ac:dyDescent="0.3">
      <c r="A20" t="s">
        <v>37</v>
      </c>
      <c r="B20" t="s">
        <v>20</v>
      </c>
      <c r="C20" t="s">
        <v>21</v>
      </c>
      <c r="D20" t="s">
        <v>22</v>
      </c>
      <c r="E20" s="2">
        <v>45720</v>
      </c>
      <c r="F20" s="1">
        <v>0.41666666666666702</v>
      </c>
      <c r="G20" s="2">
        <v>45734</v>
      </c>
      <c r="H20" s="1">
        <v>0.36666666666666697</v>
      </c>
      <c r="I20" s="3">
        <v>16</v>
      </c>
      <c r="J20">
        <v>1</v>
      </c>
      <c r="K20">
        <v>3</v>
      </c>
      <c r="L20">
        <v>4</v>
      </c>
      <c r="M20">
        <v>5</v>
      </c>
      <c r="N20">
        <f t="shared" si="0"/>
        <v>13</v>
      </c>
      <c r="O20" s="4">
        <v>2.4769999999999999</v>
      </c>
      <c r="P20" s="4">
        <v>0.19800000000000001</v>
      </c>
      <c r="Q20" s="10">
        <v>16.12</v>
      </c>
      <c r="R20" s="10">
        <v>1.25</v>
      </c>
    </row>
    <row r="21" spans="1:19" x14ac:dyDescent="0.3">
      <c r="A21" t="s">
        <v>37</v>
      </c>
      <c r="B21" t="s">
        <v>20</v>
      </c>
      <c r="C21" t="s">
        <v>21</v>
      </c>
      <c r="D21" t="s">
        <v>23</v>
      </c>
      <c r="E21" s="2">
        <v>45720</v>
      </c>
      <c r="F21" s="1">
        <v>0.42013888888888901</v>
      </c>
      <c r="G21" s="2">
        <v>45734</v>
      </c>
      <c r="H21" s="1">
        <v>1.36666666666667</v>
      </c>
      <c r="I21" s="3">
        <v>504</v>
      </c>
      <c r="J21">
        <v>1</v>
      </c>
      <c r="K21">
        <v>3</v>
      </c>
      <c r="L21">
        <v>4</v>
      </c>
      <c r="M21">
        <v>5</v>
      </c>
      <c r="N21">
        <f t="shared" si="0"/>
        <v>13</v>
      </c>
      <c r="O21" s="4">
        <v>2.262</v>
      </c>
      <c r="P21" s="4">
        <v>0.18</v>
      </c>
      <c r="Q21" s="10">
        <v>19.13</v>
      </c>
      <c r="R21" s="10">
        <v>1.24</v>
      </c>
    </row>
    <row r="22" spans="1:19" x14ac:dyDescent="0.3">
      <c r="A22" t="s">
        <v>37</v>
      </c>
      <c r="B22" t="s">
        <v>20</v>
      </c>
      <c r="C22" t="s">
        <v>21</v>
      </c>
      <c r="D22" t="s">
        <v>24</v>
      </c>
      <c r="E22" s="2">
        <v>45720</v>
      </c>
      <c r="F22" s="1">
        <v>0.421527777777778</v>
      </c>
      <c r="G22" s="2">
        <v>45734</v>
      </c>
      <c r="H22" s="1">
        <v>2.3666666666666698</v>
      </c>
      <c r="I22" s="3">
        <v>577</v>
      </c>
      <c r="J22">
        <v>1</v>
      </c>
      <c r="K22">
        <v>3</v>
      </c>
      <c r="L22">
        <v>4</v>
      </c>
      <c r="M22">
        <v>5</v>
      </c>
      <c r="N22">
        <f t="shared" si="0"/>
        <v>13</v>
      </c>
      <c r="O22" s="4">
        <v>2.621</v>
      </c>
      <c r="P22" s="4">
        <v>0.34200000000000003</v>
      </c>
      <c r="Q22" s="10">
        <v>16.579999999999998</v>
      </c>
      <c r="R22" s="10">
        <v>1.38</v>
      </c>
    </row>
    <row r="23" spans="1:19" x14ac:dyDescent="0.3">
      <c r="A23" t="s">
        <v>37</v>
      </c>
      <c r="B23" t="s">
        <v>20</v>
      </c>
      <c r="C23" t="s">
        <v>25</v>
      </c>
      <c r="D23" t="s">
        <v>22</v>
      </c>
      <c r="E23" s="2">
        <v>45720</v>
      </c>
      <c r="F23" s="1">
        <v>0.42361111111111099</v>
      </c>
      <c r="G23" s="2">
        <v>45734</v>
      </c>
      <c r="H23" s="1">
        <v>3.3666666666666698</v>
      </c>
      <c r="I23" s="3" t="s">
        <v>38</v>
      </c>
      <c r="J23" s="7">
        <v>1</v>
      </c>
      <c r="K23" s="7">
        <v>3</v>
      </c>
      <c r="L23" s="7">
        <v>4</v>
      </c>
      <c r="M23" s="7">
        <v>5</v>
      </c>
      <c r="N23">
        <f t="shared" si="0"/>
        <v>13</v>
      </c>
      <c r="O23" s="9">
        <v>1.155</v>
      </c>
      <c r="P23" s="9">
        <v>8.6999999999999994E-2</v>
      </c>
      <c r="Q23" s="10">
        <v>16.41</v>
      </c>
      <c r="R23" s="10">
        <v>1.46</v>
      </c>
    </row>
    <row r="24" spans="1:19" x14ac:dyDescent="0.3">
      <c r="A24" t="s">
        <v>37</v>
      </c>
      <c r="B24" t="s">
        <v>20</v>
      </c>
      <c r="C24" t="s">
        <v>25</v>
      </c>
      <c r="D24" t="s">
        <v>23</v>
      </c>
      <c r="E24" s="2">
        <v>45720</v>
      </c>
      <c r="F24" s="1">
        <v>0.42499999999999999</v>
      </c>
      <c r="G24" s="2">
        <v>45734</v>
      </c>
      <c r="H24" s="1">
        <v>4.3666666666666698</v>
      </c>
      <c r="I24" s="3" t="s">
        <v>39</v>
      </c>
      <c r="J24">
        <v>1</v>
      </c>
      <c r="K24">
        <v>3</v>
      </c>
      <c r="L24">
        <v>4</v>
      </c>
      <c r="M24">
        <v>5</v>
      </c>
      <c r="N24">
        <f t="shared" si="0"/>
        <v>13</v>
      </c>
      <c r="O24" s="4">
        <v>1.157</v>
      </c>
      <c r="P24" s="4">
        <v>0.10100000000000001</v>
      </c>
      <c r="Q24" s="10">
        <v>16.41</v>
      </c>
      <c r="R24" s="10">
        <v>0.9</v>
      </c>
    </row>
    <row r="25" spans="1:19" x14ac:dyDescent="0.3">
      <c r="A25" t="s">
        <v>37</v>
      </c>
      <c r="B25" t="s">
        <v>20</v>
      </c>
      <c r="C25" t="s">
        <v>25</v>
      </c>
      <c r="D25" t="s">
        <v>24</v>
      </c>
      <c r="E25" s="2">
        <v>45720</v>
      </c>
      <c r="F25" s="1">
        <v>0.42708333333333298</v>
      </c>
      <c r="G25" s="2">
        <v>45734</v>
      </c>
      <c r="H25" s="1">
        <v>5.3666666666666698</v>
      </c>
      <c r="I25" s="3" t="s">
        <v>40</v>
      </c>
      <c r="J25" s="7">
        <v>0</v>
      </c>
      <c r="K25" s="7">
        <v>0</v>
      </c>
      <c r="L25" s="7">
        <v>0</v>
      </c>
      <c r="M25" s="7">
        <v>0</v>
      </c>
      <c r="N25">
        <f t="shared" si="0"/>
        <v>0</v>
      </c>
      <c r="O25" s="9">
        <v>0.30599999999999999</v>
      </c>
      <c r="P25" s="9">
        <v>2.3E-2</v>
      </c>
      <c r="Q25" s="10">
        <v>0</v>
      </c>
      <c r="R25" s="10">
        <v>0</v>
      </c>
      <c r="S25" t="s">
        <v>208</v>
      </c>
    </row>
    <row r="26" spans="1:19" x14ac:dyDescent="0.3">
      <c r="A26" t="s">
        <v>41</v>
      </c>
      <c r="B26" t="s">
        <v>20</v>
      </c>
      <c r="C26" t="s">
        <v>21</v>
      </c>
      <c r="D26" t="s">
        <v>22</v>
      </c>
      <c r="E26" s="2">
        <v>45720</v>
      </c>
      <c r="F26" s="1">
        <v>0.63194444444444398</v>
      </c>
      <c r="G26" s="2">
        <v>45734</v>
      </c>
      <c r="H26" s="1">
        <v>0.56597222222222199</v>
      </c>
      <c r="I26" s="3">
        <v>63</v>
      </c>
      <c r="J26">
        <v>1</v>
      </c>
      <c r="K26">
        <v>3</v>
      </c>
      <c r="L26">
        <v>4</v>
      </c>
      <c r="M26">
        <v>5</v>
      </c>
      <c r="N26">
        <f t="shared" si="0"/>
        <v>13</v>
      </c>
      <c r="O26" s="4">
        <v>2.44</v>
      </c>
      <c r="P26" s="4">
        <v>0.219</v>
      </c>
      <c r="Q26" s="10">
        <v>15.48</v>
      </c>
      <c r="R26" s="10">
        <v>0.95</v>
      </c>
    </row>
    <row r="27" spans="1:19" x14ac:dyDescent="0.3">
      <c r="A27" t="s">
        <v>41</v>
      </c>
      <c r="B27" t="s">
        <v>20</v>
      </c>
      <c r="C27" t="s">
        <v>21</v>
      </c>
      <c r="D27" t="s">
        <v>23</v>
      </c>
      <c r="E27" s="2">
        <v>45720</v>
      </c>
      <c r="F27" s="1">
        <v>0.63611111111111096</v>
      </c>
      <c r="G27" s="2">
        <v>45734</v>
      </c>
      <c r="H27" s="1">
        <v>1.5659722222222201</v>
      </c>
      <c r="I27" s="3">
        <v>136</v>
      </c>
      <c r="J27">
        <v>1</v>
      </c>
      <c r="K27">
        <v>3</v>
      </c>
      <c r="L27">
        <v>4</v>
      </c>
      <c r="M27">
        <v>5</v>
      </c>
      <c r="N27">
        <f t="shared" si="0"/>
        <v>13</v>
      </c>
      <c r="O27" s="4">
        <v>2.2349999999999999</v>
      </c>
      <c r="P27" s="4">
        <v>0.158</v>
      </c>
      <c r="Q27" s="10">
        <v>18.34</v>
      </c>
      <c r="R27" s="10">
        <v>1.18</v>
      </c>
    </row>
    <row r="28" spans="1:19" x14ac:dyDescent="0.3">
      <c r="A28" t="s">
        <v>41</v>
      </c>
      <c r="B28" t="s">
        <v>20</v>
      </c>
      <c r="C28" t="s">
        <v>21</v>
      </c>
      <c r="D28" t="s">
        <v>24</v>
      </c>
      <c r="E28" s="2">
        <v>45720</v>
      </c>
      <c r="F28" s="1">
        <v>0.63680555555555596</v>
      </c>
      <c r="G28" s="2">
        <v>45734</v>
      </c>
      <c r="H28" s="1">
        <v>2.5659722222222201</v>
      </c>
      <c r="I28" s="3">
        <v>523</v>
      </c>
      <c r="J28">
        <v>1</v>
      </c>
      <c r="K28">
        <v>3</v>
      </c>
      <c r="L28">
        <v>4</v>
      </c>
      <c r="M28">
        <v>5</v>
      </c>
      <c r="N28">
        <f t="shared" si="0"/>
        <v>13</v>
      </c>
      <c r="O28" s="4">
        <v>2.5419999999999998</v>
      </c>
      <c r="P28" s="4">
        <v>0.27600000000000002</v>
      </c>
      <c r="Q28" s="10">
        <v>17.95</v>
      </c>
      <c r="R28" s="10">
        <v>1.4</v>
      </c>
    </row>
    <row r="29" spans="1:19" x14ac:dyDescent="0.3">
      <c r="A29" t="s">
        <v>41</v>
      </c>
      <c r="B29" t="s">
        <v>20</v>
      </c>
      <c r="C29" t="s">
        <v>25</v>
      </c>
      <c r="D29" t="s">
        <v>22</v>
      </c>
      <c r="E29" s="2">
        <v>45720</v>
      </c>
      <c r="F29" s="1">
        <v>0.63749999999999996</v>
      </c>
      <c r="G29" s="2">
        <v>45734</v>
      </c>
      <c r="H29" s="1">
        <v>3.5659722222222201</v>
      </c>
      <c r="I29" s="3" t="s">
        <v>42</v>
      </c>
      <c r="J29" s="7">
        <v>1</v>
      </c>
      <c r="K29" s="7">
        <v>0</v>
      </c>
      <c r="L29" s="7">
        <v>0</v>
      </c>
      <c r="M29" s="7">
        <v>2</v>
      </c>
      <c r="N29">
        <f t="shared" si="0"/>
        <v>3</v>
      </c>
      <c r="O29" s="9">
        <v>0.27</v>
      </c>
      <c r="P29" s="9">
        <v>2.5999999999999999E-2</v>
      </c>
      <c r="Q29" s="10">
        <v>4.01</v>
      </c>
      <c r="R29" s="10">
        <v>0.35</v>
      </c>
    </row>
    <row r="30" spans="1:19" x14ac:dyDescent="0.3">
      <c r="A30" t="s">
        <v>41</v>
      </c>
      <c r="B30" t="s">
        <v>20</v>
      </c>
      <c r="C30" t="s">
        <v>25</v>
      </c>
      <c r="D30" t="s">
        <v>23</v>
      </c>
      <c r="E30" s="2">
        <v>45720</v>
      </c>
      <c r="F30" s="1">
        <v>0.63888888888888895</v>
      </c>
      <c r="G30" s="2">
        <v>45734</v>
      </c>
      <c r="H30" s="1">
        <v>4.5659722222222197</v>
      </c>
      <c r="I30" s="3" t="s">
        <v>43</v>
      </c>
      <c r="J30">
        <v>1</v>
      </c>
      <c r="K30">
        <v>3</v>
      </c>
      <c r="L30">
        <v>4</v>
      </c>
      <c r="M30">
        <v>5</v>
      </c>
      <c r="N30">
        <f t="shared" si="0"/>
        <v>13</v>
      </c>
      <c r="O30" s="4">
        <v>0.88400000000000001</v>
      </c>
      <c r="P30" s="4">
        <v>0.106</v>
      </c>
      <c r="Q30" s="10">
        <v>18.38</v>
      </c>
      <c r="R30" s="10">
        <v>1.72</v>
      </c>
    </row>
    <row r="31" spans="1:19" x14ac:dyDescent="0.3">
      <c r="A31" t="s">
        <v>41</v>
      </c>
      <c r="B31" t="s">
        <v>20</v>
      </c>
      <c r="C31" t="s">
        <v>25</v>
      </c>
      <c r="D31" t="s">
        <v>24</v>
      </c>
      <c r="E31" s="2">
        <v>45720</v>
      </c>
      <c r="F31" s="1">
        <v>0.64027777777777795</v>
      </c>
      <c r="G31" s="2">
        <v>45734</v>
      </c>
      <c r="H31" s="1">
        <v>5.5659722222222197</v>
      </c>
      <c r="I31" s="3" t="s">
        <v>44</v>
      </c>
      <c r="J31" s="7">
        <v>1</v>
      </c>
      <c r="K31" s="7">
        <v>3</v>
      </c>
      <c r="L31" s="7">
        <v>4</v>
      </c>
      <c r="M31" s="7">
        <v>5</v>
      </c>
      <c r="N31">
        <f t="shared" si="0"/>
        <v>13</v>
      </c>
      <c r="O31" s="9">
        <v>1.5860000000000001</v>
      </c>
      <c r="P31" s="9">
        <v>0.14000000000000001</v>
      </c>
      <c r="Q31" s="10">
        <v>16.28</v>
      </c>
      <c r="R31" s="10">
        <v>2.5</v>
      </c>
    </row>
    <row r="32" spans="1:19" x14ac:dyDescent="0.3">
      <c r="A32" t="s">
        <v>45</v>
      </c>
      <c r="B32" t="s">
        <v>20</v>
      </c>
      <c r="C32" t="s">
        <v>21</v>
      </c>
      <c r="D32" t="s">
        <v>22</v>
      </c>
      <c r="E32" s="2">
        <v>45720</v>
      </c>
      <c r="F32" s="1">
        <v>0.38263888888888897</v>
      </c>
      <c r="G32" s="2">
        <v>45737</v>
      </c>
      <c r="H32" s="1">
        <v>0.38541666666666702</v>
      </c>
      <c r="I32" s="3">
        <v>54</v>
      </c>
      <c r="J32">
        <v>1</v>
      </c>
      <c r="K32">
        <v>3</v>
      </c>
      <c r="L32">
        <v>4</v>
      </c>
      <c r="M32">
        <v>5</v>
      </c>
      <c r="N32">
        <f t="shared" si="0"/>
        <v>13</v>
      </c>
      <c r="O32" s="4">
        <v>2.4950000000000001</v>
      </c>
      <c r="P32" s="4">
        <v>0.42599999999999999</v>
      </c>
      <c r="Q32" s="10">
        <v>17.010000000000002</v>
      </c>
      <c r="R32" s="10">
        <v>1.84</v>
      </c>
    </row>
    <row r="33" spans="1:18" x14ac:dyDescent="0.3">
      <c r="A33" t="s">
        <v>45</v>
      </c>
      <c r="B33" t="s">
        <v>20</v>
      </c>
      <c r="C33" t="s">
        <v>21</v>
      </c>
      <c r="D33" t="s">
        <v>23</v>
      </c>
      <c r="E33" s="2">
        <v>45720</v>
      </c>
      <c r="F33" s="1">
        <v>1.3826388888888901</v>
      </c>
      <c r="G33" s="2">
        <v>45737</v>
      </c>
      <c r="H33" s="1">
        <v>1.3854166666666701</v>
      </c>
      <c r="I33" s="3">
        <v>542</v>
      </c>
      <c r="J33">
        <v>1</v>
      </c>
      <c r="K33">
        <v>3</v>
      </c>
      <c r="L33">
        <v>4</v>
      </c>
      <c r="M33">
        <v>5</v>
      </c>
      <c r="N33">
        <f t="shared" si="0"/>
        <v>13</v>
      </c>
      <c r="O33" s="4">
        <v>2.4790000000000001</v>
      </c>
      <c r="P33" s="4">
        <v>0.4</v>
      </c>
      <c r="Q33" s="10">
        <v>19.5</v>
      </c>
      <c r="R33" s="10">
        <v>2.65</v>
      </c>
    </row>
    <row r="34" spans="1:18" x14ac:dyDescent="0.3">
      <c r="A34" t="s">
        <v>45</v>
      </c>
      <c r="B34" t="s">
        <v>20</v>
      </c>
      <c r="C34" t="s">
        <v>21</v>
      </c>
      <c r="D34" t="s">
        <v>24</v>
      </c>
      <c r="E34" s="2">
        <v>45720</v>
      </c>
      <c r="F34" s="1">
        <v>2.3826388888888901</v>
      </c>
      <c r="G34" s="2">
        <v>45737</v>
      </c>
      <c r="H34" s="1">
        <v>2.3854166666666701</v>
      </c>
      <c r="I34" s="3">
        <v>113</v>
      </c>
      <c r="J34">
        <v>1</v>
      </c>
      <c r="K34">
        <v>3</v>
      </c>
      <c r="L34">
        <v>4</v>
      </c>
      <c r="M34">
        <v>5</v>
      </c>
      <c r="N34">
        <f t="shared" si="0"/>
        <v>13</v>
      </c>
      <c r="O34" s="4">
        <v>2.238</v>
      </c>
      <c r="P34" s="4">
        <v>0.25</v>
      </c>
      <c r="Q34" s="10">
        <v>29.48</v>
      </c>
      <c r="R34" s="10">
        <v>4.08</v>
      </c>
    </row>
    <row r="35" spans="1:18" x14ac:dyDescent="0.3">
      <c r="A35" t="s">
        <v>45</v>
      </c>
      <c r="B35" t="s">
        <v>20</v>
      </c>
      <c r="C35" t="s">
        <v>25</v>
      </c>
      <c r="D35" t="s">
        <v>22</v>
      </c>
      <c r="E35" s="2">
        <v>45720</v>
      </c>
      <c r="F35" s="1">
        <v>3.3826388888888901</v>
      </c>
      <c r="G35" s="2">
        <v>45737</v>
      </c>
      <c r="H35" s="1">
        <v>3.3854166666666701</v>
      </c>
      <c r="I35" s="3" t="s">
        <v>46</v>
      </c>
      <c r="J35">
        <v>1</v>
      </c>
      <c r="K35">
        <v>1</v>
      </c>
      <c r="L35">
        <v>0</v>
      </c>
      <c r="M35">
        <v>5</v>
      </c>
      <c r="N35">
        <f t="shared" si="0"/>
        <v>7</v>
      </c>
      <c r="O35" s="4">
        <v>1.298</v>
      </c>
      <c r="P35" s="4">
        <v>0.16</v>
      </c>
      <c r="Q35" s="10">
        <v>13.42</v>
      </c>
      <c r="R35" s="10">
        <v>0.93</v>
      </c>
    </row>
    <row r="36" spans="1:18" x14ac:dyDescent="0.3">
      <c r="A36" t="s">
        <v>45</v>
      </c>
      <c r="B36" t="s">
        <v>20</v>
      </c>
      <c r="C36" t="s">
        <v>25</v>
      </c>
      <c r="D36" t="s">
        <v>23</v>
      </c>
      <c r="E36" s="2">
        <v>45720</v>
      </c>
      <c r="F36" s="1">
        <v>4.3826388888888896</v>
      </c>
      <c r="G36" s="2">
        <v>45737</v>
      </c>
      <c r="H36" s="1">
        <v>4.3854166666666696</v>
      </c>
      <c r="I36" s="3" t="s">
        <v>47</v>
      </c>
      <c r="J36">
        <v>1</v>
      </c>
      <c r="K36">
        <v>0</v>
      </c>
      <c r="L36">
        <v>0</v>
      </c>
      <c r="M36">
        <v>5</v>
      </c>
      <c r="N36">
        <f t="shared" si="0"/>
        <v>6</v>
      </c>
      <c r="O36" s="4">
        <v>1.5049999999999999</v>
      </c>
      <c r="P36" s="4">
        <v>0.183</v>
      </c>
      <c r="Q36" s="10">
        <v>16.04</v>
      </c>
      <c r="R36" s="10">
        <v>1.55</v>
      </c>
    </row>
    <row r="37" spans="1:18" x14ac:dyDescent="0.3">
      <c r="A37" t="s">
        <v>45</v>
      </c>
      <c r="B37" t="s">
        <v>20</v>
      </c>
      <c r="C37" t="s">
        <v>25</v>
      </c>
      <c r="D37" t="s">
        <v>24</v>
      </c>
      <c r="E37" s="2">
        <v>45720</v>
      </c>
      <c r="F37" s="1">
        <v>5.3826388888888896</v>
      </c>
      <c r="G37" s="2">
        <v>45737</v>
      </c>
      <c r="H37" s="1">
        <v>5.3854166666666696</v>
      </c>
      <c r="I37" s="3" t="s">
        <v>48</v>
      </c>
      <c r="J37">
        <v>1</v>
      </c>
      <c r="K37">
        <v>3</v>
      </c>
      <c r="L37">
        <v>4</v>
      </c>
      <c r="M37">
        <v>5</v>
      </c>
      <c r="N37">
        <f t="shared" si="0"/>
        <v>13</v>
      </c>
      <c r="O37" s="4">
        <v>0.747</v>
      </c>
      <c r="P37" s="4">
        <v>6.7000000000000004E-2</v>
      </c>
      <c r="Q37" s="10">
        <v>17.399999999999999</v>
      </c>
      <c r="R37" s="10">
        <v>1.85</v>
      </c>
    </row>
    <row r="38" spans="1:18" x14ac:dyDescent="0.3">
      <c r="A38" t="s">
        <v>49</v>
      </c>
      <c r="B38" t="s">
        <v>20</v>
      </c>
      <c r="C38" t="s">
        <v>21</v>
      </c>
      <c r="D38" t="s">
        <v>22</v>
      </c>
      <c r="E38" s="2">
        <v>45720</v>
      </c>
      <c r="F38" s="1">
        <v>0.625</v>
      </c>
      <c r="G38" s="2">
        <v>45734</v>
      </c>
      <c r="H38" s="1">
        <v>0.47569444444444398</v>
      </c>
      <c r="I38" s="3">
        <v>116</v>
      </c>
      <c r="J38">
        <v>1</v>
      </c>
      <c r="K38">
        <v>3</v>
      </c>
      <c r="L38">
        <v>4</v>
      </c>
      <c r="M38">
        <v>5</v>
      </c>
      <c r="N38">
        <f t="shared" si="0"/>
        <v>13</v>
      </c>
      <c r="O38" s="4">
        <v>2.327</v>
      </c>
      <c r="P38" s="4">
        <v>0.25</v>
      </c>
      <c r="Q38" s="10">
        <v>15.71</v>
      </c>
      <c r="R38" s="10">
        <v>1.1599999999999999</v>
      </c>
    </row>
    <row r="39" spans="1:18" x14ac:dyDescent="0.3">
      <c r="A39" t="s">
        <v>49</v>
      </c>
      <c r="B39" t="s">
        <v>20</v>
      </c>
      <c r="C39" t="s">
        <v>21</v>
      </c>
      <c r="D39" t="s">
        <v>23</v>
      </c>
      <c r="E39" s="2">
        <v>45720</v>
      </c>
      <c r="F39" s="1">
        <v>1.625</v>
      </c>
      <c r="G39" s="2">
        <v>45734</v>
      </c>
      <c r="H39" s="1">
        <v>1.47569444444444</v>
      </c>
      <c r="I39" s="3">
        <v>180</v>
      </c>
      <c r="J39">
        <v>1</v>
      </c>
      <c r="K39">
        <v>3</v>
      </c>
      <c r="L39">
        <v>4</v>
      </c>
      <c r="M39">
        <v>5</v>
      </c>
      <c r="N39">
        <f t="shared" si="0"/>
        <v>13</v>
      </c>
      <c r="O39" s="4">
        <v>2.181</v>
      </c>
      <c r="P39" s="4">
        <v>0.24099999999999999</v>
      </c>
      <c r="Q39" s="10">
        <v>18.18</v>
      </c>
      <c r="R39" s="10">
        <v>1.1100000000000001</v>
      </c>
    </row>
    <row r="40" spans="1:18" x14ac:dyDescent="0.3">
      <c r="A40" t="s">
        <v>49</v>
      </c>
      <c r="B40" t="s">
        <v>20</v>
      </c>
      <c r="C40" t="s">
        <v>21</v>
      </c>
      <c r="D40" t="s">
        <v>24</v>
      </c>
      <c r="E40" s="2">
        <v>45720</v>
      </c>
      <c r="F40" s="1">
        <v>2.625</v>
      </c>
      <c r="G40" s="2">
        <v>45734</v>
      </c>
      <c r="H40" s="1">
        <v>2.4756944444444402</v>
      </c>
      <c r="I40" s="3">
        <v>680</v>
      </c>
      <c r="J40">
        <v>1</v>
      </c>
      <c r="K40">
        <v>3</v>
      </c>
      <c r="L40">
        <v>4</v>
      </c>
      <c r="M40">
        <v>5</v>
      </c>
      <c r="N40">
        <f t="shared" si="0"/>
        <v>13</v>
      </c>
      <c r="O40" s="4">
        <v>2.4089999999999998</v>
      </c>
      <c r="P40" s="4">
        <v>0.17799999999999999</v>
      </c>
      <c r="Q40" s="10">
        <v>15.17</v>
      </c>
      <c r="R40" s="10">
        <v>1.17</v>
      </c>
    </row>
    <row r="41" spans="1:18" x14ac:dyDescent="0.3">
      <c r="A41" t="s">
        <v>49</v>
      </c>
      <c r="B41" t="s">
        <v>20</v>
      </c>
      <c r="C41" t="s">
        <v>25</v>
      </c>
      <c r="D41" t="s">
        <v>22</v>
      </c>
      <c r="E41" s="2">
        <v>45720</v>
      </c>
      <c r="F41" s="1">
        <v>3.625</v>
      </c>
      <c r="G41" s="2">
        <v>45734</v>
      </c>
      <c r="H41" s="1">
        <v>3.4756944444444402</v>
      </c>
      <c r="I41" s="3" t="s">
        <v>50</v>
      </c>
      <c r="J41" s="7">
        <v>1</v>
      </c>
      <c r="K41" s="7">
        <v>0</v>
      </c>
      <c r="L41" s="7">
        <v>0</v>
      </c>
      <c r="M41" s="7">
        <v>2</v>
      </c>
      <c r="N41">
        <f t="shared" si="0"/>
        <v>3</v>
      </c>
      <c r="O41" s="9">
        <v>0.83799999999999997</v>
      </c>
      <c r="P41" s="9">
        <v>8.5000000000000006E-2</v>
      </c>
      <c r="Q41" s="10">
        <v>6.66</v>
      </c>
      <c r="R41" s="10">
        <v>0.76</v>
      </c>
    </row>
    <row r="42" spans="1:18" x14ac:dyDescent="0.3">
      <c r="A42" t="s">
        <v>49</v>
      </c>
      <c r="B42" t="s">
        <v>20</v>
      </c>
      <c r="C42" t="s">
        <v>25</v>
      </c>
      <c r="D42" t="s">
        <v>23</v>
      </c>
      <c r="E42" s="2">
        <v>45720</v>
      </c>
      <c r="F42" s="1">
        <v>4.625</v>
      </c>
      <c r="G42" s="2">
        <v>45734</v>
      </c>
      <c r="H42" s="1">
        <v>4.47569444444445</v>
      </c>
      <c r="I42" s="3" t="s">
        <v>51</v>
      </c>
      <c r="J42">
        <v>1</v>
      </c>
      <c r="K42">
        <v>3</v>
      </c>
      <c r="L42">
        <v>4</v>
      </c>
      <c r="M42">
        <v>5</v>
      </c>
      <c r="N42">
        <f t="shared" si="0"/>
        <v>13</v>
      </c>
      <c r="O42" s="4">
        <v>1.371</v>
      </c>
      <c r="P42" s="4">
        <v>0.12</v>
      </c>
      <c r="Q42" s="10">
        <v>19.41</v>
      </c>
      <c r="R42" s="10">
        <v>1.27</v>
      </c>
    </row>
    <row r="43" spans="1:18" x14ac:dyDescent="0.3">
      <c r="A43" t="s">
        <v>49</v>
      </c>
      <c r="B43" t="s">
        <v>20</v>
      </c>
      <c r="C43" t="s">
        <v>25</v>
      </c>
      <c r="D43" t="s">
        <v>24</v>
      </c>
      <c r="E43" s="2">
        <v>45720</v>
      </c>
      <c r="F43" s="1">
        <v>5.625</v>
      </c>
      <c r="G43" s="2">
        <v>45734</v>
      </c>
      <c r="H43" s="1">
        <v>5.47569444444445</v>
      </c>
      <c r="I43" s="3" t="s">
        <v>52</v>
      </c>
      <c r="J43">
        <v>1</v>
      </c>
      <c r="K43">
        <v>2</v>
      </c>
      <c r="L43">
        <v>0</v>
      </c>
      <c r="M43">
        <v>5</v>
      </c>
      <c r="N43">
        <f t="shared" si="0"/>
        <v>8</v>
      </c>
      <c r="O43" s="4">
        <v>1.4450000000000001</v>
      </c>
      <c r="P43" s="4">
        <v>0.17399999999999999</v>
      </c>
      <c r="Q43" s="10">
        <v>17.170000000000002</v>
      </c>
      <c r="R43" s="10">
        <v>1.43</v>
      </c>
    </row>
    <row r="44" spans="1:18" x14ac:dyDescent="0.3">
      <c r="A44" t="s">
        <v>53</v>
      </c>
      <c r="B44" t="s">
        <v>20</v>
      </c>
      <c r="C44" t="s">
        <v>21</v>
      </c>
      <c r="D44" t="s">
        <v>22</v>
      </c>
      <c r="E44" s="2">
        <v>45720</v>
      </c>
      <c r="F44" s="1">
        <v>0.5625</v>
      </c>
      <c r="G44" s="2">
        <v>45735</v>
      </c>
      <c r="H44" s="1">
        <v>0.54166666666666696</v>
      </c>
      <c r="I44" s="3">
        <v>656</v>
      </c>
      <c r="J44">
        <v>1</v>
      </c>
      <c r="K44">
        <v>3</v>
      </c>
      <c r="L44">
        <v>4</v>
      </c>
      <c r="M44">
        <v>5</v>
      </c>
      <c r="N44">
        <f t="shared" si="0"/>
        <v>13</v>
      </c>
      <c r="O44" s="4">
        <v>2.3279999999999998</v>
      </c>
      <c r="P44" s="4">
        <v>0.17100000000000001</v>
      </c>
      <c r="Q44" s="10">
        <v>17.39</v>
      </c>
      <c r="R44" s="10">
        <v>1.04</v>
      </c>
    </row>
    <row r="45" spans="1:18" x14ac:dyDescent="0.3">
      <c r="A45" t="s">
        <v>53</v>
      </c>
      <c r="B45" t="s">
        <v>20</v>
      </c>
      <c r="C45" t="s">
        <v>21</v>
      </c>
      <c r="D45" t="s">
        <v>23</v>
      </c>
      <c r="E45" s="2">
        <v>45720</v>
      </c>
      <c r="F45" s="1">
        <v>1.5625</v>
      </c>
      <c r="G45" s="2">
        <v>45735</v>
      </c>
      <c r="H45" s="1">
        <v>1.5416666666666701</v>
      </c>
      <c r="I45" s="3">
        <v>522</v>
      </c>
      <c r="J45">
        <v>1</v>
      </c>
      <c r="K45">
        <v>3</v>
      </c>
      <c r="L45">
        <v>4</v>
      </c>
      <c r="M45">
        <v>5</v>
      </c>
      <c r="N45">
        <f t="shared" si="0"/>
        <v>13</v>
      </c>
      <c r="O45" s="4">
        <v>2.448</v>
      </c>
      <c r="P45" s="4">
        <v>0.20100000000000001</v>
      </c>
      <c r="Q45" s="10">
        <v>18.25</v>
      </c>
      <c r="R45" s="10">
        <v>0.85</v>
      </c>
    </row>
    <row r="46" spans="1:18" x14ac:dyDescent="0.3">
      <c r="A46" t="s">
        <v>53</v>
      </c>
      <c r="B46" t="s">
        <v>20</v>
      </c>
      <c r="C46" t="s">
        <v>21</v>
      </c>
      <c r="D46" t="s">
        <v>24</v>
      </c>
      <c r="E46" s="2">
        <v>45720</v>
      </c>
      <c r="F46" s="1">
        <v>2.5625</v>
      </c>
      <c r="G46" s="2">
        <v>45735</v>
      </c>
      <c r="H46" s="1">
        <v>2.5416666666666701</v>
      </c>
      <c r="I46" s="3">
        <v>604</v>
      </c>
      <c r="J46">
        <v>1</v>
      </c>
      <c r="K46">
        <v>3</v>
      </c>
      <c r="L46">
        <v>4</v>
      </c>
      <c r="M46">
        <v>5</v>
      </c>
      <c r="N46">
        <f t="shared" si="0"/>
        <v>13</v>
      </c>
      <c r="O46" s="4">
        <v>2.1800000000000002</v>
      </c>
      <c r="P46" s="4">
        <v>0.16800000000000001</v>
      </c>
      <c r="Q46" s="10">
        <v>14.92</v>
      </c>
      <c r="R46" s="10">
        <v>0.96</v>
      </c>
    </row>
    <row r="47" spans="1:18" x14ac:dyDescent="0.3">
      <c r="A47" t="s">
        <v>53</v>
      </c>
      <c r="B47" t="s">
        <v>20</v>
      </c>
      <c r="C47" t="s">
        <v>25</v>
      </c>
      <c r="D47" t="s">
        <v>22</v>
      </c>
      <c r="E47" s="2">
        <v>45720</v>
      </c>
      <c r="F47" s="1">
        <v>3.5625</v>
      </c>
      <c r="G47" s="2">
        <v>45735</v>
      </c>
      <c r="H47" s="1">
        <v>3.5416666666666701</v>
      </c>
      <c r="I47" s="3" t="s">
        <v>54</v>
      </c>
      <c r="J47" s="7">
        <v>1</v>
      </c>
      <c r="K47" s="7">
        <v>3</v>
      </c>
      <c r="L47" s="7">
        <v>4</v>
      </c>
      <c r="M47" s="7">
        <v>5</v>
      </c>
      <c r="N47">
        <f t="shared" si="0"/>
        <v>13</v>
      </c>
      <c r="O47" s="9">
        <v>1.8009999999999999</v>
      </c>
      <c r="P47" s="9">
        <v>0.114</v>
      </c>
      <c r="Q47" s="10">
        <v>19.11</v>
      </c>
      <c r="R47" s="10">
        <v>0.93</v>
      </c>
    </row>
    <row r="48" spans="1:18" x14ac:dyDescent="0.3">
      <c r="A48" t="s">
        <v>53</v>
      </c>
      <c r="B48" t="s">
        <v>20</v>
      </c>
      <c r="C48" t="s">
        <v>25</v>
      </c>
      <c r="D48" t="s">
        <v>23</v>
      </c>
      <c r="E48" s="2">
        <v>45720</v>
      </c>
      <c r="F48" s="1">
        <v>4.5625</v>
      </c>
      <c r="G48" s="2">
        <v>45735</v>
      </c>
      <c r="H48" s="1">
        <v>4.5416666666666696</v>
      </c>
      <c r="I48" s="3" t="s">
        <v>55</v>
      </c>
      <c r="J48" s="7">
        <v>1</v>
      </c>
      <c r="K48" s="7">
        <v>3</v>
      </c>
      <c r="L48" s="7">
        <v>4</v>
      </c>
      <c r="M48" s="7">
        <v>5</v>
      </c>
      <c r="N48">
        <f t="shared" si="0"/>
        <v>13</v>
      </c>
      <c r="O48" s="9">
        <v>2.016</v>
      </c>
      <c r="P48" s="9">
        <v>0.11600000000000001</v>
      </c>
      <c r="Q48" s="10">
        <v>14.42</v>
      </c>
      <c r="R48" s="10">
        <v>0.7</v>
      </c>
    </row>
    <row r="49" spans="1:19" x14ac:dyDescent="0.3">
      <c r="A49" t="s">
        <v>53</v>
      </c>
      <c r="B49" t="s">
        <v>20</v>
      </c>
      <c r="C49" t="s">
        <v>25</v>
      </c>
      <c r="D49" t="s">
        <v>24</v>
      </c>
      <c r="E49" s="2">
        <v>45720</v>
      </c>
      <c r="F49" s="1">
        <v>5.5625</v>
      </c>
      <c r="G49" s="2">
        <v>45735</v>
      </c>
      <c r="H49" s="1">
        <v>5.5416666666666696</v>
      </c>
      <c r="I49" s="3" t="s">
        <v>56</v>
      </c>
      <c r="J49" s="7">
        <v>1</v>
      </c>
      <c r="K49" s="7">
        <v>3</v>
      </c>
      <c r="L49" s="7">
        <v>4</v>
      </c>
      <c r="M49" s="7">
        <v>5</v>
      </c>
      <c r="N49">
        <f t="shared" si="0"/>
        <v>13</v>
      </c>
      <c r="O49" s="9">
        <v>1.452</v>
      </c>
      <c r="P49" s="9">
        <v>0.106</v>
      </c>
      <c r="Q49" s="10">
        <v>16.850000000000001</v>
      </c>
      <c r="R49" s="10">
        <v>0.95</v>
      </c>
    </row>
    <row r="50" spans="1:19" x14ac:dyDescent="0.3">
      <c r="A50" t="s">
        <v>57</v>
      </c>
      <c r="B50" t="s">
        <v>20</v>
      </c>
      <c r="C50" t="s">
        <v>21</v>
      </c>
      <c r="D50" t="s">
        <v>22</v>
      </c>
      <c r="E50" s="2">
        <v>45720</v>
      </c>
      <c r="F50" s="1">
        <v>0.57638888888888895</v>
      </c>
      <c r="G50" s="2">
        <v>45735</v>
      </c>
      <c r="H50" s="1">
        <v>0.57986111111111105</v>
      </c>
      <c r="I50" s="3">
        <v>30</v>
      </c>
      <c r="J50">
        <v>1</v>
      </c>
      <c r="K50">
        <v>3</v>
      </c>
      <c r="L50">
        <v>4</v>
      </c>
      <c r="M50">
        <v>5</v>
      </c>
      <c r="N50">
        <f t="shared" si="0"/>
        <v>13</v>
      </c>
      <c r="O50" s="4">
        <v>2.5739999999999998</v>
      </c>
      <c r="P50" s="4">
        <v>0.17599999999999999</v>
      </c>
      <c r="Q50" s="10">
        <v>20.03</v>
      </c>
      <c r="R50" s="10">
        <v>1.37</v>
      </c>
    </row>
    <row r="51" spans="1:19" x14ac:dyDescent="0.3">
      <c r="A51" t="s">
        <v>57</v>
      </c>
      <c r="B51" t="s">
        <v>20</v>
      </c>
      <c r="C51" t="s">
        <v>21</v>
      </c>
      <c r="D51" t="s">
        <v>23</v>
      </c>
      <c r="E51" s="2">
        <v>45720</v>
      </c>
      <c r="F51" s="1">
        <v>1.5763888888888899</v>
      </c>
      <c r="G51" s="2">
        <v>45735</v>
      </c>
      <c r="H51" s="1">
        <v>1.5798611111111101</v>
      </c>
      <c r="I51" s="3">
        <v>556</v>
      </c>
      <c r="J51">
        <v>1</v>
      </c>
      <c r="K51">
        <v>3</v>
      </c>
      <c r="L51">
        <v>4</v>
      </c>
      <c r="M51">
        <v>5</v>
      </c>
      <c r="N51">
        <f t="shared" si="0"/>
        <v>13</v>
      </c>
      <c r="O51" s="4">
        <v>2.3889999999999998</v>
      </c>
      <c r="P51" s="4">
        <v>0.16300000000000001</v>
      </c>
      <c r="Q51" s="10">
        <v>17.53</v>
      </c>
      <c r="R51" s="10">
        <v>1.33</v>
      </c>
    </row>
    <row r="52" spans="1:19" x14ac:dyDescent="0.3">
      <c r="A52" t="s">
        <v>57</v>
      </c>
      <c r="B52" t="s">
        <v>20</v>
      </c>
      <c r="C52" t="s">
        <v>21</v>
      </c>
      <c r="D52" t="s">
        <v>24</v>
      </c>
      <c r="E52" s="2">
        <v>45720</v>
      </c>
      <c r="F52" s="1">
        <v>2.5763888888888902</v>
      </c>
      <c r="G52" s="2">
        <v>45735</v>
      </c>
      <c r="H52" s="1">
        <v>2.5798611111111098</v>
      </c>
      <c r="I52" s="3">
        <v>740</v>
      </c>
      <c r="J52">
        <v>1</v>
      </c>
      <c r="K52">
        <v>3</v>
      </c>
      <c r="L52">
        <v>4</v>
      </c>
      <c r="M52">
        <v>5</v>
      </c>
      <c r="N52">
        <f t="shared" si="0"/>
        <v>13</v>
      </c>
      <c r="O52" s="4">
        <v>2.3849999999999998</v>
      </c>
      <c r="P52" s="4">
        <v>0.151</v>
      </c>
      <c r="Q52" s="10">
        <v>15.81</v>
      </c>
      <c r="R52" s="10">
        <v>0.76</v>
      </c>
    </row>
    <row r="53" spans="1:19" x14ac:dyDescent="0.3">
      <c r="A53" t="s">
        <v>57</v>
      </c>
      <c r="B53" t="s">
        <v>20</v>
      </c>
      <c r="C53" t="s">
        <v>25</v>
      </c>
      <c r="D53" t="s">
        <v>22</v>
      </c>
      <c r="E53" s="2">
        <v>45720</v>
      </c>
      <c r="F53" s="1">
        <v>3.5763888888888902</v>
      </c>
      <c r="G53" s="2">
        <v>45735</v>
      </c>
      <c r="H53" s="1">
        <v>3.5798611111111098</v>
      </c>
      <c r="I53" s="3" t="s">
        <v>58</v>
      </c>
      <c r="J53" s="7">
        <v>1</v>
      </c>
      <c r="K53" s="7">
        <v>3</v>
      </c>
      <c r="L53" s="7">
        <v>4</v>
      </c>
      <c r="M53" s="7">
        <v>5</v>
      </c>
      <c r="N53">
        <f t="shared" si="0"/>
        <v>13</v>
      </c>
      <c r="O53" s="9">
        <v>2.5859999999999999</v>
      </c>
      <c r="P53" s="9">
        <v>0.17100000000000001</v>
      </c>
      <c r="Q53" s="10">
        <v>18.32</v>
      </c>
      <c r="R53" s="10">
        <v>1.21</v>
      </c>
    </row>
    <row r="54" spans="1:19" x14ac:dyDescent="0.3">
      <c r="A54" t="s">
        <v>57</v>
      </c>
      <c r="B54" t="s">
        <v>20</v>
      </c>
      <c r="C54" t="s">
        <v>25</v>
      </c>
      <c r="D54" t="s">
        <v>23</v>
      </c>
      <c r="E54" s="2">
        <v>45720</v>
      </c>
      <c r="F54" s="1">
        <v>4.5763888888888902</v>
      </c>
      <c r="G54" s="2">
        <v>45735</v>
      </c>
      <c r="H54" s="1">
        <v>4.5798611111111098</v>
      </c>
      <c r="I54" s="3" t="s">
        <v>59</v>
      </c>
      <c r="J54" s="7">
        <v>1</v>
      </c>
      <c r="K54" s="7">
        <v>3</v>
      </c>
      <c r="L54" s="7">
        <v>4</v>
      </c>
      <c r="M54" s="7">
        <v>5</v>
      </c>
      <c r="N54">
        <f t="shared" si="0"/>
        <v>13</v>
      </c>
      <c r="O54" s="9">
        <v>2.762</v>
      </c>
      <c r="P54" s="9">
        <v>0.20799999999999999</v>
      </c>
      <c r="Q54" s="10">
        <v>17.22</v>
      </c>
      <c r="R54" s="10">
        <v>1.18</v>
      </c>
    </row>
    <row r="55" spans="1:19" x14ac:dyDescent="0.3">
      <c r="A55" t="s">
        <v>57</v>
      </c>
      <c r="B55" t="s">
        <v>20</v>
      </c>
      <c r="C55" t="s">
        <v>25</v>
      </c>
      <c r="D55" t="s">
        <v>24</v>
      </c>
      <c r="E55" s="2">
        <v>45720</v>
      </c>
      <c r="F55" s="1">
        <v>5.5763888888888902</v>
      </c>
      <c r="G55" s="2">
        <v>45735</v>
      </c>
      <c r="H55" s="1">
        <v>5.5798611111111098</v>
      </c>
      <c r="I55" s="3" t="s">
        <v>60</v>
      </c>
      <c r="J55" s="7">
        <v>1</v>
      </c>
      <c r="K55" s="7">
        <v>3</v>
      </c>
      <c r="L55" s="7">
        <v>4</v>
      </c>
      <c r="M55" s="7">
        <v>5</v>
      </c>
      <c r="N55">
        <f t="shared" si="0"/>
        <v>13</v>
      </c>
      <c r="O55" s="9">
        <v>2.72</v>
      </c>
      <c r="P55" s="9">
        <v>0.183</v>
      </c>
      <c r="Q55" s="10">
        <v>21.8</v>
      </c>
      <c r="R55" s="10">
        <v>1.03</v>
      </c>
    </row>
    <row r="56" spans="1:19" x14ac:dyDescent="0.3">
      <c r="A56" t="s">
        <v>61</v>
      </c>
      <c r="B56" t="s">
        <v>20</v>
      </c>
      <c r="C56" t="s">
        <v>21</v>
      </c>
      <c r="D56" t="s">
        <v>22</v>
      </c>
      <c r="E56" s="2">
        <v>45720</v>
      </c>
      <c r="F56" s="1">
        <v>0.66666666666666696</v>
      </c>
      <c r="G56" s="2">
        <v>45736</v>
      </c>
      <c r="H56" s="1">
        <v>0.44097222222222199</v>
      </c>
      <c r="I56" s="3">
        <v>582</v>
      </c>
      <c r="J56">
        <v>1</v>
      </c>
      <c r="K56">
        <v>3</v>
      </c>
      <c r="L56">
        <v>4</v>
      </c>
      <c r="M56">
        <v>5</v>
      </c>
      <c r="N56">
        <f t="shared" si="0"/>
        <v>13</v>
      </c>
      <c r="O56" s="4">
        <v>2.214</v>
      </c>
      <c r="P56" s="4">
        <v>0.158</v>
      </c>
      <c r="Q56" s="10">
        <v>19.23</v>
      </c>
      <c r="R56" s="10">
        <v>1.29</v>
      </c>
    </row>
    <row r="57" spans="1:19" x14ac:dyDescent="0.3">
      <c r="A57" t="s">
        <v>61</v>
      </c>
      <c r="B57" t="s">
        <v>20</v>
      </c>
      <c r="C57" t="s">
        <v>21</v>
      </c>
      <c r="D57" t="s">
        <v>23</v>
      </c>
      <c r="E57" s="2">
        <v>45720</v>
      </c>
      <c r="F57" s="1">
        <v>1.6666666666666701</v>
      </c>
      <c r="G57" s="2">
        <v>45736</v>
      </c>
      <c r="H57" s="1">
        <v>1.4409722222222201</v>
      </c>
      <c r="I57" s="3">
        <v>115</v>
      </c>
      <c r="J57">
        <v>1</v>
      </c>
      <c r="K57">
        <v>3</v>
      </c>
      <c r="L57">
        <v>4</v>
      </c>
      <c r="M57">
        <v>5</v>
      </c>
      <c r="N57">
        <f t="shared" si="0"/>
        <v>13</v>
      </c>
      <c r="O57" s="4">
        <v>2.3940000000000001</v>
      </c>
      <c r="P57" s="4">
        <v>0.255</v>
      </c>
      <c r="Q57" s="10">
        <v>14.52</v>
      </c>
      <c r="R57" s="10">
        <v>1.28</v>
      </c>
    </row>
    <row r="58" spans="1:19" x14ac:dyDescent="0.3">
      <c r="A58" t="s">
        <v>61</v>
      </c>
      <c r="B58" t="s">
        <v>20</v>
      </c>
      <c r="C58" t="s">
        <v>21</v>
      </c>
      <c r="D58" t="s">
        <v>24</v>
      </c>
      <c r="E58" s="2">
        <v>45720</v>
      </c>
      <c r="F58" s="1">
        <v>2.6666666666666701</v>
      </c>
      <c r="G58" s="2">
        <v>45736</v>
      </c>
      <c r="H58" s="1">
        <v>2.4409722222222201</v>
      </c>
      <c r="I58" s="3">
        <v>723</v>
      </c>
      <c r="J58">
        <v>1</v>
      </c>
      <c r="K58">
        <v>3</v>
      </c>
      <c r="L58">
        <v>4</v>
      </c>
      <c r="M58">
        <v>5</v>
      </c>
      <c r="N58">
        <f t="shared" si="0"/>
        <v>13</v>
      </c>
      <c r="O58" s="4">
        <v>2.2709999999999999</v>
      </c>
      <c r="P58" s="4">
        <v>0.159</v>
      </c>
      <c r="Q58" s="10">
        <v>19.239999999999998</v>
      </c>
      <c r="R58" s="10">
        <v>1.18</v>
      </c>
    </row>
    <row r="59" spans="1:19" x14ac:dyDescent="0.3">
      <c r="A59" t="s">
        <v>61</v>
      </c>
      <c r="B59" t="s">
        <v>20</v>
      </c>
      <c r="C59" t="s">
        <v>25</v>
      </c>
      <c r="D59" t="s">
        <v>22</v>
      </c>
      <c r="E59" s="2">
        <v>45720</v>
      </c>
      <c r="F59" s="1">
        <v>3.6666666666666701</v>
      </c>
      <c r="G59" s="2">
        <v>45736</v>
      </c>
      <c r="H59" s="1">
        <v>3.4409722222222201</v>
      </c>
      <c r="I59" s="3" t="s">
        <v>62</v>
      </c>
      <c r="J59">
        <v>0</v>
      </c>
      <c r="K59">
        <v>0</v>
      </c>
      <c r="L59">
        <v>0</v>
      </c>
      <c r="M59">
        <v>0</v>
      </c>
      <c r="N59">
        <f t="shared" si="0"/>
        <v>0</v>
      </c>
      <c r="O59" s="4">
        <v>4.3999999999999997E-2</v>
      </c>
      <c r="P59" s="4">
        <v>4.0000000000000001E-3</v>
      </c>
      <c r="Q59" s="10">
        <v>0</v>
      </c>
      <c r="R59" s="10">
        <v>0</v>
      </c>
      <c r="S59" t="s">
        <v>204</v>
      </c>
    </row>
    <row r="60" spans="1:19" x14ac:dyDescent="0.3">
      <c r="A60" t="s">
        <v>61</v>
      </c>
      <c r="B60" t="s">
        <v>20</v>
      </c>
      <c r="C60" t="s">
        <v>25</v>
      </c>
      <c r="D60" t="s">
        <v>23</v>
      </c>
      <c r="E60" s="2">
        <v>45720</v>
      </c>
      <c r="F60" s="1">
        <v>4.6666666666666696</v>
      </c>
      <c r="G60" s="2">
        <v>45736</v>
      </c>
      <c r="H60" s="1">
        <v>4.4409722222222197</v>
      </c>
      <c r="I60" s="3" t="s">
        <v>63</v>
      </c>
      <c r="J60">
        <v>0</v>
      </c>
      <c r="K60">
        <v>0</v>
      </c>
      <c r="L60">
        <v>0</v>
      </c>
      <c r="M60">
        <v>0</v>
      </c>
      <c r="N60">
        <f t="shared" si="0"/>
        <v>0</v>
      </c>
      <c r="O60" s="4">
        <v>4.9000000000000002E-2</v>
      </c>
      <c r="P60" s="4">
        <v>5.0000000000000001E-3</v>
      </c>
      <c r="Q60" s="10">
        <v>0</v>
      </c>
      <c r="R60" s="10">
        <v>0</v>
      </c>
      <c r="S60" t="s">
        <v>204</v>
      </c>
    </row>
    <row r="61" spans="1:19" x14ac:dyDescent="0.3">
      <c r="A61" t="s">
        <v>61</v>
      </c>
      <c r="B61" t="s">
        <v>20</v>
      </c>
      <c r="C61" t="s">
        <v>25</v>
      </c>
      <c r="D61" t="s">
        <v>24</v>
      </c>
      <c r="E61" s="2">
        <v>45720</v>
      </c>
      <c r="F61" s="1">
        <v>5.6666666666666696</v>
      </c>
      <c r="G61" s="2">
        <v>45736</v>
      </c>
      <c r="H61" s="1">
        <v>5.4409722222222197</v>
      </c>
      <c r="I61" s="3" t="s">
        <v>64</v>
      </c>
      <c r="J61">
        <v>0</v>
      </c>
      <c r="K61">
        <v>0</v>
      </c>
      <c r="L61">
        <v>0</v>
      </c>
      <c r="M61">
        <v>0</v>
      </c>
      <c r="N61">
        <f t="shared" si="0"/>
        <v>0</v>
      </c>
      <c r="O61" s="4">
        <v>5.1999999999999998E-2</v>
      </c>
      <c r="P61" s="4">
        <v>4.0000000000000001E-3</v>
      </c>
      <c r="Q61" s="10">
        <v>0</v>
      </c>
      <c r="R61" s="10">
        <v>0</v>
      </c>
      <c r="S61" t="s">
        <v>204</v>
      </c>
    </row>
    <row r="62" spans="1:19" x14ac:dyDescent="0.3">
      <c r="A62" t="s">
        <v>65</v>
      </c>
      <c r="B62" t="s">
        <v>20</v>
      </c>
      <c r="C62" t="s">
        <v>21</v>
      </c>
      <c r="D62" t="s">
        <v>22</v>
      </c>
      <c r="E62" s="2">
        <v>45720</v>
      </c>
      <c r="F62" s="1">
        <v>0.65625</v>
      </c>
      <c r="G62" s="2">
        <v>45736</v>
      </c>
      <c r="H62" s="1">
        <v>0.49305555555555602</v>
      </c>
      <c r="I62" s="3">
        <v>55</v>
      </c>
      <c r="J62">
        <v>1</v>
      </c>
      <c r="K62">
        <v>3</v>
      </c>
      <c r="L62">
        <v>4</v>
      </c>
      <c r="M62">
        <v>5</v>
      </c>
      <c r="N62">
        <f t="shared" si="0"/>
        <v>13</v>
      </c>
      <c r="O62" s="4">
        <v>2.3330000000000002</v>
      </c>
      <c r="P62" s="4">
        <v>0.17</v>
      </c>
      <c r="Q62" s="10">
        <v>17.98</v>
      </c>
      <c r="R62" s="10">
        <v>1.21</v>
      </c>
    </row>
    <row r="63" spans="1:19" x14ac:dyDescent="0.3">
      <c r="A63" t="s">
        <v>65</v>
      </c>
      <c r="B63" t="s">
        <v>20</v>
      </c>
      <c r="C63" t="s">
        <v>21</v>
      </c>
      <c r="D63" t="s">
        <v>23</v>
      </c>
      <c r="E63" s="2">
        <v>45720</v>
      </c>
      <c r="F63" s="1">
        <v>0.65625</v>
      </c>
      <c r="G63" s="2">
        <v>45736</v>
      </c>
      <c r="H63" s="1">
        <v>1.49305555555556</v>
      </c>
      <c r="I63" s="3">
        <v>2</v>
      </c>
      <c r="J63">
        <v>1</v>
      </c>
      <c r="K63">
        <v>3</v>
      </c>
      <c r="L63">
        <v>4</v>
      </c>
      <c r="M63">
        <v>5</v>
      </c>
      <c r="N63">
        <f t="shared" si="0"/>
        <v>13</v>
      </c>
      <c r="O63" s="4">
        <v>2.0710000000000002</v>
      </c>
      <c r="P63" s="4">
        <v>0.13300000000000001</v>
      </c>
      <c r="Q63" s="10">
        <v>12.3</v>
      </c>
      <c r="R63" s="10">
        <v>1.02</v>
      </c>
    </row>
    <row r="64" spans="1:19" x14ac:dyDescent="0.3">
      <c r="A64" t="s">
        <v>65</v>
      </c>
      <c r="B64" t="s">
        <v>20</v>
      </c>
      <c r="C64" t="s">
        <v>21</v>
      </c>
      <c r="D64" t="s">
        <v>24</v>
      </c>
      <c r="E64" s="2">
        <v>45720</v>
      </c>
      <c r="F64" s="1">
        <v>1.65625</v>
      </c>
      <c r="G64" s="2">
        <v>45736</v>
      </c>
      <c r="H64" s="1">
        <v>2.4930555555555598</v>
      </c>
      <c r="I64" s="3">
        <v>676</v>
      </c>
      <c r="J64">
        <v>1</v>
      </c>
      <c r="K64">
        <v>3</v>
      </c>
      <c r="L64">
        <v>4</v>
      </c>
      <c r="M64">
        <v>5</v>
      </c>
      <c r="N64">
        <f t="shared" si="0"/>
        <v>13</v>
      </c>
      <c r="O64" s="4">
        <v>2.35</v>
      </c>
      <c r="P64" s="4">
        <v>0.189</v>
      </c>
      <c r="Q64" s="10">
        <v>16.2</v>
      </c>
      <c r="R64" s="10">
        <v>1.71</v>
      </c>
    </row>
    <row r="65" spans="1:19" x14ac:dyDescent="0.3">
      <c r="A65" t="s">
        <v>65</v>
      </c>
      <c r="B65" t="s">
        <v>20</v>
      </c>
      <c r="C65" t="s">
        <v>25</v>
      </c>
      <c r="D65" t="s">
        <v>22</v>
      </c>
      <c r="E65" s="2">
        <v>45720</v>
      </c>
      <c r="F65" s="1">
        <v>2.65625</v>
      </c>
      <c r="G65" s="2">
        <v>45736</v>
      </c>
      <c r="H65" s="1">
        <v>3.4930555555555598</v>
      </c>
      <c r="I65" s="3" t="s">
        <v>66</v>
      </c>
      <c r="J65">
        <v>0</v>
      </c>
      <c r="K65">
        <v>0</v>
      </c>
      <c r="L65">
        <v>0</v>
      </c>
      <c r="M65">
        <v>0</v>
      </c>
      <c r="N65">
        <f t="shared" si="0"/>
        <v>0</v>
      </c>
      <c r="O65" s="4">
        <v>0.18</v>
      </c>
      <c r="P65" s="4">
        <v>3.5999999999999997E-2</v>
      </c>
      <c r="Q65" s="10">
        <v>0</v>
      </c>
      <c r="R65" s="10">
        <v>0</v>
      </c>
      <c r="S65" s="16" t="s">
        <v>208</v>
      </c>
    </row>
    <row r="66" spans="1:19" x14ac:dyDescent="0.3">
      <c r="A66" t="s">
        <v>65</v>
      </c>
      <c r="B66" t="s">
        <v>20</v>
      </c>
      <c r="C66" t="s">
        <v>25</v>
      </c>
      <c r="D66" t="s">
        <v>23</v>
      </c>
      <c r="E66" s="2">
        <v>45720</v>
      </c>
      <c r="F66" s="1">
        <v>3.65625</v>
      </c>
      <c r="G66" s="2">
        <v>45736</v>
      </c>
      <c r="H66" s="1">
        <v>4.4930555555555598</v>
      </c>
      <c r="I66" s="3" t="s">
        <v>67</v>
      </c>
      <c r="J66">
        <v>1</v>
      </c>
      <c r="K66">
        <v>0</v>
      </c>
      <c r="L66">
        <v>0</v>
      </c>
      <c r="M66">
        <v>5</v>
      </c>
      <c r="N66">
        <f t="shared" ref="N66:N129" si="1">SUM(J66:M66)</f>
        <v>6</v>
      </c>
      <c r="O66" s="4">
        <v>0.26100000000000001</v>
      </c>
      <c r="P66" s="4">
        <v>2.1999999999999999E-2</v>
      </c>
      <c r="Q66" s="10">
        <v>18.2</v>
      </c>
      <c r="R66" s="10">
        <v>1.42</v>
      </c>
    </row>
    <row r="67" spans="1:19" x14ac:dyDescent="0.3">
      <c r="A67" t="s">
        <v>65</v>
      </c>
      <c r="B67" t="s">
        <v>20</v>
      </c>
      <c r="C67" t="s">
        <v>25</v>
      </c>
      <c r="D67" t="s">
        <v>24</v>
      </c>
      <c r="E67" s="2">
        <v>45720</v>
      </c>
      <c r="F67" s="1">
        <v>4.65625</v>
      </c>
      <c r="G67" s="2">
        <v>45736</v>
      </c>
      <c r="H67" s="1">
        <v>5.4930555555555598</v>
      </c>
      <c r="I67" s="3" t="s">
        <v>68</v>
      </c>
      <c r="J67">
        <v>1</v>
      </c>
      <c r="K67">
        <v>3</v>
      </c>
      <c r="L67">
        <v>4</v>
      </c>
      <c r="M67">
        <v>5</v>
      </c>
      <c r="N67">
        <f t="shared" si="1"/>
        <v>13</v>
      </c>
      <c r="O67" s="4">
        <v>0.48</v>
      </c>
      <c r="P67" s="4">
        <v>6.2E-2</v>
      </c>
      <c r="Q67" s="10">
        <v>19.93</v>
      </c>
      <c r="R67" s="10">
        <v>2.61</v>
      </c>
    </row>
    <row r="68" spans="1:19" x14ac:dyDescent="0.3">
      <c r="A68" t="s">
        <v>69</v>
      </c>
      <c r="B68" t="s">
        <v>20</v>
      </c>
      <c r="C68" t="s">
        <v>21</v>
      </c>
      <c r="D68" t="s">
        <v>22</v>
      </c>
      <c r="E68" s="2">
        <v>45720</v>
      </c>
      <c r="F68" s="1">
        <v>0.44097222222222199</v>
      </c>
      <c r="G68" s="2">
        <v>45733</v>
      </c>
      <c r="H68" s="1">
        <v>0.44097222222222199</v>
      </c>
      <c r="I68" s="3">
        <v>736</v>
      </c>
      <c r="J68">
        <v>1</v>
      </c>
      <c r="K68">
        <v>3</v>
      </c>
      <c r="L68">
        <v>4</v>
      </c>
      <c r="M68">
        <v>5</v>
      </c>
      <c r="N68">
        <f t="shared" si="1"/>
        <v>13</v>
      </c>
      <c r="O68" s="4">
        <v>2.3140000000000001</v>
      </c>
      <c r="P68" s="4">
        <v>0.19800000000000001</v>
      </c>
      <c r="Q68" s="10">
        <v>16.739999999999998</v>
      </c>
      <c r="R68" s="10">
        <v>1.1399999999999999</v>
      </c>
    </row>
    <row r="69" spans="1:19" x14ac:dyDescent="0.3">
      <c r="A69" t="s">
        <v>69</v>
      </c>
      <c r="B69" t="s">
        <v>20</v>
      </c>
      <c r="C69" t="s">
        <v>21</v>
      </c>
      <c r="D69" t="s">
        <v>23</v>
      </c>
      <c r="E69" s="2">
        <v>45720</v>
      </c>
      <c r="F69" s="1">
        <v>1.4409722222222201</v>
      </c>
      <c r="G69" s="2">
        <v>45733</v>
      </c>
      <c r="H69" s="1">
        <v>1.4409722222222201</v>
      </c>
      <c r="I69" s="3">
        <v>11</v>
      </c>
      <c r="J69">
        <v>1</v>
      </c>
      <c r="K69">
        <v>3</v>
      </c>
      <c r="L69">
        <v>4</v>
      </c>
      <c r="M69">
        <v>5</v>
      </c>
      <c r="N69">
        <f t="shared" si="1"/>
        <v>13</v>
      </c>
      <c r="O69" s="4">
        <v>2.5129999999999999</v>
      </c>
      <c r="P69" s="4">
        <v>0.245</v>
      </c>
      <c r="Q69" s="10">
        <v>17.899999999999999</v>
      </c>
      <c r="R69" s="10">
        <v>1.07</v>
      </c>
    </row>
    <row r="70" spans="1:19" x14ac:dyDescent="0.3">
      <c r="A70" t="s">
        <v>69</v>
      </c>
      <c r="B70" t="s">
        <v>20</v>
      </c>
      <c r="C70" t="s">
        <v>21</v>
      </c>
      <c r="D70" t="s">
        <v>24</v>
      </c>
      <c r="E70" s="2">
        <v>45720</v>
      </c>
      <c r="F70" s="1">
        <v>2.4409722222222201</v>
      </c>
      <c r="G70" s="2">
        <v>45733</v>
      </c>
      <c r="H70" s="1">
        <v>2.4409722222222201</v>
      </c>
      <c r="I70" s="3">
        <v>113</v>
      </c>
      <c r="J70">
        <v>1</v>
      </c>
      <c r="K70">
        <v>3</v>
      </c>
      <c r="L70">
        <v>4</v>
      </c>
      <c r="M70">
        <v>5</v>
      </c>
      <c r="N70">
        <f t="shared" si="1"/>
        <v>13</v>
      </c>
      <c r="O70" s="4">
        <v>2.399</v>
      </c>
      <c r="P70" s="4">
        <v>0.191</v>
      </c>
      <c r="Q70" s="10">
        <v>15.52</v>
      </c>
      <c r="R70" s="10">
        <v>1.24</v>
      </c>
    </row>
    <row r="71" spans="1:19" x14ac:dyDescent="0.3">
      <c r="A71" t="s">
        <v>69</v>
      </c>
      <c r="B71" t="s">
        <v>20</v>
      </c>
      <c r="C71" t="s">
        <v>25</v>
      </c>
      <c r="D71" t="s">
        <v>22</v>
      </c>
      <c r="E71" s="2">
        <v>45720</v>
      </c>
      <c r="F71" s="1">
        <v>3.4409722222222201</v>
      </c>
      <c r="G71" s="2">
        <v>45733</v>
      </c>
      <c r="H71" s="1">
        <v>3.4409722222222201</v>
      </c>
      <c r="I71" s="3" t="s">
        <v>70</v>
      </c>
      <c r="J71">
        <v>1</v>
      </c>
      <c r="K71">
        <v>3</v>
      </c>
      <c r="L71">
        <v>4</v>
      </c>
      <c r="M71">
        <v>5</v>
      </c>
      <c r="N71">
        <f t="shared" si="1"/>
        <v>13</v>
      </c>
      <c r="O71" s="4">
        <v>0.70899999999999996</v>
      </c>
      <c r="P71" s="4">
        <v>5.8000000000000003E-2</v>
      </c>
      <c r="Q71" s="10">
        <v>16.670000000000002</v>
      </c>
      <c r="R71" s="10">
        <v>1</v>
      </c>
    </row>
    <row r="72" spans="1:19" x14ac:dyDescent="0.3">
      <c r="A72" t="s">
        <v>69</v>
      </c>
      <c r="B72" t="s">
        <v>20</v>
      </c>
      <c r="C72" t="s">
        <v>25</v>
      </c>
      <c r="D72" t="s">
        <v>23</v>
      </c>
      <c r="E72" s="2">
        <v>45720</v>
      </c>
      <c r="F72" s="1">
        <v>4.4409722222222197</v>
      </c>
      <c r="G72" s="2">
        <v>45733</v>
      </c>
      <c r="H72" s="1">
        <v>4.4409722222222197</v>
      </c>
      <c r="I72" s="3" t="s">
        <v>71</v>
      </c>
      <c r="J72" s="7">
        <v>1</v>
      </c>
      <c r="K72" s="7">
        <v>3</v>
      </c>
      <c r="L72" s="7">
        <v>4</v>
      </c>
      <c r="M72" s="7">
        <v>5</v>
      </c>
      <c r="N72">
        <f t="shared" si="1"/>
        <v>13</v>
      </c>
      <c r="O72" s="9">
        <v>0.97299999999999998</v>
      </c>
      <c r="P72" s="9">
        <v>6.7000000000000004E-2</v>
      </c>
      <c r="Q72" s="10">
        <v>18.63</v>
      </c>
      <c r="R72" s="10">
        <v>1.24</v>
      </c>
    </row>
    <row r="73" spans="1:19" x14ac:dyDescent="0.3">
      <c r="A73" t="s">
        <v>69</v>
      </c>
      <c r="B73" t="s">
        <v>20</v>
      </c>
      <c r="C73" t="s">
        <v>25</v>
      </c>
      <c r="D73" t="s">
        <v>24</v>
      </c>
      <c r="E73" s="2">
        <v>45720</v>
      </c>
      <c r="F73" s="1">
        <v>5.4409722222222197</v>
      </c>
      <c r="G73" s="2">
        <v>45733</v>
      </c>
      <c r="H73" s="1">
        <v>5.4409722222222197</v>
      </c>
      <c r="I73" s="3" t="s">
        <v>72</v>
      </c>
      <c r="J73">
        <v>1</v>
      </c>
      <c r="K73">
        <v>3</v>
      </c>
      <c r="L73">
        <v>4</v>
      </c>
      <c r="M73">
        <v>5</v>
      </c>
      <c r="N73">
        <f t="shared" si="1"/>
        <v>13</v>
      </c>
      <c r="O73" s="4">
        <v>1.4530000000000001</v>
      </c>
      <c r="P73" s="4">
        <v>0.12</v>
      </c>
      <c r="Q73" s="10">
        <v>16.89</v>
      </c>
      <c r="R73" s="10">
        <v>0.79</v>
      </c>
    </row>
    <row r="74" spans="1:19" x14ac:dyDescent="0.3">
      <c r="A74" t="s">
        <v>73</v>
      </c>
      <c r="B74" t="s">
        <v>20</v>
      </c>
      <c r="C74" t="s">
        <v>21</v>
      </c>
      <c r="D74" t="s">
        <v>22</v>
      </c>
      <c r="E74" s="2">
        <v>45720</v>
      </c>
      <c r="F74" s="1">
        <v>0.42986111111111103</v>
      </c>
      <c r="G74" s="2">
        <v>45733</v>
      </c>
      <c r="H74" s="1">
        <v>0.41319444444444398</v>
      </c>
      <c r="I74" s="3">
        <v>164</v>
      </c>
      <c r="J74">
        <v>1</v>
      </c>
      <c r="K74">
        <v>3</v>
      </c>
      <c r="L74">
        <v>4</v>
      </c>
      <c r="M74">
        <v>5</v>
      </c>
      <c r="N74">
        <f t="shared" si="1"/>
        <v>13</v>
      </c>
      <c r="O74" s="4">
        <v>2.2309999999999999</v>
      </c>
      <c r="P74" s="4">
        <v>0.16800000000000001</v>
      </c>
      <c r="Q74" s="10">
        <v>19.61</v>
      </c>
      <c r="R74" s="10">
        <v>0.95</v>
      </c>
    </row>
    <row r="75" spans="1:19" x14ac:dyDescent="0.3">
      <c r="A75" t="s">
        <v>73</v>
      </c>
      <c r="B75" t="s">
        <v>20</v>
      </c>
      <c r="C75" t="s">
        <v>21</v>
      </c>
      <c r="D75" t="s">
        <v>23</v>
      </c>
      <c r="E75" s="2">
        <v>45720</v>
      </c>
      <c r="F75" s="1">
        <v>1.4298611111111099</v>
      </c>
      <c r="G75" s="2">
        <v>45733</v>
      </c>
      <c r="H75" s="1">
        <v>1.41319444444444</v>
      </c>
      <c r="I75" s="3">
        <v>700</v>
      </c>
      <c r="J75">
        <v>1</v>
      </c>
      <c r="K75">
        <v>3</v>
      </c>
      <c r="L75">
        <v>4</v>
      </c>
      <c r="M75">
        <v>5</v>
      </c>
      <c r="N75">
        <f t="shared" si="1"/>
        <v>13</v>
      </c>
      <c r="O75" s="4">
        <v>2.419</v>
      </c>
      <c r="P75" s="4">
        <v>0.23300000000000001</v>
      </c>
      <c r="Q75" s="10">
        <v>16.059999999999999</v>
      </c>
      <c r="R75" s="10">
        <v>1.29</v>
      </c>
    </row>
    <row r="76" spans="1:19" x14ac:dyDescent="0.3">
      <c r="A76" t="s">
        <v>73</v>
      </c>
      <c r="B76" t="s">
        <v>20</v>
      </c>
      <c r="C76" t="s">
        <v>21</v>
      </c>
      <c r="D76" t="s">
        <v>24</v>
      </c>
      <c r="E76" s="2">
        <v>45720</v>
      </c>
      <c r="F76" s="1">
        <v>2.4298611111111099</v>
      </c>
      <c r="G76" s="2">
        <v>45733</v>
      </c>
      <c r="H76" s="1">
        <v>2.4131944444444402</v>
      </c>
      <c r="I76" s="3">
        <v>609</v>
      </c>
      <c r="J76">
        <v>1</v>
      </c>
      <c r="K76">
        <v>3</v>
      </c>
      <c r="L76">
        <v>4</v>
      </c>
      <c r="M76">
        <v>5</v>
      </c>
      <c r="N76">
        <f t="shared" si="1"/>
        <v>13</v>
      </c>
      <c r="O76" s="4">
        <v>2.355</v>
      </c>
      <c r="P76" s="4">
        <v>0.20599999999999999</v>
      </c>
      <c r="Q76" s="10">
        <v>16.59</v>
      </c>
      <c r="R76" s="10">
        <v>1.47</v>
      </c>
    </row>
    <row r="77" spans="1:19" x14ac:dyDescent="0.3">
      <c r="A77" t="s">
        <v>73</v>
      </c>
      <c r="B77" t="s">
        <v>20</v>
      </c>
      <c r="C77" t="s">
        <v>25</v>
      </c>
      <c r="D77" t="s">
        <v>22</v>
      </c>
      <c r="E77" s="2">
        <v>45720</v>
      </c>
      <c r="F77" s="1">
        <v>3.4298611111111099</v>
      </c>
      <c r="G77" s="2">
        <v>45733</v>
      </c>
      <c r="H77" s="1">
        <v>3.4131944444444402</v>
      </c>
      <c r="I77" s="3" t="s">
        <v>74</v>
      </c>
      <c r="J77">
        <v>1</v>
      </c>
      <c r="K77">
        <v>3</v>
      </c>
      <c r="L77">
        <v>4</v>
      </c>
      <c r="M77">
        <v>5</v>
      </c>
      <c r="N77">
        <f t="shared" si="1"/>
        <v>13</v>
      </c>
      <c r="O77" s="4">
        <v>0.80700000000000005</v>
      </c>
      <c r="P77" s="4">
        <v>8.5000000000000006E-2</v>
      </c>
      <c r="Q77" s="10">
        <v>15.92</v>
      </c>
      <c r="R77" s="10">
        <v>1.21</v>
      </c>
    </row>
    <row r="78" spans="1:19" x14ac:dyDescent="0.3">
      <c r="A78" t="s">
        <v>73</v>
      </c>
      <c r="B78" t="s">
        <v>20</v>
      </c>
      <c r="C78" t="s">
        <v>25</v>
      </c>
      <c r="D78" t="s">
        <v>23</v>
      </c>
      <c r="E78" s="2">
        <v>45720</v>
      </c>
      <c r="F78" s="1">
        <v>4.4298611111111104</v>
      </c>
      <c r="G78" s="2">
        <v>45733</v>
      </c>
      <c r="H78" s="1">
        <v>4.41319444444445</v>
      </c>
      <c r="I78" s="3" t="s">
        <v>75</v>
      </c>
      <c r="J78">
        <v>1</v>
      </c>
      <c r="K78">
        <v>3</v>
      </c>
      <c r="L78">
        <v>4</v>
      </c>
      <c r="M78">
        <v>5</v>
      </c>
      <c r="N78">
        <f t="shared" si="1"/>
        <v>13</v>
      </c>
      <c r="O78" s="4">
        <v>1.726</v>
      </c>
      <c r="P78" s="4">
        <v>0.20300000000000001</v>
      </c>
      <c r="Q78" s="10">
        <v>14.91</v>
      </c>
      <c r="R78" s="10">
        <v>1.44</v>
      </c>
    </row>
    <row r="79" spans="1:19" x14ac:dyDescent="0.3">
      <c r="A79" t="s">
        <v>73</v>
      </c>
      <c r="B79" t="s">
        <v>20</v>
      </c>
      <c r="C79" t="s">
        <v>25</v>
      </c>
      <c r="D79" t="s">
        <v>24</v>
      </c>
      <c r="E79" s="2">
        <v>45720</v>
      </c>
      <c r="F79" s="1">
        <v>5.4298611111111104</v>
      </c>
      <c r="G79" s="2">
        <v>45733</v>
      </c>
      <c r="H79" s="1">
        <v>5.41319444444445</v>
      </c>
      <c r="I79" s="3" t="s">
        <v>76</v>
      </c>
      <c r="J79">
        <v>1</v>
      </c>
      <c r="K79">
        <v>0</v>
      </c>
      <c r="L79">
        <v>0</v>
      </c>
      <c r="M79">
        <v>4</v>
      </c>
      <c r="N79">
        <f t="shared" si="1"/>
        <v>5</v>
      </c>
      <c r="O79" s="4">
        <v>0.745</v>
      </c>
      <c r="P79" s="4">
        <v>7.4999999999999997E-2</v>
      </c>
      <c r="Q79" s="10">
        <v>15.23</v>
      </c>
      <c r="R79" s="10">
        <v>1</v>
      </c>
    </row>
    <row r="80" spans="1:19" x14ac:dyDescent="0.3">
      <c r="A80" t="s">
        <v>77</v>
      </c>
      <c r="B80" t="s">
        <v>20</v>
      </c>
      <c r="C80" t="s">
        <v>21</v>
      </c>
      <c r="D80" t="s">
        <v>22</v>
      </c>
      <c r="E80" s="2">
        <v>45720</v>
      </c>
      <c r="F80" s="1">
        <v>0.4</v>
      </c>
      <c r="G80" s="2">
        <v>45737</v>
      </c>
      <c r="H80" s="1">
        <v>0.40625</v>
      </c>
      <c r="I80" s="3">
        <v>3</v>
      </c>
      <c r="J80">
        <v>1</v>
      </c>
      <c r="K80">
        <v>3</v>
      </c>
      <c r="L80">
        <v>4</v>
      </c>
      <c r="M80">
        <v>5</v>
      </c>
      <c r="N80">
        <f t="shared" si="1"/>
        <v>13</v>
      </c>
      <c r="O80" s="4">
        <v>2.556</v>
      </c>
      <c r="P80" s="4">
        <v>0.25600000000000001</v>
      </c>
      <c r="Q80" s="10">
        <v>19.96</v>
      </c>
      <c r="R80" s="10">
        <v>1.92</v>
      </c>
    </row>
    <row r="81" spans="1:18" x14ac:dyDescent="0.3">
      <c r="A81" t="s">
        <v>77</v>
      </c>
      <c r="B81" t="s">
        <v>20</v>
      </c>
      <c r="C81" t="s">
        <v>21</v>
      </c>
      <c r="D81" t="s">
        <v>23</v>
      </c>
      <c r="E81" s="2">
        <v>45720</v>
      </c>
      <c r="F81" s="1">
        <v>1.4</v>
      </c>
      <c r="G81" s="2">
        <v>45737</v>
      </c>
      <c r="H81" s="1">
        <v>1.40625</v>
      </c>
      <c r="I81" s="3">
        <v>516</v>
      </c>
      <c r="J81">
        <v>1</v>
      </c>
      <c r="K81">
        <v>3</v>
      </c>
      <c r="L81">
        <v>4</v>
      </c>
      <c r="M81">
        <v>5</v>
      </c>
      <c r="N81">
        <f t="shared" si="1"/>
        <v>13</v>
      </c>
      <c r="O81" s="4">
        <v>10.663</v>
      </c>
      <c r="P81" s="4">
        <v>6.9160000000000004</v>
      </c>
      <c r="Q81" s="10">
        <v>16.809999999999999</v>
      </c>
      <c r="R81" s="10">
        <v>1.7</v>
      </c>
    </row>
    <row r="82" spans="1:18" x14ac:dyDescent="0.3">
      <c r="A82" t="s">
        <v>77</v>
      </c>
      <c r="B82" t="s">
        <v>20</v>
      </c>
      <c r="C82" t="s">
        <v>21</v>
      </c>
      <c r="D82" t="s">
        <v>24</v>
      </c>
      <c r="E82" s="2">
        <v>45720</v>
      </c>
      <c r="F82" s="1">
        <v>2.4</v>
      </c>
      <c r="G82" s="2">
        <v>45737</v>
      </c>
      <c r="H82" s="1">
        <v>2.40625</v>
      </c>
      <c r="I82" s="3">
        <v>265</v>
      </c>
      <c r="J82">
        <v>1</v>
      </c>
      <c r="K82">
        <v>3</v>
      </c>
      <c r="L82">
        <v>4</v>
      </c>
      <c r="M82">
        <v>5</v>
      </c>
      <c r="N82">
        <f t="shared" si="1"/>
        <v>13</v>
      </c>
      <c r="O82" s="4">
        <v>2.7040000000000002</v>
      </c>
      <c r="P82" s="4">
        <v>0.38300000000000001</v>
      </c>
      <c r="Q82" s="10">
        <v>15.92</v>
      </c>
      <c r="R82" s="10">
        <v>1.72</v>
      </c>
    </row>
    <row r="83" spans="1:18" x14ac:dyDescent="0.3">
      <c r="A83" t="s">
        <v>77</v>
      </c>
      <c r="B83" t="s">
        <v>20</v>
      </c>
      <c r="C83" t="s">
        <v>25</v>
      </c>
      <c r="D83" t="s">
        <v>22</v>
      </c>
      <c r="E83" s="2">
        <v>45720</v>
      </c>
      <c r="F83" s="1">
        <v>3.4</v>
      </c>
      <c r="G83" s="2">
        <v>45737</v>
      </c>
      <c r="H83" s="1">
        <v>3.40625</v>
      </c>
      <c r="I83" s="3" t="s">
        <v>78</v>
      </c>
      <c r="J83">
        <v>1</v>
      </c>
      <c r="K83">
        <v>3</v>
      </c>
      <c r="L83">
        <v>4</v>
      </c>
      <c r="M83">
        <v>5</v>
      </c>
      <c r="N83">
        <f t="shared" si="1"/>
        <v>13</v>
      </c>
      <c r="O83" s="4">
        <v>3.2189999999999999</v>
      </c>
      <c r="P83" s="4">
        <v>0.56499999999999995</v>
      </c>
      <c r="Q83" s="10">
        <v>19.88</v>
      </c>
      <c r="R83" s="10">
        <v>2.2000000000000002</v>
      </c>
    </row>
    <row r="84" spans="1:18" x14ac:dyDescent="0.3">
      <c r="A84" t="s">
        <v>77</v>
      </c>
      <c r="B84" t="s">
        <v>20</v>
      </c>
      <c r="C84" t="s">
        <v>25</v>
      </c>
      <c r="D84" t="s">
        <v>23</v>
      </c>
      <c r="E84" s="2">
        <v>45720</v>
      </c>
      <c r="F84" s="1">
        <v>4.4000000000000004</v>
      </c>
      <c r="G84" s="2">
        <v>45737</v>
      </c>
      <c r="H84" s="1">
        <v>4.40625</v>
      </c>
      <c r="I84" s="3" t="s">
        <v>79</v>
      </c>
      <c r="J84">
        <v>1</v>
      </c>
      <c r="K84">
        <v>3</v>
      </c>
      <c r="L84">
        <v>4</v>
      </c>
      <c r="M84">
        <v>5</v>
      </c>
      <c r="N84">
        <f t="shared" si="1"/>
        <v>13</v>
      </c>
      <c r="O84" s="4">
        <v>2.351</v>
      </c>
      <c r="P84" s="4">
        <v>0.16500000000000001</v>
      </c>
      <c r="Q84" s="10">
        <v>17.579999999999998</v>
      </c>
      <c r="R84" s="10">
        <v>1.2</v>
      </c>
    </row>
    <row r="85" spans="1:18" x14ac:dyDescent="0.3">
      <c r="A85" t="s">
        <v>77</v>
      </c>
      <c r="B85" t="s">
        <v>20</v>
      </c>
      <c r="C85" t="s">
        <v>25</v>
      </c>
      <c r="D85" t="s">
        <v>24</v>
      </c>
      <c r="E85" s="2">
        <v>45720</v>
      </c>
      <c r="F85" s="1">
        <v>5.4</v>
      </c>
      <c r="G85" s="2">
        <v>45737</v>
      </c>
      <c r="H85" s="1">
        <v>5.40625</v>
      </c>
      <c r="I85" s="3" t="s">
        <v>80</v>
      </c>
      <c r="J85">
        <v>1</v>
      </c>
      <c r="K85">
        <v>3</v>
      </c>
      <c r="L85">
        <v>4</v>
      </c>
      <c r="M85">
        <v>5</v>
      </c>
      <c r="N85">
        <f t="shared" si="1"/>
        <v>13</v>
      </c>
      <c r="O85" s="4">
        <v>2.5409999999999999</v>
      </c>
      <c r="P85" s="4">
        <v>0.20699999999999999</v>
      </c>
      <c r="Q85" s="10">
        <v>15.78</v>
      </c>
      <c r="R85" s="10">
        <v>1.08</v>
      </c>
    </row>
    <row r="86" spans="1:18" x14ac:dyDescent="0.3">
      <c r="A86" t="s">
        <v>81</v>
      </c>
      <c r="B86" t="s">
        <v>20</v>
      </c>
      <c r="C86" t="s">
        <v>21</v>
      </c>
      <c r="D86" t="s">
        <v>22</v>
      </c>
      <c r="E86" s="2">
        <v>45720</v>
      </c>
      <c r="F86" s="1">
        <v>0.6875</v>
      </c>
      <c r="G86" s="2">
        <v>45737</v>
      </c>
      <c r="H86" s="1">
        <v>0.42708333333333298</v>
      </c>
      <c r="I86" s="3">
        <v>184</v>
      </c>
      <c r="J86">
        <v>1</v>
      </c>
      <c r="K86">
        <v>3</v>
      </c>
      <c r="L86">
        <v>4</v>
      </c>
      <c r="M86">
        <v>5</v>
      </c>
      <c r="N86">
        <f t="shared" si="1"/>
        <v>13</v>
      </c>
      <c r="O86" s="4">
        <v>2.8439999999999999</v>
      </c>
      <c r="P86" s="4">
        <v>0.499</v>
      </c>
      <c r="Q86" s="10">
        <v>18.07</v>
      </c>
      <c r="R86" s="10">
        <v>1.56</v>
      </c>
    </row>
    <row r="87" spans="1:18" x14ac:dyDescent="0.3">
      <c r="A87" t="s">
        <v>81</v>
      </c>
      <c r="B87" t="s">
        <v>20</v>
      </c>
      <c r="C87" t="s">
        <v>21</v>
      </c>
      <c r="D87" t="s">
        <v>23</v>
      </c>
      <c r="E87" s="2">
        <v>45720</v>
      </c>
      <c r="F87" s="1">
        <v>1.6875</v>
      </c>
      <c r="G87" s="2">
        <v>45737</v>
      </c>
      <c r="H87" s="1">
        <v>1.4270833333333299</v>
      </c>
      <c r="I87" s="3">
        <v>214</v>
      </c>
      <c r="J87">
        <v>1</v>
      </c>
      <c r="K87">
        <v>3</v>
      </c>
      <c r="L87">
        <v>4</v>
      </c>
      <c r="M87">
        <v>5</v>
      </c>
      <c r="N87">
        <f t="shared" si="1"/>
        <v>13</v>
      </c>
      <c r="O87" s="4">
        <v>2.718</v>
      </c>
      <c r="P87" s="4">
        <v>0.6</v>
      </c>
      <c r="Q87" s="10">
        <v>19.72</v>
      </c>
      <c r="R87" s="10">
        <v>2.93</v>
      </c>
    </row>
    <row r="88" spans="1:18" x14ac:dyDescent="0.3">
      <c r="A88" t="s">
        <v>81</v>
      </c>
      <c r="B88" t="s">
        <v>20</v>
      </c>
      <c r="C88" t="s">
        <v>21</v>
      </c>
      <c r="D88" t="s">
        <v>24</v>
      </c>
      <c r="E88" s="2">
        <v>45720</v>
      </c>
      <c r="F88" s="1">
        <v>2.6875</v>
      </c>
      <c r="G88" s="2">
        <v>45737</v>
      </c>
      <c r="H88" s="1">
        <v>2.4270833333333299</v>
      </c>
      <c r="I88" s="3">
        <v>20</v>
      </c>
      <c r="J88">
        <v>1</v>
      </c>
      <c r="K88">
        <v>3</v>
      </c>
      <c r="L88">
        <v>4</v>
      </c>
      <c r="M88">
        <v>5</v>
      </c>
      <c r="N88">
        <f t="shared" si="1"/>
        <v>13</v>
      </c>
      <c r="O88" s="4">
        <v>3.3290000000000002</v>
      </c>
      <c r="P88" s="4">
        <v>1.048</v>
      </c>
      <c r="Q88" s="10">
        <v>23.87</v>
      </c>
      <c r="R88" s="10">
        <v>7.27</v>
      </c>
    </row>
    <row r="89" spans="1:18" x14ac:dyDescent="0.3">
      <c r="A89" t="s">
        <v>81</v>
      </c>
      <c r="B89" t="s">
        <v>20</v>
      </c>
      <c r="C89" t="s">
        <v>25</v>
      </c>
      <c r="D89" t="s">
        <v>22</v>
      </c>
      <c r="E89" s="2">
        <v>45720</v>
      </c>
      <c r="F89" s="1">
        <v>3.6875</v>
      </c>
      <c r="G89" s="2">
        <v>45737</v>
      </c>
      <c r="H89" s="1">
        <v>3.4270833333333299</v>
      </c>
      <c r="I89" s="3" t="s">
        <v>82</v>
      </c>
      <c r="J89">
        <v>1</v>
      </c>
      <c r="K89">
        <v>3</v>
      </c>
      <c r="L89">
        <v>4</v>
      </c>
      <c r="M89">
        <v>5</v>
      </c>
      <c r="N89">
        <f t="shared" si="1"/>
        <v>13</v>
      </c>
      <c r="O89" s="4">
        <v>2.0640000000000001</v>
      </c>
      <c r="P89" s="4">
        <v>0.20200000000000001</v>
      </c>
      <c r="Q89" s="10">
        <v>19.53</v>
      </c>
      <c r="R89" s="10">
        <v>1.82</v>
      </c>
    </row>
    <row r="90" spans="1:18" x14ac:dyDescent="0.3">
      <c r="A90" t="s">
        <v>81</v>
      </c>
      <c r="B90" t="s">
        <v>20</v>
      </c>
      <c r="C90" t="s">
        <v>25</v>
      </c>
      <c r="D90" t="s">
        <v>23</v>
      </c>
      <c r="E90" s="2">
        <v>45720</v>
      </c>
      <c r="F90" s="1">
        <v>4.6875</v>
      </c>
      <c r="G90" s="2">
        <v>45737</v>
      </c>
      <c r="H90" s="1">
        <v>4.4270833333333304</v>
      </c>
      <c r="I90" s="3" t="s">
        <v>83</v>
      </c>
      <c r="J90">
        <v>1</v>
      </c>
      <c r="K90">
        <v>3</v>
      </c>
      <c r="L90">
        <v>0</v>
      </c>
      <c r="M90">
        <v>5</v>
      </c>
      <c r="N90">
        <f t="shared" si="1"/>
        <v>9</v>
      </c>
      <c r="O90" s="4">
        <v>0.97499999999999998</v>
      </c>
      <c r="P90" s="4">
        <v>8.1000000000000003E-2</v>
      </c>
      <c r="Q90" s="10">
        <v>18.489999999999998</v>
      </c>
      <c r="R90" s="10">
        <v>1.46</v>
      </c>
    </row>
    <row r="91" spans="1:18" x14ac:dyDescent="0.3">
      <c r="A91" t="s">
        <v>81</v>
      </c>
      <c r="B91" t="s">
        <v>20</v>
      </c>
      <c r="C91" t="s">
        <v>25</v>
      </c>
      <c r="D91" t="s">
        <v>24</v>
      </c>
      <c r="E91" s="2">
        <v>45720</v>
      </c>
      <c r="F91" s="1">
        <v>5.6875</v>
      </c>
      <c r="G91" s="2">
        <v>45737</v>
      </c>
      <c r="H91" s="1">
        <v>5.4270833333333304</v>
      </c>
      <c r="I91" s="3" t="s">
        <v>84</v>
      </c>
      <c r="J91">
        <v>1</v>
      </c>
      <c r="K91">
        <v>1</v>
      </c>
      <c r="L91">
        <v>0</v>
      </c>
      <c r="M91">
        <v>5</v>
      </c>
      <c r="N91">
        <f t="shared" si="1"/>
        <v>7</v>
      </c>
      <c r="O91" s="4">
        <v>1.329</v>
      </c>
      <c r="P91" s="4">
        <v>0.151</v>
      </c>
      <c r="Q91" s="10">
        <v>17.11</v>
      </c>
      <c r="R91" s="10">
        <v>1.51</v>
      </c>
    </row>
    <row r="92" spans="1:18" x14ac:dyDescent="0.3">
      <c r="A92" t="s">
        <v>85</v>
      </c>
      <c r="B92" t="s">
        <v>20</v>
      </c>
      <c r="C92" t="s">
        <v>21</v>
      </c>
      <c r="D92" t="s">
        <v>22</v>
      </c>
      <c r="E92" s="2">
        <v>45720</v>
      </c>
      <c r="F92" s="1">
        <v>0.64583333333333304</v>
      </c>
      <c r="G92" s="2">
        <v>45736</v>
      </c>
      <c r="H92" s="1">
        <v>0.54027777777777797</v>
      </c>
      <c r="I92" s="3">
        <v>138</v>
      </c>
      <c r="J92">
        <v>1</v>
      </c>
      <c r="K92">
        <v>3</v>
      </c>
      <c r="L92">
        <v>4</v>
      </c>
      <c r="M92">
        <v>5</v>
      </c>
      <c r="N92">
        <f t="shared" si="1"/>
        <v>13</v>
      </c>
      <c r="O92" s="4">
        <v>2.5169999999999999</v>
      </c>
      <c r="P92" s="4">
        <v>0.22700000000000001</v>
      </c>
      <c r="Q92" s="10">
        <v>17.2</v>
      </c>
      <c r="R92" s="10">
        <v>1.5</v>
      </c>
    </row>
    <row r="93" spans="1:18" x14ac:dyDescent="0.3">
      <c r="A93" t="s">
        <v>85</v>
      </c>
      <c r="B93" t="s">
        <v>20</v>
      </c>
      <c r="C93" t="s">
        <v>21</v>
      </c>
      <c r="D93" t="s">
        <v>23</v>
      </c>
      <c r="E93" s="2">
        <v>45720</v>
      </c>
      <c r="F93" s="1">
        <v>1.6458333333333299</v>
      </c>
      <c r="G93" s="2">
        <v>45736</v>
      </c>
      <c r="H93" s="1">
        <v>1.5402777777777801</v>
      </c>
      <c r="I93" s="3">
        <v>12</v>
      </c>
      <c r="J93">
        <v>1</v>
      </c>
      <c r="K93">
        <v>3</v>
      </c>
      <c r="L93">
        <v>4</v>
      </c>
      <c r="M93">
        <v>5</v>
      </c>
      <c r="N93">
        <f t="shared" si="1"/>
        <v>13</v>
      </c>
      <c r="O93" s="4">
        <v>2.4049999999999998</v>
      </c>
      <c r="P93" s="4">
        <v>0.192</v>
      </c>
      <c r="Q93" s="10">
        <v>17.239999999999998</v>
      </c>
      <c r="R93" s="10">
        <v>1.05</v>
      </c>
    </row>
    <row r="94" spans="1:18" x14ac:dyDescent="0.3">
      <c r="A94" t="s">
        <v>85</v>
      </c>
      <c r="B94" t="s">
        <v>20</v>
      </c>
      <c r="C94" t="s">
        <v>21</v>
      </c>
      <c r="D94" t="s">
        <v>24</v>
      </c>
      <c r="E94" s="2">
        <v>45720</v>
      </c>
      <c r="F94" s="1">
        <v>2.6458333333333299</v>
      </c>
      <c r="G94" s="2">
        <v>45736</v>
      </c>
      <c r="H94" s="1">
        <v>2.5402777777777801</v>
      </c>
      <c r="I94" s="3">
        <v>508</v>
      </c>
      <c r="J94">
        <v>1</v>
      </c>
      <c r="K94">
        <v>3</v>
      </c>
      <c r="L94">
        <v>4</v>
      </c>
      <c r="M94">
        <v>5</v>
      </c>
      <c r="N94">
        <f t="shared" si="1"/>
        <v>13</v>
      </c>
      <c r="O94" s="4">
        <v>2.3879999999999999</v>
      </c>
      <c r="P94" s="4">
        <v>0.20799999999999999</v>
      </c>
      <c r="Q94" s="10">
        <v>17.940000000000001</v>
      </c>
      <c r="R94" s="10">
        <v>1.1599999999999999</v>
      </c>
    </row>
    <row r="95" spans="1:18" x14ac:dyDescent="0.3">
      <c r="A95" t="s">
        <v>85</v>
      </c>
      <c r="B95" t="s">
        <v>20</v>
      </c>
      <c r="C95" t="s">
        <v>25</v>
      </c>
      <c r="D95" t="s">
        <v>22</v>
      </c>
      <c r="E95" s="2">
        <v>45720</v>
      </c>
      <c r="F95" s="1">
        <v>3.6458333333333299</v>
      </c>
      <c r="G95" s="2">
        <v>45736</v>
      </c>
      <c r="H95" s="1">
        <v>3.5402777777777801</v>
      </c>
      <c r="I95" s="3" t="s">
        <v>86</v>
      </c>
      <c r="J95">
        <v>0</v>
      </c>
      <c r="K95">
        <v>0</v>
      </c>
      <c r="L95">
        <v>0</v>
      </c>
      <c r="M95">
        <v>0</v>
      </c>
      <c r="N95">
        <f t="shared" si="1"/>
        <v>0</v>
      </c>
      <c r="O95" s="4">
        <v>0.23100000000000001</v>
      </c>
      <c r="P95" s="4">
        <v>2.5000000000000001E-2</v>
      </c>
      <c r="Q95" s="10">
        <v>0</v>
      </c>
      <c r="R95" s="10">
        <v>0</v>
      </c>
    </row>
    <row r="96" spans="1:18" x14ac:dyDescent="0.3">
      <c r="A96" t="s">
        <v>85</v>
      </c>
      <c r="B96" t="s">
        <v>20</v>
      </c>
      <c r="C96" t="s">
        <v>25</v>
      </c>
      <c r="D96" t="s">
        <v>23</v>
      </c>
      <c r="E96" s="2">
        <v>45720</v>
      </c>
      <c r="F96" s="1">
        <v>4.6458333333333304</v>
      </c>
      <c r="G96" s="2">
        <v>45736</v>
      </c>
      <c r="H96" s="1">
        <v>4.5402777777777796</v>
      </c>
      <c r="I96" s="3" t="s">
        <v>87</v>
      </c>
      <c r="J96">
        <v>0</v>
      </c>
      <c r="K96">
        <v>0</v>
      </c>
      <c r="L96">
        <v>0</v>
      </c>
      <c r="M96">
        <v>0</v>
      </c>
      <c r="N96">
        <f t="shared" si="1"/>
        <v>0</v>
      </c>
      <c r="O96" s="4">
        <v>7.3999999999999996E-2</v>
      </c>
      <c r="P96" s="4">
        <v>6.0000000000000001E-3</v>
      </c>
      <c r="Q96" s="10">
        <v>0</v>
      </c>
      <c r="R96" s="10">
        <v>0</v>
      </c>
    </row>
    <row r="97" spans="1:18" x14ac:dyDescent="0.3">
      <c r="A97" t="s">
        <v>85</v>
      </c>
      <c r="B97" t="s">
        <v>20</v>
      </c>
      <c r="C97" t="s">
        <v>25</v>
      </c>
      <c r="D97" t="s">
        <v>24</v>
      </c>
      <c r="E97" s="2">
        <v>45720</v>
      </c>
      <c r="F97" s="1">
        <v>5.6458333333333304</v>
      </c>
      <c r="G97" s="2">
        <v>45736</v>
      </c>
      <c r="H97" s="1">
        <v>5.5402777777777796</v>
      </c>
      <c r="I97" s="3" t="s">
        <v>88</v>
      </c>
      <c r="J97">
        <v>0</v>
      </c>
      <c r="K97">
        <v>0</v>
      </c>
      <c r="L97">
        <v>0</v>
      </c>
      <c r="M97">
        <v>0</v>
      </c>
      <c r="N97">
        <f t="shared" si="1"/>
        <v>0</v>
      </c>
      <c r="O97" s="4">
        <v>0.161</v>
      </c>
      <c r="P97" s="4">
        <v>1.4E-2</v>
      </c>
      <c r="Q97" s="10">
        <v>0</v>
      </c>
      <c r="R97" s="10">
        <v>0</v>
      </c>
    </row>
    <row r="98" spans="1:18" x14ac:dyDescent="0.3">
      <c r="A98" t="s">
        <v>89</v>
      </c>
      <c r="B98" t="s">
        <v>20</v>
      </c>
      <c r="C98" t="s">
        <v>21</v>
      </c>
      <c r="D98" t="s">
        <v>22</v>
      </c>
      <c r="E98" s="2">
        <v>45720</v>
      </c>
      <c r="F98" s="1">
        <v>0.54166666666666696</v>
      </c>
      <c r="G98" s="2">
        <v>45735</v>
      </c>
      <c r="H98" s="1">
        <v>0.41666666666666702</v>
      </c>
      <c r="I98" s="3">
        <v>52</v>
      </c>
      <c r="J98">
        <v>1</v>
      </c>
      <c r="K98">
        <v>3</v>
      </c>
      <c r="L98">
        <v>4</v>
      </c>
      <c r="M98">
        <v>5</v>
      </c>
      <c r="N98">
        <f t="shared" si="1"/>
        <v>13</v>
      </c>
      <c r="O98" s="4">
        <v>2.6080000000000001</v>
      </c>
      <c r="P98" s="4">
        <v>0.22700000000000001</v>
      </c>
      <c r="Q98" s="10">
        <v>16.18</v>
      </c>
      <c r="R98" s="10">
        <v>1.29</v>
      </c>
    </row>
    <row r="99" spans="1:18" x14ac:dyDescent="0.3">
      <c r="A99" t="s">
        <v>89</v>
      </c>
      <c r="B99" t="s">
        <v>20</v>
      </c>
      <c r="C99" t="s">
        <v>21</v>
      </c>
      <c r="D99" t="s">
        <v>23</v>
      </c>
      <c r="E99" s="2">
        <v>45720</v>
      </c>
      <c r="F99" s="1">
        <v>1.5416666666666701</v>
      </c>
      <c r="G99" s="2">
        <v>45735</v>
      </c>
      <c r="H99" s="1">
        <v>1.4166666666666701</v>
      </c>
      <c r="I99" s="3">
        <v>99</v>
      </c>
      <c r="J99">
        <v>1</v>
      </c>
      <c r="K99">
        <v>3</v>
      </c>
      <c r="L99">
        <v>4</v>
      </c>
      <c r="M99">
        <v>5</v>
      </c>
      <c r="N99">
        <f t="shared" si="1"/>
        <v>13</v>
      </c>
      <c r="O99" s="4">
        <v>2.58</v>
      </c>
      <c r="P99" s="4">
        <v>0.3</v>
      </c>
      <c r="Q99" s="10">
        <v>14.3</v>
      </c>
      <c r="R99" s="10">
        <v>0.86</v>
      </c>
    </row>
    <row r="100" spans="1:18" x14ac:dyDescent="0.3">
      <c r="A100" t="s">
        <v>89</v>
      </c>
      <c r="B100" t="s">
        <v>20</v>
      </c>
      <c r="C100" t="s">
        <v>21</v>
      </c>
      <c r="D100" t="s">
        <v>24</v>
      </c>
      <c r="E100" s="2">
        <v>45720</v>
      </c>
      <c r="F100" s="1">
        <v>2.5416666666666701</v>
      </c>
      <c r="G100" s="2">
        <v>45735</v>
      </c>
      <c r="H100" s="1">
        <v>2.4166666666666701</v>
      </c>
      <c r="I100" s="3">
        <v>549</v>
      </c>
      <c r="J100">
        <v>1</v>
      </c>
      <c r="K100">
        <v>3</v>
      </c>
      <c r="L100">
        <v>4</v>
      </c>
      <c r="M100">
        <v>5</v>
      </c>
      <c r="N100">
        <f t="shared" si="1"/>
        <v>13</v>
      </c>
      <c r="O100" s="4">
        <v>2.496</v>
      </c>
      <c r="P100" s="4">
        <v>0.159</v>
      </c>
      <c r="Q100" s="10">
        <v>15.98</v>
      </c>
      <c r="R100" s="10">
        <v>0.7</v>
      </c>
    </row>
    <row r="101" spans="1:18" x14ac:dyDescent="0.3">
      <c r="A101" t="s">
        <v>89</v>
      </c>
      <c r="B101" t="s">
        <v>20</v>
      </c>
      <c r="C101" t="s">
        <v>25</v>
      </c>
      <c r="D101" t="s">
        <v>22</v>
      </c>
      <c r="E101" s="2">
        <v>45720</v>
      </c>
      <c r="F101" s="1">
        <v>3.5416666666666701</v>
      </c>
      <c r="G101" s="2">
        <v>45735</v>
      </c>
      <c r="H101" s="1">
        <v>3.4166666666666701</v>
      </c>
      <c r="I101" s="3" t="s">
        <v>90</v>
      </c>
      <c r="J101">
        <v>1</v>
      </c>
      <c r="K101">
        <v>3</v>
      </c>
      <c r="L101">
        <v>4</v>
      </c>
      <c r="M101">
        <v>5</v>
      </c>
      <c r="N101">
        <f t="shared" si="1"/>
        <v>13</v>
      </c>
      <c r="O101" s="4">
        <v>2.3490000000000002</v>
      </c>
      <c r="P101" s="4">
        <v>0.21299999999999999</v>
      </c>
      <c r="Q101" s="10">
        <v>20</v>
      </c>
      <c r="R101" s="10">
        <v>2.06</v>
      </c>
    </row>
    <row r="102" spans="1:18" x14ac:dyDescent="0.3">
      <c r="A102" t="s">
        <v>89</v>
      </c>
      <c r="B102" t="s">
        <v>20</v>
      </c>
      <c r="C102" t="s">
        <v>25</v>
      </c>
      <c r="D102" t="s">
        <v>23</v>
      </c>
      <c r="E102" s="2">
        <v>45720</v>
      </c>
      <c r="F102" s="1">
        <v>4.5416666666666696</v>
      </c>
      <c r="G102" s="2">
        <v>45735</v>
      </c>
      <c r="H102" s="1">
        <v>4.4166666666666696</v>
      </c>
      <c r="I102" s="3" t="s">
        <v>91</v>
      </c>
      <c r="J102" s="7">
        <v>1</v>
      </c>
      <c r="K102" s="7">
        <v>3</v>
      </c>
      <c r="L102" s="7">
        <v>4</v>
      </c>
      <c r="M102" s="7">
        <v>5</v>
      </c>
      <c r="N102">
        <f t="shared" si="1"/>
        <v>13</v>
      </c>
      <c r="O102" s="9">
        <v>1.1950000000000001</v>
      </c>
      <c r="P102" s="9">
        <v>7.3999999999999996E-2</v>
      </c>
      <c r="Q102" s="10">
        <v>20.99</v>
      </c>
      <c r="R102" s="10">
        <v>1.42</v>
      </c>
    </row>
    <row r="103" spans="1:18" x14ac:dyDescent="0.3">
      <c r="A103" t="s">
        <v>89</v>
      </c>
      <c r="B103" t="s">
        <v>20</v>
      </c>
      <c r="C103" t="s">
        <v>25</v>
      </c>
      <c r="D103" t="s">
        <v>24</v>
      </c>
      <c r="E103" s="2">
        <v>45720</v>
      </c>
      <c r="F103" s="1">
        <v>5.5416666666666696</v>
      </c>
      <c r="G103" s="2">
        <v>45735</v>
      </c>
      <c r="H103" s="1">
        <v>5.4166666666666696</v>
      </c>
      <c r="I103" s="3" t="s">
        <v>92</v>
      </c>
      <c r="J103">
        <v>1</v>
      </c>
      <c r="K103">
        <v>3</v>
      </c>
      <c r="L103">
        <v>4</v>
      </c>
      <c r="M103">
        <v>5</v>
      </c>
      <c r="N103">
        <f t="shared" si="1"/>
        <v>13</v>
      </c>
      <c r="O103" s="4">
        <v>1.583</v>
      </c>
      <c r="P103" s="4">
        <v>0.122</v>
      </c>
      <c r="Q103" s="10">
        <v>17.8</v>
      </c>
      <c r="R103" s="10">
        <v>1.41</v>
      </c>
    </row>
    <row r="104" spans="1:18" x14ac:dyDescent="0.3">
      <c r="A104" t="s">
        <v>93</v>
      </c>
      <c r="B104" t="s">
        <v>20</v>
      </c>
      <c r="C104" t="s">
        <v>21</v>
      </c>
      <c r="D104" t="s">
        <v>22</v>
      </c>
      <c r="E104" s="2">
        <v>45720</v>
      </c>
      <c r="F104" s="1">
        <v>0.53333333333333299</v>
      </c>
      <c r="G104" s="2">
        <v>45735</v>
      </c>
      <c r="H104" s="1">
        <v>0.4375</v>
      </c>
      <c r="I104" s="3">
        <v>57</v>
      </c>
      <c r="J104">
        <v>1</v>
      </c>
      <c r="K104">
        <v>3</v>
      </c>
      <c r="L104">
        <v>4</v>
      </c>
      <c r="M104">
        <v>5</v>
      </c>
      <c r="N104">
        <f t="shared" si="1"/>
        <v>13</v>
      </c>
      <c r="O104" s="4">
        <v>2.4489999999999998</v>
      </c>
      <c r="P104" s="4">
        <v>0.14000000000000001</v>
      </c>
      <c r="Q104" s="10">
        <v>18.34</v>
      </c>
      <c r="R104" s="10">
        <v>1.02</v>
      </c>
    </row>
    <row r="105" spans="1:18" x14ac:dyDescent="0.3">
      <c r="A105" t="s">
        <v>93</v>
      </c>
      <c r="B105" t="s">
        <v>20</v>
      </c>
      <c r="C105" t="s">
        <v>21</v>
      </c>
      <c r="D105" t="s">
        <v>23</v>
      </c>
      <c r="E105" s="2">
        <v>45720</v>
      </c>
      <c r="F105" s="1">
        <v>1.5333333333333301</v>
      </c>
      <c r="G105" s="2">
        <v>45735</v>
      </c>
      <c r="H105" s="1">
        <v>1.4375</v>
      </c>
      <c r="I105" s="3">
        <v>296</v>
      </c>
      <c r="J105">
        <v>1</v>
      </c>
      <c r="K105">
        <v>3</v>
      </c>
      <c r="L105">
        <v>4</v>
      </c>
      <c r="M105">
        <v>5</v>
      </c>
      <c r="N105">
        <f t="shared" si="1"/>
        <v>13</v>
      </c>
      <c r="O105" s="4">
        <v>2.6240000000000001</v>
      </c>
      <c r="P105" s="4">
        <v>0.216</v>
      </c>
      <c r="Q105" s="10">
        <v>15.53</v>
      </c>
      <c r="R105" s="10">
        <v>0.95</v>
      </c>
    </row>
    <row r="106" spans="1:18" x14ac:dyDescent="0.3">
      <c r="A106" t="s">
        <v>93</v>
      </c>
      <c r="B106" t="s">
        <v>20</v>
      </c>
      <c r="C106" t="s">
        <v>21</v>
      </c>
      <c r="D106" t="s">
        <v>24</v>
      </c>
      <c r="E106" s="2">
        <v>45720</v>
      </c>
      <c r="F106" s="1">
        <v>2.5333333333333301</v>
      </c>
      <c r="G106" s="2">
        <v>45735</v>
      </c>
      <c r="H106" s="1">
        <v>2.4375</v>
      </c>
      <c r="I106" s="3">
        <v>64</v>
      </c>
      <c r="J106">
        <v>1</v>
      </c>
      <c r="K106">
        <v>3</v>
      </c>
      <c r="L106">
        <v>4</v>
      </c>
      <c r="M106">
        <v>5</v>
      </c>
      <c r="N106">
        <f t="shared" si="1"/>
        <v>13</v>
      </c>
      <c r="O106">
        <v>2.5859999999999999</v>
      </c>
      <c r="P106">
        <v>0.153</v>
      </c>
      <c r="Q106" s="10">
        <v>17.78</v>
      </c>
      <c r="R106" s="10">
        <v>1.1200000000000001</v>
      </c>
    </row>
    <row r="107" spans="1:18" x14ac:dyDescent="0.3">
      <c r="A107" t="s">
        <v>93</v>
      </c>
      <c r="B107" t="s">
        <v>20</v>
      </c>
      <c r="C107" t="s">
        <v>25</v>
      </c>
      <c r="D107" t="s">
        <v>22</v>
      </c>
      <c r="E107" s="2">
        <v>45720</v>
      </c>
      <c r="F107" s="1">
        <v>3.5333333333333301</v>
      </c>
      <c r="G107" s="2">
        <v>45735</v>
      </c>
      <c r="H107" s="1">
        <v>3.4375</v>
      </c>
      <c r="I107" s="3" t="s">
        <v>94</v>
      </c>
      <c r="J107">
        <v>1</v>
      </c>
      <c r="K107">
        <v>3</v>
      </c>
      <c r="L107">
        <v>4</v>
      </c>
      <c r="M107">
        <v>5</v>
      </c>
      <c r="N107">
        <f t="shared" si="1"/>
        <v>13</v>
      </c>
      <c r="O107" s="4">
        <v>1.522</v>
      </c>
      <c r="P107" s="4">
        <v>0.09</v>
      </c>
      <c r="Q107" s="10">
        <v>22.56</v>
      </c>
      <c r="R107" s="10">
        <v>1.02</v>
      </c>
    </row>
    <row r="108" spans="1:18" x14ac:dyDescent="0.3">
      <c r="A108" t="s">
        <v>93</v>
      </c>
      <c r="B108" t="s">
        <v>20</v>
      </c>
      <c r="C108" t="s">
        <v>25</v>
      </c>
      <c r="D108" t="s">
        <v>23</v>
      </c>
      <c r="E108" s="2">
        <v>45720</v>
      </c>
      <c r="F108" s="1">
        <v>4.5333333333333297</v>
      </c>
      <c r="G108" s="2">
        <v>45735</v>
      </c>
      <c r="H108" s="1">
        <v>4.4375</v>
      </c>
      <c r="I108" s="3" t="s">
        <v>95</v>
      </c>
      <c r="J108" s="7">
        <v>1</v>
      </c>
      <c r="K108" s="7">
        <v>3</v>
      </c>
      <c r="L108" s="7">
        <v>4</v>
      </c>
      <c r="M108" s="7">
        <v>5</v>
      </c>
      <c r="N108">
        <f t="shared" si="1"/>
        <v>13</v>
      </c>
      <c r="O108" s="9">
        <v>1.6819999999999999</v>
      </c>
      <c r="P108" s="9">
        <v>0.123</v>
      </c>
      <c r="Q108" s="10">
        <v>16.75</v>
      </c>
      <c r="R108" s="10">
        <v>1.06</v>
      </c>
    </row>
    <row r="109" spans="1:18" x14ac:dyDescent="0.3">
      <c r="A109" t="s">
        <v>93</v>
      </c>
      <c r="B109" t="s">
        <v>20</v>
      </c>
      <c r="C109" t="s">
        <v>25</v>
      </c>
      <c r="D109" t="s">
        <v>24</v>
      </c>
      <c r="E109" s="2">
        <v>45720</v>
      </c>
      <c r="F109" s="1">
        <v>5.5333333333333297</v>
      </c>
      <c r="G109" s="2">
        <v>45735</v>
      </c>
      <c r="H109" s="1">
        <v>5.4375</v>
      </c>
      <c r="I109" s="3" t="s">
        <v>96</v>
      </c>
      <c r="J109" s="7">
        <v>1</v>
      </c>
      <c r="K109" s="7">
        <v>3</v>
      </c>
      <c r="L109" s="7">
        <v>4</v>
      </c>
      <c r="M109" s="7">
        <v>5</v>
      </c>
      <c r="N109">
        <f t="shared" si="1"/>
        <v>13</v>
      </c>
      <c r="O109" s="9">
        <v>0.79300000000000004</v>
      </c>
      <c r="P109" s="9">
        <v>5.1999999999999998E-2</v>
      </c>
      <c r="Q109" s="10">
        <v>18.38</v>
      </c>
      <c r="R109" s="10">
        <v>1.4</v>
      </c>
    </row>
    <row r="110" spans="1:18" x14ac:dyDescent="0.3">
      <c r="A110" t="s">
        <v>97</v>
      </c>
      <c r="B110" t="s">
        <v>20</v>
      </c>
      <c r="C110" t="s">
        <v>21</v>
      </c>
      <c r="D110" t="s">
        <v>22</v>
      </c>
      <c r="E110" s="2">
        <v>45720</v>
      </c>
      <c r="F110" s="1">
        <v>0.45555555555555599</v>
      </c>
      <c r="G110" s="2">
        <v>45733</v>
      </c>
      <c r="H110" s="1">
        <v>0.52430555555555602</v>
      </c>
      <c r="I110" s="3">
        <v>218</v>
      </c>
      <c r="J110">
        <v>1</v>
      </c>
      <c r="K110">
        <v>3</v>
      </c>
      <c r="L110">
        <v>4</v>
      </c>
      <c r="M110">
        <v>5</v>
      </c>
      <c r="N110">
        <f t="shared" si="1"/>
        <v>13</v>
      </c>
      <c r="O110" s="4">
        <v>2.2989999999999999</v>
      </c>
      <c r="P110" s="4">
        <v>0.151</v>
      </c>
      <c r="Q110" s="10">
        <v>20.420000000000002</v>
      </c>
      <c r="R110" s="10">
        <v>1.1499999999999999</v>
      </c>
    </row>
    <row r="111" spans="1:18" x14ac:dyDescent="0.3">
      <c r="A111" t="s">
        <v>97</v>
      </c>
      <c r="B111" t="s">
        <v>20</v>
      </c>
      <c r="C111" t="s">
        <v>21</v>
      </c>
      <c r="D111" t="s">
        <v>23</v>
      </c>
      <c r="E111" s="2">
        <v>45720</v>
      </c>
      <c r="F111" s="1">
        <v>1.4555555555555599</v>
      </c>
      <c r="G111" s="2">
        <v>45733</v>
      </c>
      <c r="H111" s="1">
        <v>1.52430555555556</v>
      </c>
      <c r="I111" s="3">
        <v>589</v>
      </c>
      <c r="J111">
        <v>1</v>
      </c>
      <c r="K111">
        <v>3</v>
      </c>
      <c r="L111">
        <v>4</v>
      </c>
      <c r="M111">
        <v>5</v>
      </c>
      <c r="N111">
        <f t="shared" si="1"/>
        <v>13</v>
      </c>
      <c r="O111" s="4">
        <v>2.5150000000000001</v>
      </c>
      <c r="P111" s="4">
        <v>0.16500000000000001</v>
      </c>
      <c r="Q111" s="10">
        <v>16.440000000000001</v>
      </c>
      <c r="R111" s="10">
        <v>0.93</v>
      </c>
    </row>
    <row r="112" spans="1:18" x14ac:dyDescent="0.3">
      <c r="A112" t="s">
        <v>97</v>
      </c>
      <c r="B112" t="s">
        <v>20</v>
      </c>
      <c r="C112" t="s">
        <v>21</v>
      </c>
      <c r="D112" t="s">
        <v>24</v>
      </c>
      <c r="E112" s="2">
        <v>45720</v>
      </c>
      <c r="F112" s="1">
        <v>2.4555555555555602</v>
      </c>
      <c r="G112" s="2">
        <v>45733</v>
      </c>
      <c r="H112" s="1">
        <v>2.5243055555555598</v>
      </c>
      <c r="I112" s="3">
        <v>131</v>
      </c>
      <c r="J112">
        <v>1</v>
      </c>
      <c r="K112">
        <v>3</v>
      </c>
      <c r="L112">
        <v>4</v>
      </c>
      <c r="M112">
        <v>5</v>
      </c>
      <c r="N112">
        <f t="shared" si="1"/>
        <v>13</v>
      </c>
      <c r="O112" s="4">
        <v>2.7309999999999999</v>
      </c>
      <c r="P112" s="4">
        <v>0.34399999999999997</v>
      </c>
      <c r="Q112" s="10">
        <v>16.7</v>
      </c>
      <c r="R112" s="10">
        <v>1.26</v>
      </c>
    </row>
    <row r="113" spans="1:18" x14ac:dyDescent="0.3">
      <c r="A113" t="s">
        <v>97</v>
      </c>
      <c r="B113" t="s">
        <v>20</v>
      </c>
      <c r="C113" t="s">
        <v>25</v>
      </c>
      <c r="D113" t="s">
        <v>22</v>
      </c>
      <c r="E113" s="2">
        <v>45720</v>
      </c>
      <c r="F113" s="1">
        <v>3.4555555555555602</v>
      </c>
      <c r="G113" s="2">
        <v>45733</v>
      </c>
      <c r="H113" s="1">
        <v>3.5243055555555598</v>
      </c>
      <c r="I113" s="3" t="s">
        <v>98</v>
      </c>
      <c r="J113">
        <v>1</v>
      </c>
      <c r="K113">
        <v>2</v>
      </c>
      <c r="L113">
        <v>0</v>
      </c>
      <c r="M113">
        <v>2</v>
      </c>
      <c r="N113">
        <f t="shared" si="1"/>
        <v>5</v>
      </c>
      <c r="O113" s="4">
        <v>0.372</v>
      </c>
      <c r="P113" s="4">
        <v>0.02</v>
      </c>
      <c r="Q113" s="10">
        <v>6.57</v>
      </c>
      <c r="R113" s="10">
        <v>0.4</v>
      </c>
    </row>
    <row r="114" spans="1:18" x14ac:dyDescent="0.3">
      <c r="A114" t="s">
        <v>97</v>
      </c>
      <c r="B114" t="s">
        <v>20</v>
      </c>
      <c r="C114" t="s">
        <v>25</v>
      </c>
      <c r="D114" t="s">
        <v>23</v>
      </c>
      <c r="E114" s="2">
        <v>45720</v>
      </c>
      <c r="F114" s="1">
        <v>4.4555555555555602</v>
      </c>
      <c r="G114" s="2">
        <v>45733</v>
      </c>
      <c r="H114" s="1">
        <v>4.5243055555555598</v>
      </c>
      <c r="I114" s="3" t="s">
        <v>99</v>
      </c>
      <c r="J114">
        <v>1</v>
      </c>
      <c r="K114">
        <v>3</v>
      </c>
      <c r="L114">
        <v>4</v>
      </c>
      <c r="M114">
        <v>5</v>
      </c>
      <c r="N114">
        <f t="shared" si="1"/>
        <v>13</v>
      </c>
      <c r="O114" s="4">
        <v>0.53600000000000003</v>
      </c>
      <c r="P114" s="4">
        <v>3.9E-2</v>
      </c>
      <c r="Q114" s="10">
        <v>18.41</v>
      </c>
      <c r="R114" s="10">
        <v>1.2</v>
      </c>
    </row>
    <row r="115" spans="1:18" x14ac:dyDescent="0.3">
      <c r="A115" t="s">
        <v>97</v>
      </c>
      <c r="B115" t="s">
        <v>20</v>
      </c>
      <c r="C115" t="s">
        <v>25</v>
      </c>
      <c r="D115" t="s">
        <v>24</v>
      </c>
      <c r="E115" s="2">
        <v>45720</v>
      </c>
      <c r="F115" s="1">
        <v>5.4555555555555602</v>
      </c>
      <c r="G115" s="2">
        <v>45733</v>
      </c>
      <c r="H115" s="1">
        <v>5.5243055555555598</v>
      </c>
      <c r="I115" s="3" t="s">
        <v>100</v>
      </c>
      <c r="J115">
        <v>1</v>
      </c>
      <c r="K115">
        <v>3</v>
      </c>
      <c r="L115">
        <v>0</v>
      </c>
      <c r="M115">
        <v>3</v>
      </c>
      <c r="N115">
        <f t="shared" si="1"/>
        <v>7</v>
      </c>
      <c r="O115" s="4">
        <v>0.23899999999999999</v>
      </c>
      <c r="P115" s="4">
        <v>1.2E-2</v>
      </c>
      <c r="Q115" s="10">
        <v>8.43</v>
      </c>
      <c r="R115" s="10">
        <v>0.85</v>
      </c>
    </row>
    <row r="116" spans="1:18" x14ac:dyDescent="0.3">
      <c r="A116" t="s">
        <v>101</v>
      </c>
      <c r="B116" t="s">
        <v>20</v>
      </c>
      <c r="C116" t="s">
        <v>21</v>
      </c>
      <c r="D116" t="s">
        <v>22</v>
      </c>
      <c r="E116" s="2">
        <v>45720</v>
      </c>
      <c r="F116" s="1">
        <v>0.61458333333333304</v>
      </c>
      <c r="G116" s="2">
        <v>45734</v>
      </c>
      <c r="H116" s="1">
        <v>0.52430555555555602</v>
      </c>
      <c r="I116" s="3">
        <v>760</v>
      </c>
      <c r="J116">
        <v>1</v>
      </c>
      <c r="K116">
        <v>3</v>
      </c>
      <c r="L116">
        <v>4</v>
      </c>
      <c r="M116">
        <v>5</v>
      </c>
      <c r="N116">
        <f t="shared" si="1"/>
        <v>13</v>
      </c>
      <c r="O116" s="4">
        <v>2.5990000000000002</v>
      </c>
      <c r="P116" s="4">
        <v>0.21099999999999999</v>
      </c>
      <c r="Q116" s="10">
        <v>17.170000000000002</v>
      </c>
      <c r="R116" s="10">
        <v>1.2</v>
      </c>
    </row>
    <row r="117" spans="1:18" x14ac:dyDescent="0.3">
      <c r="A117" t="s">
        <v>101</v>
      </c>
      <c r="B117" t="s">
        <v>20</v>
      </c>
      <c r="C117" t="s">
        <v>21</v>
      </c>
      <c r="D117" t="s">
        <v>23</v>
      </c>
      <c r="E117" s="2">
        <v>45720</v>
      </c>
      <c r="F117" s="1">
        <v>1.6145833333333299</v>
      </c>
      <c r="G117" s="2">
        <v>45734</v>
      </c>
      <c r="H117" s="1">
        <v>1.52430555555556</v>
      </c>
      <c r="I117" s="3">
        <v>681</v>
      </c>
      <c r="J117">
        <v>1</v>
      </c>
      <c r="K117">
        <v>3</v>
      </c>
      <c r="L117">
        <v>4</v>
      </c>
      <c r="M117">
        <v>5</v>
      </c>
      <c r="N117">
        <f t="shared" si="1"/>
        <v>13</v>
      </c>
      <c r="O117" s="4">
        <v>2.4220000000000002</v>
      </c>
      <c r="P117" s="4">
        <v>0.17499999999999999</v>
      </c>
      <c r="Q117" s="10">
        <v>15.19</v>
      </c>
      <c r="R117" s="10">
        <v>1.29</v>
      </c>
    </row>
    <row r="118" spans="1:18" x14ac:dyDescent="0.3">
      <c r="A118" t="s">
        <v>101</v>
      </c>
      <c r="B118" t="s">
        <v>20</v>
      </c>
      <c r="C118" t="s">
        <v>21</v>
      </c>
      <c r="D118" t="s">
        <v>24</v>
      </c>
      <c r="E118" s="2">
        <v>45720</v>
      </c>
      <c r="F118" s="1">
        <v>2.6145833333333299</v>
      </c>
      <c r="G118" s="2">
        <v>45734</v>
      </c>
      <c r="H118" s="1">
        <v>2.5243055555555598</v>
      </c>
      <c r="I118" s="3">
        <v>101</v>
      </c>
      <c r="J118">
        <v>1</v>
      </c>
      <c r="K118">
        <v>3</v>
      </c>
      <c r="L118">
        <v>4</v>
      </c>
      <c r="M118">
        <v>5</v>
      </c>
      <c r="N118">
        <f t="shared" si="1"/>
        <v>13</v>
      </c>
      <c r="O118" s="4">
        <v>2.5310000000000001</v>
      </c>
      <c r="P118" s="4">
        <v>0.21199999999999999</v>
      </c>
      <c r="Q118" s="10">
        <v>16.79</v>
      </c>
      <c r="R118" s="10">
        <v>1.21</v>
      </c>
    </row>
    <row r="119" spans="1:18" x14ac:dyDescent="0.3">
      <c r="A119" t="s">
        <v>101</v>
      </c>
      <c r="B119" t="s">
        <v>20</v>
      </c>
      <c r="C119" t="s">
        <v>25</v>
      </c>
      <c r="D119" t="s">
        <v>22</v>
      </c>
      <c r="E119" s="2">
        <v>45720</v>
      </c>
      <c r="F119" s="1">
        <v>3.6145833333333299</v>
      </c>
      <c r="G119" s="2">
        <v>45734</v>
      </c>
      <c r="H119" s="1">
        <v>3.5243055555555598</v>
      </c>
      <c r="I119" s="3" t="s">
        <v>102</v>
      </c>
      <c r="J119">
        <v>1</v>
      </c>
      <c r="K119">
        <v>3</v>
      </c>
      <c r="L119">
        <v>4</v>
      </c>
      <c r="M119">
        <v>5</v>
      </c>
      <c r="N119">
        <f t="shared" si="1"/>
        <v>13</v>
      </c>
      <c r="O119" s="8">
        <v>1.7390000000000001</v>
      </c>
      <c r="P119" s="4">
        <v>0.112</v>
      </c>
      <c r="Q119" s="10">
        <v>20.02</v>
      </c>
      <c r="R119" s="10">
        <v>1.23</v>
      </c>
    </row>
    <row r="120" spans="1:18" x14ac:dyDescent="0.3">
      <c r="A120" t="s">
        <v>101</v>
      </c>
      <c r="B120" t="s">
        <v>20</v>
      </c>
      <c r="C120" t="s">
        <v>25</v>
      </c>
      <c r="D120" t="s">
        <v>23</v>
      </c>
      <c r="E120" s="2">
        <v>45720</v>
      </c>
      <c r="F120" s="1">
        <v>4.6145833333333304</v>
      </c>
      <c r="G120" s="2">
        <v>45734</v>
      </c>
      <c r="H120" s="1">
        <v>4.5243055555555598</v>
      </c>
      <c r="I120" s="3" t="s">
        <v>103</v>
      </c>
      <c r="J120">
        <v>1</v>
      </c>
      <c r="K120">
        <v>3</v>
      </c>
      <c r="L120">
        <v>0</v>
      </c>
      <c r="M120">
        <v>5</v>
      </c>
      <c r="N120">
        <f t="shared" si="1"/>
        <v>9</v>
      </c>
      <c r="O120" s="4">
        <v>0.86699999999999999</v>
      </c>
      <c r="P120" s="4">
        <v>5.1999999999999998E-2</v>
      </c>
      <c r="Q120" s="10">
        <v>19.489999999999998</v>
      </c>
      <c r="R120" s="10">
        <v>1.4</v>
      </c>
    </row>
    <row r="121" spans="1:18" x14ac:dyDescent="0.3">
      <c r="A121" t="s">
        <v>101</v>
      </c>
      <c r="B121" t="s">
        <v>20</v>
      </c>
      <c r="C121" t="s">
        <v>25</v>
      </c>
      <c r="D121" t="s">
        <v>24</v>
      </c>
      <c r="E121" s="2">
        <v>45720</v>
      </c>
      <c r="F121" s="1">
        <v>5.6145833333333304</v>
      </c>
      <c r="G121" s="2">
        <v>45734</v>
      </c>
      <c r="H121" s="1">
        <v>5.5243055555555598</v>
      </c>
      <c r="I121" s="3" t="s">
        <v>104</v>
      </c>
      <c r="J121">
        <v>1</v>
      </c>
      <c r="K121">
        <v>2</v>
      </c>
      <c r="L121">
        <v>0</v>
      </c>
      <c r="M121">
        <v>5</v>
      </c>
      <c r="N121">
        <f t="shared" si="1"/>
        <v>8</v>
      </c>
      <c r="O121" s="4">
        <v>1</v>
      </c>
      <c r="P121" s="4">
        <v>6.8000000000000005E-2</v>
      </c>
      <c r="Q121" s="10">
        <v>12.27</v>
      </c>
      <c r="R121" s="10">
        <v>0.88</v>
      </c>
    </row>
    <row r="122" spans="1:18" x14ac:dyDescent="0.3">
      <c r="A122" t="s">
        <v>105</v>
      </c>
      <c r="B122" t="s">
        <v>20</v>
      </c>
      <c r="C122" t="s">
        <v>21</v>
      </c>
      <c r="D122" t="s">
        <v>22</v>
      </c>
      <c r="E122" s="2">
        <v>45720</v>
      </c>
      <c r="F122" s="1">
        <v>0.47569444444444398</v>
      </c>
      <c r="G122" s="2">
        <v>45734</v>
      </c>
      <c r="H122" s="1">
        <v>0.41666666666666702</v>
      </c>
      <c r="I122" s="3">
        <v>111</v>
      </c>
      <c r="J122">
        <v>1</v>
      </c>
      <c r="K122">
        <v>3</v>
      </c>
      <c r="L122">
        <v>4</v>
      </c>
      <c r="M122">
        <v>5</v>
      </c>
      <c r="N122">
        <f t="shared" si="1"/>
        <v>13</v>
      </c>
      <c r="O122" s="4">
        <v>2.778</v>
      </c>
      <c r="P122" s="4">
        <v>0.41499999999999998</v>
      </c>
      <c r="Q122" s="10">
        <v>15.57</v>
      </c>
      <c r="R122" s="10">
        <v>1.56</v>
      </c>
    </row>
    <row r="123" spans="1:18" x14ac:dyDescent="0.3">
      <c r="A123" t="s">
        <v>105</v>
      </c>
      <c r="B123" t="s">
        <v>20</v>
      </c>
      <c r="C123" t="s">
        <v>21</v>
      </c>
      <c r="D123" t="s">
        <v>23</v>
      </c>
      <c r="E123" s="2">
        <v>45720</v>
      </c>
      <c r="F123" s="1">
        <v>1.47569444444444</v>
      </c>
      <c r="G123" s="2">
        <v>45734</v>
      </c>
      <c r="H123" s="1">
        <v>1.4166666666666701</v>
      </c>
      <c r="I123" s="3">
        <v>654</v>
      </c>
      <c r="J123">
        <v>1</v>
      </c>
      <c r="K123">
        <v>3</v>
      </c>
      <c r="L123">
        <v>4</v>
      </c>
      <c r="M123">
        <v>5</v>
      </c>
      <c r="N123">
        <f t="shared" si="1"/>
        <v>13</v>
      </c>
      <c r="O123" s="4">
        <v>2.5150000000000001</v>
      </c>
      <c r="P123" s="4">
        <v>0.17199999999999999</v>
      </c>
      <c r="Q123" s="10">
        <v>18.41</v>
      </c>
      <c r="R123" s="10">
        <v>1.1599999999999999</v>
      </c>
    </row>
    <row r="124" spans="1:18" x14ac:dyDescent="0.3">
      <c r="A124" t="s">
        <v>105</v>
      </c>
      <c r="B124" t="s">
        <v>20</v>
      </c>
      <c r="C124" t="s">
        <v>21</v>
      </c>
      <c r="D124" t="s">
        <v>24</v>
      </c>
      <c r="E124" s="2">
        <v>45720</v>
      </c>
      <c r="F124" s="1">
        <v>2.4756944444444402</v>
      </c>
      <c r="G124" s="2">
        <v>45734</v>
      </c>
      <c r="H124" s="1">
        <v>2.4166666666666701</v>
      </c>
      <c r="I124" s="3">
        <v>570</v>
      </c>
      <c r="J124">
        <v>1</v>
      </c>
      <c r="K124">
        <v>3</v>
      </c>
      <c r="L124">
        <v>4</v>
      </c>
      <c r="M124">
        <v>5</v>
      </c>
      <c r="N124">
        <f t="shared" si="1"/>
        <v>13</v>
      </c>
      <c r="O124" s="4">
        <v>2.593</v>
      </c>
      <c r="P124" s="4">
        <v>0.21299999999999999</v>
      </c>
      <c r="Q124" s="10">
        <v>17.440000000000001</v>
      </c>
      <c r="R124" s="10">
        <v>1.42</v>
      </c>
    </row>
    <row r="125" spans="1:18" x14ac:dyDescent="0.3">
      <c r="A125" t="s">
        <v>105</v>
      </c>
      <c r="B125" t="s">
        <v>20</v>
      </c>
      <c r="C125" t="s">
        <v>25</v>
      </c>
      <c r="D125" t="s">
        <v>22</v>
      </c>
      <c r="E125" s="2">
        <v>45720</v>
      </c>
      <c r="F125" s="1">
        <v>3.4756944444444402</v>
      </c>
      <c r="G125" s="2">
        <v>45734</v>
      </c>
      <c r="H125" s="1">
        <v>3.4166666666666701</v>
      </c>
      <c r="I125" s="3" t="s">
        <v>106</v>
      </c>
      <c r="J125">
        <v>1</v>
      </c>
      <c r="K125">
        <v>3</v>
      </c>
      <c r="L125">
        <v>4</v>
      </c>
      <c r="M125">
        <v>5</v>
      </c>
      <c r="N125">
        <f t="shared" si="1"/>
        <v>13</v>
      </c>
      <c r="O125" s="4">
        <v>1.85</v>
      </c>
      <c r="P125" s="4">
        <v>0.17499999999999999</v>
      </c>
      <c r="Q125" s="10">
        <v>17.73</v>
      </c>
      <c r="R125" s="10">
        <v>1.54</v>
      </c>
    </row>
    <row r="126" spans="1:18" x14ac:dyDescent="0.3">
      <c r="A126" t="s">
        <v>105</v>
      </c>
      <c r="B126" t="s">
        <v>20</v>
      </c>
      <c r="C126" t="s">
        <v>25</v>
      </c>
      <c r="D126" t="s">
        <v>23</v>
      </c>
      <c r="E126" s="2">
        <v>45720</v>
      </c>
      <c r="F126" s="1">
        <v>4.47569444444445</v>
      </c>
      <c r="G126" s="2">
        <v>45734</v>
      </c>
      <c r="H126" s="1">
        <v>4.4166666666666696</v>
      </c>
      <c r="I126" s="3" t="s">
        <v>107</v>
      </c>
      <c r="J126" s="7">
        <v>1</v>
      </c>
      <c r="K126" s="7">
        <v>3</v>
      </c>
      <c r="L126" s="7">
        <v>4</v>
      </c>
      <c r="M126" s="7">
        <v>5</v>
      </c>
      <c r="N126">
        <f t="shared" si="1"/>
        <v>13</v>
      </c>
      <c r="O126" s="9">
        <v>1.1579999999999999</v>
      </c>
      <c r="P126" s="9">
        <v>0.128</v>
      </c>
      <c r="Q126" s="10">
        <v>15.62</v>
      </c>
      <c r="R126" s="10">
        <v>0.87</v>
      </c>
    </row>
    <row r="127" spans="1:18" x14ac:dyDescent="0.3">
      <c r="A127" t="s">
        <v>105</v>
      </c>
      <c r="B127" t="s">
        <v>20</v>
      </c>
      <c r="C127" t="s">
        <v>25</v>
      </c>
      <c r="D127" t="s">
        <v>24</v>
      </c>
      <c r="E127" s="2">
        <v>45720</v>
      </c>
      <c r="F127" s="1">
        <v>5.47569444444445</v>
      </c>
      <c r="G127" s="2">
        <v>45734</v>
      </c>
      <c r="H127" s="1">
        <v>5.4166666666666696</v>
      </c>
      <c r="I127" s="3" t="s">
        <v>108</v>
      </c>
      <c r="J127">
        <v>1</v>
      </c>
      <c r="K127">
        <v>3</v>
      </c>
      <c r="L127">
        <v>4</v>
      </c>
      <c r="M127">
        <v>5</v>
      </c>
      <c r="N127">
        <f t="shared" si="1"/>
        <v>13</v>
      </c>
      <c r="O127" s="4">
        <v>1.5169999999999999</v>
      </c>
      <c r="P127" s="4">
        <v>0.124</v>
      </c>
      <c r="Q127" s="10">
        <v>19.260000000000002</v>
      </c>
      <c r="R127" s="10">
        <v>1.1399999999999999</v>
      </c>
    </row>
    <row r="128" spans="1:18" x14ac:dyDescent="0.3">
      <c r="A128" t="s">
        <v>109</v>
      </c>
      <c r="B128" t="s">
        <v>20</v>
      </c>
      <c r="C128" t="s">
        <v>21</v>
      </c>
      <c r="D128" t="s">
        <v>22</v>
      </c>
      <c r="E128" s="2">
        <v>45720</v>
      </c>
      <c r="F128" s="1">
        <v>0.47222222222222199</v>
      </c>
      <c r="G128" s="2">
        <v>45733</v>
      </c>
      <c r="H128" s="1">
        <v>0.59375</v>
      </c>
      <c r="I128" s="3">
        <v>118</v>
      </c>
      <c r="J128">
        <v>1</v>
      </c>
      <c r="K128">
        <v>3</v>
      </c>
      <c r="L128">
        <v>4</v>
      </c>
      <c r="M128">
        <v>5</v>
      </c>
      <c r="N128">
        <f t="shared" si="1"/>
        <v>13</v>
      </c>
      <c r="O128" s="4">
        <v>2.4220000000000002</v>
      </c>
      <c r="P128" s="4">
        <v>0.158</v>
      </c>
      <c r="Q128" s="10">
        <v>20.38</v>
      </c>
      <c r="R128" s="10">
        <v>1.0900000000000001</v>
      </c>
    </row>
    <row r="129" spans="1:19" x14ac:dyDescent="0.3">
      <c r="A129" t="s">
        <v>109</v>
      </c>
      <c r="B129" t="s">
        <v>20</v>
      </c>
      <c r="C129" t="s">
        <v>21</v>
      </c>
      <c r="D129" t="s">
        <v>23</v>
      </c>
      <c r="E129" s="2">
        <v>45720</v>
      </c>
      <c r="F129" s="1">
        <v>1.4722222222222201</v>
      </c>
      <c r="G129" s="2">
        <v>45733</v>
      </c>
      <c r="H129" s="1">
        <v>1.59375</v>
      </c>
      <c r="I129" s="3">
        <v>203</v>
      </c>
      <c r="J129">
        <v>1</v>
      </c>
      <c r="K129">
        <v>3</v>
      </c>
      <c r="L129">
        <v>4</v>
      </c>
      <c r="M129">
        <v>5</v>
      </c>
      <c r="N129">
        <f t="shared" si="1"/>
        <v>13</v>
      </c>
      <c r="O129" s="4">
        <v>2.5470000000000002</v>
      </c>
      <c r="P129" s="4">
        <v>0.217</v>
      </c>
      <c r="Q129" s="10">
        <v>18.09</v>
      </c>
      <c r="R129" s="10">
        <v>1.32</v>
      </c>
    </row>
    <row r="130" spans="1:19" x14ac:dyDescent="0.3">
      <c r="A130" t="s">
        <v>109</v>
      </c>
      <c r="B130" t="s">
        <v>20</v>
      </c>
      <c r="C130" t="s">
        <v>21</v>
      </c>
      <c r="D130" t="s">
        <v>24</v>
      </c>
      <c r="E130" s="2">
        <v>45720</v>
      </c>
      <c r="F130" s="1">
        <v>2.4722222222222201</v>
      </c>
      <c r="G130" s="2">
        <v>45733</v>
      </c>
      <c r="H130" s="1">
        <v>2.59375</v>
      </c>
      <c r="I130" s="3">
        <v>58</v>
      </c>
      <c r="J130">
        <v>1</v>
      </c>
      <c r="K130">
        <v>3</v>
      </c>
      <c r="L130">
        <v>4</v>
      </c>
      <c r="M130">
        <v>5</v>
      </c>
      <c r="N130">
        <f t="shared" ref="N130:N193" si="2">SUM(J130:M130)</f>
        <v>13</v>
      </c>
      <c r="O130" s="4">
        <v>2.4950000000000001</v>
      </c>
      <c r="P130" s="4">
        <v>0.17499999999999999</v>
      </c>
      <c r="Q130" s="10">
        <v>17.46</v>
      </c>
      <c r="R130" s="10">
        <v>1.36</v>
      </c>
    </row>
    <row r="131" spans="1:19" x14ac:dyDescent="0.3">
      <c r="A131" t="s">
        <v>109</v>
      </c>
      <c r="B131" t="s">
        <v>20</v>
      </c>
      <c r="C131" t="s">
        <v>25</v>
      </c>
      <c r="D131" t="s">
        <v>22</v>
      </c>
      <c r="E131" s="2">
        <v>45720</v>
      </c>
      <c r="F131" s="1">
        <v>3.4722222222222201</v>
      </c>
      <c r="G131" s="2">
        <v>45733</v>
      </c>
      <c r="H131" s="1">
        <v>3.59375</v>
      </c>
      <c r="I131" s="3" t="s">
        <v>110</v>
      </c>
      <c r="J131">
        <v>1</v>
      </c>
      <c r="K131">
        <v>3</v>
      </c>
      <c r="L131">
        <v>4</v>
      </c>
      <c r="M131">
        <v>5</v>
      </c>
      <c r="N131">
        <f t="shared" si="2"/>
        <v>13</v>
      </c>
      <c r="O131" s="4">
        <v>1.78</v>
      </c>
      <c r="P131" s="4">
        <v>0.16700000000000001</v>
      </c>
      <c r="Q131" s="10">
        <v>17.07</v>
      </c>
      <c r="R131" s="10">
        <v>1.61</v>
      </c>
    </row>
    <row r="132" spans="1:19" x14ac:dyDescent="0.3">
      <c r="A132" t="s">
        <v>109</v>
      </c>
      <c r="B132" t="s">
        <v>20</v>
      </c>
      <c r="C132" t="s">
        <v>25</v>
      </c>
      <c r="D132" t="s">
        <v>23</v>
      </c>
      <c r="E132" s="2">
        <v>45720</v>
      </c>
      <c r="F132" s="1">
        <v>4.4722222222222197</v>
      </c>
      <c r="G132" s="2">
        <v>45733</v>
      </c>
      <c r="H132" s="1">
        <v>4.59375</v>
      </c>
      <c r="I132" s="3" t="s">
        <v>111</v>
      </c>
      <c r="J132">
        <v>1</v>
      </c>
      <c r="K132">
        <v>0</v>
      </c>
      <c r="L132">
        <v>0</v>
      </c>
      <c r="M132">
        <v>0</v>
      </c>
      <c r="N132">
        <f t="shared" si="2"/>
        <v>1</v>
      </c>
      <c r="O132" s="4">
        <v>1.2130000000000001</v>
      </c>
      <c r="P132" s="4">
        <v>0.113</v>
      </c>
      <c r="Q132" s="10">
        <v>0</v>
      </c>
      <c r="R132" s="10">
        <v>0</v>
      </c>
    </row>
    <row r="133" spans="1:19" x14ac:dyDescent="0.3">
      <c r="A133" t="s">
        <v>109</v>
      </c>
      <c r="B133" t="s">
        <v>20</v>
      </c>
      <c r="C133" t="s">
        <v>25</v>
      </c>
      <c r="D133" t="s">
        <v>24</v>
      </c>
      <c r="E133" s="2">
        <v>45720</v>
      </c>
      <c r="F133" s="1">
        <v>5.4722222222222197</v>
      </c>
      <c r="G133" s="2">
        <v>45733</v>
      </c>
      <c r="H133" s="1">
        <v>5.59375</v>
      </c>
      <c r="I133" s="3" t="s">
        <v>112</v>
      </c>
      <c r="J133">
        <v>1</v>
      </c>
      <c r="K133">
        <v>3</v>
      </c>
      <c r="L133">
        <v>4</v>
      </c>
      <c r="M133">
        <v>5</v>
      </c>
      <c r="N133">
        <f t="shared" si="2"/>
        <v>13</v>
      </c>
      <c r="O133" s="4">
        <v>1.454</v>
      </c>
      <c r="P133" s="4">
        <v>0.17100000000000001</v>
      </c>
      <c r="Q133" s="10">
        <v>14.41</v>
      </c>
      <c r="R133" s="10">
        <v>1.92</v>
      </c>
    </row>
    <row r="134" spans="1:19" x14ac:dyDescent="0.3">
      <c r="A134" t="s">
        <v>113</v>
      </c>
      <c r="B134" t="s">
        <v>20</v>
      </c>
      <c r="C134" t="s">
        <v>21</v>
      </c>
      <c r="D134" t="s">
        <v>22</v>
      </c>
      <c r="E134" s="2">
        <v>45720</v>
      </c>
      <c r="F134" s="1">
        <v>0.67708333333333304</v>
      </c>
      <c r="G134" s="2">
        <v>45736</v>
      </c>
      <c r="H134" s="1">
        <v>0.39583333333333298</v>
      </c>
      <c r="I134" s="3">
        <v>22</v>
      </c>
      <c r="J134">
        <v>1</v>
      </c>
      <c r="K134">
        <v>3</v>
      </c>
      <c r="L134">
        <v>4</v>
      </c>
      <c r="M134">
        <v>5</v>
      </c>
      <c r="N134">
        <f t="shared" si="2"/>
        <v>13</v>
      </c>
      <c r="O134" s="4">
        <v>2.6819999999999999</v>
      </c>
      <c r="P134" s="4">
        <v>0.32700000000000001</v>
      </c>
      <c r="Q134" s="10">
        <v>16.739999999999998</v>
      </c>
      <c r="R134" s="10">
        <v>1.45</v>
      </c>
    </row>
    <row r="135" spans="1:19" x14ac:dyDescent="0.3">
      <c r="A135" t="s">
        <v>113</v>
      </c>
      <c r="B135" t="s">
        <v>20</v>
      </c>
      <c r="C135" t="s">
        <v>21</v>
      </c>
      <c r="D135" t="s">
        <v>23</v>
      </c>
      <c r="E135" s="2">
        <v>45720</v>
      </c>
      <c r="F135" s="1">
        <v>1.6770833333333299</v>
      </c>
      <c r="G135" s="2">
        <v>45736</v>
      </c>
      <c r="H135" s="1">
        <v>1.3958333333333299</v>
      </c>
      <c r="I135" s="3">
        <v>70</v>
      </c>
      <c r="J135">
        <v>1</v>
      </c>
      <c r="K135">
        <v>3</v>
      </c>
      <c r="L135">
        <v>4</v>
      </c>
      <c r="M135">
        <v>5</v>
      </c>
      <c r="N135">
        <f t="shared" si="2"/>
        <v>13</v>
      </c>
      <c r="O135" s="4">
        <v>2.8079999999999998</v>
      </c>
      <c r="P135" s="4">
        <v>0.29899999999999999</v>
      </c>
      <c r="Q135" s="10">
        <v>17.649999999999999</v>
      </c>
      <c r="R135" s="10">
        <v>0.97</v>
      </c>
    </row>
    <row r="136" spans="1:19" x14ac:dyDescent="0.3">
      <c r="A136" t="s">
        <v>113</v>
      </c>
      <c r="B136" t="s">
        <v>20</v>
      </c>
      <c r="C136" t="s">
        <v>21</v>
      </c>
      <c r="D136" t="s">
        <v>24</v>
      </c>
      <c r="E136" s="2">
        <v>45720</v>
      </c>
      <c r="F136" s="1">
        <v>2.6770833333333299</v>
      </c>
      <c r="G136" s="2">
        <v>45736</v>
      </c>
      <c r="H136" s="1">
        <v>2.3958333333333299</v>
      </c>
      <c r="I136" s="3">
        <v>231</v>
      </c>
      <c r="J136">
        <v>1</v>
      </c>
      <c r="K136">
        <v>3</v>
      </c>
      <c r="L136">
        <v>4</v>
      </c>
      <c r="M136">
        <v>5</v>
      </c>
      <c r="N136">
        <f t="shared" si="2"/>
        <v>13</v>
      </c>
      <c r="O136" s="4">
        <v>2.7410000000000001</v>
      </c>
      <c r="P136" s="4">
        <v>0.23400000000000001</v>
      </c>
      <c r="Q136" s="10">
        <v>17.88</v>
      </c>
      <c r="R136" s="10">
        <v>1.62</v>
      </c>
    </row>
    <row r="137" spans="1:19" x14ac:dyDescent="0.3">
      <c r="A137" t="s">
        <v>113</v>
      </c>
      <c r="B137" t="s">
        <v>20</v>
      </c>
      <c r="C137" t="s">
        <v>25</v>
      </c>
      <c r="D137" t="s">
        <v>22</v>
      </c>
      <c r="E137" s="2">
        <v>45720</v>
      </c>
      <c r="F137" s="1">
        <v>3.6770833333333299</v>
      </c>
      <c r="G137" s="2">
        <v>45736</v>
      </c>
      <c r="H137" s="1">
        <v>3.3958333333333299</v>
      </c>
      <c r="I137" s="3" t="s">
        <v>114</v>
      </c>
      <c r="J137">
        <v>1</v>
      </c>
      <c r="K137">
        <v>3</v>
      </c>
      <c r="L137">
        <v>4</v>
      </c>
      <c r="M137">
        <v>5</v>
      </c>
      <c r="N137">
        <f t="shared" si="2"/>
        <v>13</v>
      </c>
      <c r="O137" s="4">
        <v>0.35599999999999998</v>
      </c>
      <c r="P137" s="4">
        <v>2.4E-2</v>
      </c>
      <c r="Q137" s="10">
        <v>13.81</v>
      </c>
      <c r="R137" s="10">
        <v>1.1499999999999999</v>
      </c>
    </row>
    <row r="138" spans="1:19" x14ac:dyDescent="0.3">
      <c r="A138" t="s">
        <v>113</v>
      </c>
      <c r="B138" t="s">
        <v>20</v>
      </c>
      <c r="C138" t="s">
        <v>25</v>
      </c>
      <c r="D138" t="s">
        <v>23</v>
      </c>
      <c r="E138" s="2">
        <v>45720</v>
      </c>
      <c r="F138" s="1">
        <v>4.6770833333333304</v>
      </c>
      <c r="G138" s="2">
        <v>45736</v>
      </c>
      <c r="H138" s="1">
        <v>4.3958333333333304</v>
      </c>
      <c r="I138" s="3" t="s">
        <v>115</v>
      </c>
      <c r="J138">
        <v>1</v>
      </c>
      <c r="K138">
        <v>3</v>
      </c>
      <c r="L138">
        <v>4</v>
      </c>
      <c r="M138">
        <v>5</v>
      </c>
      <c r="N138">
        <f t="shared" si="2"/>
        <v>13</v>
      </c>
      <c r="O138" s="4">
        <v>0.35599999999999998</v>
      </c>
      <c r="P138" s="4">
        <v>2.3E-2</v>
      </c>
      <c r="Q138" s="10">
        <v>17.850000000000001</v>
      </c>
      <c r="R138" s="10">
        <v>1.2</v>
      </c>
    </row>
    <row r="139" spans="1:19" x14ac:dyDescent="0.3">
      <c r="A139" t="s">
        <v>113</v>
      </c>
      <c r="B139" t="s">
        <v>20</v>
      </c>
      <c r="C139" t="s">
        <v>25</v>
      </c>
      <c r="D139" t="s">
        <v>24</v>
      </c>
      <c r="E139" s="2">
        <v>45720</v>
      </c>
      <c r="F139" s="1">
        <v>5.6770833333333304</v>
      </c>
      <c r="G139" s="2">
        <v>45736</v>
      </c>
      <c r="H139" s="1">
        <v>5.3958333333333304</v>
      </c>
      <c r="I139" s="3" t="s">
        <v>116</v>
      </c>
      <c r="J139">
        <v>1</v>
      </c>
      <c r="K139">
        <v>3</v>
      </c>
      <c r="L139">
        <v>4</v>
      </c>
      <c r="M139">
        <v>5</v>
      </c>
      <c r="N139">
        <f t="shared" si="2"/>
        <v>13</v>
      </c>
      <c r="O139" s="4">
        <v>0.93200000000000005</v>
      </c>
      <c r="P139" s="4">
        <v>0.06</v>
      </c>
      <c r="Q139" s="10">
        <v>16.829999999999998</v>
      </c>
      <c r="R139" s="10">
        <v>1.1599999999999999</v>
      </c>
    </row>
    <row r="140" spans="1:19" ht="15.6" x14ac:dyDescent="0.3">
      <c r="A140" s="6" t="s">
        <v>117</v>
      </c>
      <c r="B140" t="s">
        <v>118</v>
      </c>
      <c r="C140" t="s">
        <v>21</v>
      </c>
      <c r="D140" t="s">
        <v>22</v>
      </c>
      <c r="E140" s="2">
        <v>45727</v>
      </c>
      <c r="F140" s="1">
        <v>0.53472222222222199</v>
      </c>
      <c r="G140" s="2">
        <v>45742</v>
      </c>
      <c r="H140" s="1">
        <v>0.64583333333333304</v>
      </c>
      <c r="I140" s="3">
        <v>738</v>
      </c>
      <c r="J140">
        <v>1</v>
      </c>
      <c r="K140">
        <v>3</v>
      </c>
      <c r="L140">
        <v>4</v>
      </c>
      <c r="M140">
        <v>5</v>
      </c>
      <c r="N140">
        <f t="shared" si="2"/>
        <v>13</v>
      </c>
      <c r="O140" s="4">
        <v>4.03</v>
      </c>
      <c r="P140" s="4">
        <v>1.758</v>
      </c>
      <c r="Q140" s="10">
        <v>29.03</v>
      </c>
      <c r="R140" s="10">
        <v>11.92</v>
      </c>
    </row>
    <row r="141" spans="1:19" ht="15.6" x14ac:dyDescent="0.3">
      <c r="A141" s="6" t="s">
        <v>117</v>
      </c>
      <c r="B141" t="s">
        <v>118</v>
      </c>
      <c r="C141" t="s">
        <v>21</v>
      </c>
      <c r="D141" t="s">
        <v>23</v>
      </c>
      <c r="E141" s="2">
        <v>45727</v>
      </c>
      <c r="F141" s="1">
        <v>0.53611111111111098</v>
      </c>
      <c r="G141" s="2">
        <v>45742</v>
      </c>
      <c r="H141" s="1">
        <v>0.64583333333333304</v>
      </c>
      <c r="I141" s="3">
        <v>537</v>
      </c>
      <c r="J141">
        <v>1</v>
      </c>
      <c r="K141">
        <v>3</v>
      </c>
      <c r="L141">
        <v>4</v>
      </c>
      <c r="M141">
        <v>5</v>
      </c>
      <c r="N141">
        <f t="shared" si="2"/>
        <v>13</v>
      </c>
      <c r="O141" s="4">
        <v>3.4969999999999999</v>
      </c>
      <c r="P141" s="4">
        <v>1.371</v>
      </c>
      <c r="Q141" s="10">
        <v>25.01</v>
      </c>
      <c r="R141" s="10">
        <v>7.27</v>
      </c>
    </row>
    <row r="142" spans="1:19" ht="15.6" x14ac:dyDescent="0.3">
      <c r="A142" s="6" t="s">
        <v>117</v>
      </c>
      <c r="B142" t="s">
        <v>118</v>
      </c>
      <c r="C142" t="s">
        <v>21</v>
      </c>
      <c r="D142" t="s">
        <v>24</v>
      </c>
      <c r="E142" s="2">
        <v>45727</v>
      </c>
      <c r="F142" s="1">
        <v>0.53680555555555598</v>
      </c>
      <c r="G142" s="2">
        <v>45742</v>
      </c>
      <c r="H142" s="1">
        <v>0.64583333333333304</v>
      </c>
      <c r="I142" s="3">
        <v>240</v>
      </c>
      <c r="J142">
        <v>1</v>
      </c>
      <c r="K142">
        <v>3</v>
      </c>
      <c r="L142">
        <v>4</v>
      </c>
      <c r="M142">
        <v>5</v>
      </c>
      <c r="N142">
        <f t="shared" si="2"/>
        <v>13</v>
      </c>
      <c r="O142" s="4">
        <v>3.8029999999999999</v>
      </c>
      <c r="P142" s="4">
        <v>1.6259999999999999</v>
      </c>
      <c r="Q142" s="10">
        <v>21.6</v>
      </c>
      <c r="R142" s="10">
        <v>5.33</v>
      </c>
    </row>
    <row r="143" spans="1:19" ht="15.6" x14ac:dyDescent="0.3">
      <c r="A143" s="6" t="s">
        <v>117</v>
      </c>
      <c r="B143" t="s">
        <v>118</v>
      </c>
      <c r="C143" t="s">
        <v>25</v>
      </c>
      <c r="D143" t="s">
        <v>22</v>
      </c>
      <c r="E143" s="2">
        <v>45727</v>
      </c>
      <c r="F143" s="1">
        <v>0.53819444444444398</v>
      </c>
      <c r="G143" s="2">
        <v>45742</v>
      </c>
      <c r="H143" s="1">
        <v>0.64930555555555602</v>
      </c>
      <c r="I143" s="3" t="s">
        <v>119</v>
      </c>
      <c r="J143">
        <v>1</v>
      </c>
      <c r="K143">
        <v>0</v>
      </c>
      <c r="L143">
        <v>0</v>
      </c>
      <c r="M143">
        <v>0</v>
      </c>
      <c r="N143">
        <f t="shared" si="2"/>
        <v>1</v>
      </c>
      <c r="O143" s="4">
        <v>0.751</v>
      </c>
      <c r="P143" s="4">
        <v>8.5000000000000006E-2</v>
      </c>
      <c r="Q143" s="10">
        <v>0</v>
      </c>
      <c r="R143" s="10">
        <v>0</v>
      </c>
      <c r="S143" t="s">
        <v>204</v>
      </c>
    </row>
    <row r="144" spans="1:19" ht="15.6" x14ac:dyDescent="0.3">
      <c r="A144" s="6" t="s">
        <v>117</v>
      </c>
      <c r="B144" t="s">
        <v>118</v>
      </c>
      <c r="C144" t="s">
        <v>25</v>
      </c>
      <c r="D144" t="s">
        <v>23</v>
      </c>
      <c r="E144" s="2">
        <v>45727</v>
      </c>
      <c r="F144" s="1">
        <v>0.53958333333333297</v>
      </c>
      <c r="G144" s="2">
        <v>45742</v>
      </c>
      <c r="H144" s="1">
        <v>0.65</v>
      </c>
      <c r="I144" s="3" t="s">
        <v>120</v>
      </c>
      <c r="J144" s="7">
        <v>1</v>
      </c>
      <c r="K144" s="7">
        <v>3</v>
      </c>
      <c r="L144" s="7">
        <v>2</v>
      </c>
      <c r="M144" s="7">
        <v>5</v>
      </c>
      <c r="N144">
        <f t="shared" si="2"/>
        <v>11</v>
      </c>
      <c r="O144" s="9">
        <v>1.5740000000000001</v>
      </c>
      <c r="P144" s="9">
        <v>0.14199999999999999</v>
      </c>
      <c r="Q144" s="10">
        <v>21.12</v>
      </c>
      <c r="R144" s="10">
        <v>1.43</v>
      </c>
    </row>
    <row r="145" spans="1:19" ht="15.6" x14ac:dyDescent="0.3">
      <c r="A145" s="6" t="s">
        <v>117</v>
      </c>
      <c r="B145" t="s">
        <v>118</v>
      </c>
      <c r="C145" t="s">
        <v>25</v>
      </c>
      <c r="D145" t="s">
        <v>24</v>
      </c>
      <c r="E145" s="2">
        <v>45727</v>
      </c>
      <c r="F145" s="1">
        <v>0.54166666666666696</v>
      </c>
      <c r="G145" s="2">
        <v>45742</v>
      </c>
      <c r="H145" s="1">
        <v>0.65138888888888902</v>
      </c>
      <c r="I145" s="3" t="s">
        <v>121</v>
      </c>
      <c r="J145" s="7">
        <v>1</v>
      </c>
      <c r="K145" s="7">
        <v>1</v>
      </c>
      <c r="L145" s="7">
        <v>0</v>
      </c>
      <c r="M145" s="7">
        <v>5</v>
      </c>
      <c r="N145">
        <f t="shared" si="2"/>
        <v>7</v>
      </c>
      <c r="O145" s="9">
        <v>1.6</v>
      </c>
      <c r="P145" s="9">
        <v>0.17799999999999999</v>
      </c>
      <c r="Q145" s="10">
        <v>19.170000000000002</v>
      </c>
      <c r="R145" s="10">
        <v>1.71</v>
      </c>
    </row>
    <row r="146" spans="1:19" ht="15.6" x14ac:dyDescent="0.3">
      <c r="A146" s="6" t="s">
        <v>122</v>
      </c>
      <c r="B146" t="s">
        <v>118</v>
      </c>
      <c r="C146" t="s">
        <v>21</v>
      </c>
      <c r="D146" t="s">
        <v>22</v>
      </c>
      <c r="E146" s="2">
        <v>45727</v>
      </c>
      <c r="F146" s="1">
        <v>0.56597222222222199</v>
      </c>
      <c r="G146" s="2">
        <v>45742</v>
      </c>
      <c r="H146" s="1">
        <v>1.65208333333333</v>
      </c>
      <c r="I146" s="3">
        <v>543</v>
      </c>
      <c r="J146">
        <v>1</v>
      </c>
      <c r="K146">
        <v>3</v>
      </c>
      <c r="L146">
        <v>4</v>
      </c>
      <c r="M146">
        <v>5</v>
      </c>
      <c r="N146">
        <f t="shared" si="2"/>
        <v>13</v>
      </c>
      <c r="O146" s="4">
        <v>2.8650000000000002</v>
      </c>
      <c r="P146" s="4">
        <v>0.47499999999999998</v>
      </c>
      <c r="Q146" s="10">
        <v>17.57</v>
      </c>
      <c r="R146" s="10">
        <v>1.8</v>
      </c>
    </row>
    <row r="147" spans="1:19" ht="15.6" x14ac:dyDescent="0.3">
      <c r="A147" s="6" t="s">
        <v>122</v>
      </c>
      <c r="B147" t="s">
        <v>118</v>
      </c>
      <c r="C147" t="s">
        <v>21</v>
      </c>
      <c r="D147" t="s">
        <v>23</v>
      </c>
      <c r="E147" s="2">
        <v>45727</v>
      </c>
      <c r="F147" s="1">
        <v>0.56736111111111098</v>
      </c>
      <c r="G147" s="2">
        <v>45742</v>
      </c>
      <c r="H147" s="1">
        <v>2.6527777777777799</v>
      </c>
      <c r="I147" s="3">
        <v>747</v>
      </c>
      <c r="J147">
        <v>1</v>
      </c>
      <c r="K147">
        <v>3</v>
      </c>
      <c r="L147">
        <v>4</v>
      </c>
      <c r="M147">
        <v>5</v>
      </c>
      <c r="N147">
        <f t="shared" si="2"/>
        <v>13</v>
      </c>
      <c r="O147" s="4">
        <v>2.948</v>
      </c>
      <c r="P147" s="4">
        <v>0.79400000000000004</v>
      </c>
      <c r="Q147" s="10">
        <v>20.83</v>
      </c>
      <c r="R147" s="10">
        <v>5.07</v>
      </c>
    </row>
    <row r="148" spans="1:19" ht="15.6" x14ac:dyDescent="0.3">
      <c r="A148" s="6" t="s">
        <v>122</v>
      </c>
      <c r="B148" t="s">
        <v>118</v>
      </c>
      <c r="C148" t="s">
        <v>21</v>
      </c>
      <c r="D148" t="s">
        <v>24</v>
      </c>
      <c r="E148" s="2">
        <v>45727</v>
      </c>
      <c r="F148" s="1">
        <v>0.56874999999999998</v>
      </c>
      <c r="G148" s="2">
        <v>45742</v>
      </c>
      <c r="H148" s="1">
        <v>3.65347222222222</v>
      </c>
      <c r="I148" s="3">
        <v>603</v>
      </c>
      <c r="J148">
        <v>1</v>
      </c>
      <c r="K148">
        <v>3</v>
      </c>
      <c r="L148">
        <v>4</v>
      </c>
      <c r="M148">
        <v>5</v>
      </c>
      <c r="N148">
        <f t="shared" si="2"/>
        <v>13</v>
      </c>
      <c r="O148" s="4">
        <v>3.2370000000000001</v>
      </c>
      <c r="P148" s="4">
        <v>0.93500000000000005</v>
      </c>
      <c r="Q148" s="10">
        <v>23.72</v>
      </c>
      <c r="R148" s="10">
        <v>5.05</v>
      </c>
    </row>
    <row r="149" spans="1:19" ht="15.6" x14ac:dyDescent="0.3">
      <c r="A149" s="6" t="s">
        <v>122</v>
      </c>
      <c r="B149" t="s">
        <v>118</v>
      </c>
      <c r="C149" t="s">
        <v>25</v>
      </c>
      <c r="D149" t="s">
        <v>22</v>
      </c>
      <c r="E149" s="2">
        <v>45727</v>
      </c>
      <c r="F149" s="1">
        <v>0.57013888888888897</v>
      </c>
      <c r="G149" s="2">
        <v>45742</v>
      </c>
      <c r="H149" s="1">
        <v>4.6541666666666703</v>
      </c>
      <c r="I149" s="3" t="s">
        <v>123</v>
      </c>
      <c r="J149">
        <v>1</v>
      </c>
      <c r="K149">
        <v>0</v>
      </c>
      <c r="L149">
        <v>0</v>
      </c>
      <c r="M149">
        <v>0</v>
      </c>
      <c r="N149">
        <f t="shared" si="2"/>
        <v>1</v>
      </c>
      <c r="O149" s="4">
        <v>0.75800000000000001</v>
      </c>
      <c r="P149" s="4">
        <v>8.8999999999999996E-2</v>
      </c>
      <c r="Q149" s="10">
        <v>0</v>
      </c>
      <c r="R149" s="10">
        <v>0</v>
      </c>
      <c r="S149" t="s">
        <v>204</v>
      </c>
    </row>
    <row r="150" spans="1:19" ht="15.6" x14ac:dyDescent="0.3">
      <c r="A150" s="6" t="s">
        <v>122</v>
      </c>
      <c r="B150" t="s">
        <v>118</v>
      </c>
      <c r="C150" t="s">
        <v>25</v>
      </c>
      <c r="D150" t="s">
        <v>23</v>
      </c>
      <c r="E150" s="2">
        <v>45727</v>
      </c>
      <c r="F150" s="1">
        <v>0.57152777777777797</v>
      </c>
      <c r="G150" s="2">
        <v>45742</v>
      </c>
      <c r="H150" s="1">
        <v>5.65486111111111</v>
      </c>
      <c r="I150" s="3" t="s">
        <v>124</v>
      </c>
      <c r="J150">
        <v>1</v>
      </c>
      <c r="K150">
        <v>0</v>
      </c>
      <c r="L150">
        <v>0</v>
      </c>
      <c r="M150">
        <v>0</v>
      </c>
      <c r="N150">
        <f t="shared" si="2"/>
        <v>1</v>
      </c>
      <c r="O150" s="4">
        <v>0.59499999999999997</v>
      </c>
      <c r="P150" s="4">
        <v>5.7000000000000002E-2</v>
      </c>
      <c r="Q150" s="10">
        <v>0</v>
      </c>
      <c r="R150" s="10">
        <v>0</v>
      </c>
      <c r="S150" t="s">
        <v>204</v>
      </c>
    </row>
    <row r="151" spans="1:19" ht="15.6" x14ac:dyDescent="0.3">
      <c r="A151" s="6" t="s">
        <v>122</v>
      </c>
      <c r="B151" t="s">
        <v>118</v>
      </c>
      <c r="C151" t="s">
        <v>25</v>
      </c>
      <c r="D151" t="s">
        <v>24</v>
      </c>
      <c r="E151" s="2">
        <v>45727</v>
      </c>
      <c r="F151" s="1">
        <v>0.57291666666666696</v>
      </c>
      <c r="G151" s="2">
        <v>45742</v>
      </c>
      <c r="H151" s="1">
        <v>6.65625</v>
      </c>
      <c r="I151" s="3" t="s">
        <v>125</v>
      </c>
      <c r="J151">
        <v>0</v>
      </c>
      <c r="K151">
        <v>0</v>
      </c>
      <c r="L151">
        <v>0</v>
      </c>
      <c r="M151">
        <v>0</v>
      </c>
      <c r="N151">
        <f t="shared" si="2"/>
        <v>0</v>
      </c>
      <c r="O151" s="4">
        <v>0.32400000000000001</v>
      </c>
      <c r="P151" s="4">
        <v>0.02</v>
      </c>
      <c r="Q151" s="10">
        <v>0</v>
      </c>
      <c r="R151" s="10">
        <v>0</v>
      </c>
      <c r="S151" t="s">
        <v>204</v>
      </c>
    </row>
    <row r="152" spans="1:19" ht="15.6" x14ac:dyDescent="0.3">
      <c r="A152" s="6" t="s">
        <v>126</v>
      </c>
      <c r="B152" t="s">
        <v>118</v>
      </c>
      <c r="C152" t="s">
        <v>21</v>
      </c>
      <c r="D152" t="s">
        <v>22</v>
      </c>
      <c r="E152" s="2">
        <v>45727</v>
      </c>
      <c r="F152" s="1">
        <v>0.5</v>
      </c>
      <c r="G152" s="2">
        <v>45744</v>
      </c>
      <c r="H152" s="1">
        <v>0.52083333333333304</v>
      </c>
      <c r="I152" s="3">
        <v>629</v>
      </c>
      <c r="J152">
        <v>1</v>
      </c>
      <c r="K152">
        <v>3</v>
      </c>
      <c r="L152">
        <v>4</v>
      </c>
      <c r="M152">
        <v>5</v>
      </c>
      <c r="N152">
        <f t="shared" si="2"/>
        <v>13</v>
      </c>
      <c r="O152" s="4">
        <v>2.391</v>
      </c>
      <c r="P152" s="4">
        <v>0.26</v>
      </c>
      <c r="Q152" s="10">
        <v>19.899999999999999</v>
      </c>
      <c r="R152" s="10">
        <v>2.75</v>
      </c>
    </row>
    <row r="153" spans="1:19" ht="15.6" x14ac:dyDescent="0.3">
      <c r="A153" s="6" t="s">
        <v>126</v>
      </c>
      <c r="B153" t="s">
        <v>118</v>
      </c>
      <c r="C153" t="s">
        <v>21</v>
      </c>
      <c r="D153" t="s">
        <v>23</v>
      </c>
      <c r="E153" s="2">
        <v>45727</v>
      </c>
      <c r="F153" s="1">
        <v>0.50138888888888899</v>
      </c>
      <c r="G153" s="2">
        <v>45744</v>
      </c>
      <c r="H153" s="1">
        <v>0.52152777777777803</v>
      </c>
      <c r="I153" s="3">
        <v>619</v>
      </c>
      <c r="J153">
        <v>1</v>
      </c>
      <c r="K153">
        <v>3</v>
      </c>
      <c r="L153">
        <v>4</v>
      </c>
      <c r="M153">
        <v>5</v>
      </c>
      <c r="N153">
        <f t="shared" si="2"/>
        <v>13</v>
      </c>
      <c r="O153" s="4">
        <v>2.9039999999999999</v>
      </c>
      <c r="P153" s="4">
        <v>0.69899999999999995</v>
      </c>
      <c r="Q153" s="10">
        <v>17.13</v>
      </c>
      <c r="R153" s="10">
        <v>2.8</v>
      </c>
    </row>
    <row r="154" spans="1:19" ht="15.6" x14ac:dyDescent="0.3">
      <c r="A154" s="6" t="s">
        <v>126</v>
      </c>
      <c r="B154" t="s">
        <v>118</v>
      </c>
      <c r="C154" t="s">
        <v>21</v>
      </c>
      <c r="D154" t="s">
        <v>24</v>
      </c>
      <c r="E154" s="2">
        <v>45727</v>
      </c>
      <c r="F154" s="1">
        <v>0.50347222222222199</v>
      </c>
      <c r="G154" s="2">
        <v>45744</v>
      </c>
      <c r="H154" s="1">
        <v>0.52222222222222203</v>
      </c>
      <c r="I154" s="3">
        <v>112</v>
      </c>
      <c r="J154">
        <v>1</v>
      </c>
      <c r="K154">
        <v>3</v>
      </c>
      <c r="L154">
        <v>4</v>
      </c>
      <c r="M154">
        <v>5</v>
      </c>
      <c r="N154">
        <f t="shared" si="2"/>
        <v>13</v>
      </c>
      <c r="O154" s="4">
        <v>2.6110000000000002</v>
      </c>
      <c r="P154" s="4">
        <v>0.51500000000000001</v>
      </c>
      <c r="Q154" s="10">
        <v>17.29</v>
      </c>
      <c r="R154" s="10">
        <v>2.39</v>
      </c>
    </row>
    <row r="155" spans="1:19" ht="15.6" x14ac:dyDescent="0.3">
      <c r="A155" s="6" t="s">
        <v>126</v>
      </c>
      <c r="B155" t="s">
        <v>118</v>
      </c>
      <c r="C155" t="s">
        <v>25</v>
      </c>
      <c r="D155" t="s">
        <v>22</v>
      </c>
      <c r="E155" s="2">
        <v>45727</v>
      </c>
      <c r="F155" s="1">
        <v>0.50486111111111098</v>
      </c>
      <c r="G155" s="2">
        <v>45744</v>
      </c>
      <c r="H155" s="1">
        <v>0.52291666666666703</v>
      </c>
      <c r="I155" s="3" t="s">
        <v>127</v>
      </c>
      <c r="J155">
        <v>1</v>
      </c>
      <c r="K155">
        <v>0</v>
      </c>
      <c r="L155">
        <v>0</v>
      </c>
      <c r="M155">
        <v>2</v>
      </c>
      <c r="N155">
        <f t="shared" si="2"/>
        <v>3</v>
      </c>
      <c r="O155" s="4">
        <v>1.4670000000000001</v>
      </c>
      <c r="P155" s="4">
        <v>0.19600000000000001</v>
      </c>
      <c r="Q155" s="10">
        <v>7.9</v>
      </c>
      <c r="R155" s="10">
        <v>1.35</v>
      </c>
    </row>
    <row r="156" spans="1:19" ht="15.6" x14ac:dyDescent="0.3">
      <c r="A156" s="6" t="s">
        <v>126</v>
      </c>
      <c r="B156" t="s">
        <v>118</v>
      </c>
      <c r="C156" t="s">
        <v>25</v>
      </c>
      <c r="D156" t="s">
        <v>23</v>
      </c>
      <c r="E156" s="2">
        <v>45727</v>
      </c>
      <c r="F156" s="1">
        <v>0.50624999999999998</v>
      </c>
      <c r="G156" s="2">
        <v>45744</v>
      </c>
      <c r="H156" s="1">
        <v>0.52361111111111103</v>
      </c>
      <c r="I156" s="3" t="s">
        <v>128</v>
      </c>
      <c r="J156">
        <v>1</v>
      </c>
      <c r="K156">
        <v>3</v>
      </c>
      <c r="L156">
        <v>4</v>
      </c>
      <c r="M156">
        <v>5</v>
      </c>
      <c r="N156">
        <f t="shared" si="2"/>
        <v>13</v>
      </c>
      <c r="O156" s="4">
        <v>1.6879999999999999</v>
      </c>
      <c r="P156" s="4">
        <v>0.26500000000000001</v>
      </c>
      <c r="Q156" s="10">
        <v>17.420000000000002</v>
      </c>
      <c r="R156" s="10">
        <v>1.66</v>
      </c>
    </row>
    <row r="157" spans="1:19" ht="15.6" x14ac:dyDescent="0.3">
      <c r="A157" s="6" t="s">
        <v>126</v>
      </c>
      <c r="B157" t="s">
        <v>118</v>
      </c>
      <c r="C157" t="s">
        <v>25</v>
      </c>
      <c r="D157" t="s">
        <v>24</v>
      </c>
      <c r="E157" s="2">
        <v>45727</v>
      </c>
      <c r="F157" s="1">
        <v>0.50833333333333297</v>
      </c>
      <c r="G157" s="2">
        <v>45744</v>
      </c>
      <c r="H157" s="1">
        <v>0.52430555555555602</v>
      </c>
      <c r="I157" s="3" t="s">
        <v>199</v>
      </c>
      <c r="J157" s="7">
        <v>0</v>
      </c>
      <c r="K157" s="7">
        <v>0</v>
      </c>
      <c r="L157" s="7">
        <v>0</v>
      </c>
      <c r="M157" s="7">
        <v>0</v>
      </c>
      <c r="N157">
        <f t="shared" si="2"/>
        <v>0</v>
      </c>
      <c r="O157" s="4">
        <v>1.655</v>
      </c>
      <c r="P157" s="4">
        <v>0.19500000000000001</v>
      </c>
      <c r="Q157" s="10">
        <v>0</v>
      </c>
      <c r="R157" s="10">
        <v>0</v>
      </c>
      <c r="S157" t="s">
        <v>204</v>
      </c>
    </row>
    <row r="158" spans="1:19" ht="15.6" x14ac:dyDescent="0.3">
      <c r="A158" s="6" t="s">
        <v>130</v>
      </c>
      <c r="B158" t="s">
        <v>118</v>
      </c>
      <c r="C158" t="s">
        <v>21</v>
      </c>
      <c r="D158" t="s">
        <v>22</v>
      </c>
      <c r="E158" s="2">
        <v>45727</v>
      </c>
      <c r="F158" s="1">
        <v>0.52083333333333304</v>
      </c>
      <c r="G158" s="2">
        <v>45744</v>
      </c>
      <c r="H158" s="1">
        <v>0.52500000000000002</v>
      </c>
      <c r="I158" s="3">
        <v>611</v>
      </c>
      <c r="J158">
        <v>1</v>
      </c>
      <c r="K158">
        <v>3</v>
      </c>
      <c r="L158">
        <v>4</v>
      </c>
      <c r="M158">
        <v>5</v>
      </c>
      <c r="N158">
        <f t="shared" si="2"/>
        <v>13</v>
      </c>
      <c r="O158" s="4">
        <v>2.948</v>
      </c>
      <c r="P158" s="4">
        <v>0.91900000000000004</v>
      </c>
      <c r="Q158" s="10">
        <v>15.48</v>
      </c>
      <c r="R158" s="10">
        <v>2.69</v>
      </c>
    </row>
    <row r="159" spans="1:19" ht="15.6" x14ac:dyDescent="0.3">
      <c r="A159" s="6" t="s">
        <v>130</v>
      </c>
      <c r="B159" t="s">
        <v>118</v>
      </c>
      <c r="C159" t="s">
        <v>21</v>
      </c>
      <c r="D159" t="s">
        <v>23</v>
      </c>
      <c r="E159" s="2">
        <v>45727</v>
      </c>
      <c r="F159" s="1">
        <v>0.52222222222222203</v>
      </c>
      <c r="G159" s="2">
        <v>45744</v>
      </c>
      <c r="H159" s="1">
        <v>0.41666666666666702</v>
      </c>
      <c r="I159" s="3">
        <v>207</v>
      </c>
      <c r="J159">
        <v>1</v>
      </c>
      <c r="K159">
        <v>3</v>
      </c>
      <c r="L159">
        <v>0</v>
      </c>
      <c r="M159">
        <v>5</v>
      </c>
      <c r="N159">
        <f t="shared" si="2"/>
        <v>9</v>
      </c>
      <c r="O159" s="4">
        <v>2.2909999999999999</v>
      </c>
      <c r="P159" s="4">
        <v>0.56699999999999995</v>
      </c>
      <c r="Q159" s="10">
        <v>18.82</v>
      </c>
      <c r="R159" s="10">
        <v>3.25</v>
      </c>
    </row>
    <row r="160" spans="1:19" ht="15.6" x14ac:dyDescent="0.3">
      <c r="A160" s="6" t="s">
        <v>130</v>
      </c>
      <c r="B160" t="s">
        <v>118</v>
      </c>
      <c r="C160" t="s">
        <v>21</v>
      </c>
      <c r="D160" t="s">
        <v>24</v>
      </c>
      <c r="E160" s="2">
        <v>45727</v>
      </c>
      <c r="F160" s="1">
        <v>0.52430555555555602</v>
      </c>
      <c r="G160" s="2">
        <v>45744</v>
      </c>
      <c r="H160" s="1">
        <v>0.41805555555555601</v>
      </c>
      <c r="I160" s="3">
        <v>754</v>
      </c>
      <c r="J160" s="7" t="s">
        <v>198</v>
      </c>
      <c r="K160" s="7" t="s">
        <v>198</v>
      </c>
      <c r="L160" s="7" t="s">
        <v>198</v>
      </c>
      <c r="M160" s="7" t="s">
        <v>198</v>
      </c>
      <c r="N160">
        <f t="shared" si="2"/>
        <v>0</v>
      </c>
      <c r="O160" s="9" t="s">
        <v>198</v>
      </c>
      <c r="P160" s="9" t="s">
        <v>198</v>
      </c>
      <c r="Q160" s="10" t="s">
        <v>198</v>
      </c>
      <c r="R160" s="10" t="s">
        <v>198</v>
      </c>
      <c r="S160" t="s">
        <v>207</v>
      </c>
    </row>
    <row r="161" spans="1:19" ht="15.6" x14ac:dyDescent="0.3">
      <c r="A161" s="6" t="s">
        <v>130</v>
      </c>
      <c r="B161" t="s">
        <v>118</v>
      </c>
      <c r="C161" t="s">
        <v>25</v>
      </c>
      <c r="D161" t="s">
        <v>22</v>
      </c>
      <c r="E161" s="2">
        <v>45727</v>
      </c>
      <c r="F161" s="1">
        <v>0.52569444444444502</v>
      </c>
      <c r="G161" s="2">
        <v>45744</v>
      </c>
      <c r="H161" s="1">
        <v>0.41944444444444401</v>
      </c>
      <c r="I161" s="3" t="s">
        <v>131</v>
      </c>
      <c r="J161">
        <v>0</v>
      </c>
      <c r="K161">
        <v>0</v>
      </c>
      <c r="L161">
        <v>0</v>
      </c>
      <c r="M161">
        <v>0</v>
      </c>
      <c r="N161">
        <f t="shared" si="2"/>
        <v>0</v>
      </c>
      <c r="O161" s="4">
        <v>1.0029999999999999</v>
      </c>
      <c r="P161" s="4">
        <v>0.20399999999999999</v>
      </c>
      <c r="Q161" s="10">
        <v>0</v>
      </c>
      <c r="R161" s="10">
        <v>0</v>
      </c>
      <c r="S161" t="s">
        <v>204</v>
      </c>
    </row>
    <row r="162" spans="1:19" ht="15.6" x14ac:dyDescent="0.3">
      <c r="A162" s="6" t="s">
        <v>130</v>
      </c>
      <c r="B162" t="s">
        <v>118</v>
      </c>
      <c r="C162" t="s">
        <v>25</v>
      </c>
      <c r="D162" t="s">
        <v>23</v>
      </c>
      <c r="E162" s="2">
        <v>45727</v>
      </c>
      <c r="F162" s="1">
        <v>0.52708333333333302</v>
      </c>
      <c r="G162" s="2">
        <v>45744</v>
      </c>
      <c r="H162" s="1">
        <v>0.420833333333333</v>
      </c>
      <c r="I162" s="3" t="s">
        <v>132</v>
      </c>
      <c r="J162">
        <v>1</v>
      </c>
      <c r="K162">
        <v>0</v>
      </c>
      <c r="L162">
        <v>0</v>
      </c>
      <c r="M162">
        <v>0</v>
      </c>
      <c r="N162">
        <f t="shared" si="2"/>
        <v>1</v>
      </c>
      <c r="O162" s="4">
        <v>1.22</v>
      </c>
      <c r="P162" s="4">
        <v>0.154</v>
      </c>
      <c r="Q162" s="10">
        <v>0</v>
      </c>
      <c r="R162" s="10">
        <v>0</v>
      </c>
      <c r="S162" t="s">
        <v>205</v>
      </c>
    </row>
    <row r="163" spans="1:19" ht="15.6" x14ac:dyDescent="0.3">
      <c r="A163" s="6" t="s">
        <v>130</v>
      </c>
      <c r="B163" t="s">
        <v>118</v>
      </c>
      <c r="C163" t="s">
        <v>25</v>
      </c>
      <c r="D163" t="s">
        <v>24</v>
      </c>
      <c r="E163" s="2">
        <v>45727</v>
      </c>
      <c r="F163" s="1">
        <v>0.52777777777777801</v>
      </c>
      <c r="G163" s="2">
        <v>45744</v>
      </c>
      <c r="H163" s="1">
        <v>0.421527777777778</v>
      </c>
      <c r="I163" s="3" t="s">
        <v>200</v>
      </c>
      <c r="J163" s="7" t="s">
        <v>198</v>
      </c>
      <c r="K163" s="7" t="s">
        <v>198</v>
      </c>
      <c r="L163" s="7" t="s">
        <v>198</v>
      </c>
      <c r="M163" s="7" t="s">
        <v>198</v>
      </c>
      <c r="N163">
        <f t="shared" si="2"/>
        <v>0</v>
      </c>
      <c r="O163" s="9" t="s">
        <v>198</v>
      </c>
      <c r="P163" s="9" t="s">
        <v>198</v>
      </c>
      <c r="Q163" s="10" t="s">
        <v>198</v>
      </c>
      <c r="R163" s="10" t="s">
        <v>198</v>
      </c>
      <c r="S163" t="s">
        <v>207</v>
      </c>
    </row>
    <row r="164" spans="1:19" ht="15.6" x14ac:dyDescent="0.3">
      <c r="A164" s="6" t="s">
        <v>133</v>
      </c>
      <c r="B164" t="s">
        <v>118</v>
      </c>
      <c r="C164" t="s">
        <v>21</v>
      </c>
      <c r="D164" t="s">
        <v>22</v>
      </c>
      <c r="E164" s="2">
        <v>45726</v>
      </c>
      <c r="F164" s="1">
        <v>0.61111111111111105</v>
      </c>
      <c r="G164" s="2">
        <v>45744</v>
      </c>
      <c r="H164" s="1">
        <v>0.6875</v>
      </c>
      <c r="I164" s="3">
        <v>223</v>
      </c>
      <c r="J164" s="7">
        <v>1</v>
      </c>
      <c r="K164" s="7">
        <v>3</v>
      </c>
      <c r="L164" s="7">
        <v>4</v>
      </c>
      <c r="M164" s="7">
        <v>5</v>
      </c>
      <c r="N164">
        <f t="shared" si="2"/>
        <v>13</v>
      </c>
      <c r="O164" s="9">
        <v>2.5579999999999998</v>
      </c>
      <c r="P164" s="9">
        <v>0.54100000000000004</v>
      </c>
      <c r="Q164" s="10">
        <v>22.57</v>
      </c>
      <c r="R164" s="10">
        <v>3.58</v>
      </c>
    </row>
    <row r="165" spans="1:19" ht="15.6" x14ac:dyDescent="0.3">
      <c r="A165" s="6" t="s">
        <v>133</v>
      </c>
      <c r="B165" t="s">
        <v>118</v>
      </c>
      <c r="C165" t="s">
        <v>21</v>
      </c>
      <c r="D165" t="s">
        <v>23</v>
      </c>
      <c r="E165" s="2">
        <v>45726</v>
      </c>
      <c r="F165" s="1">
        <f>F164 + TIME(0,2,0)</f>
        <v>0.61249999999999993</v>
      </c>
      <c r="G165" s="2">
        <v>45744</v>
      </c>
      <c r="H165" s="1">
        <v>0.68888888888888899</v>
      </c>
      <c r="I165" s="3">
        <v>768</v>
      </c>
      <c r="J165" s="7">
        <v>1</v>
      </c>
      <c r="K165" s="7">
        <v>3</v>
      </c>
      <c r="L165" s="7">
        <v>4</v>
      </c>
      <c r="M165" s="7">
        <v>5</v>
      </c>
      <c r="N165">
        <f t="shared" si="2"/>
        <v>13</v>
      </c>
      <c r="O165" s="9">
        <v>2.3210000000000002</v>
      </c>
      <c r="P165" s="9">
        <v>0.36</v>
      </c>
      <c r="Q165" s="10">
        <v>16.489999999999998</v>
      </c>
      <c r="R165" s="10">
        <v>1.81</v>
      </c>
    </row>
    <row r="166" spans="1:19" ht="15.6" x14ac:dyDescent="0.3">
      <c r="A166" s="6" t="s">
        <v>133</v>
      </c>
      <c r="B166" t="s">
        <v>118</v>
      </c>
      <c r="C166" t="s">
        <v>21</v>
      </c>
      <c r="D166" t="s">
        <v>24</v>
      </c>
      <c r="E166" s="2">
        <v>45726</v>
      </c>
      <c r="F166" s="1">
        <f>F165 + TIME(0,2,0)</f>
        <v>0.61388888888888882</v>
      </c>
      <c r="G166" s="2">
        <v>45744</v>
      </c>
      <c r="H166" s="1">
        <v>0.68958333333333299</v>
      </c>
      <c r="I166" s="3">
        <v>135</v>
      </c>
      <c r="J166" s="7">
        <v>1</v>
      </c>
      <c r="K166" s="7">
        <v>3</v>
      </c>
      <c r="L166" s="7">
        <v>3</v>
      </c>
      <c r="M166" s="7">
        <v>5</v>
      </c>
      <c r="N166">
        <f t="shared" si="2"/>
        <v>12</v>
      </c>
      <c r="O166" s="9">
        <v>2.367</v>
      </c>
      <c r="P166" s="9">
        <v>0.435</v>
      </c>
      <c r="Q166" s="10">
        <v>16.260000000000002</v>
      </c>
      <c r="R166" s="10">
        <v>1.7</v>
      </c>
    </row>
    <row r="167" spans="1:19" ht="15.6" x14ac:dyDescent="0.3">
      <c r="A167" s="6" t="s">
        <v>133</v>
      </c>
      <c r="B167" t="s">
        <v>118</v>
      </c>
      <c r="C167" t="s">
        <v>25</v>
      </c>
      <c r="D167" t="s">
        <v>22</v>
      </c>
      <c r="E167" s="2">
        <v>45726</v>
      </c>
      <c r="F167" s="1">
        <f>F166 + TIME(0,2,0)</f>
        <v>0.6152777777777777</v>
      </c>
      <c r="G167" s="2">
        <v>45744</v>
      </c>
      <c r="H167" s="1">
        <v>0.69027777777777799</v>
      </c>
      <c r="I167" s="3" t="s">
        <v>134</v>
      </c>
      <c r="J167" s="7">
        <v>0</v>
      </c>
      <c r="K167" s="7">
        <v>0</v>
      </c>
      <c r="L167" s="7">
        <v>0</v>
      </c>
      <c r="M167" s="7">
        <v>0</v>
      </c>
      <c r="N167">
        <f t="shared" si="2"/>
        <v>0</v>
      </c>
      <c r="O167" s="9">
        <v>0</v>
      </c>
      <c r="P167" s="9">
        <v>0</v>
      </c>
      <c r="Q167" s="10">
        <v>0</v>
      </c>
      <c r="R167" s="10">
        <v>0</v>
      </c>
      <c r="S167" t="s">
        <v>204</v>
      </c>
    </row>
    <row r="168" spans="1:19" ht="15.6" x14ac:dyDescent="0.3">
      <c r="A168" s="6" t="s">
        <v>133</v>
      </c>
      <c r="B168" t="s">
        <v>118</v>
      </c>
      <c r="C168" t="s">
        <v>25</v>
      </c>
      <c r="D168" t="s">
        <v>23</v>
      </c>
      <c r="E168" s="2">
        <v>45726</v>
      </c>
      <c r="F168" s="1">
        <f>F167 + TIME(0,2,0)</f>
        <v>0.61666666666666659</v>
      </c>
      <c r="G168" s="2">
        <v>45744</v>
      </c>
      <c r="H168" s="1">
        <v>0.69097222222222199</v>
      </c>
      <c r="I168" s="3" t="s">
        <v>135</v>
      </c>
      <c r="J168" s="7">
        <v>0</v>
      </c>
      <c r="K168" s="7">
        <v>0</v>
      </c>
      <c r="L168" s="7">
        <v>0</v>
      </c>
      <c r="M168" s="7">
        <v>0</v>
      </c>
      <c r="N168">
        <f t="shared" si="2"/>
        <v>0</v>
      </c>
      <c r="O168" s="9">
        <v>5.1999999999999998E-2</v>
      </c>
      <c r="P168" s="9">
        <v>4.0000000000000001E-3</v>
      </c>
      <c r="Q168" s="10">
        <v>0</v>
      </c>
      <c r="R168" s="10">
        <v>0</v>
      </c>
      <c r="S168" t="s">
        <v>204</v>
      </c>
    </row>
    <row r="169" spans="1:19" ht="15.6" x14ac:dyDescent="0.3">
      <c r="A169" s="6" t="s">
        <v>133</v>
      </c>
      <c r="B169" t="s">
        <v>118</v>
      </c>
      <c r="C169" t="s">
        <v>25</v>
      </c>
      <c r="D169" t="s">
        <v>24</v>
      </c>
      <c r="E169" s="2">
        <v>45726</v>
      </c>
      <c r="F169" s="1">
        <f>F168 + TIME(0,2,0)</f>
        <v>0.61805555555555547</v>
      </c>
      <c r="G169" s="2">
        <v>45744</v>
      </c>
      <c r="H169" s="1">
        <v>0.69166666666666698</v>
      </c>
      <c r="I169" s="3" t="s">
        <v>136</v>
      </c>
      <c r="J169" s="7">
        <v>0</v>
      </c>
      <c r="K169" s="7">
        <v>0</v>
      </c>
      <c r="L169" s="7">
        <v>0</v>
      </c>
      <c r="M169" s="7">
        <v>0</v>
      </c>
      <c r="N169">
        <f t="shared" si="2"/>
        <v>0</v>
      </c>
      <c r="O169" s="9">
        <v>0</v>
      </c>
      <c r="P169" s="9">
        <v>0</v>
      </c>
      <c r="Q169" s="10">
        <v>0</v>
      </c>
      <c r="R169" s="10">
        <v>0</v>
      </c>
      <c r="S169" t="s">
        <v>204</v>
      </c>
    </row>
    <row r="170" spans="1:19" ht="15.6" x14ac:dyDescent="0.3">
      <c r="A170" s="6" t="s">
        <v>137</v>
      </c>
      <c r="B170" t="s">
        <v>118</v>
      </c>
      <c r="C170" t="s">
        <v>21</v>
      </c>
      <c r="D170" t="s">
        <v>22</v>
      </c>
      <c r="E170" s="2">
        <v>45726</v>
      </c>
      <c r="F170" s="1">
        <v>0.54166666666666696</v>
      </c>
      <c r="G170" s="2">
        <v>45744</v>
      </c>
      <c r="H170" s="1">
        <v>0.69444444444444398</v>
      </c>
      <c r="I170" s="7" t="s">
        <v>129</v>
      </c>
      <c r="J170" s="9" t="s">
        <v>198</v>
      </c>
      <c r="K170" s="9" t="s">
        <v>198</v>
      </c>
      <c r="L170" s="9" t="s">
        <v>198</v>
      </c>
      <c r="M170" s="9" t="s">
        <v>198</v>
      </c>
      <c r="N170">
        <f t="shared" si="2"/>
        <v>0</v>
      </c>
      <c r="O170" s="9" t="s">
        <v>198</v>
      </c>
      <c r="P170" s="9" t="s">
        <v>198</v>
      </c>
      <c r="Q170" s="9" t="s">
        <v>198</v>
      </c>
      <c r="R170" s="9" t="s">
        <v>198</v>
      </c>
      <c r="S170" t="s">
        <v>206</v>
      </c>
    </row>
    <row r="171" spans="1:19" ht="15.6" x14ac:dyDescent="0.3">
      <c r="A171" s="6" t="s">
        <v>137</v>
      </c>
      <c r="B171" t="s">
        <v>118</v>
      </c>
      <c r="C171" t="s">
        <v>21</v>
      </c>
      <c r="D171" t="s">
        <v>23</v>
      </c>
      <c r="E171" s="2">
        <v>45726</v>
      </c>
      <c r="F171" s="1">
        <f>F170 +TIME(0,2,0)</f>
        <v>0.54305555555555585</v>
      </c>
      <c r="G171" s="2">
        <v>45744</v>
      </c>
      <c r="H171" s="1">
        <v>0.69583333333333297</v>
      </c>
      <c r="I171" s="7" t="s">
        <v>129</v>
      </c>
      <c r="J171" s="9" t="s">
        <v>198</v>
      </c>
      <c r="K171" s="9" t="s">
        <v>198</v>
      </c>
      <c r="L171" s="9" t="s">
        <v>198</v>
      </c>
      <c r="M171" s="9" t="s">
        <v>198</v>
      </c>
      <c r="N171">
        <f t="shared" si="2"/>
        <v>0</v>
      </c>
      <c r="O171" s="9" t="s">
        <v>198</v>
      </c>
      <c r="P171" s="9" t="s">
        <v>198</v>
      </c>
      <c r="Q171" s="9" t="s">
        <v>198</v>
      </c>
      <c r="R171" s="9" t="s">
        <v>198</v>
      </c>
      <c r="S171" t="s">
        <v>206</v>
      </c>
    </row>
    <row r="172" spans="1:19" ht="15.6" x14ac:dyDescent="0.3">
      <c r="A172" s="6" t="s">
        <v>137</v>
      </c>
      <c r="B172" t="s">
        <v>118</v>
      </c>
      <c r="C172" t="s">
        <v>21</v>
      </c>
      <c r="D172" t="s">
        <v>24</v>
      </c>
      <c r="E172" s="2">
        <v>45726</v>
      </c>
      <c r="F172" s="1">
        <f>F171 +TIME(0,2,0)</f>
        <v>0.54444444444444473</v>
      </c>
      <c r="G172" s="2">
        <v>45744</v>
      </c>
      <c r="H172" s="1">
        <v>0.69652777777777797</v>
      </c>
      <c r="I172" s="7" t="s">
        <v>129</v>
      </c>
      <c r="J172" s="9" t="s">
        <v>198</v>
      </c>
      <c r="K172" s="9" t="s">
        <v>198</v>
      </c>
      <c r="L172" s="9" t="s">
        <v>198</v>
      </c>
      <c r="M172" s="9" t="s">
        <v>198</v>
      </c>
      <c r="N172">
        <f t="shared" si="2"/>
        <v>0</v>
      </c>
      <c r="O172" s="9" t="s">
        <v>198</v>
      </c>
      <c r="P172" s="9" t="s">
        <v>198</v>
      </c>
      <c r="Q172" s="9" t="s">
        <v>198</v>
      </c>
      <c r="R172" s="9" t="s">
        <v>198</v>
      </c>
      <c r="S172" t="s">
        <v>206</v>
      </c>
    </row>
    <row r="173" spans="1:19" ht="15.6" x14ac:dyDescent="0.3">
      <c r="A173" s="6" t="s">
        <v>137</v>
      </c>
      <c r="B173" t="s">
        <v>118</v>
      </c>
      <c r="C173" t="s">
        <v>25</v>
      </c>
      <c r="D173" t="s">
        <v>22</v>
      </c>
      <c r="E173" s="2">
        <v>45726</v>
      </c>
      <c r="F173" s="1">
        <f>F172 +TIME(0,2,0)</f>
        <v>0.54583333333333361</v>
      </c>
      <c r="G173" s="2">
        <v>45744</v>
      </c>
      <c r="H173" s="1">
        <v>0.69722222222222197</v>
      </c>
      <c r="I173" s="7" t="s">
        <v>129</v>
      </c>
      <c r="J173" s="9" t="s">
        <v>198</v>
      </c>
      <c r="K173" s="9" t="s">
        <v>198</v>
      </c>
      <c r="L173" s="9" t="s">
        <v>198</v>
      </c>
      <c r="M173" s="9" t="s">
        <v>198</v>
      </c>
      <c r="N173">
        <f t="shared" si="2"/>
        <v>0</v>
      </c>
      <c r="O173" s="9" t="s">
        <v>198</v>
      </c>
      <c r="P173" s="9" t="s">
        <v>198</v>
      </c>
      <c r="Q173" s="9" t="s">
        <v>198</v>
      </c>
      <c r="R173" s="9" t="s">
        <v>198</v>
      </c>
      <c r="S173" t="s">
        <v>206</v>
      </c>
    </row>
    <row r="174" spans="1:19" ht="15.6" x14ac:dyDescent="0.3">
      <c r="A174" s="6" t="s">
        <v>137</v>
      </c>
      <c r="B174" t="s">
        <v>118</v>
      </c>
      <c r="C174" t="s">
        <v>25</v>
      </c>
      <c r="D174" t="s">
        <v>23</v>
      </c>
      <c r="E174" s="2">
        <v>45726</v>
      </c>
      <c r="F174" s="1">
        <f>F173 +TIME(0,2,0)</f>
        <v>0.5472222222222225</v>
      </c>
      <c r="G174" s="2">
        <v>45744</v>
      </c>
      <c r="H174" s="1">
        <v>0.69791666666666696</v>
      </c>
      <c r="I174" s="7" t="s">
        <v>129</v>
      </c>
      <c r="J174" s="9" t="s">
        <v>198</v>
      </c>
      <c r="K174" s="9" t="s">
        <v>198</v>
      </c>
      <c r="L174" s="9" t="s">
        <v>198</v>
      </c>
      <c r="M174" s="9" t="s">
        <v>198</v>
      </c>
      <c r="N174">
        <f t="shared" si="2"/>
        <v>0</v>
      </c>
      <c r="O174" s="9" t="s">
        <v>198</v>
      </c>
      <c r="P174" s="9" t="s">
        <v>198</v>
      </c>
      <c r="Q174" s="9" t="s">
        <v>198</v>
      </c>
      <c r="R174" s="9" t="s">
        <v>198</v>
      </c>
      <c r="S174" t="s">
        <v>206</v>
      </c>
    </row>
    <row r="175" spans="1:19" ht="15.6" x14ac:dyDescent="0.3">
      <c r="A175" s="6" t="s">
        <v>137</v>
      </c>
      <c r="B175" t="s">
        <v>118</v>
      </c>
      <c r="C175" t="s">
        <v>25</v>
      </c>
      <c r="D175" t="s">
        <v>24</v>
      </c>
      <c r="E175" s="2">
        <v>45726</v>
      </c>
      <c r="F175" s="1">
        <f>F174 +TIME(0,2,0)</f>
        <v>0.54861111111111138</v>
      </c>
      <c r="G175" s="2">
        <v>45744</v>
      </c>
      <c r="H175" s="1">
        <v>0.69861111111111096</v>
      </c>
      <c r="I175" s="7" t="s">
        <v>129</v>
      </c>
      <c r="J175" s="9" t="s">
        <v>198</v>
      </c>
      <c r="K175" s="9" t="s">
        <v>198</v>
      </c>
      <c r="L175" s="9" t="s">
        <v>198</v>
      </c>
      <c r="M175" s="9" t="s">
        <v>198</v>
      </c>
      <c r="N175">
        <f t="shared" si="2"/>
        <v>0</v>
      </c>
      <c r="O175" s="9" t="s">
        <v>198</v>
      </c>
      <c r="P175" s="9" t="s">
        <v>198</v>
      </c>
      <c r="Q175" s="9" t="s">
        <v>198</v>
      </c>
      <c r="R175" s="9" t="s">
        <v>198</v>
      </c>
      <c r="S175" t="s">
        <v>206</v>
      </c>
    </row>
    <row r="176" spans="1:19" ht="15.6" x14ac:dyDescent="0.3">
      <c r="A176" s="6" t="s">
        <v>138</v>
      </c>
      <c r="B176" t="s">
        <v>118</v>
      </c>
      <c r="C176" t="s">
        <v>21</v>
      </c>
      <c r="D176" t="s">
        <v>22</v>
      </c>
      <c r="E176" s="2">
        <v>45727</v>
      </c>
      <c r="F176" s="1">
        <v>0.49305555555555602</v>
      </c>
      <c r="G176" s="2">
        <v>45740</v>
      </c>
      <c r="H176" s="1">
        <v>0.66666666666666696</v>
      </c>
      <c r="I176" s="3">
        <v>731</v>
      </c>
      <c r="J176">
        <v>1</v>
      </c>
      <c r="K176">
        <v>3</v>
      </c>
      <c r="L176">
        <v>4</v>
      </c>
      <c r="M176">
        <v>5</v>
      </c>
      <c r="N176">
        <f t="shared" si="2"/>
        <v>13</v>
      </c>
      <c r="O176" s="4">
        <v>2.9990000000000001</v>
      </c>
      <c r="P176" s="4">
        <v>0.54500000000000004</v>
      </c>
      <c r="Q176" s="10">
        <v>20.49</v>
      </c>
      <c r="R176" s="10">
        <v>3.25</v>
      </c>
    </row>
    <row r="177" spans="1:18" ht="15.6" x14ac:dyDescent="0.3">
      <c r="A177" s="6" t="s">
        <v>138</v>
      </c>
      <c r="B177" t="s">
        <v>118</v>
      </c>
      <c r="C177" t="s">
        <v>21</v>
      </c>
      <c r="D177" t="s">
        <v>23</v>
      </c>
      <c r="E177" s="2">
        <v>45727</v>
      </c>
      <c r="F177" s="1">
        <f>F176 + TIME(0,2,0)</f>
        <v>0.49444444444444491</v>
      </c>
      <c r="G177" s="2">
        <v>45740</v>
      </c>
      <c r="H177" s="1">
        <v>0.66805555555555596</v>
      </c>
      <c r="I177" s="3">
        <v>205</v>
      </c>
      <c r="J177">
        <v>1</v>
      </c>
      <c r="K177">
        <v>3</v>
      </c>
      <c r="L177">
        <v>4</v>
      </c>
      <c r="M177">
        <v>5</v>
      </c>
      <c r="N177">
        <f t="shared" si="2"/>
        <v>13</v>
      </c>
      <c r="O177" s="4">
        <v>2.8210000000000002</v>
      </c>
      <c r="P177" s="4">
        <v>0.36599999999999999</v>
      </c>
      <c r="Q177" s="10">
        <v>17.809999999999999</v>
      </c>
      <c r="R177" s="10">
        <v>2.35</v>
      </c>
    </row>
    <row r="178" spans="1:18" ht="15.6" x14ac:dyDescent="0.3">
      <c r="A178" s="6" t="s">
        <v>138</v>
      </c>
      <c r="B178" t="s">
        <v>118</v>
      </c>
      <c r="C178" t="s">
        <v>21</v>
      </c>
      <c r="D178" t="s">
        <v>24</v>
      </c>
      <c r="E178" s="2">
        <v>45727</v>
      </c>
      <c r="F178" s="1">
        <f>F177 + TIME(0,2,0)</f>
        <v>0.49583333333333379</v>
      </c>
      <c r="G178" s="2">
        <v>45740</v>
      </c>
      <c r="H178" s="1">
        <v>0.66874999999999996</v>
      </c>
      <c r="I178" s="3">
        <v>157</v>
      </c>
      <c r="J178">
        <v>1</v>
      </c>
      <c r="K178">
        <v>3</v>
      </c>
      <c r="L178">
        <v>4</v>
      </c>
      <c r="M178">
        <v>5</v>
      </c>
      <c r="N178">
        <f t="shared" si="2"/>
        <v>13</v>
      </c>
      <c r="O178" s="4">
        <v>2.7629999999999999</v>
      </c>
      <c r="P178" s="4">
        <v>0.39800000000000002</v>
      </c>
      <c r="Q178" s="10">
        <v>21.62</v>
      </c>
      <c r="R178" s="10">
        <v>2.9</v>
      </c>
    </row>
    <row r="179" spans="1:18" ht="15.6" x14ac:dyDescent="0.3">
      <c r="A179" s="6" t="s">
        <v>138</v>
      </c>
      <c r="B179" t="s">
        <v>118</v>
      </c>
      <c r="C179" t="s">
        <v>25</v>
      </c>
      <c r="D179" t="s">
        <v>22</v>
      </c>
      <c r="E179" s="2">
        <v>45727</v>
      </c>
      <c r="F179" s="1">
        <f>F178 + TIME(0,2,0)</f>
        <v>0.49722222222222268</v>
      </c>
      <c r="G179" s="2">
        <v>45740</v>
      </c>
      <c r="H179" s="1">
        <v>0.66944444444444395</v>
      </c>
      <c r="I179" s="3" t="s">
        <v>139</v>
      </c>
      <c r="J179">
        <v>1</v>
      </c>
      <c r="K179">
        <v>0</v>
      </c>
      <c r="L179">
        <v>0</v>
      </c>
      <c r="M179">
        <v>3</v>
      </c>
      <c r="N179">
        <f t="shared" si="2"/>
        <v>4</v>
      </c>
      <c r="O179" s="4">
        <v>1.7390000000000001</v>
      </c>
      <c r="P179" s="4">
        <v>0.13300000000000001</v>
      </c>
      <c r="Q179" s="10">
        <v>12.48</v>
      </c>
      <c r="R179" s="10">
        <v>0.85</v>
      </c>
    </row>
    <row r="180" spans="1:18" ht="15.6" x14ac:dyDescent="0.3">
      <c r="A180" s="6" t="s">
        <v>138</v>
      </c>
      <c r="B180" t="s">
        <v>118</v>
      </c>
      <c r="C180" t="s">
        <v>25</v>
      </c>
      <c r="D180" t="s">
        <v>23</v>
      </c>
      <c r="E180" s="2">
        <v>45727</v>
      </c>
      <c r="F180" s="1">
        <f>F179 + TIME(0,2,0)</f>
        <v>0.49861111111111156</v>
      </c>
      <c r="G180" s="2">
        <v>45740</v>
      </c>
      <c r="H180" s="1">
        <v>0.67083333333333295</v>
      </c>
      <c r="I180" s="3" t="s">
        <v>140</v>
      </c>
      <c r="J180">
        <v>1</v>
      </c>
      <c r="K180">
        <v>3</v>
      </c>
      <c r="L180">
        <v>4</v>
      </c>
      <c r="M180">
        <v>5</v>
      </c>
      <c r="N180">
        <f t="shared" si="2"/>
        <v>13</v>
      </c>
      <c r="O180" s="4">
        <v>2.2320000000000002</v>
      </c>
      <c r="P180" s="4">
        <v>0.30499999999999999</v>
      </c>
      <c r="Q180" s="10">
        <v>17.920000000000002</v>
      </c>
      <c r="R180" s="10">
        <v>1.1399999999999999</v>
      </c>
    </row>
    <row r="181" spans="1:18" ht="15.6" x14ac:dyDescent="0.3">
      <c r="A181" s="6" t="s">
        <v>138</v>
      </c>
      <c r="B181" t="s">
        <v>118</v>
      </c>
      <c r="C181" t="s">
        <v>25</v>
      </c>
      <c r="D181" t="s">
        <v>24</v>
      </c>
      <c r="E181" s="2">
        <v>45727</v>
      </c>
      <c r="F181" s="1">
        <f>F180 + TIME(0,2,0)</f>
        <v>0.50000000000000044</v>
      </c>
      <c r="G181" s="2">
        <v>45740</v>
      </c>
      <c r="H181" s="1">
        <v>0.67222222222222205</v>
      </c>
      <c r="I181" s="3" t="s">
        <v>141</v>
      </c>
      <c r="J181">
        <v>1</v>
      </c>
      <c r="K181">
        <v>3</v>
      </c>
      <c r="L181">
        <v>4</v>
      </c>
      <c r="M181">
        <v>5</v>
      </c>
      <c r="N181">
        <f t="shared" si="2"/>
        <v>13</v>
      </c>
      <c r="O181" s="4">
        <v>1.8320000000000001</v>
      </c>
      <c r="P181" s="4">
        <v>0.183</v>
      </c>
      <c r="Q181" s="10">
        <v>17.190000000000001</v>
      </c>
      <c r="R181" s="10">
        <v>1.7</v>
      </c>
    </row>
    <row r="182" spans="1:18" ht="15.6" x14ac:dyDescent="0.3">
      <c r="A182" s="6" t="s">
        <v>142</v>
      </c>
      <c r="B182" t="s">
        <v>118</v>
      </c>
      <c r="C182" t="s">
        <v>21</v>
      </c>
      <c r="D182" t="s">
        <v>22</v>
      </c>
      <c r="E182" s="2">
        <v>45727</v>
      </c>
      <c r="F182" s="1">
        <v>0.45833333333333298</v>
      </c>
      <c r="G182" s="2">
        <v>45741</v>
      </c>
      <c r="H182" s="1">
        <v>0.66666666666666696</v>
      </c>
      <c r="I182" s="3">
        <v>146</v>
      </c>
      <c r="J182">
        <v>1</v>
      </c>
      <c r="K182">
        <v>3</v>
      </c>
      <c r="L182">
        <v>4</v>
      </c>
      <c r="M182">
        <v>5</v>
      </c>
      <c r="N182">
        <f t="shared" si="2"/>
        <v>13</v>
      </c>
      <c r="O182" s="4">
        <v>2.9849999999999999</v>
      </c>
      <c r="P182" s="4">
        <v>0.64200000000000002</v>
      </c>
      <c r="Q182" s="10">
        <v>18.98</v>
      </c>
      <c r="R182" s="10">
        <v>2.37</v>
      </c>
    </row>
    <row r="183" spans="1:18" ht="15.6" x14ac:dyDescent="0.3">
      <c r="A183" s="6" t="s">
        <v>142</v>
      </c>
      <c r="B183" t="s">
        <v>118</v>
      </c>
      <c r="C183" t="s">
        <v>21</v>
      </c>
      <c r="D183" t="s">
        <v>23</v>
      </c>
      <c r="E183" s="2">
        <v>45727</v>
      </c>
      <c r="F183" s="1">
        <f>F182 + TIME(0,2,0)</f>
        <v>0.45972222222222187</v>
      </c>
      <c r="G183" s="2">
        <v>45741</v>
      </c>
      <c r="H183" s="1">
        <v>0.66874999999999996</v>
      </c>
      <c r="I183" s="3">
        <v>692</v>
      </c>
      <c r="J183">
        <v>1</v>
      </c>
      <c r="K183">
        <v>3</v>
      </c>
      <c r="L183">
        <v>4</v>
      </c>
      <c r="M183">
        <v>5</v>
      </c>
      <c r="N183">
        <f t="shared" si="2"/>
        <v>13</v>
      </c>
      <c r="O183" s="4">
        <v>2.8490000000000002</v>
      </c>
      <c r="P183" s="4">
        <v>0.50700000000000001</v>
      </c>
      <c r="Q183" s="10">
        <v>13.32</v>
      </c>
      <c r="R183" s="10">
        <v>1.49</v>
      </c>
    </row>
    <row r="184" spans="1:18" ht="15.6" x14ac:dyDescent="0.3">
      <c r="A184" s="6" t="s">
        <v>142</v>
      </c>
      <c r="B184" t="s">
        <v>118</v>
      </c>
      <c r="C184" t="s">
        <v>21</v>
      </c>
      <c r="D184" t="s">
        <v>24</v>
      </c>
      <c r="E184" s="2">
        <v>45727</v>
      </c>
      <c r="F184" s="1">
        <f>F183 + TIME(0,2,0)</f>
        <v>0.46111111111111075</v>
      </c>
      <c r="G184" s="2">
        <v>45741</v>
      </c>
      <c r="H184" s="1">
        <v>0.67152777777777795</v>
      </c>
      <c r="I184" s="3">
        <v>151</v>
      </c>
      <c r="J184">
        <v>1</v>
      </c>
      <c r="K184">
        <v>3</v>
      </c>
      <c r="L184">
        <v>4</v>
      </c>
      <c r="M184">
        <v>5</v>
      </c>
      <c r="N184">
        <f t="shared" si="2"/>
        <v>13</v>
      </c>
      <c r="O184" s="4">
        <v>2.847</v>
      </c>
      <c r="P184" s="4">
        <v>0.56599999999999995</v>
      </c>
      <c r="Q184" s="10">
        <v>17.79</v>
      </c>
      <c r="R184" s="10">
        <v>3.36</v>
      </c>
    </row>
    <row r="185" spans="1:18" ht="15.6" x14ac:dyDescent="0.3">
      <c r="A185" s="6" t="s">
        <v>142</v>
      </c>
      <c r="B185" t="s">
        <v>118</v>
      </c>
      <c r="C185" t="s">
        <v>25</v>
      </c>
      <c r="D185" t="s">
        <v>22</v>
      </c>
      <c r="E185" s="2">
        <v>45727</v>
      </c>
      <c r="F185" s="1">
        <f>F184 + TIME(0,2,0)</f>
        <v>0.46249999999999963</v>
      </c>
      <c r="G185" s="2">
        <v>45741</v>
      </c>
      <c r="H185" s="1">
        <v>0.67361111111111105</v>
      </c>
      <c r="I185" s="3" t="s">
        <v>143</v>
      </c>
      <c r="J185">
        <v>1</v>
      </c>
      <c r="K185">
        <v>3</v>
      </c>
      <c r="L185">
        <v>4</v>
      </c>
      <c r="M185">
        <v>5</v>
      </c>
      <c r="N185">
        <f t="shared" si="2"/>
        <v>13</v>
      </c>
      <c r="O185" s="4">
        <v>1.3120000000000001</v>
      </c>
      <c r="P185" s="4">
        <v>0.104</v>
      </c>
      <c r="Q185" s="10">
        <v>20.2</v>
      </c>
      <c r="R185" s="10">
        <v>1.64</v>
      </c>
    </row>
    <row r="186" spans="1:18" ht="15.6" x14ac:dyDescent="0.3">
      <c r="A186" s="6" t="s">
        <v>142</v>
      </c>
      <c r="B186" t="s">
        <v>118</v>
      </c>
      <c r="C186" t="s">
        <v>25</v>
      </c>
      <c r="D186" t="s">
        <v>23</v>
      </c>
      <c r="E186" s="2">
        <v>45727</v>
      </c>
      <c r="F186" s="1">
        <f>F185 + TIME(0,2,0)</f>
        <v>0.46388888888888852</v>
      </c>
      <c r="G186" s="2">
        <v>45741</v>
      </c>
      <c r="H186" s="1">
        <v>0.67500000000000004</v>
      </c>
      <c r="I186" s="3" t="s">
        <v>144</v>
      </c>
      <c r="J186">
        <v>1</v>
      </c>
      <c r="K186">
        <v>0</v>
      </c>
      <c r="L186">
        <v>0</v>
      </c>
      <c r="M186">
        <v>2</v>
      </c>
      <c r="N186">
        <f t="shared" si="2"/>
        <v>3</v>
      </c>
      <c r="O186" s="4">
        <v>1.4219999999999999</v>
      </c>
      <c r="P186" s="4">
        <v>0.16700000000000001</v>
      </c>
      <c r="Q186" s="10">
        <v>7.2</v>
      </c>
      <c r="R186" s="10">
        <v>0.7</v>
      </c>
    </row>
    <row r="187" spans="1:18" ht="15.6" x14ac:dyDescent="0.3">
      <c r="A187" s="6" t="s">
        <v>142</v>
      </c>
      <c r="B187" t="s">
        <v>118</v>
      </c>
      <c r="C187" t="s">
        <v>25</v>
      </c>
      <c r="D187" t="s">
        <v>24</v>
      </c>
      <c r="E187" s="2">
        <v>45727</v>
      </c>
      <c r="F187" s="1">
        <f>F186 + TIME(0,2,0)</f>
        <v>0.4652777777777774</v>
      </c>
      <c r="G187" s="2">
        <v>45741</v>
      </c>
      <c r="H187" s="1">
        <v>0.67708333333333304</v>
      </c>
      <c r="I187" s="3" t="s">
        <v>145</v>
      </c>
      <c r="J187">
        <v>1</v>
      </c>
      <c r="K187">
        <v>3</v>
      </c>
      <c r="L187">
        <v>2</v>
      </c>
      <c r="M187">
        <v>5</v>
      </c>
      <c r="N187">
        <f t="shared" si="2"/>
        <v>11</v>
      </c>
      <c r="O187" s="4">
        <v>2.5</v>
      </c>
      <c r="P187" s="4">
        <v>0.66300000000000003</v>
      </c>
      <c r="Q187" s="10">
        <v>19.27</v>
      </c>
      <c r="R187" s="10">
        <v>3.15</v>
      </c>
    </row>
    <row r="188" spans="1:18" ht="15.6" x14ac:dyDescent="0.3">
      <c r="A188" s="6" t="s">
        <v>146</v>
      </c>
      <c r="B188" t="s">
        <v>118</v>
      </c>
      <c r="C188" t="s">
        <v>21</v>
      </c>
      <c r="D188" t="s">
        <v>22</v>
      </c>
      <c r="E188" s="2">
        <v>45726</v>
      </c>
      <c r="F188" s="1">
        <v>0.51388888888888895</v>
      </c>
      <c r="G188" s="2">
        <v>45741</v>
      </c>
      <c r="H188" s="1">
        <v>0.63541666666666696</v>
      </c>
      <c r="I188" s="3">
        <v>256</v>
      </c>
      <c r="J188">
        <v>1</v>
      </c>
      <c r="K188">
        <v>3</v>
      </c>
      <c r="L188">
        <v>4</v>
      </c>
      <c r="M188">
        <v>5</v>
      </c>
      <c r="N188">
        <f t="shared" si="2"/>
        <v>13</v>
      </c>
      <c r="O188" s="4">
        <v>2.3980000000000001</v>
      </c>
      <c r="P188" s="4">
        <v>0.24</v>
      </c>
      <c r="Q188" s="10">
        <v>19.02</v>
      </c>
      <c r="R188" s="10">
        <v>1.39</v>
      </c>
    </row>
    <row r="189" spans="1:18" ht="15.6" x14ac:dyDescent="0.3">
      <c r="A189" s="6" t="s">
        <v>146</v>
      </c>
      <c r="B189" t="s">
        <v>118</v>
      </c>
      <c r="C189" t="s">
        <v>21</v>
      </c>
      <c r="D189" t="s">
        <v>23</v>
      </c>
      <c r="E189" s="2">
        <v>45726</v>
      </c>
      <c r="F189" s="1">
        <f>F188 + TIME(0,2,0)</f>
        <v>0.51527777777777783</v>
      </c>
      <c r="G189" s="2">
        <v>45741</v>
      </c>
      <c r="H189" s="1">
        <v>0.63680555555555596</v>
      </c>
      <c r="I189" s="3">
        <v>615</v>
      </c>
      <c r="J189">
        <v>1</v>
      </c>
      <c r="K189">
        <v>3</v>
      </c>
      <c r="L189">
        <v>4</v>
      </c>
      <c r="M189">
        <v>5</v>
      </c>
      <c r="N189">
        <f t="shared" si="2"/>
        <v>13</v>
      </c>
      <c r="O189" s="4">
        <v>2.6</v>
      </c>
      <c r="P189" s="4">
        <v>0.45100000000000001</v>
      </c>
      <c r="Q189" s="10">
        <v>20.8</v>
      </c>
      <c r="R189" s="10">
        <v>3.77</v>
      </c>
    </row>
    <row r="190" spans="1:18" ht="15.6" x14ac:dyDescent="0.3">
      <c r="A190" s="6" t="s">
        <v>146</v>
      </c>
      <c r="B190" t="s">
        <v>118</v>
      </c>
      <c r="C190" t="s">
        <v>21</v>
      </c>
      <c r="D190" t="s">
        <v>24</v>
      </c>
      <c r="E190" s="2">
        <v>45726</v>
      </c>
      <c r="F190" s="1">
        <f>F189 + TIME(0,2,0)</f>
        <v>0.51666666666666672</v>
      </c>
      <c r="G190" s="2">
        <v>45741</v>
      </c>
      <c r="H190" s="1">
        <v>0.63749999999999996</v>
      </c>
      <c r="I190" s="3">
        <v>514</v>
      </c>
      <c r="J190">
        <v>1</v>
      </c>
      <c r="K190">
        <v>3</v>
      </c>
      <c r="L190">
        <v>4</v>
      </c>
      <c r="M190">
        <v>5</v>
      </c>
      <c r="N190">
        <f t="shared" si="2"/>
        <v>13</v>
      </c>
      <c r="O190" s="4">
        <v>2.7719999999999998</v>
      </c>
      <c r="P190" s="4">
        <v>0.55900000000000005</v>
      </c>
      <c r="Q190" s="10">
        <v>18.96</v>
      </c>
      <c r="R190" s="10">
        <v>3.39</v>
      </c>
    </row>
    <row r="191" spans="1:18" ht="15.6" x14ac:dyDescent="0.3">
      <c r="A191" s="6" t="s">
        <v>146</v>
      </c>
      <c r="B191" t="s">
        <v>118</v>
      </c>
      <c r="C191" t="s">
        <v>25</v>
      </c>
      <c r="D191" t="s">
        <v>22</v>
      </c>
      <c r="E191" s="2">
        <v>45726</v>
      </c>
      <c r="F191" s="1">
        <f>F190 + TIME(0,2,0)</f>
        <v>0.5180555555555556</v>
      </c>
      <c r="G191" s="2">
        <v>45741</v>
      </c>
      <c r="H191" s="1">
        <v>0.63888888888888895</v>
      </c>
      <c r="I191" s="3" t="s">
        <v>147</v>
      </c>
      <c r="J191">
        <v>1</v>
      </c>
      <c r="K191">
        <v>0</v>
      </c>
      <c r="L191">
        <v>0</v>
      </c>
      <c r="M191">
        <v>4</v>
      </c>
      <c r="N191">
        <f t="shared" si="2"/>
        <v>5</v>
      </c>
      <c r="O191" s="4">
        <v>1.7370000000000001</v>
      </c>
      <c r="P191" s="4">
        <v>0.13100000000000001</v>
      </c>
      <c r="Q191" s="10">
        <v>15.57</v>
      </c>
      <c r="R191" s="10">
        <v>1.1100000000000001</v>
      </c>
    </row>
    <row r="192" spans="1:18" ht="15.6" x14ac:dyDescent="0.3">
      <c r="A192" s="6" t="s">
        <v>146</v>
      </c>
      <c r="B192" t="s">
        <v>118</v>
      </c>
      <c r="C192" t="s">
        <v>25</v>
      </c>
      <c r="D192" t="s">
        <v>23</v>
      </c>
      <c r="E192" s="2">
        <v>45726</v>
      </c>
      <c r="F192" s="1">
        <f>F191 + TIME(0,2,0)</f>
        <v>0.51944444444444449</v>
      </c>
      <c r="G192" s="2">
        <v>45741</v>
      </c>
      <c r="H192" s="1">
        <v>0.64027777777777795</v>
      </c>
      <c r="I192" s="3" t="s">
        <v>148</v>
      </c>
      <c r="J192" s="7">
        <v>1</v>
      </c>
      <c r="K192" s="7">
        <v>3</v>
      </c>
      <c r="L192" s="7">
        <v>4</v>
      </c>
      <c r="M192" s="7">
        <v>5</v>
      </c>
      <c r="N192">
        <f t="shared" si="2"/>
        <v>13</v>
      </c>
      <c r="O192" s="9">
        <v>2.0539999999999998</v>
      </c>
      <c r="P192" s="9">
        <v>0.22500000000000001</v>
      </c>
      <c r="Q192" s="10">
        <v>17.73</v>
      </c>
      <c r="R192" s="10">
        <v>1.93</v>
      </c>
    </row>
    <row r="193" spans="1:19" ht="15.6" x14ac:dyDescent="0.3">
      <c r="A193" s="6" t="s">
        <v>146</v>
      </c>
      <c r="B193" t="s">
        <v>118</v>
      </c>
      <c r="C193" t="s">
        <v>25</v>
      </c>
      <c r="D193" t="s">
        <v>24</v>
      </c>
      <c r="E193" s="2">
        <v>45726</v>
      </c>
      <c r="F193" s="1">
        <f>F192 + TIME(0,2,0)</f>
        <v>0.52083333333333337</v>
      </c>
      <c r="G193" s="2">
        <v>45741</v>
      </c>
      <c r="H193" s="1">
        <v>0.64236111111111105</v>
      </c>
      <c r="I193" s="3" t="s">
        <v>149</v>
      </c>
      <c r="J193" s="7">
        <v>1</v>
      </c>
      <c r="K193" s="7">
        <v>3</v>
      </c>
      <c r="L193" s="7">
        <v>4</v>
      </c>
      <c r="M193" s="7">
        <v>5</v>
      </c>
      <c r="N193">
        <f t="shared" si="2"/>
        <v>13</v>
      </c>
      <c r="O193" s="9">
        <v>2.0230000000000001</v>
      </c>
      <c r="P193" s="9">
        <v>0.20200000000000001</v>
      </c>
      <c r="Q193" s="10">
        <v>14.77</v>
      </c>
      <c r="R193" s="10">
        <v>1.36</v>
      </c>
    </row>
    <row r="194" spans="1:19" ht="15.6" x14ac:dyDescent="0.3">
      <c r="A194" s="6" t="s">
        <v>150</v>
      </c>
      <c r="B194" t="s">
        <v>118</v>
      </c>
      <c r="C194" t="s">
        <v>21</v>
      </c>
      <c r="D194" t="s">
        <v>22</v>
      </c>
      <c r="E194" s="2">
        <v>45726</v>
      </c>
      <c r="F194" s="1">
        <v>0.47222222222222199</v>
      </c>
      <c r="G194" s="2">
        <v>45741</v>
      </c>
      <c r="H194" s="1">
        <v>0.5625</v>
      </c>
      <c r="I194" s="3">
        <v>90</v>
      </c>
      <c r="J194">
        <v>1</v>
      </c>
      <c r="K194">
        <v>3</v>
      </c>
      <c r="L194">
        <v>4</v>
      </c>
      <c r="M194">
        <v>5</v>
      </c>
      <c r="N194">
        <f t="shared" ref="N194:N257" si="3">SUM(J194:M194)</f>
        <v>13</v>
      </c>
      <c r="O194" s="4">
        <v>2.4220000000000002</v>
      </c>
      <c r="P194" s="4">
        <v>0.31</v>
      </c>
      <c r="Q194" s="10">
        <v>22.08</v>
      </c>
      <c r="R194" s="10">
        <v>2.21</v>
      </c>
    </row>
    <row r="195" spans="1:19" ht="15.6" x14ac:dyDescent="0.3">
      <c r="A195" s="6" t="s">
        <v>150</v>
      </c>
      <c r="B195" t="s">
        <v>118</v>
      </c>
      <c r="C195" t="s">
        <v>21</v>
      </c>
      <c r="D195" t="s">
        <v>23</v>
      </c>
      <c r="E195" s="2">
        <v>45726</v>
      </c>
      <c r="F195" s="1">
        <f>F194 + TIME(0,2,0)</f>
        <v>0.47361111111111087</v>
      </c>
      <c r="G195" s="2">
        <v>45741</v>
      </c>
      <c r="H195" s="1">
        <v>0.56458333333333299</v>
      </c>
      <c r="I195" s="3">
        <v>621</v>
      </c>
      <c r="J195">
        <v>1</v>
      </c>
      <c r="K195">
        <v>3</v>
      </c>
      <c r="L195">
        <v>4</v>
      </c>
      <c r="M195">
        <v>5</v>
      </c>
      <c r="N195">
        <f t="shared" si="3"/>
        <v>13</v>
      </c>
      <c r="O195" s="4">
        <v>2.6480000000000001</v>
      </c>
      <c r="P195" s="4">
        <v>0.41099999999999998</v>
      </c>
      <c r="Q195" s="10">
        <v>16.149999999999999</v>
      </c>
      <c r="R195" s="10">
        <v>1.82</v>
      </c>
    </row>
    <row r="196" spans="1:19" ht="15.6" x14ac:dyDescent="0.3">
      <c r="A196" s="6" t="s">
        <v>150</v>
      </c>
      <c r="B196" t="s">
        <v>118</v>
      </c>
      <c r="C196" t="s">
        <v>21</v>
      </c>
      <c r="D196" t="s">
        <v>24</v>
      </c>
      <c r="E196" s="2">
        <v>45726</v>
      </c>
      <c r="F196" s="1">
        <f>F195 + TIME(0,2,0)</f>
        <v>0.47499999999999976</v>
      </c>
      <c r="G196" s="2">
        <v>45741</v>
      </c>
      <c r="H196" s="1">
        <v>0.56527777777777799</v>
      </c>
      <c r="I196" s="3">
        <v>605</v>
      </c>
      <c r="J196">
        <v>1</v>
      </c>
      <c r="K196">
        <v>3</v>
      </c>
      <c r="L196">
        <v>4</v>
      </c>
      <c r="M196">
        <v>5</v>
      </c>
      <c r="N196">
        <f t="shared" si="3"/>
        <v>13</v>
      </c>
      <c r="O196" s="4">
        <v>2.7130000000000001</v>
      </c>
      <c r="P196" s="4">
        <v>0.40600000000000003</v>
      </c>
      <c r="Q196" s="10">
        <v>16.02</v>
      </c>
      <c r="R196" s="10">
        <v>2.91</v>
      </c>
    </row>
    <row r="197" spans="1:19" ht="15.6" x14ac:dyDescent="0.3">
      <c r="A197" s="6" t="s">
        <v>150</v>
      </c>
      <c r="B197" t="s">
        <v>118</v>
      </c>
      <c r="C197" t="s">
        <v>25</v>
      </c>
      <c r="D197" t="s">
        <v>22</v>
      </c>
      <c r="E197" s="2">
        <v>45726</v>
      </c>
      <c r="F197" s="1">
        <f>F196 + TIME(0,2,0)</f>
        <v>0.47638888888888864</v>
      </c>
      <c r="G197" s="2">
        <v>45741</v>
      </c>
      <c r="H197" s="1">
        <v>0.56597222222222199</v>
      </c>
      <c r="I197" s="3" t="s">
        <v>151</v>
      </c>
      <c r="J197" s="7">
        <v>1</v>
      </c>
      <c r="K197" s="7">
        <v>3</v>
      </c>
      <c r="L197" s="7">
        <v>4</v>
      </c>
      <c r="M197" s="7">
        <v>5</v>
      </c>
      <c r="N197">
        <f t="shared" si="3"/>
        <v>13</v>
      </c>
      <c r="O197" s="9">
        <v>1.752</v>
      </c>
      <c r="P197" s="9">
        <v>0.312</v>
      </c>
      <c r="Q197" s="10">
        <v>14.42</v>
      </c>
      <c r="R197" s="10">
        <v>1.68</v>
      </c>
    </row>
    <row r="198" spans="1:19" ht="15.6" x14ac:dyDescent="0.3">
      <c r="A198" s="6" t="s">
        <v>150</v>
      </c>
      <c r="B198" t="s">
        <v>118</v>
      </c>
      <c r="C198" t="s">
        <v>25</v>
      </c>
      <c r="D198" t="s">
        <v>23</v>
      </c>
      <c r="E198" s="2">
        <v>45726</v>
      </c>
      <c r="F198" s="1">
        <f>F197 + TIME(0,2,0)</f>
        <v>0.47777777777777752</v>
      </c>
      <c r="G198" s="2">
        <v>45741</v>
      </c>
      <c r="H198" s="1">
        <v>0.56736111111111098</v>
      </c>
      <c r="I198" s="3" t="s">
        <v>152</v>
      </c>
      <c r="J198">
        <v>1</v>
      </c>
      <c r="K198">
        <v>3</v>
      </c>
      <c r="L198">
        <v>4</v>
      </c>
      <c r="M198">
        <v>5</v>
      </c>
      <c r="N198">
        <f t="shared" si="3"/>
        <v>13</v>
      </c>
      <c r="O198" s="4">
        <v>1.7370000000000001</v>
      </c>
      <c r="P198" s="4">
        <v>0.24299999999999999</v>
      </c>
      <c r="Q198" s="10">
        <v>17.27</v>
      </c>
      <c r="R198" s="10">
        <v>2.04</v>
      </c>
    </row>
    <row r="199" spans="1:19" ht="15.6" x14ac:dyDescent="0.3">
      <c r="A199" s="6" t="s">
        <v>150</v>
      </c>
      <c r="B199" t="s">
        <v>118</v>
      </c>
      <c r="C199" t="s">
        <v>25</v>
      </c>
      <c r="D199" t="s">
        <v>24</v>
      </c>
      <c r="E199" s="2">
        <v>45726</v>
      </c>
      <c r="F199" s="1">
        <f>F198 + TIME(0,2,0)</f>
        <v>0.47916666666666641</v>
      </c>
      <c r="G199" s="2">
        <v>45741</v>
      </c>
      <c r="H199" s="1">
        <v>0.56805555555555598</v>
      </c>
      <c r="I199" s="3" t="s">
        <v>153</v>
      </c>
      <c r="J199">
        <v>1</v>
      </c>
      <c r="K199">
        <v>3</v>
      </c>
      <c r="L199">
        <v>4</v>
      </c>
      <c r="M199">
        <v>5</v>
      </c>
      <c r="N199">
        <f t="shared" si="3"/>
        <v>13</v>
      </c>
      <c r="O199" s="4">
        <v>2.238</v>
      </c>
      <c r="P199" s="4">
        <v>0.36699999999999999</v>
      </c>
      <c r="Q199" s="10">
        <v>14.67</v>
      </c>
      <c r="R199" s="10">
        <v>1.63</v>
      </c>
    </row>
    <row r="200" spans="1:19" ht="15.6" x14ac:dyDescent="0.3">
      <c r="A200" s="6" t="s">
        <v>154</v>
      </c>
      <c r="B200" t="s">
        <v>118</v>
      </c>
      <c r="C200" t="s">
        <v>21</v>
      </c>
      <c r="D200" t="s">
        <v>22</v>
      </c>
      <c r="E200" s="2">
        <v>45726</v>
      </c>
      <c r="F200" s="1">
        <v>0.54166666666666696</v>
      </c>
      <c r="G200" s="2">
        <v>45741</v>
      </c>
      <c r="H200" s="1">
        <v>0.48958333333333298</v>
      </c>
      <c r="I200" s="3">
        <v>18</v>
      </c>
      <c r="J200">
        <v>1</v>
      </c>
      <c r="K200">
        <v>3</v>
      </c>
      <c r="L200">
        <v>4</v>
      </c>
      <c r="M200">
        <v>5</v>
      </c>
      <c r="N200">
        <f t="shared" si="3"/>
        <v>13</v>
      </c>
      <c r="O200" s="4">
        <v>2.512</v>
      </c>
      <c r="P200" s="4">
        <v>0.29399999999999998</v>
      </c>
      <c r="Q200" s="10">
        <v>14.02</v>
      </c>
      <c r="R200" s="10">
        <v>1.25</v>
      </c>
    </row>
    <row r="201" spans="1:19" ht="15.6" x14ac:dyDescent="0.3">
      <c r="A201" s="6" t="s">
        <v>154</v>
      </c>
      <c r="B201" t="s">
        <v>118</v>
      </c>
      <c r="C201" t="s">
        <v>21</v>
      </c>
      <c r="D201" t="s">
        <v>23</v>
      </c>
      <c r="E201" s="2">
        <v>45726</v>
      </c>
      <c r="F201" s="1">
        <f>F200 + TIME(0,2,0)</f>
        <v>0.54305555555555585</v>
      </c>
      <c r="G201" s="2">
        <v>45741</v>
      </c>
      <c r="H201" s="1">
        <v>0.49027777777777798</v>
      </c>
      <c r="I201" s="3">
        <v>501</v>
      </c>
      <c r="J201">
        <v>1</v>
      </c>
      <c r="K201">
        <v>3</v>
      </c>
      <c r="L201">
        <v>4</v>
      </c>
      <c r="M201">
        <v>5</v>
      </c>
      <c r="N201">
        <f t="shared" si="3"/>
        <v>13</v>
      </c>
      <c r="O201" s="4">
        <v>2.64</v>
      </c>
      <c r="P201" s="4">
        <v>0.39</v>
      </c>
      <c r="Q201" s="10">
        <v>17.36</v>
      </c>
      <c r="R201" s="10">
        <v>1.98</v>
      </c>
    </row>
    <row r="202" spans="1:19" ht="15.6" x14ac:dyDescent="0.3">
      <c r="A202" s="6" t="s">
        <v>154</v>
      </c>
      <c r="B202" t="s">
        <v>118</v>
      </c>
      <c r="C202" t="s">
        <v>21</v>
      </c>
      <c r="D202" t="s">
        <v>24</v>
      </c>
      <c r="E202" s="2">
        <v>45726</v>
      </c>
      <c r="F202" s="1">
        <f>F201 + TIME(0,2,0)</f>
        <v>0.54444444444444473</v>
      </c>
      <c r="G202" s="2">
        <v>45741</v>
      </c>
      <c r="H202" s="1">
        <v>0.49166666666666697</v>
      </c>
      <c r="I202" s="3">
        <v>283</v>
      </c>
      <c r="J202">
        <v>1</v>
      </c>
      <c r="K202">
        <v>3</v>
      </c>
      <c r="L202">
        <v>4</v>
      </c>
      <c r="M202">
        <v>5</v>
      </c>
      <c r="N202">
        <f t="shared" si="3"/>
        <v>13</v>
      </c>
      <c r="O202" s="4">
        <v>2.3220000000000001</v>
      </c>
      <c r="P202" s="4">
        <v>0.28100000000000003</v>
      </c>
      <c r="Q202" s="10">
        <v>17.329999999999998</v>
      </c>
      <c r="R202" s="10">
        <v>2.11</v>
      </c>
    </row>
    <row r="203" spans="1:19" ht="15.6" x14ac:dyDescent="0.3">
      <c r="A203" s="6" t="s">
        <v>154</v>
      </c>
      <c r="B203" t="s">
        <v>118</v>
      </c>
      <c r="C203" t="s">
        <v>25</v>
      </c>
      <c r="D203" t="s">
        <v>22</v>
      </c>
      <c r="E203" s="2">
        <v>45726</v>
      </c>
      <c r="F203" s="1">
        <f>F202 + TIME(0,2,0)</f>
        <v>0.54583333333333361</v>
      </c>
      <c r="G203" s="2">
        <v>45741</v>
      </c>
      <c r="H203" s="1">
        <v>0.49305555555555602</v>
      </c>
      <c r="I203" s="3" t="s">
        <v>155</v>
      </c>
      <c r="J203">
        <v>1</v>
      </c>
      <c r="K203">
        <v>0</v>
      </c>
      <c r="L203">
        <v>0</v>
      </c>
      <c r="M203">
        <v>0</v>
      </c>
      <c r="N203">
        <f t="shared" si="3"/>
        <v>1</v>
      </c>
      <c r="O203" s="4">
        <v>1.2889999999999999</v>
      </c>
      <c r="P203" s="4">
        <v>0.11600000000000001</v>
      </c>
      <c r="Q203" s="10">
        <v>0</v>
      </c>
      <c r="R203" s="10">
        <v>0</v>
      </c>
      <c r="S203" t="s">
        <v>204</v>
      </c>
    </row>
    <row r="204" spans="1:19" ht="15.6" x14ac:dyDescent="0.3">
      <c r="A204" s="6" t="s">
        <v>154</v>
      </c>
      <c r="B204" t="s">
        <v>118</v>
      </c>
      <c r="C204" t="s">
        <v>25</v>
      </c>
      <c r="D204" t="s">
        <v>23</v>
      </c>
      <c r="E204" s="2">
        <v>45726</v>
      </c>
      <c r="F204" s="1">
        <f>F203 + TIME(0,2,0)</f>
        <v>0.5472222222222225</v>
      </c>
      <c r="G204" s="2">
        <v>45741</v>
      </c>
      <c r="H204" s="1">
        <v>0.49444444444444402</v>
      </c>
      <c r="I204" s="3" t="s">
        <v>156</v>
      </c>
      <c r="J204" s="7">
        <v>1</v>
      </c>
      <c r="K204" s="7">
        <v>3</v>
      </c>
      <c r="L204" s="7">
        <v>4</v>
      </c>
      <c r="M204" s="7">
        <v>5</v>
      </c>
      <c r="N204">
        <f t="shared" si="3"/>
        <v>13</v>
      </c>
      <c r="O204" s="9">
        <v>1.663</v>
      </c>
      <c r="P204" s="9">
        <v>0.193</v>
      </c>
      <c r="Q204" s="10">
        <v>14.45</v>
      </c>
      <c r="R204" s="10">
        <v>1.22</v>
      </c>
    </row>
    <row r="205" spans="1:19" ht="15.6" x14ac:dyDescent="0.3">
      <c r="A205" s="6" t="s">
        <v>154</v>
      </c>
      <c r="B205" t="s">
        <v>118</v>
      </c>
      <c r="C205" t="s">
        <v>25</v>
      </c>
      <c r="D205" t="s">
        <v>24</v>
      </c>
      <c r="E205" s="2">
        <v>45726</v>
      </c>
      <c r="F205" s="1">
        <f>F204 + TIME(0,2,0)</f>
        <v>0.54861111111111138</v>
      </c>
      <c r="G205" s="2">
        <v>45741</v>
      </c>
      <c r="H205" s="1">
        <v>0.49652777777777801</v>
      </c>
      <c r="I205" s="3" t="s">
        <v>157</v>
      </c>
      <c r="J205" s="7">
        <v>1</v>
      </c>
      <c r="K205" s="7">
        <v>3</v>
      </c>
      <c r="L205" s="7">
        <v>4</v>
      </c>
      <c r="M205" s="7">
        <v>5</v>
      </c>
      <c r="N205">
        <f t="shared" si="3"/>
        <v>13</v>
      </c>
      <c r="O205" s="9">
        <v>2.1</v>
      </c>
      <c r="P205" s="9">
        <v>0.25</v>
      </c>
      <c r="Q205" s="10">
        <v>14.79</v>
      </c>
      <c r="R205" s="10">
        <v>1.1299999999999999</v>
      </c>
    </row>
    <row r="206" spans="1:19" ht="15.6" x14ac:dyDescent="0.3">
      <c r="A206" s="6" t="s">
        <v>158</v>
      </c>
      <c r="B206" t="s">
        <v>118</v>
      </c>
      <c r="C206" t="s">
        <v>21</v>
      </c>
      <c r="D206" t="s">
        <v>22</v>
      </c>
      <c r="E206" s="2">
        <v>45726</v>
      </c>
      <c r="F206" s="1">
        <v>0.58333333333333304</v>
      </c>
      <c r="G206" s="2">
        <v>45743</v>
      </c>
      <c r="H206" s="1">
        <v>0.52083333333333304</v>
      </c>
      <c r="I206" s="3">
        <v>722</v>
      </c>
      <c r="J206">
        <v>1</v>
      </c>
      <c r="K206">
        <v>3</v>
      </c>
      <c r="L206">
        <v>4</v>
      </c>
      <c r="M206">
        <v>5</v>
      </c>
      <c r="N206">
        <f t="shared" si="3"/>
        <v>13</v>
      </c>
      <c r="O206" s="4">
        <v>2.8130000000000002</v>
      </c>
      <c r="P206" s="4">
        <v>0.79900000000000004</v>
      </c>
      <c r="Q206" s="10">
        <v>18.760000000000002</v>
      </c>
      <c r="R206" s="10">
        <v>4</v>
      </c>
    </row>
    <row r="207" spans="1:19" ht="15.6" x14ac:dyDescent="0.3">
      <c r="A207" s="6" t="s">
        <v>158</v>
      </c>
      <c r="B207" t="s">
        <v>118</v>
      </c>
      <c r="C207" t="s">
        <v>21</v>
      </c>
      <c r="D207" t="s">
        <v>23</v>
      </c>
      <c r="E207" s="2">
        <v>45726</v>
      </c>
      <c r="F207" s="1">
        <f>F206 + TIME(0,2,0)</f>
        <v>0.58472222222222192</v>
      </c>
      <c r="G207" s="2">
        <v>45743</v>
      </c>
      <c r="H207" s="1">
        <v>0.52222222222222203</v>
      </c>
      <c r="I207" s="3">
        <v>769</v>
      </c>
      <c r="J207">
        <v>1</v>
      </c>
      <c r="K207">
        <v>3</v>
      </c>
      <c r="L207">
        <v>4</v>
      </c>
      <c r="M207">
        <v>5</v>
      </c>
      <c r="N207">
        <f t="shared" si="3"/>
        <v>13</v>
      </c>
      <c r="O207" s="4">
        <v>2.835</v>
      </c>
      <c r="P207" s="4">
        <v>0.77600000000000002</v>
      </c>
      <c r="Q207" s="10">
        <v>19.8</v>
      </c>
      <c r="R207" s="10">
        <v>3.36</v>
      </c>
    </row>
    <row r="208" spans="1:19" ht="15.6" x14ac:dyDescent="0.3">
      <c r="A208" s="6" t="s">
        <v>158</v>
      </c>
      <c r="B208" t="s">
        <v>118</v>
      </c>
      <c r="C208" t="s">
        <v>21</v>
      </c>
      <c r="D208" t="s">
        <v>24</v>
      </c>
      <c r="E208" s="2">
        <v>45726</v>
      </c>
      <c r="F208" s="1">
        <f>F207 + TIME(0,2,0)</f>
        <v>0.58611111111111081</v>
      </c>
      <c r="G208" s="2">
        <v>45743</v>
      </c>
      <c r="H208" s="1">
        <v>0.52430555555555602</v>
      </c>
      <c r="I208" s="3">
        <v>162</v>
      </c>
      <c r="J208">
        <v>1</v>
      </c>
      <c r="K208">
        <v>3</v>
      </c>
      <c r="L208">
        <v>4</v>
      </c>
      <c r="M208">
        <v>5</v>
      </c>
      <c r="N208">
        <f t="shared" si="3"/>
        <v>13</v>
      </c>
      <c r="O208" s="4">
        <v>3.52</v>
      </c>
      <c r="P208" s="4">
        <v>1.323</v>
      </c>
      <c r="Q208" s="10">
        <v>20.62</v>
      </c>
      <c r="R208" s="10">
        <v>6.35</v>
      </c>
    </row>
    <row r="209" spans="1:19" ht="15.6" x14ac:dyDescent="0.3">
      <c r="A209" s="6" t="s">
        <v>158</v>
      </c>
      <c r="B209" t="s">
        <v>118</v>
      </c>
      <c r="C209" t="s">
        <v>25</v>
      </c>
      <c r="D209" t="s">
        <v>22</v>
      </c>
      <c r="E209" s="2">
        <v>45726</v>
      </c>
      <c r="F209" s="1">
        <f>F208 + TIME(0,2,0)</f>
        <v>0.58749999999999969</v>
      </c>
      <c r="G209" s="2">
        <v>45743</v>
      </c>
      <c r="H209" s="1">
        <v>0.52569444444444502</v>
      </c>
      <c r="I209" s="3" t="s">
        <v>159</v>
      </c>
      <c r="J209">
        <v>1</v>
      </c>
      <c r="K209">
        <v>0</v>
      </c>
      <c r="L209">
        <v>0</v>
      </c>
      <c r="M209">
        <v>2</v>
      </c>
      <c r="N209">
        <f t="shared" si="3"/>
        <v>3</v>
      </c>
      <c r="O209" s="4">
        <v>1.357</v>
      </c>
      <c r="P209" s="4">
        <v>0.214</v>
      </c>
      <c r="Q209" s="10">
        <v>6.19</v>
      </c>
      <c r="R209" s="10">
        <v>1.08</v>
      </c>
    </row>
    <row r="210" spans="1:19" ht="15.6" x14ac:dyDescent="0.3">
      <c r="A210" s="6" t="s">
        <v>158</v>
      </c>
      <c r="B210" t="s">
        <v>118</v>
      </c>
      <c r="C210" t="s">
        <v>25</v>
      </c>
      <c r="D210" t="s">
        <v>23</v>
      </c>
      <c r="E210" s="2">
        <v>45726</v>
      </c>
      <c r="F210" s="1">
        <f>F209 + TIME(0,2,0)</f>
        <v>0.58888888888888857</v>
      </c>
      <c r="G210" s="2">
        <v>45743</v>
      </c>
      <c r="H210" s="1">
        <v>0.52708333333333302</v>
      </c>
      <c r="I210" s="3" t="s">
        <v>160</v>
      </c>
      <c r="J210">
        <v>1</v>
      </c>
      <c r="K210">
        <v>0</v>
      </c>
      <c r="L210">
        <v>0</v>
      </c>
      <c r="M210">
        <v>2</v>
      </c>
      <c r="N210">
        <f t="shared" si="3"/>
        <v>3</v>
      </c>
      <c r="O210" s="4">
        <v>0.754</v>
      </c>
      <c r="P210" s="4">
        <v>8.5999999999999993E-2</v>
      </c>
      <c r="Q210" s="10">
        <v>0</v>
      </c>
      <c r="R210" s="10">
        <v>0</v>
      </c>
      <c r="S210" t="s">
        <v>204</v>
      </c>
    </row>
    <row r="211" spans="1:19" ht="15.6" x14ac:dyDescent="0.3">
      <c r="A211" s="6" t="s">
        <v>158</v>
      </c>
      <c r="B211" t="s">
        <v>118</v>
      </c>
      <c r="C211" t="s">
        <v>25</v>
      </c>
      <c r="D211" t="s">
        <v>24</v>
      </c>
      <c r="E211" s="2">
        <v>45726</v>
      </c>
      <c r="F211" s="1">
        <f>F210 + TIME(0,2,0)</f>
        <v>0.59027777777777746</v>
      </c>
      <c r="G211" s="2">
        <v>45743</v>
      </c>
      <c r="H211" s="1">
        <v>0.52777777777777801</v>
      </c>
      <c r="I211" s="3" t="s">
        <v>161</v>
      </c>
      <c r="J211">
        <v>0</v>
      </c>
      <c r="K211">
        <v>0</v>
      </c>
      <c r="L211">
        <v>0</v>
      </c>
      <c r="M211">
        <v>0</v>
      </c>
      <c r="N211">
        <f t="shared" si="3"/>
        <v>0</v>
      </c>
      <c r="O211" s="4">
        <v>0.47199999999999998</v>
      </c>
      <c r="P211" s="4">
        <v>4.2999999999999997E-2</v>
      </c>
      <c r="Q211" s="10">
        <v>0</v>
      </c>
      <c r="R211" s="10">
        <v>0</v>
      </c>
      <c r="S211" t="s">
        <v>204</v>
      </c>
    </row>
    <row r="212" spans="1:19" ht="15.6" x14ac:dyDescent="0.3">
      <c r="A212" s="6" t="s">
        <v>162</v>
      </c>
      <c r="B212" t="s">
        <v>118</v>
      </c>
      <c r="C212" t="s">
        <v>21</v>
      </c>
      <c r="D212" t="s">
        <v>22</v>
      </c>
      <c r="E212" s="2">
        <v>45726</v>
      </c>
      <c r="F212" s="1">
        <v>0.49791666666666701</v>
      </c>
      <c r="G212" s="2">
        <v>45745</v>
      </c>
      <c r="H212" s="1">
        <v>0.5</v>
      </c>
      <c r="I212" s="3">
        <v>627</v>
      </c>
      <c r="J212">
        <v>1</v>
      </c>
      <c r="K212">
        <v>3</v>
      </c>
      <c r="L212">
        <v>4</v>
      </c>
      <c r="M212">
        <v>5</v>
      </c>
      <c r="N212">
        <f t="shared" si="3"/>
        <v>13</v>
      </c>
      <c r="O212" s="4">
        <v>2.6320000000000001</v>
      </c>
      <c r="P212" s="4">
        <v>0.54400000000000004</v>
      </c>
      <c r="Q212" s="10">
        <v>21.55</v>
      </c>
      <c r="R212" s="10">
        <v>3.68</v>
      </c>
    </row>
    <row r="213" spans="1:19" ht="15.6" x14ac:dyDescent="0.3">
      <c r="A213" s="6" t="s">
        <v>162</v>
      </c>
      <c r="B213" t="s">
        <v>118</v>
      </c>
      <c r="C213" t="s">
        <v>21</v>
      </c>
      <c r="D213" t="s">
        <v>23</v>
      </c>
      <c r="E213" s="2">
        <v>45726</v>
      </c>
      <c r="F213" s="1">
        <f>F212 + TIME(0,2,0)</f>
        <v>0.49930555555555589</v>
      </c>
      <c r="G213" s="2">
        <v>45745</v>
      </c>
      <c r="H213" s="1">
        <v>0.50138888888888899</v>
      </c>
      <c r="I213" s="3">
        <v>149</v>
      </c>
      <c r="J213">
        <v>1</v>
      </c>
      <c r="K213">
        <v>3</v>
      </c>
      <c r="L213">
        <v>4</v>
      </c>
      <c r="M213">
        <v>5</v>
      </c>
      <c r="N213">
        <f t="shared" si="3"/>
        <v>13</v>
      </c>
      <c r="O213" s="4">
        <v>2.427</v>
      </c>
      <c r="P213" s="4">
        <v>0.42399999999999999</v>
      </c>
      <c r="Q213" s="10">
        <v>17.98</v>
      </c>
      <c r="R213" s="10">
        <v>2.7</v>
      </c>
    </row>
    <row r="214" spans="1:19" ht="15.6" x14ac:dyDescent="0.3">
      <c r="A214" s="6" t="s">
        <v>162</v>
      </c>
      <c r="B214" t="s">
        <v>118</v>
      </c>
      <c r="C214" t="s">
        <v>21</v>
      </c>
      <c r="D214" t="s">
        <v>24</v>
      </c>
      <c r="E214" s="2">
        <v>45726</v>
      </c>
      <c r="F214" s="1">
        <f>F213 + TIME(0,2,0)</f>
        <v>0.50069444444444478</v>
      </c>
      <c r="G214" s="2">
        <v>45745</v>
      </c>
      <c r="H214" s="1">
        <v>0.50208333333333299</v>
      </c>
      <c r="I214" s="3">
        <v>594</v>
      </c>
      <c r="J214">
        <v>1</v>
      </c>
      <c r="K214">
        <v>3</v>
      </c>
      <c r="L214">
        <v>4</v>
      </c>
      <c r="M214">
        <v>5</v>
      </c>
      <c r="N214">
        <f t="shared" si="3"/>
        <v>13</v>
      </c>
      <c r="O214" s="4">
        <v>2.8690000000000002</v>
      </c>
      <c r="P214" s="4">
        <v>0.78100000000000003</v>
      </c>
      <c r="Q214" s="10">
        <v>14.38</v>
      </c>
      <c r="R214" s="10">
        <v>2.17</v>
      </c>
    </row>
    <row r="215" spans="1:19" ht="15.6" x14ac:dyDescent="0.3">
      <c r="A215" s="6" t="s">
        <v>162</v>
      </c>
      <c r="B215" t="s">
        <v>118</v>
      </c>
      <c r="C215" t="s">
        <v>25</v>
      </c>
      <c r="D215" t="s">
        <v>22</v>
      </c>
      <c r="E215" s="2">
        <v>45726</v>
      </c>
      <c r="F215" s="1">
        <f>F214 + TIME(0,2,0)</f>
        <v>0.50208333333333366</v>
      </c>
      <c r="G215" s="2">
        <v>45745</v>
      </c>
      <c r="H215" s="1">
        <v>0.50416666666666698</v>
      </c>
      <c r="I215" s="3" t="s">
        <v>163</v>
      </c>
      <c r="J215">
        <v>1</v>
      </c>
      <c r="K215">
        <v>0</v>
      </c>
      <c r="L215">
        <v>0</v>
      </c>
      <c r="M215">
        <v>4</v>
      </c>
      <c r="N215">
        <f t="shared" si="3"/>
        <v>5</v>
      </c>
      <c r="O215" s="4">
        <v>0.77700000000000002</v>
      </c>
      <c r="P215" s="4">
        <v>6.8000000000000005E-2</v>
      </c>
      <c r="Q215" s="10">
        <v>12.1</v>
      </c>
      <c r="R215" s="10">
        <v>0.84</v>
      </c>
    </row>
    <row r="216" spans="1:19" ht="15.6" x14ac:dyDescent="0.3">
      <c r="A216" s="6" t="s">
        <v>162</v>
      </c>
      <c r="B216" t="s">
        <v>118</v>
      </c>
      <c r="C216" t="s">
        <v>25</v>
      </c>
      <c r="D216" t="s">
        <v>23</v>
      </c>
      <c r="E216" s="2">
        <v>45726</v>
      </c>
      <c r="F216" s="1">
        <f>F215 + TIME(0,2,0)</f>
        <v>0.50347222222222254</v>
      </c>
      <c r="G216" s="2">
        <v>45745</v>
      </c>
      <c r="H216" s="1">
        <v>0.50555555555555598</v>
      </c>
      <c r="I216" s="3" t="s">
        <v>164</v>
      </c>
      <c r="J216">
        <v>1</v>
      </c>
      <c r="K216">
        <v>0</v>
      </c>
      <c r="L216">
        <v>0</v>
      </c>
      <c r="M216">
        <v>1</v>
      </c>
      <c r="N216">
        <f t="shared" si="3"/>
        <v>2</v>
      </c>
      <c r="O216" s="4">
        <v>0.622</v>
      </c>
      <c r="P216" s="4">
        <v>7.3999999999999996E-2</v>
      </c>
      <c r="Q216" s="10">
        <v>2.83</v>
      </c>
      <c r="R216" s="10">
        <v>0.23</v>
      </c>
    </row>
    <row r="217" spans="1:19" ht="15.6" x14ac:dyDescent="0.3">
      <c r="A217" s="6" t="s">
        <v>162</v>
      </c>
      <c r="B217" t="s">
        <v>118</v>
      </c>
      <c r="C217" t="s">
        <v>25</v>
      </c>
      <c r="D217" t="s">
        <v>24</v>
      </c>
      <c r="E217" s="2">
        <v>45726</v>
      </c>
      <c r="F217" s="1">
        <f>F216 + TIME(0,2,0)</f>
        <v>0.50486111111111143</v>
      </c>
      <c r="G217" s="2">
        <v>45745</v>
      </c>
      <c r="H217" s="1">
        <v>0.50694444444444398</v>
      </c>
      <c r="I217" s="3" t="s">
        <v>165</v>
      </c>
      <c r="J217">
        <v>0</v>
      </c>
      <c r="K217">
        <v>0</v>
      </c>
      <c r="L217">
        <v>0</v>
      </c>
      <c r="M217">
        <v>0</v>
      </c>
      <c r="N217">
        <f t="shared" si="3"/>
        <v>0</v>
      </c>
      <c r="O217" s="4">
        <v>0.77800000000000002</v>
      </c>
      <c r="P217" s="4">
        <v>7.0999999999999994E-2</v>
      </c>
      <c r="Q217" s="10">
        <v>0</v>
      </c>
      <c r="R217" s="10">
        <v>0</v>
      </c>
      <c r="S217" s="16" t="s">
        <v>208</v>
      </c>
    </row>
    <row r="218" spans="1:19" ht="15.6" x14ac:dyDescent="0.3">
      <c r="A218" s="6" t="s">
        <v>166</v>
      </c>
      <c r="B218" t="s">
        <v>118</v>
      </c>
      <c r="C218" t="s">
        <v>21</v>
      </c>
      <c r="D218" t="s">
        <v>22</v>
      </c>
      <c r="E218" s="2">
        <v>45726</v>
      </c>
      <c r="F218" s="1">
        <v>0.45833333333333298</v>
      </c>
      <c r="G218" s="2">
        <v>45745</v>
      </c>
      <c r="H218" s="1">
        <v>0.41666666666666702</v>
      </c>
      <c r="I218" s="3">
        <v>650</v>
      </c>
      <c r="J218">
        <v>1</v>
      </c>
      <c r="K218">
        <v>3</v>
      </c>
      <c r="L218">
        <v>4</v>
      </c>
      <c r="M218">
        <v>5</v>
      </c>
      <c r="N218">
        <f t="shared" si="3"/>
        <v>13</v>
      </c>
      <c r="O218" s="4">
        <v>2.13</v>
      </c>
      <c r="P218" s="4">
        <v>0.23300000000000001</v>
      </c>
      <c r="Q218" s="10">
        <v>15.53</v>
      </c>
      <c r="R218" s="10">
        <v>1.55</v>
      </c>
    </row>
    <row r="219" spans="1:19" ht="15.6" x14ac:dyDescent="0.3">
      <c r="A219" s="6" t="s">
        <v>166</v>
      </c>
      <c r="B219" t="s">
        <v>118</v>
      </c>
      <c r="C219" t="s">
        <v>21</v>
      </c>
      <c r="D219" t="s">
        <v>23</v>
      </c>
      <c r="E219" s="2">
        <v>45726</v>
      </c>
      <c r="F219" s="1">
        <f>F218 + TIME(0,2,0)</f>
        <v>0.45972222222222187</v>
      </c>
      <c r="G219" s="2">
        <v>45745</v>
      </c>
      <c r="H219" s="1">
        <v>0.41805555555555601</v>
      </c>
      <c r="I219" s="3">
        <v>93</v>
      </c>
      <c r="J219">
        <v>1</v>
      </c>
      <c r="K219">
        <v>3</v>
      </c>
      <c r="L219">
        <v>4</v>
      </c>
      <c r="M219">
        <v>5</v>
      </c>
      <c r="N219">
        <f t="shared" si="3"/>
        <v>13</v>
      </c>
      <c r="O219" s="4">
        <v>2.3460000000000001</v>
      </c>
      <c r="P219" s="4">
        <v>0.317</v>
      </c>
      <c r="Q219" s="10">
        <v>17.260000000000002</v>
      </c>
      <c r="R219" s="10">
        <v>1.5</v>
      </c>
    </row>
    <row r="220" spans="1:19" ht="15.6" x14ac:dyDescent="0.3">
      <c r="A220" s="6" t="s">
        <v>166</v>
      </c>
      <c r="B220" t="s">
        <v>118</v>
      </c>
      <c r="C220" t="s">
        <v>21</v>
      </c>
      <c r="D220" t="s">
        <v>24</v>
      </c>
      <c r="E220" s="2">
        <v>45726</v>
      </c>
      <c r="F220" s="1">
        <f>F219 + TIME(0,2,0)</f>
        <v>0.46111111111111075</v>
      </c>
      <c r="G220" s="2">
        <v>45745</v>
      </c>
      <c r="H220" s="1">
        <v>0.41875000000000001</v>
      </c>
      <c r="I220" s="3">
        <v>714</v>
      </c>
      <c r="J220">
        <v>1</v>
      </c>
      <c r="K220">
        <v>3</v>
      </c>
      <c r="L220">
        <v>4</v>
      </c>
      <c r="M220">
        <v>5</v>
      </c>
      <c r="N220">
        <f t="shared" si="3"/>
        <v>13</v>
      </c>
      <c r="O220" s="4">
        <v>2.282</v>
      </c>
      <c r="P220" s="4">
        <v>0.26</v>
      </c>
      <c r="Q220" s="10">
        <v>19.670000000000002</v>
      </c>
      <c r="R220" s="10">
        <v>1.83</v>
      </c>
    </row>
    <row r="221" spans="1:19" ht="15.6" x14ac:dyDescent="0.3">
      <c r="A221" s="6" t="s">
        <v>166</v>
      </c>
      <c r="B221" t="s">
        <v>118</v>
      </c>
      <c r="C221" t="s">
        <v>25</v>
      </c>
      <c r="D221" t="s">
        <v>22</v>
      </c>
      <c r="E221" s="2">
        <v>45726</v>
      </c>
      <c r="F221" s="1">
        <f>F220 + TIME(0,2,0)</f>
        <v>0.46249999999999963</v>
      </c>
      <c r="G221" s="2">
        <v>45745</v>
      </c>
      <c r="H221" s="1">
        <v>0.42013888888888901</v>
      </c>
      <c r="I221" s="3" t="s">
        <v>167</v>
      </c>
      <c r="J221">
        <v>1</v>
      </c>
      <c r="K221">
        <v>0</v>
      </c>
      <c r="L221">
        <v>0</v>
      </c>
      <c r="M221">
        <v>3</v>
      </c>
      <c r="N221">
        <f t="shared" si="3"/>
        <v>4</v>
      </c>
      <c r="O221" s="4">
        <v>0.42499999999999999</v>
      </c>
      <c r="P221" s="4">
        <v>4.5999999999999999E-2</v>
      </c>
      <c r="Q221" s="10">
        <v>9.02</v>
      </c>
      <c r="R221" s="10">
        <v>0.85</v>
      </c>
    </row>
    <row r="222" spans="1:19" ht="15.6" x14ac:dyDescent="0.3">
      <c r="A222" s="6" t="s">
        <v>166</v>
      </c>
      <c r="B222" t="s">
        <v>118</v>
      </c>
      <c r="C222" t="s">
        <v>25</v>
      </c>
      <c r="D222" t="s">
        <v>23</v>
      </c>
      <c r="E222" s="2">
        <v>45726</v>
      </c>
      <c r="F222" s="1">
        <f>F221 + TIME(0,2,0)</f>
        <v>0.46388888888888852</v>
      </c>
      <c r="G222" s="2">
        <v>45745</v>
      </c>
      <c r="H222" s="1">
        <v>0.421527777777778</v>
      </c>
      <c r="I222" s="3" t="s">
        <v>168</v>
      </c>
      <c r="J222">
        <v>1</v>
      </c>
      <c r="K222">
        <v>3</v>
      </c>
      <c r="L222">
        <v>4</v>
      </c>
      <c r="M222">
        <v>5</v>
      </c>
      <c r="N222">
        <f t="shared" si="3"/>
        <v>13</v>
      </c>
      <c r="O222" s="4">
        <v>0.85599999999999998</v>
      </c>
      <c r="P222" s="4">
        <v>0.125</v>
      </c>
      <c r="Q222" s="10">
        <v>25.39</v>
      </c>
      <c r="R222" s="10">
        <v>3.69</v>
      </c>
    </row>
    <row r="223" spans="1:19" ht="15.6" x14ac:dyDescent="0.3">
      <c r="A223" s="6" t="s">
        <v>166</v>
      </c>
      <c r="B223" t="s">
        <v>118</v>
      </c>
      <c r="C223" t="s">
        <v>25</v>
      </c>
      <c r="D223" t="s">
        <v>24</v>
      </c>
      <c r="E223" s="2">
        <v>45726</v>
      </c>
      <c r="F223" s="1">
        <f>F222 + TIME(0,2,0)</f>
        <v>0.4652777777777774</v>
      </c>
      <c r="G223" s="2">
        <v>45745</v>
      </c>
      <c r="H223" s="1">
        <v>0.42361111111111099</v>
      </c>
      <c r="I223" s="3" t="s">
        <v>169</v>
      </c>
      <c r="J223">
        <v>0</v>
      </c>
      <c r="K223">
        <v>0</v>
      </c>
      <c r="L223">
        <v>0</v>
      </c>
      <c r="M223">
        <v>0</v>
      </c>
      <c r="N223">
        <f t="shared" si="3"/>
        <v>0</v>
      </c>
      <c r="O223" s="4">
        <v>0.14699999999999999</v>
      </c>
      <c r="P223" s="4">
        <v>1.2999999999999999E-2</v>
      </c>
      <c r="Q223" s="10">
        <v>0</v>
      </c>
      <c r="R223" s="10">
        <v>0</v>
      </c>
      <c r="S223" t="s">
        <v>204</v>
      </c>
    </row>
    <row r="224" spans="1:19" ht="15.6" x14ac:dyDescent="0.3">
      <c r="A224" s="6" t="s">
        <v>170</v>
      </c>
      <c r="B224" t="s">
        <v>118</v>
      </c>
      <c r="C224" t="s">
        <v>21</v>
      </c>
      <c r="D224" t="s">
        <v>22</v>
      </c>
      <c r="E224" s="2">
        <v>45727</v>
      </c>
      <c r="F224" s="1">
        <v>0.375</v>
      </c>
      <c r="G224" s="2">
        <v>45743</v>
      </c>
      <c r="H224" s="1">
        <v>0.6875</v>
      </c>
      <c r="I224" s="3">
        <v>139</v>
      </c>
      <c r="J224">
        <v>1</v>
      </c>
      <c r="K224">
        <v>3</v>
      </c>
      <c r="L224">
        <v>4</v>
      </c>
      <c r="M224">
        <v>5</v>
      </c>
      <c r="N224">
        <f t="shared" si="3"/>
        <v>13</v>
      </c>
      <c r="O224" s="4">
        <v>2.4300000000000002</v>
      </c>
      <c r="P224" s="4">
        <v>0.30199999999999999</v>
      </c>
      <c r="Q224" s="10">
        <v>17.78</v>
      </c>
      <c r="R224" s="10">
        <v>2.23</v>
      </c>
    </row>
    <row r="225" spans="1:19" ht="15.6" x14ac:dyDescent="0.3">
      <c r="A225" s="6" t="s">
        <v>170</v>
      </c>
      <c r="B225" t="s">
        <v>118</v>
      </c>
      <c r="C225" t="s">
        <v>21</v>
      </c>
      <c r="D225" t="s">
        <v>23</v>
      </c>
      <c r="E225" s="2">
        <v>45727</v>
      </c>
      <c r="F225" s="1">
        <f>F224 + TIME(0,2,0)</f>
        <v>0.37638888888888888</v>
      </c>
      <c r="G225" s="2">
        <v>45743</v>
      </c>
      <c r="H225" s="1">
        <v>0.68888888888888899</v>
      </c>
      <c r="I225" s="3">
        <v>108</v>
      </c>
      <c r="J225">
        <v>1</v>
      </c>
      <c r="K225">
        <v>3</v>
      </c>
      <c r="L225">
        <v>4</v>
      </c>
      <c r="M225">
        <v>5</v>
      </c>
      <c r="N225">
        <f t="shared" si="3"/>
        <v>13</v>
      </c>
      <c r="O225" s="4">
        <v>3.6190000000000002</v>
      </c>
      <c r="P225" s="4">
        <v>1.04</v>
      </c>
      <c r="Q225" s="10">
        <v>16.95</v>
      </c>
      <c r="R225" s="10">
        <v>1.9</v>
      </c>
    </row>
    <row r="226" spans="1:19" ht="15.6" x14ac:dyDescent="0.3">
      <c r="A226" s="6" t="s">
        <v>170</v>
      </c>
      <c r="B226" t="s">
        <v>118</v>
      </c>
      <c r="C226" t="s">
        <v>21</v>
      </c>
      <c r="D226" t="s">
        <v>24</v>
      </c>
      <c r="E226" s="2">
        <v>45727</v>
      </c>
      <c r="F226" s="1">
        <f>F225 + TIME(0,2,0)</f>
        <v>0.37777777777777777</v>
      </c>
      <c r="G226" s="2">
        <v>45743</v>
      </c>
      <c r="H226" s="1">
        <v>0.68958333333333299</v>
      </c>
      <c r="I226" s="3">
        <v>83</v>
      </c>
      <c r="J226">
        <v>1</v>
      </c>
      <c r="K226">
        <v>0</v>
      </c>
      <c r="L226">
        <v>0</v>
      </c>
      <c r="M226">
        <v>3</v>
      </c>
      <c r="N226">
        <f t="shared" si="3"/>
        <v>4</v>
      </c>
      <c r="O226" s="4">
        <v>2.3170000000000002</v>
      </c>
      <c r="P226" s="4">
        <v>0.42199999999999999</v>
      </c>
      <c r="Q226" s="10">
        <v>7.94</v>
      </c>
      <c r="R226" s="10">
        <v>0.63</v>
      </c>
    </row>
    <row r="227" spans="1:19" ht="15.6" x14ac:dyDescent="0.3">
      <c r="A227" s="6" t="s">
        <v>170</v>
      </c>
      <c r="B227" t="s">
        <v>118</v>
      </c>
      <c r="C227" t="s">
        <v>25</v>
      </c>
      <c r="D227" t="s">
        <v>22</v>
      </c>
      <c r="E227" s="2">
        <v>45727</v>
      </c>
      <c r="F227" s="1">
        <f>F226 + TIME(0,2,0)</f>
        <v>0.37916666666666665</v>
      </c>
      <c r="G227" s="2">
        <v>45743</v>
      </c>
      <c r="H227" s="1">
        <v>0.69097222222222199</v>
      </c>
      <c r="I227" s="3" t="s">
        <v>171</v>
      </c>
      <c r="J227" s="7">
        <v>0</v>
      </c>
      <c r="K227" s="7">
        <v>0</v>
      </c>
      <c r="L227" s="7">
        <v>0</v>
      </c>
      <c r="M227" s="7">
        <v>0</v>
      </c>
      <c r="N227">
        <f t="shared" si="3"/>
        <v>0</v>
      </c>
      <c r="O227" s="9" t="s">
        <v>198</v>
      </c>
      <c r="P227" s="9" t="s">
        <v>198</v>
      </c>
      <c r="Q227" s="10">
        <v>0</v>
      </c>
      <c r="R227" s="10">
        <v>0</v>
      </c>
      <c r="S227" t="s">
        <v>204</v>
      </c>
    </row>
    <row r="228" spans="1:19" ht="15.6" x14ac:dyDescent="0.3">
      <c r="A228" s="6" t="s">
        <v>170</v>
      </c>
      <c r="B228" t="s">
        <v>118</v>
      </c>
      <c r="C228" t="s">
        <v>25</v>
      </c>
      <c r="D228" t="s">
        <v>23</v>
      </c>
      <c r="E228" s="2">
        <v>45727</v>
      </c>
      <c r="F228" s="1">
        <f>F227 + TIME(0,2,0)</f>
        <v>0.38055555555555554</v>
      </c>
      <c r="G228" s="2">
        <v>45743</v>
      </c>
      <c r="H228" s="1">
        <v>0.69236111111111098</v>
      </c>
      <c r="I228" s="3" t="s">
        <v>172</v>
      </c>
      <c r="J228" s="7">
        <v>0</v>
      </c>
      <c r="K228" s="7">
        <v>0</v>
      </c>
      <c r="L228" s="7">
        <v>0</v>
      </c>
      <c r="M228" s="7">
        <v>0</v>
      </c>
      <c r="N228">
        <f t="shared" si="3"/>
        <v>0</v>
      </c>
      <c r="O228" s="9" t="s">
        <v>198</v>
      </c>
      <c r="P228" s="9" t="s">
        <v>198</v>
      </c>
      <c r="Q228" s="10">
        <v>0</v>
      </c>
      <c r="R228" s="10">
        <v>0</v>
      </c>
      <c r="S228" t="s">
        <v>204</v>
      </c>
    </row>
    <row r="229" spans="1:19" ht="15.6" x14ac:dyDescent="0.3">
      <c r="A229" s="6" t="s">
        <v>170</v>
      </c>
      <c r="B229" t="s">
        <v>118</v>
      </c>
      <c r="C229" t="s">
        <v>25</v>
      </c>
      <c r="D229" t="s">
        <v>24</v>
      </c>
      <c r="E229" s="2">
        <v>45727</v>
      </c>
      <c r="F229" s="1">
        <f>F228 + TIME(0,2,0)</f>
        <v>0.38194444444444442</v>
      </c>
      <c r="G229" s="2">
        <v>45743</v>
      </c>
      <c r="H229" s="1">
        <v>0.69444444444444398</v>
      </c>
      <c r="I229" s="3" t="s">
        <v>173</v>
      </c>
      <c r="J229" s="7">
        <v>0</v>
      </c>
      <c r="K229" s="7">
        <v>0</v>
      </c>
      <c r="L229" s="7">
        <v>0</v>
      </c>
      <c r="M229" s="7">
        <v>0</v>
      </c>
      <c r="N229">
        <f t="shared" si="3"/>
        <v>0</v>
      </c>
      <c r="O229" s="9" t="s">
        <v>198</v>
      </c>
      <c r="P229" s="9" t="s">
        <v>198</v>
      </c>
      <c r="Q229" s="10">
        <v>0</v>
      </c>
      <c r="R229" s="10">
        <v>0</v>
      </c>
      <c r="S229" t="s">
        <v>204</v>
      </c>
    </row>
    <row r="230" spans="1:19" ht="15.6" x14ac:dyDescent="0.3">
      <c r="A230" s="6" t="s">
        <v>174</v>
      </c>
      <c r="B230" t="s">
        <v>118</v>
      </c>
      <c r="C230" t="s">
        <v>21</v>
      </c>
      <c r="D230" t="s">
        <v>22</v>
      </c>
      <c r="E230" s="2">
        <v>45727</v>
      </c>
      <c r="F230" s="1">
        <v>0.58333333333333304</v>
      </c>
      <c r="G230" s="2">
        <v>45742</v>
      </c>
      <c r="H230" s="1">
        <v>0.40625</v>
      </c>
      <c r="I230" s="3">
        <v>48</v>
      </c>
      <c r="J230">
        <v>1</v>
      </c>
      <c r="K230">
        <v>3</v>
      </c>
      <c r="L230">
        <v>4</v>
      </c>
      <c r="M230">
        <v>5</v>
      </c>
      <c r="N230">
        <f t="shared" si="3"/>
        <v>13</v>
      </c>
      <c r="O230" s="4">
        <v>3.1629999999999998</v>
      </c>
      <c r="P230" s="4">
        <v>1.0249999999999999</v>
      </c>
      <c r="Q230" s="10">
        <v>16.84</v>
      </c>
      <c r="R230" s="10">
        <v>2.2400000000000002</v>
      </c>
    </row>
    <row r="231" spans="1:19" ht="15.6" x14ac:dyDescent="0.3">
      <c r="A231" s="6" t="s">
        <v>174</v>
      </c>
      <c r="B231" t="s">
        <v>118</v>
      </c>
      <c r="C231" t="s">
        <v>21</v>
      </c>
      <c r="D231" t="s">
        <v>23</v>
      </c>
      <c r="E231" s="2">
        <v>45727</v>
      </c>
      <c r="F231" s="1">
        <f>F230 + TIME(0,2,0)</f>
        <v>0.58472222222222192</v>
      </c>
      <c r="G231" s="2">
        <v>45742</v>
      </c>
      <c r="H231" s="1">
        <v>0.406944444444444</v>
      </c>
      <c r="I231" s="3">
        <v>194</v>
      </c>
      <c r="J231">
        <v>1</v>
      </c>
      <c r="K231">
        <v>3</v>
      </c>
      <c r="L231">
        <v>4</v>
      </c>
      <c r="M231">
        <v>5</v>
      </c>
      <c r="N231">
        <f t="shared" si="3"/>
        <v>13</v>
      </c>
      <c r="O231" s="4">
        <v>2.855</v>
      </c>
      <c r="P231" s="4">
        <v>0.66</v>
      </c>
      <c r="Q231" s="10">
        <v>17.72</v>
      </c>
      <c r="R231" s="10">
        <v>2.76</v>
      </c>
    </row>
    <row r="232" spans="1:19" ht="15.6" x14ac:dyDescent="0.3">
      <c r="A232" s="6" t="s">
        <v>174</v>
      </c>
      <c r="B232" t="s">
        <v>118</v>
      </c>
      <c r="C232" t="s">
        <v>21</v>
      </c>
      <c r="D232" t="s">
        <v>24</v>
      </c>
      <c r="E232" s="2">
        <v>45727</v>
      </c>
      <c r="F232" s="1">
        <f>F231 + TIME(0,2,0)</f>
        <v>0.58611111111111081</v>
      </c>
      <c r="G232" s="2">
        <v>45742</v>
      </c>
      <c r="H232" s="1">
        <v>0.40763888888888899</v>
      </c>
      <c r="I232" s="3">
        <v>126</v>
      </c>
      <c r="J232">
        <v>1</v>
      </c>
      <c r="K232">
        <v>3</v>
      </c>
      <c r="L232">
        <v>4</v>
      </c>
      <c r="M232">
        <v>5</v>
      </c>
      <c r="N232">
        <f t="shared" si="3"/>
        <v>13</v>
      </c>
      <c r="O232" s="4">
        <v>3.4159999999999999</v>
      </c>
      <c r="P232" s="4">
        <v>0.96199999999999997</v>
      </c>
      <c r="Q232" s="10">
        <v>17.47</v>
      </c>
      <c r="R232" s="10">
        <v>2.5299999999999998</v>
      </c>
    </row>
    <row r="233" spans="1:19" ht="15.6" x14ac:dyDescent="0.3">
      <c r="A233" s="6" t="s">
        <v>174</v>
      </c>
      <c r="B233" t="s">
        <v>118</v>
      </c>
      <c r="C233" t="s">
        <v>25</v>
      </c>
      <c r="D233" t="s">
        <v>22</v>
      </c>
      <c r="E233" s="2">
        <v>45727</v>
      </c>
      <c r="F233" s="1">
        <f>F232 + TIME(0,2,0)</f>
        <v>0.58749999999999969</v>
      </c>
      <c r="G233" s="2">
        <v>45742</v>
      </c>
      <c r="H233" s="1">
        <v>0.40833333333333299</v>
      </c>
      <c r="I233" s="3" t="s">
        <v>175</v>
      </c>
      <c r="J233">
        <v>1</v>
      </c>
      <c r="K233">
        <v>3</v>
      </c>
      <c r="L233">
        <v>4</v>
      </c>
      <c r="M233">
        <v>5</v>
      </c>
      <c r="N233">
        <f t="shared" si="3"/>
        <v>13</v>
      </c>
      <c r="O233" s="4">
        <v>1.0389999999999999</v>
      </c>
      <c r="P233" s="4">
        <v>8.5000000000000006E-2</v>
      </c>
      <c r="Q233" s="10">
        <v>15.77</v>
      </c>
      <c r="R233" s="10">
        <v>1.4</v>
      </c>
    </row>
    <row r="234" spans="1:19" ht="15.6" x14ac:dyDescent="0.3">
      <c r="A234" s="6" t="s">
        <v>174</v>
      </c>
      <c r="B234" t="s">
        <v>118</v>
      </c>
      <c r="C234" t="s">
        <v>25</v>
      </c>
      <c r="D234" t="s">
        <v>23</v>
      </c>
      <c r="E234" s="2">
        <v>45727</v>
      </c>
      <c r="F234" s="1">
        <f>F233 + TIME(0,2,0)</f>
        <v>0.58888888888888857</v>
      </c>
      <c r="G234" s="2">
        <v>45742</v>
      </c>
      <c r="H234" s="1">
        <v>0.40972222222222199</v>
      </c>
      <c r="I234" s="3" t="s">
        <v>176</v>
      </c>
      <c r="J234">
        <v>1</v>
      </c>
      <c r="K234">
        <v>0</v>
      </c>
      <c r="L234">
        <v>0</v>
      </c>
      <c r="M234">
        <v>5</v>
      </c>
      <c r="N234">
        <f t="shared" si="3"/>
        <v>6</v>
      </c>
      <c r="O234" s="4">
        <v>0.95499999999999996</v>
      </c>
      <c r="P234" s="4">
        <v>8.7999999999999995E-2</v>
      </c>
      <c r="Q234" s="10">
        <v>18.309999999999999</v>
      </c>
      <c r="R234" s="10">
        <v>1.47</v>
      </c>
    </row>
    <row r="235" spans="1:19" ht="15.6" x14ac:dyDescent="0.3">
      <c r="A235" s="6" t="s">
        <v>174</v>
      </c>
      <c r="B235" t="s">
        <v>118</v>
      </c>
      <c r="C235" t="s">
        <v>25</v>
      </c>
      <c r="D235" t="s">
        <v>24</v>
      </c>
      <c r="E235" s="2">
        <v>45727</v>
      </c>
      <c r="F235" s="1">
        <f>F234 + TIME(0,2,0)</f>
        <v>0.59027777777777746</v>
      </c>
      <c r="G235" s="2">
        <v>45742</v>
      </c>
      <c r="H235" s="1">
        <v>0.41319444444444398</v>
      </c>
      <c r="I235" s="3" t="s">
        <v>177</v>
      </c>
      <c r="J235" s="7">
        <v>1</v>
      </c>
      <c r="K235" s="7">
        <v>0</v>
      </c>
      <c r="L235" s="7">
        <v>0</v>
      </c>
      <c r="M235" s="7">
        <v>2</v>
      </c>
      <c r="N235">
        <f t="shared" si="3"/>
        <v>3</v>
      </c>
      <c r="O235" s="9">
        <v>1.413</v>
      </c>
      <c r="P235" s="9">
        <v>0.185</v>
      </c>
      <c r="Q235" s="10">
        <v>7.21</v>
      </c>
      <c r="R235" s="10">
        <v>0.71</v>
      </c>
    </row>
    <row r="236" spans="1:19" ht="15.6" x14ac:dyDescent="0.3">
      <c r="A236" s="6" t="s">
        <v>178</v>
      </c>
      <c r="B236" t="s">
        <v>118</v>
      </c>
      <c r="C236" t="s">
        <v>21</v>
      </c>
      <c r="D236" t="s">
        <v>22</v>
      </c>
      <c r="E236" s="2">
        <v>45727</v>
      </c>
      <c r="F236" s="1">
        <v>0.64583333333333304</v>
      </c>
      <c r="G236" s="2">
        <v>45742</v>
      </c>
      <c r="H236" s="1">
        <v>0.48958333333333298</v>
      </c>
      <c r="I236" s="3">
        <v>567</v>
      </c>
      <c r="J236">
        <v>1</v>
      </c>
      <c r="K236">
        <v>3</v>
      </c>
      <c r="L236">
        <v>4</v>
      </c>
      <c r="M236">
        <v>5</v>
      </c>
      <c r="N236">
        <f t="shared" si="3"/>
        <v>13</v>
      </c>
      <c r="O236" s="4">
        <v>4.2030000000000003</v>
      </c>
      <c r="P236" s="4">
        <v>1.796</v>
      </c>
      <c r="Q236" s="10">
        <v>19.34</v>
      </c>
      <c r="R236" s="10">
        <v>5.3</v>
      </c>
    </row>
    <row r="237" spans="1:19" ht="15.6" x14ac:dyDescent="0.3">
      <c r="A237" s="6" t="s">
        <v>178</v>
      </c>
      <c r="B237" t="s">
        <v>118</v>
      </c>
      <c r="C237" t="s">
        <v>21</v>
      </c>
      <c r="D237" t="s">
        <v>23</v>
      </c>
      <c r="E237" s="2">
        <v>45727</v>
      </c>
      <c r="F237" s="1">
        <f>F236 + TIME(0,2,0)</f>
        <v>0.64722222222222192</v>
      </c>
      <c r="G237" s="2">
        <v>45742</v>
      </c>
      <c r="H237" s="1">
        <v>0.49027777777777798</v>
      </c>
      <c r="I237" s="3">
        <v>260</v>
      </c>
      <c r="J237">
        <v>1</v>
      </c>
      <c r="K237">
        <v>3</v>
      </c>
      <c r="L237">
        <v>4</v>
      </c>
      <c r="M237">
        <v>5</v>
      </c>
      <c r="N237">
        <f t="shared" si="3"/>
        <v>13</v>
      </c>
      <c r="O237" s="4">
        <v>3.8660000000000001</v>
      </c>
      <c r="P237" s="4">
        <v>1.4570000000000001</v>
      </c>
      <c r="Q237" s="10">
        <v>19.420000000000002</v>
      </c>
      <c r="R237" s="10">
        <v>3.85</v>
      </c>
    </row>
    <row r="238" spans="1:19" ht="15.6" x14ac:dyDescent="0.3">
      <c r="A238" s="6" t="s">
        <v>178</v>
      </c>
      <c r="B238" t="s">
        <v>118</v>
      </c>
      <c r="C238" t="s">
        <v>21</v>
      </c>
      <c r="D238" t="s">
        <v>24</v>
      </c>
      <c r="E238" s="2">
        <v>45727</v>
      </c>
      <c r="F238" s="1">
        <f>F237 + TIME(0,2,0)</f>
        <v>0.64861111111111081</v>
      </c>
      <c r="G238" s="2">
        <v>45742</v>
      </c>
      <c r="H238" s="1">
        <v>0.49097222222222198</v>
      </c>
      <c r="I238" s="3">
        <v>241</v>
      </c>
      <c r="J238">
        <v>1</v>
      </c>
      <c r="K238">
        <v>3</v>
      </c>
      <c r="L238">
        <v>4</v>
      </c>
      <c r="M238">
        <v>5</v>
      </c>
      <c r="N238">
        <f t="shared" si="3"/>
        <v>13</v>
      </c>
      <c r="O238" s="4">
        <v>2.9060000000000001</v>
      </c>
      <c r="P238" s="4">
        <v>0.76</v>
      </c>
      <c r="Q238" s="10">
        <v>19.829999999999998</v>
      </c>
      <c r="R238" s="10">
        <v>2.44</v>
      </c>
    </row>
    <row r="239" spans="1:19" ht="15.6" x14ac:dyDescent="0.3">
      <c r="A239" s="6" t="s">
        <v>178</v>
      </c>
      <c r="B239" t="s">
        <v>118</v>
      </c>
      <c r="C239" t="s">
        <v>25</v>
      </c>
      <c r="D239" t="s">
        <v>22</v>
      </c>
      <c r="E239" s="2">
        <v>45727</v>
      </c>
      <c r="F239" s="1">
        <f>F238 + TIME(0,2,0)</f>
        <v>0.64999999999999969</v>
      </c>
      <c r="G239" s="2">
        <v>45742</v>
      </c>
      <c r="H239" s="1">
        <v>0.49166666666666697</v>
      </c>
      <c r="I239" s="3" t="s">
        <v>179</v>
      </c>
      <c r="J239">
        <v>0</v>
      </c>
      <c r="K239">
        <v>0</v>
      </c>
      <c r="L239">
        <v>0</v>
      </c>
      <c r="M239">
        <v>0</v>
      </c>
      <c r="N239">
        <f t="shared" si="3"/>
        <v>0</v>
      </c>
      <c r="O239" s="4">
        <v>0.36</v>
      </c>
      <c r="P239" s="4">
        <v>3.1E-2</v>
      </c>
      <c r="Q239" s="10">
        <v>0</v>
      </c>
      <c r="R239" s="10">
        <v>0</v>
      </c>
      <c r="S239" t="s">
        <v>204</v>
      </c>
    </row>
    <row r="240" spans="1:19" ht="15.6" x14ac:dyDescent="0.3">
      <c r="A240" s="6" t="s">
        <v>178</v>
      </c>
      <c r="B240" t="s">
        <v>118</v>
      </c>
      <c r="C240" t="s">
        <v>25</v>
      </c>
      <c r="D240" t="s">
        <v>23</v>
      </c>
      <c r="E240" s="2">
        <v>45727</v>
      </c>
      <c r="F240" s="1">
        <f>F239 + TIME(0,2,0)</f>
        <v>0.65138888888888857</v>
      </c>
      <c r="G240" s="2">
        <v>45742</v>
      </c>
      <c r="H240" s="1">
        <v>0.49305555555555602</v>
      </c>
      <c r="I240" s="3" t="s">
        <v>180</v>
      </c>
      <c r="J240" s="7">
        <v>0</v>
      </c>
      <c r="K240" s="7">
        <v>0</v>
      </c>
      <c r="L240" s="7">
        <v>0</v>
      </c>
      <c r="M240" s="7">
        <v>0</v>
      </c>
      <c r="N240">
        <f t="shared" si="3"/>
        <v>0</v>
      </c>
      <c r="O240" s="9">
        <v>0</v>
      </c>
      <c r="P240" s="9">
        <v>0</v>
      </c>
      <c r="Q240" s="10">
        <v>0</v>
      </c>
      <c r="R240" s="10">
        <v>0</v>
      </c>
      <c r="S240" t="s">
        <v>204</v>
      </c>
    </row>
    <row r="241" spans="1:19" ht="15.6" x14ac:dyDescent="0.3">
      <c r="A241" s="6" t="s">
        <v>178</v>
      </c>
      <c r="B241" t="s">
        <v>118</v>
      </c>
      <c r="C241" t="s">
        <v>25</v>
      </c>
      <c r="D241" t="s">
        <v>24</v>
      </c>
      <c r="E241" s="2">
        <v>45727</v>
      </c>
      <c r="F241" s="1">
        <f>F240 + TIME(0,2,0)</f>
        <v>0.65277777777777746</v>
      </c>
      <c r="G241" s="2">
        <v>45742</v>
      </c>
      <c r="H241" s="1">
        <v>0.49652777777777801</v>
      </c>
      <c r="I241" s="3" t="s">
        <v>181</v>
      </c>
      <c r="J241">
        <v>1</v>
      </c>
      <c r="K241">
        <v>0</v>
      </c>
      <c r="L241">
        <v>0</v>
      </c>
      <c r="M241">
        <v>2</v>
      </c>
      <c r="N241">
        <f t="shared" si="3"/>
        <v>3</v>
      </c>
      <c r="O241" s="4">
        <v>0.151</v>
      </c>
      <c r="P241" s="4">
        <v>0.01</v>
      </c>
      <c r="Q241" s="10">
        <v>6.49</v>
      </c>
      <c r="R241" s="10">
        <v>0.59</v>
      </c>
    </row>
    <row r="242" spans="1:19" ht="15.6" x14ac:dyDescent="0.3">
      <c r="A242" s="6" t="s">
        <v>182</v>
      </c>
      <c r="B242" t="s">
        <v>118</v>
      </c>
      <c r="C242" t="s">
        <v>21</v>
      </c>
      <c r="D242" t="s">
        <v>22</v>
      </c>
      <c r="E242" s="2">
        <v>45727</v>
      </c>
      <c r="F242" s="1">
        <v>0.4375</v>
      </c>
      <c r="G242" s="2">
        <v>45743</v>
      </c>
      <c r="H242" s="1">
        <v>0.48958333333333298</v>
      </c>
      <c r="I242" s="3">
        <v>598</v>
      </c>
      <c r="J242">
        <v>1</v>
      </c>
      <c r="K242">
        <v>3</v>
      </c>
      <c r="L242">
        <v>4</v>
      </c>
      <c r="M242">
        <v>5</v>
      </c>
      <c r="N242">
        <f t="shared" si="3"/>
        <v>13</v>
      </c>
      <c r="O242" s="4">
        <v>2.2280000000000002</v>
      </c>
      <c r="P242" s="4">
        <v>0.21199999999999999</v>
      </c>
      <c r="Q242" s="10">
        <v>16.62</v>
      </c>
      <c r="R242" s="10">
        <v>1.3</v>
      </c>
    </row>
    <row r="243" spans="1:19" ht="15.6" x14ac:dyDescent="0.3">
      <c r="A243" s="6" t="s">
        <v>182</v>
      </c>
      <c r="B243" t="s">
        <v>118</v>
      </c>
      <c r="C243" t="s">
        <v>21</v>
      </c>
      <c r="D243" t="s">
        <v>23</v>
      </c>
      <c r="E243" s="2">
        <v>45727</v>
      </c>
      <c r="F243" s="1">
        <f>F242 + TIME(0,2,0)</f>
        <v>0.43888888888888888</v>
      </c>
      <c r="G243" s="2">
        <v>45743</v>
      </c>
      <c r="H243" s="1">
        <v>0.49097222222222198</v>
      </c>
      <c r="I243" s="3">
        <v>29</v>
      </c>
      <c r="J243">
        <v>1</v>
      </c>
      <c r="K243">
        <v>3</v>
      </c>
      <c r="L243">
        <v>4</v>
      </c>
      <c r="M243">
        <v>5</v>
      </c>
      <c r="N243">
        <f t="shared" si="3"/>
        <v>13</v>
      </c>
      <c r="O243" s="4">
        <v>2.1880000000000002</v>
      </c>
      <c r="P243" s="4">
        <v>0.19500000000000001</v>
      </c>
      <c r="Q243" s="10">
        <v>16.88</v>
      </c>
      <c r="R243" s="10">
        <v>1.0900000000000001</v>
      </c>
    </row>
    <row r="244" spans="1:19" ht="15.6" x14ac:dyDescent="0.3">
      <c r="A244" s="6" t="s">
        <v>182</v>
      </c>
      <c r="B244" t="s">
        <v>118</v>
      </c>
      <c r="C244" t="s">
        <v>21</v>
      </c>
      <c r="D244" t="s">
        <v>24</v>
      </c>
      <c r="E244" s="2">
        <v>45727</v>
      </c>
      <c r="F244" s="1">
        <f>F243 + TIME(0,2,0)</f>
        <v>0.44027777777777777</v>
      </c>
      <c r="G244" s="2">
        <v>45743</v>
      </c>
      <c r="H244" s="1">
        <v>0.49236111111111103</v>
      </c>
      <c r="I244" s="3">
        <v>234</v>
      </c>
      <c r="J244">
        <v>1</v>
      </c>
      <c r="K244">
        <v>3</v>
      </c>
      <c r="L244">
        <v>4</v>
      </c>
      <c r="M244">
        <v>5</v>
      </c>
      <c r="N244">
        <f t="shared" si="3"/>
        <v>13</v>
      </c>
      <c r="O244" s="4">
        <v>2.6179999999999999</v>
      </c>
      <c r="P244" s="4">
        <v>0.40500000000000003</v>
      </c>
      <c r="Q244" s="10">
        <v>16.89</v>
      </c>
      <c r="R244" s="10">
        <v>1.44</v>
      </c>
    </row>
    <row r="245" spans="1:19" ht="15.6" x14ac:dyDescent="0.3">
      <c r="A245" s="6" t="s">
        <v>182</v>
      </c>
      <c r="B245" t="s">
        <v>118</v>
      </c>
      <c r="C245" t="s">
        <v>25</v>
      </c>
      <c r="D245" t="s">
        <v>22</v>
      </c>
      <c r="E245" s="2">
        <v>45727</v>
      </c>
      <c r="F245" s="1">
        <f>F244 + TIME(0,2,0)</f>
        <v>0.44166666666666665</v>
      </c>
      <c r="G245" s="2">
        <v>45743</v>
      </c>
      <c r="H245" s="1">
        <v>0.49375000000000002</v>
      </c>
      <c r="I245" s="3" t="s">
        <v>183</v>
      </c>
      <c r="J245">
        <v>1</v>
      </c>
      <c r="K245">
        <v>0</v>
      </c>
      <c r="L245">
        <v>0</v>
      </c>
      <c r="M245">
        <v>4</v>
      </c>
      <c r="N245">
        <f t="shared" si="3"/>
        <v>5</v>
      </c>
      <c r="O245" s="4">
        <v>1.012</v>
      </c>
      <c r="P245" s="4">
        <v>5.3999999999999999E-2</v>
      </c>
      <c r="Q245" s="10">
        <v>9.0299999999999994</v>
      </c>
      <c r="R245" s="10">
        <v>0.85</v>
      </c>
    </row>
    <row r="246" spans="1:19" ht="15.6" x14ac:dyDescent="0.3">
      <c r="A246" s="6" t="s">
        <v>182</v>
      </c>
      <c r="B246" t="s">
        <v>118</v>
      </c>
      <c r="C246" t="s">
        <v>25</v>
      </c>
      <c r="D246" t="s">
        <v>23</v>
      </c>
      <c r="E246" s="2">
        <v>45727</v>
      </c>
      <c r="F246" s="1">
        <f>F245 + TIME(0,2,0)</f>
        <v>0.44305555555555554</v>
      </c>
      <c r="G246" s="2">
        <v>45743</v>
      </c>
      <c r="H246" s="1">
        <v>0.49513888888888902</v>
      </c>
      <c r="I246" s="3" t="s">
        <v>184</v>
      </c>
      <c r="J246" s="7">
        <v>1</v>
      </c>
      <c r="K246" s="7">
        <v>3</v>
      </c>
      <c r="L246" s="7">
        <v>4</v>
      </c>
      <c r="M246" s="7">
        <v>5</v>
      </c>
      <c r="N246">
        <f t="shared" si="3"/>
        <v>13</v>
      </c>
      <c r="O246" s="9">
        <v>2.0110000000000001</v>
      </c>
      <c r="P246" s="9">
        <v>0.13500000000000001</v>
      </c>
      <c r="Q246" s="10">
        <v>19.07</v>
      </c>
      <c r="R246" s="10">
        <v>1.19</v>
      </c>
    </row>
    <row r="247" spans="1:19" ht="15.6" x14ac:dyDescent="0.3">
      <c r="A247" s="6" t="s">
        <v>182</v>
      </c>
      <c r="B247" t="s">
        <v>118</v>
      </c>
      <c r="C247" t="s">
        <v>25</v>
      </c>
      <c r="D247" t="s">
        <v>24</v>
      </c>
      <c r="E247" s="2">
        <v>45727</v>
      </c>
      <c r="F247" s="1">
        <f>F246 + TIME(0,2,0)</f>
        <v>0.44444444444444442</v>
      </c>
      <c r="G247" s="2">
        <v>45743</v>
      </c>
      <c r="H247" s="1">
        <v>0.49652777777777801</v>
      </c>
      <c r="I247" s="3" t="s">
        <v>185</v>
      </c>
      <c r="J247" s="7">
        <v>1</v>
      </c>
      <c r="K247" s="7">
        <v>0</v>
      </c>
      <c r="L247" s="7">
        <v>0</v>
      </c>
      <c r="M247" s="7">
        <v>5</v>
      </c>
      <c r="N247">
        <f t="shared" si="3"/>
        <v>6</v>
      </c>
      <c r="O247" s="9">
        <v>1.452</v>
      </c>
      <c r="P247" s="9">
        <v>0.10199999999999999</v>
      </c>
      <c r="Q247" s="10">
        <v>18.350000000000001</v>
      </c>
      <c r="R247" s="10">
        <v>1.5</v>
      </c>
    </row>
    <row r="248" spans="1:19" ht="15.6" x14ac:dyDescent="0.3">
      <c r="A248" s="6" t="s">
        <v>186</v>
      </c>
      <c r="B248" t="s">
        <v>118</v>
      </c>
      <c r="C248" t="s">
        <v>21</v>
      </c>
      <c r="D248" t="s">
        <v>22</v>
      </c>
      <c r="E248" s="2">
        <v>45727</v>
      </c>
      <c r="F248" s="1">
        <v>0.47916666666666702</v>
      </c>
      <c r="G248" s="2">
        <v>45743</v>
      </c>
      <c r="H248" s="1">
        <v>0.40625</v>
      </c>
      <c r="I248" s="3">
        <v>748</v>
      </c>
      <c r="J248">
        <v>1</v>
      </c>
      <c r="K248">
        <v>3</v>
      </c>
      <c r="L248">
        <v>4</v>
      </c>
      <c r="M248">
        <v>5</v>
      </c>
      <c r="N248">
        <f t="shared" si="3"/>
        <v>13</v>
      </c>
      <c r="O248" s="4">
        <v>2.1549999999999998</v>
      </c>
      <c r="P248" s="4">
        <v>0.16300000000000001</v>
      </c>
      <c r="Q248" s="10">
        <v>17.97</v>
      </c>
      <c r="R248" s="10">
        <v>1.29</v>
      </c>
    </row>
    <row r="249" spans="1:19" ht="15.6" x14ac:dyDescent="0.3">
      <c r="A249" s="6" t="s">
        <v>186</v>
      </c>
      <c r="B249" t="s">
        <v>118</v>
      </c>
      <c r="C249" t="s">
        <v>21</v>
      </c>
      <c r="D249" t="s">
        <v>23</v>
      </c>
      <c r="E249" s="2">
        <v>45727</v>
      </c>
      <c r="F249" s="1">
        <f>F248 + TIME(0,2,0)</f>
        <v>0.4805555555555559</v>
      </c>
      <c r="G249" s="2">
        <v>45743</v>
      </c>
      <c r="H249" s="1">
        <v>0.40763888888888899</v>
      </c>
      <c r="I249" s="3">
        <v>640</v>
      </c>
      <c r="J249">
        <v>1</v>
      </c>
      <c r="K249">
        <v>3</v>
      </c>
      <c r="L249">
        <v>4</v>
      </c>
      <c r="M249">
        <v>5</v>
      </c>
      <c r="N249">
        <f t="shared" si="3"/>
        <v>13</v>
      </c>
      <c r="O249" s="4">
        <v>2.3730000000000002</v>
      </c>
      <c r="P249" s="4">
        <v>0.187</v>
      </c>
      <c r="Q249" s="10">
        <v>15.61</v>
      </c>
      <c r="R249" s="10">
        <v>1.22</v>
      </c>
    </row>
    <row r="250" spans="1:19" ht="15.6" x14ac:dyDescent="0.3">
      <c r="A250" s="6" t="s">
        <v>186</v>
      </c>
      <c r="B250" t="s">
        <v>118</v>
      </c>
      <c r="C250" t="s">
        <v>21</v>
      </c>
      <c r="D250" t="s">
        <v>24</v>
      </c>
      <c r="E250" s="2">
        <v>45727</v>
      </c>
      <c r="F250" s="1">
        <f>F249 + TIME(0,2,0)</f>
        <v>0.48194444444444479</v>
      </c>
      <c r="G250" s="2">
        <v>45743</v>
      </c>
      <c r="H250" s="1">
        <v>0.40902777777777799</v>
      </c>
      <c r="I250" s="3">
        <v>49</v>
      </c>
      <c r="J250">
        <v>1</v>
      </c>
      <c r="K250">
        <v>3</v>
      </c>
      <c r="L250">
        <v>4</v>
      </c>
      <c r="M250">
        <v>5</v>
      </c>
      <c r="N250">
        <f t="shared" si="3"/>
        <v>13</v>
      </c>
      <c r="O250" s="4">
        <v>2.2370000000000001</v>
      </c>
      <c r="P250" s="4">
        <v>0.22600000000000001</v>
      </c>
      <c r="Q250" s="10">
        <v>18.149999999999999</v>
      </c>
      <c r="R250" s="10">
        <v>1.1499999999999999</v>
      </c>
    </row>
    <row r="251" spans="1:19" ht="15.6" x14ac:dyDescent="0.3">
      <c r="A251" s="6" t="s">
        <v>186</v>
      </c>
      <c r="B251" t="s">
        <v>118</v>
      </c>
      <c r="C251" t="s">
        <v>25</v>
      </c>
      <c r="D251" t="s">
        <v>22</v>
      </c>
      <c r="E251" s="2">
        <v>45727</v>
      </c>
      <c r="F251" s="1">
        <f>F250 + TIME(0,2,0)</f>
        <v>0.48333333333333367</v>
      </c>
      <c r="G251" s="2">
        <v>45743</v>
      </c>
      <c r="H251" s="1">
        <v>0.41041666666666698</v>
      </c>
      <c r="I251" s="3" t="s">
        <v>187</v>
      </c>
      <c r="J251">
        <v>1</v>
      </c>
      <c r="K251">
        <v>0</v>
      </c>
      <c r="L251">
        <v>0</v>
      </c>
      <c r="M251">
        <v>0</v>
      </c>
      <c r="N251">
        <f t="shared" si="3"/>
        <v>1</v>
      </c>
      <c r="O251" s="4">
        <v>0.61699999999999999</v>
      </c>
      <c r="P251" s="4">
        <v>3.5999999999999997E-2</v>
      </c>
      <c r="Q251" s="10">
        <v>0</v>
      </c>
      <c r="R251" s="10">
        <v>0</v>
      </c>
      <c r="S251" t="s">
        <v>208</v>
      </c>
    </row>
    <row r="252" spans="1:19" ht="15.6" x14ac:dyDescent="0.3">
      <c r="A252" s="6" t="s">
        <v>186</v>
      </c>
      <c r="B252" t="s">
        <v>118</v>
      </c>
      <c r="C252" t="s">
        <v>25</v>
      </c>
      <c r="D252" t="s">
        <v>23</v>
      </c>
      <c r="E252" s="2">
        <v>45727</v>
      </c>
      <c r="F252" s="1">
        <f>F251 + TIME(0,2,0)</f>
        <v>0.48472222222222255</v>
      </c>
      <c r="G252" s="2">
        <v>45743</v>
      </c>
      <c r="H252" s="1">
        <v>0.41180555555555598</v>
      </c>
      <c r="I252" s="3" t="s">
        <v>188</v>
      </c>
      <c r="J252" s="7">
        <v>1</v>
      </c>
      <c r="K252" s="7">
        <v>3</v>
      </c>
      <c r="L252" s="7">
        <v>3</v>
      </c>
      <c r="M252" s="7">
        <v>5</v>
      </c>
      <c r="N252">
        <f t="shared" si="3"/>
        <v>12</v>
      </c>
      <c r="O252" s="9">
        <v>2.3290000000000002</v>
      </c>
      <c r="P252" s="9">
        <v>0.32</v>
      </c>
      <c r="Q252" s="10">
        <v>17.72</v>
      </c>
      <c r="R252" s="10">
        <v>2.14</v>
      </c>
    </row>
    <row r="253" spans="1:19" ht="15.6" x14ac:dyDescent="0.3">
      <c r="A253" s="6" t="s">
        <v>186</v>
      </c>
      <c r="B253" t="s">
        <v>118</v>
      </c>
      <c r="C253" t="s">
        <v>25</v>
      </c>
      <c r="D253" t="s">
        <v>24</v>
      </c>
      <c r="E253" s="2">
        <v>45727</v>
      </c>
      <c r="F253" s="1">
        <f>F252 + TIME(0,2,0)</f>
        <v>0.48611111111111144</v>
      </c>
      <c r="G253" s="2">
        <v>45743</v>
      </c>
      <c r="H253" s="1">
        <v>0.41319444444444398</v>
      </c>
      <c r="I253" s="3" t="s">
        <v>189</v>
      </c>
      <c r="J253">
        <v>1</v>
      </c>
      <c r="K253">
        <v>0</v>
      </c>
      <c r="L253">
        <v>0</v>
      </c>
      <c r="M253">
        <v>5</v>
      </c>
      <c r="N253">
        <f t="shared" si="3"/>
        <v>6</v>
      </c>
      <c r="O253" s="4">
        <v>1.909</v>
      </c>
      <c r="P253" s="4">
        <v>0.157</v>
      </c>
      <c r="Q253" s="10">
        <v>14.41</v>
      </c>
      <c r="R253" s="10">
        <v>1.05</v>
      </c>
    </row>
    <row r="254" spans="1:19" ht="15.6" x14ac:dyDescent="0.3">
      <c r="A254" s="6" t="s">
        <v>190</v>
      </c>
      <c r="B254" t="s">
        <v>118</v>
      </c>
      <c r="C254" t="s">
        <v>21</v>
      </c>
      <c r="D254" t="s">
        <v>22</v>
      </c>
      <c r="E254" s="2">
        <v>45726</v>
      </c>
      <c r="F254" s="1">
        <v>0.625</v>
      </c>
      <c r="G254" s="2">
        <v>45743</v>
      </c>
      <c r="H254" s="1">
        <v>0.625</v>
      </c>
      <c r="I254" s="3">
        <v>520</v>
      </c>
      <c r="J254">
        <v>1</v>
      </c>
      <c r="K254">
        <v>0</v>
      </c>
      <c r="L254">
        <v>0</v>
      </c>
      <c r="M254">
        <v>1</v>
      </c>
      <c r="N254">
        <f t="shared" si="3"/>
        <v>2</v>
      </c>
      <c r="O254" s="4">
        <v>2.0139999999999998</v>
      </c>
      <c r="P254" s="4">
        <v>0.23</v>
      </c>
      <c r="Q254" s="10">
        <v>4.25</v>
      </c>
      <c r="R254" s="10">
        <v>0.12</v>
      </c>
    </row>
    <row r="255" spans="1:19" ht="15.6" x14ac:dyDescent="0.3">
      <c r="A255" s="6" t="s">
        <v>190</v>
      </c>
      <c r="B255" t="s">
        <v>118</v>
      </c>
      <c r="C255" t="s">
        <v>21</v>
      </c>
      <c r="D255" t="s">
        <v>23</v>
      </c>
      <c r="E255" s="2">
        <v>45726</v>
      </c>
      <c r="F255" s="1">
        <f>F254 + TIME(0,2,0)</f>
        <v>0.62638888888888888</v>
      </c>
      <c r="G255" s="2">
        <v>45743</v>
      </c>
      <c r="H255" s="1">
        <v>0.62708333333333299</v>
      </c>
      <c r="I255" s="3">
        <v>42</v>
      </c>
      <c r="J255">
        <v>1</v>
      </c>
      <c r="K255">
        <v>3</v>
      </c>
      <c r="L255">
        <v>4</v>
      </c>
      <c r="M255">
        <v>5</v>
      </c>
      <c r="N255">
        <f t="shared" si="3"/>
        <v>13</v>
      </c>
      <c r="O255" s="4">
        <v>2.1669999999999998</v>
      </c>
      <c r="P255" s="4">
        <v>0.23100000000000001</v>
      </c>
      <c r="Q255" s="10">
        <v>15.82</v>
      </c>
      <c r="R255" s="10">
        <v>1.27</v>
      </c>
    </row>
    <row r="256" spans="1:19" ht="15.6" x14ac:dyDescent="0.3">
      <c r="A256" s="6" t="s">
        <v>190</v>
      </c>
      <c r="B256" t="s">
        <v>118</v>
      </c>
      <c r="C256" t="s">
        <v>21</v>
      </c>
      <c r="D256" t="s">
        <v>24</v>
      </c>
      <c r="E256" s="2">
        <v>45726</v>
      </c>
      <c r="F256" s="1">
        <f>F255 + TIME(0,2,0)</f>
        <v>0.62777777777777777</v>
      </c>
      <c r="G256" s="2">
        <v>45743</v>
      </c>
      <c r="H256" s="1">
        <v>0.62847222222222199</v>
      </c>
      <c r="I256" s="3">
        <v>227</v>
      </c>
      <c r="J256">
        <v>1</v>
      </c>
      <c r="K256">
        <v>3</v>
      </c>
      <c r="L256">
        <v>4</v>
      </c>
      <c r="M256">
        <v>5</v>
      </c>
      <c r="N256">
        <f t="shared" si="3"/>
        <v>13</v>
      </c>
      <c r="O256" s="4">
        <v>2.569</v>
      </c>
      <c r="P256" s="4">
        <v>0.29099999999999998</v>
      </c>
      <c r="Q256" s="10">
        <v>20.9</v>
      </c>
      <c r="R256" s="10">
        <v>1.79</v>
      </c>
    </row>
    <row r="257" spans="1:18" ht="15.6" x14ac:dyDescent="0.3">
      <c r="A257" s="6" t="s">
        <v>190</v>
      </c>
      <c r="B257" t="s">
        <v>118</v>
      </c>
      <c r="C257" t="s">
        <v>25</v>
      </c>
      <c r="D257" t="s">
        <v>22</v>
      </c>
      <c r="E257" s="2">
        <v>45726</v>
      </c>
      <c r="F257" s="1">
        <f>F256 + TIME(0,2,0)</f>
        <v>0.62916666666666665</v>
      </c>
      <c r="G257" s="2">
        <v>45743</v>
      </c>
      <c r="H257" s="1">
        <v>0.62916666666666698</v>
      </c>
      <c r="I257" s="3" t="s">
        <v>191</v>
      </c>
      <c r="J257">
        <v>1</v>
      </c>
      <c r="K257">
        <v>0</v>
      </c>
      <c r="L257">
        <v>0</v>
      </c>
      <c r="M257">
        <v>5</v>
      </c>
      <c r="N257">
        <f t="shared" si="3"/>
        <v>6</v>
      </c>
      <c r="O257" s="4">
        <v>1.1950000000000001</v>
      </c>
      <c r="P257" s="4">
        <v>9.9000000000000005E-2</v>
      </c>
      <c r="Q257" s="10">
        <v>11.85</v>
      </c>
      <c r="R257" s="10">
        <v>1.29</v>
      </c>
    </row>
    <row r="258" spans="1:18" ht="15.6" x14ac:dyDescent="0.3">
      <c r="A258" s="6" t="s">
        <v>190</v>
      </c>
      <c r="B258" t="s">
        <v>118</v>
      </c>
      <c r="C258" t="s">
        <v>25</v>
      </c>
      <c r="D258" t="s">
        <v>23</v>
      </c>
      <c r="E258" s="2">
        <v>45726</v>
      </c>
      <c r="F258" s="1">
        <f>F257 + TIME(0,2,0)</f>
        <v>0.63055555555555554</v>
      </c>
      <c r="G258" s="2">
        <v>45743</v>
      </c>
      <c r="H258" s="1">
        <v>0.63194444444444398</v>
      </c>
      <c r="I258" s="3" t="s">
        <v>192</v>
      </c>
      <c r="J258">
        <v>1</v>
      </c>
      <c r="K258">
        <v>3</v>
      </c>
      <c r="L258">
        <v>2</v>
      </c>
      <c r="M258">
        <v>5</v>
      </c>
      <c r="N258">
        <f t="shared" ref="N258:N265" si="4">SUM(J258:M258)</f>
        <v>11</v>
      </c>
      <c r="O258" s="4">
        <v>2.0649999999999999</v>
      </c>
      <c r="P258" s="4">
        <v>0.313</v>
      </c>
      <c r="Q258" s="10">
        <v>13.91</v>
      </c>
      <c r="R258" s="10">
        <v>1.17</v>
      </c>
    </row>
    <row r="259" spans="1:18" ht="15.6" x14ac:dyDescent="0.3">
      <c r="A259" s="6" t="s">
        <v>190</v>
      </c>
      <c r="B259" t="s">
        <v>118</v>
      </c>
      <c r="C259" t="s">
        <v>25</v>
      </c>
      <c r="D259" t="s">
        <v>24</v>
      </c>
      <c r="E259" s="2">
        <v>45726</v>
      </c>
      <c r="F259" s="1">
        <f>F258 + TIME(0,2,0)</f>
        <v>0.63194444444444442</v>
      </c>
      <c r="G259" s="2">
        <v>45743</v>
      </c>
      <c r="H259" s="1">
        <v>0.63541666666666696</v>
      </c>
      <c r="I259" s="3" t="s">
        <v>193</v>
      </c>
      <c r="J259">
        <v>1</v>
      </c>
      <c r="K259">
        <v>3</v>
      </c>
      <c r="L259">
        <v>4</v>
      </c>
      <c r="M259">
        <v>5</v>
      </c>
      <c r="N259">
        <f t="shared" si="4"/>
        <v>13</v>
      </c>
      <c r="O259" s="4">
        <v>1.3879999999999999</v>
      </c>
      <c r="P259" s="4">
        <v>0.16400000000000001</v>
      </c>
      <c r="Q259" s="10">
        <v>16.190000000000001</v>
      </c>
      <c r="R259" s="10">
        <v>1.39</v>
      </c>
    </row>
    <row r="260" spans="1:18" ht="15.6" x14ac:dyDescent="0.3">
      <c r="A260" s="6" t="s">
        <v>194</v>
      </c>
      <c r="B260" t="s">
        <v>118</v>
      </c>
      <c r="C260" t="s">
        <v>21</v>
      </c>
      <c r="D260" t="s">
        <v>22</v>
      </c>
      <c r="E260" s="2">
        <v>45726</v>
      </c>
      <c r="F260" s="1">
        <v>0.66666666666666696</v>
      </c>
      <c r="G260" s="2">
        <v>45741</v>
      </c>
      <c r="H260" s="1">
        <v>0.71875</v>
      </c>
      <c r="I260" s="3">
        <v>202</v>
      </c>
      <c r="J260">
        <v>1</v>
      </c>
      <c r="K260">
        <v>3</v>
      </c>
      <c r="L260">
        <v>4</v>
      </c>
      <c r="M260">
        <v>5</v>
      </c>
      <c r="N260">
        <f t="shared" si="4"/>
        <v>13</v>
      </c>
      <c r="O260" s="4">
        <v>2.3860000000000001</v>
      </c>
      <c r="P260" s="4">
        <v>0.27600000000000002</v>
      </c>
      <c r="Q260" s="10">
        <v>18.55</v>
      </c>
      <c r="R260" s="10">
        <v>1.84</v>
      </c>
    </row>
    <row r="261" spans="1:18" ht="15.6" x14ac:dyDescent="0.3">
      <c r="A261" s="6" t="s">
        <v>194</v>
      </c>
      <c r="B261" t="s">
        <v>118</v>
      </c>
      <c r="C261" t="s">
        <v>21</v>
      </c>
      <c r="D261" t="s">
        <v>23</v>
      </c>
      <c r="E261" s="2">
        <v>45726</v>
      </c>
      <c r="F261" s="1">
        <f>F260 + TIME(0,2,0)</f>
        <v>0.66805555555555585</v>
      </c>
      <c r="G261" s="2">
        <v>45741</v>
      </c>
      <c r="H261" s="1">
        <v>0.719444444444444</v>
      </c>
      <c r="I261" s="3">
        <v>141</v>
      </c>
      <c r="J261">
        <v>1</v>
      </c>
      <c r="K261">
        <v>3</v>
      </c>
      <c r="L261">
        <v>4</v>
      </c>
      <c r="M261">
        <v>5</v>
      </c>
      <c r="N261">
        <f t="shared" si="4"/>
        <v>13</v>
      </c>
      <c r="O261" s="4">
        <v>2.5270000000000001</v>
      </c>
      <c r="P261" s="4">
        <v>0.23799999999999999</v>
      </c>
      <c r="Q261" s="10">
        <v>15.12</v>
      </c>
      <c r="R261" s="10">
        <v>1.68</v>
      </c>
    </row>
    <row r="262" spans="1:18" ht="15.6" x14ac:dyDescent="0.3">
      <c r="A262" s="6" t="s">
        <v>194</v>
      </c>
      <c r="B262" t="s">
        <v>118</v>
      </c>
      <c r="C262" t="s">
        <v>21</v>
      </c>
      <c r="D262" t="s">
        <v>24</v>
      </c>
      <c r="E262" s="2">
        <v>45726</v>
      </c>
      <c r="F262" s="1">
        <f>F261 + TIME(0,2,0)</f>
        <v>0.66944444444444473</v>
      </c>
      <c r="G262" s="2">
        <v>45741</v>
      </c>
      <c r="H262" s="1">
        <v>0.72083333333333299</v>
      </c>
      <c r="I262" s="3">
        <v>80</v>
      </c>
      <c r="J262">
        <v>1</v>
      </c>
      <c r="K262">
        <v>3</v>
      </c>
      <c r="L262">
        <v>4</v>
      </c>
      <c r="M262">
        <v>5</v>
      </c>
      <c r="N262">
        <f t="shared" si="4"/>
        <v>13</v>
      </c>
      <c r="O262" s="4">
        <v>2.3809999999999998</v>
      </c>
      <c r="P262" s="4">
        <v>0.31</v>
      </c>
      <c r="Q262" s="10">
        <v>17.84</v>
      </c>
      <c r="R262" s="10">
        <v>1.65</v>
      </c>
    </row>
    <row r="263" spans="1:18" ht="15.6" x14ac:dyDescent="0.3">
      <c r="A263" s="6" t="s">
        <v>194</v>
      </c>
      <c r="B263" t="s">
        <v>118</v>
      </c>
      <c r="C263" t="s">
        <v>25</v>
      </c>
      <c r="D263" t="s">
        <v>22</v>
      </c>
      <c r="E263" s="2">
        <v>45726</v>
      </c>
      <c r="F263" s="1">
        <f>F262 + TIME(0,2,0)</f>
        <v>0.67083333333333361</v>
      </c>
      <c r="G263" s="2">
        <v>45741</v>
      </c>
      <c r="H263" s="1">
        <v>0.72222222222222199</v>
      </c>
      <c r="I263" s="3" t="s">
        <v>195</v>
      </c>
      <c r="J263">
        <v>1</v>
      </c>
      <c r="K263">
        <v>3</v>
      </c>
      <c r="L263">
        <v>4</v>
      </c>
      <c r="M263">
        <v>5</v>
      </c>
      <c r="N263">
        <f t="shared" si="4"/>
        <v>13</v>
      </c>
      <c r="O263" s="4">
        <v>1.3320000000000001</v>
      </c>
      <c r="P263" s="4">
        <v>0.15</v>
      </c>
      <c r="Q263" s="10">
        <v>16.64</v>
      </c>
      <c r="R263" s="10">
        <v>1.55</v>
      </c>
    </row>
    <row r="264" spans="1:18" ht="15.6" x14ac:dyDescent="0.3">
      <c r="A264" s="6" t="s">
        <v>194</v>
      </c>
      <c r="B264" t="s">
        <v>118</v>
      </c>
      <c r="C264" t="s">
        <v>25</v>
      </c>
      <c r="D264" t="s">
        <v>23</v>
      </c>
      <c r="E264" s="2">
        <v>45726</v>
      </c>
      <c r="F264" s="1">
        <f>F263 + TIME(0,2,0)</f>
        <v>0.6722222222222225</v>
      </c>
      <c r="G264" s="2">
        <v>45741</v>
      </c>
      <c r="H264" s="1">
        <v>0.72361111111111098</v>
      </c>
      <c r="I264" s="3" t="s">
        <v>196</v>
      </c>
      <c r="J264">
        <v>1</v>
      </c>
      <c r="K264">
        <v>3</v>
      </c>
      <c r="L264">
        <v>4</v>
      </c>
      <c r="M264">
        <v>5</v>
      </c>
      <c r="N264">
        <f t="shared" si="4"/>
        <v>13</v>
      </c>
      <c r="O264" s="4">
        <v>1.875</v>
      </c>
      <c r="P264" s="4">
        <v>0.21199999999999999</v>
      </c>
      <c r="Q264" s="10">
        <v>15.89</v>
      </c>
      <c r="R264" s="10">
        <v>1.57</v>
      </c>
    </row>
    <row r="265" spans="1:18" ht="15.6" x14ac:dyDescent="0.3">
      <c r="A265" s="6" t="s">
        <v>194</v>
      </c>
      <c r="B265" t="s">
        <v>118</v>
      </c>
      <c r="C265" t="s">
        <v>25</v>
      </c>
      <c r="D265" t="s">
        <v>24</v>
      </c>
      <c r="E265" s="2">
        <v>45726</v>
      </c>
      <c r="F265" s="1">
        <f>F264 + TIME(0,2,0)</f>
        <v>0.67361111111111138</v>
      </c>
      <c r="G265" s="2">
        <v>45741</v>
      </c>
      <c r="H265" s="1">
        <v>0.72569444444444398</v>
      </c>
      <c r="I265" s="3" t="s">
        <v>197</v>
      </c>
      <c r="J265">
        <v>1</v>
      </c>
      <c r="K265">
        <v>3</v>
      </c>
      <c r="L265">
        <v>4</v>
      </c>
      <c r="M265">
        <v>5</v>
      </c>
      <c r="N265">
        <f t="shared" si="4"/>
        <v>13</v>
      </c>
      <c r="O265" s="4">
        <v>1.98</v>
      </c>
      <c r="P265" s="4">
        <v>0.247</v>
      </c>
      <c r="Q265" s="10">
        <v>19.38</v>
      </c>
      <c r="R265" s="10">
        <v>2.36</v>
      </c>
    </row>
    <row r="266" spans="1:18" x14ac:dyDescent="0.3">
      <c r="Q266" s="9"/>
      <c r="R266" s="9"/>
    </row>
  </sheetData>
  <pageMargins left="0.7" right="0.7" top="0.78749999999999998" bottom="0.78749999999999998" header="0.511811023622047" footer="0.511811023622047"/>
  <pageSetup paperSize="9" orientation="portrait" horizontalDpi="300" verticalDpi="300" r:id="rId1"/>
  <ignoredErrors>
    <ignoredError sqref="N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Verena</dc:creator>
  <dc:description/>
  <cp:lastModifiedBy>Stephen Agube</cp:lastModifiedBy>
  <cp:revision>17</cp:revision>
  <dcterms:created xsi:type="dcterms:W3CDTF">2025-03-10T06:31:28Z</dcterms:created>
  <dcterms:modified xsi:type="dcterms:W3CDTF">2025-07-04T19:42:47Z</dcterms:modified>
  <dc:language>en-GB</dc:language>
</cp:coreProperties>
</file>