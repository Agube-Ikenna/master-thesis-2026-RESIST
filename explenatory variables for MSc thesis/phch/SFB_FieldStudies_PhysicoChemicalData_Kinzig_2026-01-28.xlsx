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aten\3 RESIST\9 sciebo\b_Environmental Data\Physico-chemical Data\"/>
    </mc:Choice>
  </mc:AlternateContent>
  <xr:revisionPtr revIDLastSave="0" documentId="13_ncr:1_{BDA58B97-A436-4B20-A007-1803D4974B30}" xr6:coauthVersionLast="47" xr6:coauthVersionMax="47" xr10:uidLastSave="{00000000-0000-0000-0000-000000000000}"/>
  <bookViews>
    <workbookView xWindow="-120" yWindow="-120" windowWidth="29040" windowHeight="18240" activeTab="4" xr2:uid="{00000000-000D-0000-FFFF-FFFF00000000}"/>
  </bookViews>
  <sheets>
    <sheet name="field | once a year" sheetId="8" r:id="rId1"/>
    <sheet name="field | bi-weekly" sheetId="9" r:id="rId2"/>
    <sheet name="lab | bi-weekly" sheetId="5" r:id="rId3"/>
    <sheet name="lab | once a month" sheetId="6" r:id="rId4"/>
    <sheet name="#dates#" sheetId="11" r:id="rId5"/>
  </sheets>
  <definedNames>
    <definedName name="_xlnm._FilterDatabase" localSheetId="4" hidden="1">'#dates#'!#REF!</definedName>
    <definedName name="_xlnm._FilterDatabase" localSheetId="1" hidden="1">'field | bi-weekly'!$A$3:$P$1944</definedName>
    <definedName name="_xlnm._FilterDatabase" localSheetId="2" hidden="1">'lab | bi-weekly'!$A$3:$N$2129</definedName>
    <definedName name="_xlnm._FilterDatabase" localSheetId="3" hidden="1">'lab | once a month'!$A$3:$R$1088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" i="9" l="1"/>
  <c r="J3" i="9"/>
  <c r="H3" i="9"/>
  <c r="G3" i="9"/>
  <c r="E3" i="9"/>
  <c r="C2259" i="9" l="1"/>
  <c r="C2258" i="9"/>
  <c r="C2257" i="9"/>
  <c r="C2256" i="9"/>
  <c r="C2255" i="9"/>
  <c r="C2254" i="9"/>
  <c r="C2253" i="9"/>
  <c r="C2252" i="9"/>
  <c r="C2251" i="9"/>
  <c r="C2250" i="9"/>
  <c r="C2249" i="9"/>
  <c r="C2248" i="9"/>
  <c r="C2247" i="9"/>
  <c r="C2246" i="9"/>
  <c r="C2245" i="9"/>
  <c r="C2244" i="9"/>
  <c r="C2243" i="9"/>
  <c r="C2242" i="9"/>
  <c r="C2241" i="9"/>
  <c r="C2240" i="9"/>
  <c r="C2239" i="9"/>
  <c r="C2219" i="9"/>
  <c r="C2220" i="9"/>
  <c r="C2221" i="9"/>
  <c r="C2222" i="9"/>
  <c r="C2223" i="9"/>
  <c r="C2224" i="9"/>
  <c r="C2225" i="9"/>
  <c r="C2226" i="9"/>
  <c r="C2227" i="9"/>
  <c r="C2228" i="9"/>
  <c r="C2229" i="9"/>
  <c r="C2230" i="9"/>
  <c r="C2231" i="9"/>
  <c r="C2232" i="9"/>
  <c r="C2233" i="9"/>
  <c r="C2234" i="9"/>
  <c r="C2235" i="9"/>
  <c r="C2236" i="9"/>
  <c r="C2237" i="9"/>
  <c r="C2238" i="9"/>
  <c r="C2198" i="9"/>
  <c r="C2199" i="9"/>
  <c r="C2200" i="9"/>
  <c r="C2201" i="9"/>
  <c r="C2202" i="9"/>
  <c r="C2203" i="9"/>
  <c r="C2204" i="9"/>
  <c r="C2205" i="9"/>
  <c r="C2206" i="9"/>
  <c r="C2207" i="9"/>
  <c r="C2208" i="9"/>
  <c r="C2209" i="9"/>
  <c r="C2210" i="9"/>
  <c r="C2211" i="9"/>
  <c r="C2212" i="9"/>
  <c r="C2213" i="9"/>
  <c r="C2214" i="9"/>
  <c r="C2215" i="9"/>
  <c r="C2216" i="9"/>
  <c r="C2217" i="9"/>
  <c r="C2177" i="9"/>
  <c r="C2178" i="9"/>
  <c r="C2179" i="9"/>
  <c r="C2180" i="9"/>
  <c r="C2181" i="9"/>
  <c r="C2182" i="9"/>
  <c r="C2183" i="9"/>
  <c r="C2184" i="9"/>
  <c r="C2185" i="9"/>
  <c r="C2186" i="9"/>
  <c r="C2187" i="9"/>
  <c r="C2188" i="9"/>
  <c r="C2189" i="9"/>
  <c r="C2190" i="9"/>
  <c r="C2191" i="9"/>
  <c r="C2192" i="9"/>
  <c r="C2193" i="9"/>
  <c r="C2194" i="9"/>
  <c r="C2195" i="9"/>
  <c r="C2196" i="9"/>
  <c r="C2156" i="9"/>
  <c r="C2157" i="9"/>
  <c r="C2158" i="9"/>
  <c r="C2159" i="9"/>
  <c r="C2160" i="9"/>
  <c r="C2161" i="9"/>
  <c r="C2162" i="9"/>
  <c r="C2163" i="9"/>
  <c r="C2164" i="9"/>
  <c r="C2165" i="9"/>
  <c r="C2166" i="9"/>
  <c r="C2167" i="9"/>
  <c r="C2168" i="9"/>
  <c r="C2169" i="9"/>
  <c r="C2170" i="9"/>
  <c r="C2171" i="9"/>
  <c r="C2172" i="9"/>
  <c r="C2173" i="9"/>
  <c r="C2174" i="9"/>
  <c r="C2175" i="9"/>
  <c r="C2135" i="9"/>
  <c r="C2136" i="9"/>
  <c r="C2137" i="9"/>
  <c r="C2138" i="9"/>
  <c r="C2139" i="9"/>
  <c r="C2140" i="9"/>
  <c r="C2141" i="9"/>
  <c r="C2142" i="9"/>
  <c r="C2143" i="9"/>
  <c r="C2144" i="9"/>
  <c r="C2145" i="9"/>
  <c r="C2146" i="9"/>
  <c r="C2147" i="9"/>
  <c r="C2148" i="9"/>
  <c r="C2149" i="9"/>
  <c r="C2150" i="9"/>
  <c r="C2151" i="9"/>
  <c r="C2152" i="9"/>
  <c r="C2153" i="9"/>
  <c r="C2154" i="9"/>
  <c r="C2114" i="9"/>
  <c r="C2115" i="9"/>
  <c r="C2116" i="9"/>
  <c r="C2117" i="9"/>
  <c r="C2118" i="9"/>
  <c r="C2119" i="9"/>
  <c r="C2120" i="9"/>
  <c r="C2121" i="9"/>
  <c r="C2122" i="9"/>
  <c r="C2123" i="9"/>
  <c r="C2124" i="9"/>
  <c r="C2125" i="9"/>
  <c r="C2126" i="9"/>
  <c r="C2127" i="9"/>
  <c r="C2128" i="9"/>
  <c r="C2129" i="9"/>
  <c r="C2130" i="9"/>
  <c r="C2131" i="9"/>
  <c r="C2132" i="9"/>
  <c r="C2133" i="9"/>
  <c r="C2093" i="9"/>
  <c r="C2094" i="9"/>
  <c r="C2095" i="9"/>
  <c r="C2096" i="9"/>
  <c r="C2097" i="9"/>
  <c r="C2098" i="9"/>
  <c r="C2099" i="9"/>
  <c r="C2100" i="9"/>
  <c r="C2101" i="9"/>
  <c r="C2102" i="9"/>
  <c r="C2103" i="9"/>
  <c r="C2104" i="9"/>
  <c r="C2105" i="9"/>
  <c r="C2106" i="9"/>
  <c r="C2107" i="9"/>
  <c r="C2108" i="9"/>
  <c r="C2109" i="9"/>
  <c r="C2110" i="9"/>
  <c r="C2111" i="9"/>
  <c r="C2112" i="9"/>
  <c r="C2072" i="9"/>
  <c r="C2073" i="9"/>
  <c r="C2074" i="9"/>
  <c r="C2075" i="9"/>
  <c r="C2076" i="9"/>
  <c r="C2077" i="9"/>
  <c r="C2078" i="9"/>
  <c r="C2079" i="9"/>
  <c r="C2080" i="9"/>
  <c r="C2081" i="9"/>
  <c r="C2082" i="9"/>
  <c r="C2083" i="9"/>
  <c r="C2084" i="9"/>
  <c r="C2085" i="9"/>
  <c r="C2086" i="9"/>
  <c r="C2087" i="9"/>
  <c r="C2088" i="9"/>
  <c r="C2089" i="9"/>
  <c r="C2090" i="9"/>
  <c r="C2091" i="9"/>
  <c r="C2051" i="9"/>
  <c r="C2052" i="9"/>
  <c r="C2053" i="9"/>
  <c r="C2054" i="9"/>
  <c r="C2055" i="9"/>
  <c r="C2056" i="9"/>
  <c r="C2057" i="9"/>
  <c r="C2058" i="9"/>
  <c r="C2059" i="9"/>
  <c r="C2060" i="9"/>
  <c r="C2061" i="9"/>
  <c r="C2062" i="9"/>
  <c r="C2063" i="9"/>
  <c r="C2064" i="9"/>
  <c r="C2065" i="9"/>
  <c r="C2066" i="9"/>
  <c r="C2067" i="9"/>
  <c r="C2068" i="9"/>
  <c r="C2069" i="9"/>
  <c r="C2070" i="9"/>
  <c r="C2030" i="9"/>
  <c r="C2031" i="9"/>
  <c r="C2032" i="9"/>
  <c r="C2033" i="9"/>
  <c r="C2034" i="9"/>
  <c r="C2035" i="9"/>
  <c r="C2036" i="9"/>
  <c r="C2037" i="9"/>
  <c r="C2038" i="9"/>
  <c r="C2039" i="9"/>
  <c r="C2040" i="9"/>
  <c r="C2041" i="9"/>
  <c r="C2042" i="9"/>
  <c r="C2043" i="9"/>
  <c r="C2044" i="9"/>
  <c r="C2045" i="9"/>
  <c r="C2046" i="9"/>
  <c r="C2047" i="9"/>
  <c r="C2048" i="9"/>
  <c r="C2049" i="9"/>
  <c r="C2009" i="9"/>
  <c r="C2010" i="9"/>
  <c r="C2011" i="9"/>
  <c r="C2012" i="9"/>
  <c r="C2013" i="9"/>
  <c r="C2014" i="9"/>
  <c r="C2015" i="9"/>
  <c r="C2016" i="9"/>
  <c r="C2017" i="9"/>
  <c r="C2018" i="9"/>
  <c r="C2019" i="9"/>
  <c r="C2020" i="9"/>
  <c r="C2021" i="9"/>
  <c r="C2022" i="9"/>
  <c r="C2023" i="9"/>
  <c r="C2024" i="9"/>
  <c r="C2025" i="9"/>
  <c r="C2026" i="9"/>
  <c r="C2027" i="9"/>
  <c r="C2028" i="9"/>
  <c r="C1988" i="9"/>
  <c r="C1989" i="9"/>
  <c r="C1990" i="9"/>
  <c r="C1991" i="9"/>
  <c r="C1992" i="9"/>
  <c r="C1993" i="9"/>
  <c r="C1994" i="9"/>
  <c r="C1995" i="9"/>
  <c r="C1996" i="9"/>
  <c r="C1997" i="9"/>
  <c r="C1998" i="9"/>
  <c r="C1999" i="9"/>
  <c r="C2000" i="9"/>
  <c r="C2001" i="9"/>
  <c r="C2002" i="9"/>
  <c r="C2003" i="9"/>
  <c r="C2004" i="9"/>
  <c r="C2005" i="9"/>
  <c r="C2006" i="9"/>
  <c r="C2007" i="9"/>
  <c r="C2218" i="9"/>
  <c r="C2197" i="9"/>
  <c r="C2176" i="9"/>
  <c r="C2155" i="9"/>
  <c r="C2134" i="9"/>
  <c r="C2113" i="9"/>
  <c r="C2092" i="9"/>
  <c r="C2071" i="9"/>
  <c r="C2050" i="9"/>
  <c r="C2029" i="9"/>
  <c r="C2008" i="9"/>
  <c r="C1987" i="9"/>
  <c r="C1986" i="9"/>
  <c r="C1985" i="9"/>
  <c r="C1984" i="9"/>
  <c r="C1983" i="9"/>
  <c r="C1982" i="9"/>
  <c r="C1981" i="9"/>
  <c r="C1980" i="9"/>
  <c r="C1979" i="9"/>
  <c r="C1978" i="9"/>
  <c r="C1977" i="9"/>
  <c r="C1976" i="9"/>
  <c r="C1975" i="9"/>
  <c r="C1974" i="9"/>
  <c r="C1973" i="9"/>
  <c r="C1972" i="9"/>
  <c r="C1971" i="9"/>
  <c r="C1970" i="9"/>
  <c r="C1969" i="9"/>
  <c r="C1968" i="9"/>
  <c r="C1967" i="9"/>
  <c r="C1966" i="9"/>
  <c r="C1965" i="9"/>
  <c r="C1964" i="9"/>
  <c r="C1963" i="9"/>
  <c r="C1962" i="9"/>
  <c r="C1961" i="9"/>
  <c r="C1960" i="9"/>
  <c r="C1959" i="9"/>
  <c r="C1958" i="9"/>
  <c r="C1957" i="9"/>
  <c r="C1956" i="9"/>
  <c r="C1955" i="9"/>
  <c r="C1954" i="9"/>
  <c r="C1953" i="9"/>
  <c r="C1952" i="9"/>
  <c r="C1951" i="9"/>
  <c r="C1950" i="9"/>
  <c r="C1949" i="9"/>
  <c r="C1948" i="9"/>
  <c r="C1947" i="9"/>
  <c r="C1946" i="9"/>
  <c r="C1945" i="9"/>
  <c r="C1944" i="9"/>
  <c r="C1943" i="9"/>
  <c r="C1942" i="9"/>
  <c r="C1941" i="9"/>
  <c r="C1940" i="9"/>
  <c r="C1939" i="9"/>
  <c r="C1938" i="9"/>
  <c r="C1937" i="9"/>
  <c r="C1936" i="9"/>
  <c r="C1935" i="9"/>
  <c r="C1934" i="9"/>
  <c r="C1933" i="9"/>
  <c r="C1932" i="9"/>
  <c r="C1931" i="9"/>
  <c r="C1930" i="9"/>
  <c r="C1929" i="9"/>
  <c r="C1928" i="9"/>
  <c r="C1927" i="9"/>
  <c r="C1926" i="9"/>
  <c r="C1925" i="9"/>
  <c r="C1924" i="9"/>
  <c r="L3" i="5"/>
  <c r="H3" i="5"/>
  <c r="D2108" i="5"/>
  <c r="K3" i="5"/>
  <c r="G3" i="5"/>
  <c r="D1970" i="5"/>
  <c r="D1971" i="5"/>
  <c r="D1972" i="5"/>
  <c r="D1973" i="5"/>
  <c r="D1975" i="5"/>
  <c r="D1976" i="5"/>
  <c r="D1977" i="5"/>
  <c r="D1978" i="5"/>
  <c r="D1980" i="5"/>
  <c r="D1982" i="5"/>
  <c r="D1983" i="5"/>
  <c r="D1985" i="5"/>
  <c r="D1986" i="5"/>
  <c r="D1987" i="5"/>
  <c r="D1988" i="5"/>
  <c r="D1989" i="5"/>
  <c r="D1949" i="5"/>
  <c r="D1950" i="5"/>
  <c r="D1951" i="5"/>
  <c r="D1953" i="5"/>
  <c r="D1954" i="5"/>
  <c r="D1955" i="5"/>
  <c r="D1956" i="5"/>
  <c r="D1957" i="5"/>
  <c r="D1959" i="5"/>
  <c r="D1960" i="5"/>
  <c r="D1962" i="5"/>
  <c r="D1964" i="5"/>
  <c r="D1965" i="5"/>
  <c r="D1966" i="5"/>
  <c r="D1967" i="5"/>
  <c r="D1969" i="5"/>
  <c r="D1947" i="5"/>
  <c r="D1945" i="5"/>
  <c r="D1946" i="5"/>
  <c r="D1080" i="6"/>
  <c r="C1080" i="6"/>
  <c r="D1059" i="6"/>
  <c r="C1059" i="6"/>
  <c r="D1038" i="6"/>
  <c r="C1038" i="6"/>
  <c r="D1017" i="6"/>
  <c r="C1017" i="6"/>
  <c r="D996" i="6"/>
  <c r="C996" i="6"/>
  <c r="D968" i="6"/>
  <c r="D948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1" i="6"/>
  <c r="C1082" i="6"/>
  <c r="C1083" i="6"/>
  <c r="C1084" i="6"/>
  <c r="C1085" i="6"/>
  <c r="C1086" i="6"/>
  <c r="C1087" i="6"/>
  <c r="C1088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7" i="6"/>
  <c r="C998" i="6"/>
  <c r="C999" i="6"/>
  <c r="C1000" i="6"/>
  <c r="C1001" i="6"/>
  <c r="C1002" i="6"/>
  <c r="C944" i="6"/>
  <c r="J3" i="5"/>
  <c r="I3" i="5"/>
  <c r="F3" i="5"/>
  <c r="E3" i="5"/>
  <c r="D1948" i="5"/>
  <c r="D1961" i="5"/>
  <c r="D1981" i="5"/>
  <c r="D1993" i="5"/>
  <c r="D1997" i="5"/>
  <c r="D2001" i="5"/>
  <c r="D2005" i="5"/>
  <c r="D2009" i="5"/>
  <c r="D2013" i="5"/>
  <c r="D2017" i="5"/>
  <c r="D2020" i="5"/>
  <c r="D2021" i="5"/>
  <c r="D2024" i="5"/>
  <c r="D2025" i="5"/>
  <c r="D2028" i="5"/>
  <c r="D2029" i="5"/>
  <c r="D2032" i="5"/>
  <c r="D2033" i="5"/>
  <c r="D2036" i="5"/>
  <c r="D2037" i="5"/>
  <c r="D2040" i="5"/>
  <c r="D2041" i="5"/>
  <c r="D2044" i="5"/>
  <c r="D2045" i="5"/>
  <c r="D2048" i="5"/>
  <c r="D2049" i="5"/>
  <c r="D2052" i="5"/>
  <c r="D2053" i="5"/>
  <c r="D2056" i="5"/>
  <c r="D2057" i="5"/>
  <c r="D2060" i="5"/>
  <c r="D2061" i="5"/>
  <c r="D2064" i="5"/>
  <c r="D2065" i="5"/>
  <c r="D2068" i="5"/>
  <c r="D2069" i="5"/>
  <c r="D2072" i="5"/>
  <c r="D2073" i="5"/>
  <c r="D2076" i="5"/>
  <c r="D2077" i="5"/>
  <c r="D2080" i="5"/>
  <c r="D2081" i="5"/>
  <c r="D2084" i="5"/>
  <c r="D2085" i="5"/>
  <c r="D2088" i="5"/>
  <c r="D2089" i="5"/>
  <c r="D2092" i="5"/>
  <c r="D2093" i="5"/>
  <c r="D2096" i="5"/>
  <c r="D2097" i="5"/>
  <c r="D2100" i="5"/>
  <c r="D2101" i="5"/>
  <c r="D2103" i="5"/>
  <c r="D2104" i="5"/>
  <c r="D2105" i="5"/>
  <c r="D2107" i="5"/>
  <c r="D1952" i="5"/>
  <c r="D1958" i="5"/>
  <c r="D1963" i="5"/>
  <c r="D1968" i="5"/>
  <c r="D1974" i="5"/>
  <c r="D1979" i="5"/>
  <c r="D1984" i="5"/>
  <c r="D1990" i="5"/>
  <c r="D1991" i="5"/>
  <c r="D1992" i="5"/>
  <c r="D1994" i="5"/>
  <c r="D1995" i="5"/>
  <c r="D1996" i="5"/>
  <c r="D1998" i="5"/>
  <c r="D1999" i="5"/>
  <c r="D2000" i="5"/>
  <c r="D2002" i="5"/>
  <c r="D2003" i="5"/>
  <c r="D2004" i="5"/>
  <c r="D2006" i="5"/>
  <c r="D2007" i="5"/>
  <c r="D2008" i="5"/>
  <c r="D2010" i="5"/>
  <c r="D2011" i="5"/>
  <c r="D2012" i="5"/>
  <c r="D2014" i="5"/>
  <c r="D2015" i="5"/>
  <c r="D2016" i="5"/>
  <c r="D2018" i="5"/>
  <c r="D2019" i="5"/>
  <c r="D2022" i="5"/>
  <c r="D2023" i="5"/>
  <c r="D2026" i="5"/>
  <c r="D2027" i="5"/>
  <c r="D2030" i="5"/>
  <c r="D2031" i="5"/>
  <c r="D2034" i="5"/>
  <c r="D2035" i="5"/>
  <c r="D2038" i="5"/>
  <c r="D2039" i="5"/>
  <c r="D2042" i="5"/>
  <c r="D2043" i="5"/>
  <c r="D2046" i="5"/>
  <c r="D2047" i="5"/>
  <c r="D2050" i="5"/>
  <c r="D2051" i="5"/>
  <c r="D2054" i="5"/>
  <c r="D2055" i="5"/>
  <c r="D2058" i="5"/>
  <c r="D2059" i="5"/>
  <c r="D2062" i="5"/>
  <c r="D2063" i="5"/>
  <c r="D2066" i="5"/>
  <c r="D2067" i="5"/>
  <c r="D2070" i="5"/>
  <c r="D2071" i="5"/>
  <c r="D2074" i="5"/>
  <c r="D2075" i="5"/>
  <c r="D2078" i="5"/>
  <c r="D2079" i="5"/>
  <c r="D2082" i="5"/>
  <c r="D2083" i="5"/>
  <c r="D2086" i="5"/>
  <c r="D2087" i="5"/>
  <c r="D2090" i="5"/>
  <c r="D2091" i="5"/>
  <c r="D2094" i="5"/>
  <c r="D2095" i="5"/>
  <c r="D2098" i="5"/>
  <c r="D2099" i="5"/>
  <c r="D2102" i="5"/>
  <c r="D2106" i="5"/>
  <c r="C2121" i="5"/>
  <c r="C2100" i="5"/>
  <c r="C2079" i="5"/>
  <c r="C2058" i="5"/>
  <c r="C2037" i="5"/>
  <c r="C2016" i="5"/>
  <c r="C1944" i="5"/>
  <c r="C1945" i="5"/>
  <c r="C1946" i="5"/>
  <c r="C1947" i="5"/>
  <c r="C1948" i="5"/>
  <c r="C1949" i="5"/>
  <c r="C1950" i="5"/>
  <c r="C1951" i="5"/>
  <c r="C1952" i="5"/>
  <c r="C1953" i="5"/>
  <c r="C1954" i="5"/>
  <c r="C1955" i="5"/>
  <c r="C1956" i="5"/>
  <c r="C1957" i="5"/>
  <c r="C1958" i="5"/>
  <c r="C1959" i="5"/>
  <c r="C1960" i="5"/>
  <c r="C1961" i="5"/>
  <c r="C1962" i="5"/>
  <c r="C1963" i="5"/>
  <c r="C1964" i="5"/>
  <c r="C1965" i="5"/>
  <c r="C1966" i="5"/>
  <c r="C1967" i="5"/>
  <c r="C1968" i="5"/>
  <c r="C1969" i="5"/>
  <c r="C1970" i="5"/>
  <c r="C1971" i="5"/>
  <c r="C1972" i="5"/>
  <c r="C1973" i="5"/>
  <c r="C1974" i="5"/>
  <c r="C1975" i="5"/>
  <c r="C1976" i="5"/>
  <c r="C1977" i="5"/>
  <c r="C1978" i="5"/>
  <c r="C1979" i="5"/>
  <c r="C1980" i="5"/>
  <c r="C1981" i="5"/>
  <c r="C1982" i="5"/>
  <c r="C1983" i="5"/>
  <c r="C1984" i="5"/>
  <c r="C1985" i="5"/>
  <c r="C1986" i="5"/>
  <c r="C1987" i="5"/>
  <c r="C1988" i="5"/>
  <c r="C1989" i="5"/>
  <c r="C1990" i="5"/>
  <c r="C1991" i="5"/>
  <c r="C1992" i="5"/>
  <c r="C1993" i="5"/>
  <c r="C1994" i="5"/>
  <c r="C1995" i="5"/>
  <c r="C1996" i="5"/>
  <c r="C1997" i="5"/>
  <c r="C1998" i="5"/>
  <c r="C1999" i="5"/>
  <c r="C2000" i="5"/>
  <c r="C2001" i="5"/>
  <c r="C2002" i="5"/>
  <c r="C2003" i="5"/>
  <c r="C2004" i="5"/>
  <c r="C2005" i="5"/>
  <c r="C2006" i="5"/>
  <c r="C2007" i="5"/>
  <c r="C2008" i="5"/>
  <c r="C2009" i="5"/>
  <c r="C2010" i="5"/>
  <c r="C2011" i="5"/>
  <c r="C2012" i="5"/>
  <c r="C2013" i="5"/>
  <c r="C2014" i="5"/>
  <c r="C2015" i="5"/>
  <c r="C2017" i="5"/>
  <c r="C2018" i="5"/>
  <c r="C2019" i="5"/>
  <c r="C2020" i="5"/>
  <c r="C2021" i="5"/>
  <c r="C2022" i="5"/>
  <c r="C2023" i="5"/>
  <c r="C2024" i="5"/>
  <c r="C2025" i="5"/>
  <c r="C2026" i="5"/>
  <c r="C2027" i="5"/>
  <c r="C2028" i="5"/>
  <c r="C2029" i="5"/>
  <c r="C2030" i="5"/>
  <c r="C2031" i="5"/>
  <c r="C2032" i="5"/>
  <c r="C2033" i="5"/>
  <c r="C2034" i="5"/>
  <c r="C2035" i="5"/>
  <c r="C2036" i="5"/>
  <c r="C2038" i="5"/>
  <c r="C2039" i="5"/>
  <c r="C2040" i="5"/>
  <c r="C2041" i="5"/>
  <c r="C2042" i="5"/>
  <c r="C2043" i="5"/>
  <c r="C2044" i="5"/>
  <c r="C2045" i="5"/>
  <c r="C2046" i="5"/>
  <c r="C2047" i="5"/>
  <c r="C2048" i="5"/>
  <c r="C2049" i="5"/>
  <c r="C2050" i="5"/>
  <c r="C2051" i="5"/>
  <c r="C2052" i="5"/>
  <c r="C2053" i="5"/>
  <c r="C2054" i="5"/>
  <c r="C2055" i="5"/>
  <c r="C2056" i="5"/>
  <c r="C2057" i="5"/>
  <c r="C2059" i="5"/>
  <c r="C2060" i="5"/>
  <c r="C2061" i="5"/>
  <c r="C2062" i="5"/>
  <c r="C2063" i="5"/>
  <c r="C2064" i="5"/>
  <c r="C2065" i="5"/>
  <c r="C2066" i="5"/>
  <c r="C2067" i="5"/>
  <c r="C2068" i="5"/>
  <c r="C2069" i="5"/>
  <c r="C2070" i="5"/>
  <c r="C2071" i="5"/>
  <c r="C2072" i="5"/>
  <c r="C2073" i="5"/>
  <c r="C2074" i="5"/>
  <c r="C2075" i="5"/>
  <c r="C2076" i="5"/>
  <c r="C2077" i="5"/>
  <c r="C2078" i="5"/>
  <c r="C2080" i="5"/>
  <c r="C2081" i="5"/>
  <c r="C2082" i="5"/>
  <c r="C2083" i="5"/>
  <c r="C2084" i="5"/>
  <c r="C2085" i="5"/>
  <c r="C2086" i="5"/>
  <c r="C2087" i="5"/>
  <c r="C2088" i="5"/>
  <c r="C2089" i="5"/>
  <c r="C2090" i="5"/>
  <c r="C2091" i="5"/>
  <c r="C2092" i="5"/>
  <c r="C2093" i="5"/>
  <c r="C2094" i="5"/>
  <c r="C2095" i="5"/>
  <c r="C2096" i="5"/>
  <c r="C2097" i="5"/>
  <c r="C2098" i="5"/>
  <c r="C2099" i="5"/>
  <c r="C2101" i="5"/>
  <c r="C2102" i="5"/>
  <c r="C2103" i="5"/>
  <c r="C2104" i="5"/>
  <c r="C2105" i="5"/>
  <c r="C2106" i="5"/>
  <c r="C2107" i="5"/>
  <c r="C2108" i="5"/>
  <c r="C2109" i="5"/>
  <c r="C2110" i="5"/>
  <c r="C2111" i="5"/>
  <c r="C2112" i="5"/>
  <c r="C2113" i="5"/>
  <c r="C2114" i="5"/>
  <c r="C2115" i="5"/>
  <c r="C2116" i="5"/>
  <c r="C2117" i="5"/>
  <c r="C2118" i="5"/>
  <c r="C2119" i="5"/>
  <c r="C2120" i="5"/>
  <c r="C2122" i="5"/>
  <c r="C2123" i="5"/>
  <c r="C2124" i="5"/>
  <c r="C2125" i="5"/>
  <c r="C2126" i="5"/>
  <c r="C2127" i="5"/>
  <c r="C2128" i="5"/>
  <c r="C2129" i="5"/>
  <c r="D1942" i="9" l="1"/>
  <c r="D1940" i="9"/>
  <c r="J3" i="6"/>
  <c r="D2110" i="5"/>
  <c r="D2126" i="5"/>
  <c r="D2128" i="5"/>
  <c r="D2124" i="5"/>
  <c r="D2121" i="5"/>
  <c r="D2119" i="5"/>
  <c r="D2115" i="5"/>
  <c r="D2111" i="5"/>
  <c r="D2127" i="5"/>
  <c r="D2123" i="5"/>
  <c r="D2118" i="5"/>
  <c r="D2114" i="5"/>
  <c r="D1944" i="5"/>
  <c r="D1745" i="5"/>
  <c r="D1746" i="5"/>
  <c r="D1747" i="5"/>
  <c r="D1751" i="5"/>
  <c r="D1754" i="5"/>
  <c r="D1758" i="5"/>
  <c r="D1761" i="5"/>
  <c r="D1762" i="5"/>
  <c r="D1770" i="5"/>
  <c r="D1774" i="5"/>
  <c r="D1778" i="5"/>
  <c r="D1786" i="5"/>
  <c r="D1790" i="5"/>
  <c r="D1794" i="5"/>
  <c r="D1802" i="5"/>
  <c r="D1806" i="5"/>
  <c r="D1810" i="5"/>
  <c r="D1818" i="5"/>
  <c r="D1822" i="5"/>
  <c r="D1826" i="5"/>
  <c r="D1834" i="5"/>
  <c r="D1836" i="5"/>
  <c r="D1838" i="5"/>
  <c r="D1842" i="5"/>
  <c r="D1850" i="5"/>
  <c r="D1854" i="5"/>
  <c r="D1858" i="5"/>
  <c r="D1866" i="5"/>
  <c r="D1870" i="5"/>
  <c r="D1874" i="5"/>
  <c r="D1880" i="5"/>
  <c r="D1882" i="5"/>
  <c r="D1886" i="5"/>
  <c r="D1890" i="5"/>
  <c r="D1898" i="5"/>
  <c r="D1902" i="5"/>
  <c r="D1906" i="5"/>
  <c r="D1910" i="5"/>
  <c r="D1913" i="5"/>
  <c r="D1914" i="5"/>
  <c r="D1917" i="5"/>
  <c r="D1918" i="5"/>
  <c r="D1921" i="5"/>
  <c r="D1922" i="5"/>
  <c r="D1926" i="5"/>
  <c r="D1929" i="5"/>
  <c r="D1930" i="5"/>
  <c r="D1934" i="5"/>
  <c r="D1935" i="5"/>
  <c r="D1937" i="5"/>
  <c r="D1938" i="5"/>
  <c r="D1942" i="5"/>
  <c r="D1750" i="5"/>
  <c r="D1766" i="5"/>
  <c r="D1782" i="5"/>
  <c r="D1798" i="5"/>
  <c r="D1814" i="5"/>
  <c r="D1830" i="5"/>
  <c r="D1846" i="5"/>
  <c r="D1862" i="5"/>
  <c r="D1878" i="5"/>
  <c r="D1894" i="5"/>
  <c r="D1909" i="5"/>
  <c r="D1925" i="5"/>
  <c r="D1933" i="5"/>
  <c r="D1941" i="5"/>
  <c r="C1744" i="5"/>
  <c r="C1745" i="5"/>
  <c r="C1746" i="5"/>
  <c r="C1747" i="5"/>
  <c r="C1748" i="5"/>
  <c r="C1749" i="5"/>
  <c r="C1750" i="5"/>
  <c r="C1751" i="5"/>
  <c r="C1752" i="5"/>
  <c r="C1753" i="5"/>
  <c r="C1754" i="5"/>
  <c r="C1755" i="5"/>
  <c r="C1756" i="5"/>
  <c r="C1757" i="5"/>
  <c r="C1758" i="5"/>
  <c r="C1759" i="5"/>
  <c r="C1760" i="5"/>
  <c r="C1761" i="5"/>
  <c r="C1762" i="5"/>
  <c r="C1763" i="5"/>
  <c r="C1764" i="5"/>
  <c r="C1765" i="5"/>
  <c r="C1766" i="5"/>
  <c r="C1767" i="5"/>
  <c r="C1768" i="5"/>
  <c r="C1769" i="5"/>
  <c r="C1770" i="5"/>
  <c r="C1771" i="5"/>
  <c r="C1772" i="5"/>
  <c r="C1773" i="5"/>
  <c r="C1774" i="5"/>
  <c r="C1775" i="5"/>
  <c r="C1776" i="5"/>
  <c r="C1777" i="5"/>
  <c r="C1778" i="5"/>
  <c r="C1779" i="5"/>
  <c r="C1780" i="5"/>
  <c r="C1781" i="5"/>
  <c r="C1782" i="5"/>
  <c r="C1783" i="5"/>
  <c r="C1784" i="5"/>
  <c r="C1785" i="5"/>
  <c r="C1786" i="5"/>
  <c r="C1787" i="5"/>
  <c r="C1788" i="5"/>
  <c r="C1789" i="5"/>
  <c r="C1790" i="5"/>
  <c r="C1791" i="5"/>
  <c r="C1792" i="5"/>
  <c r="C1793" i="5"/>
  <c r="C1794" i="5"/>
  <c r="C1795" i="5"/>
  <c r="C1796" i="5"/>
  <c r="C1797" i="5"/>
  <c r="C1798" i="5"/>
  <c r="C1799" i="5"/>
  <c r="C1800" i="5"/>
  <c r="C1801" i="5"/>
  <c r="C1802" i="5"/>
  <c r="C1803" i="5"/>
  <c r="C1804" i="5"/>
  <c r="C1805" i="5"/>
  <c r="C1806" i="5"/>
  <c r="C1807" i="5"/>
  <c r="C1808" i="5"/>
  <c r="C1809" i="5"/>
  <c r="C1810" i="5"/>
  <c r="C1811" i="5"/>
  <c r="C1812" i="5"/>
  <c r="C1813" i="5"/>
  <c r="C1814" i="5"/>
  <c r="C1815" i="5"/>
  <c r="C1816" i="5"/>
  <c r="C1817" i="5"/>
  <c r="C1818" i="5"/>
  <c r="C1819" i="5"/>
  <c r="C1820" i="5"/>
  <c r="C1821" i="5"/>
  <c r="C1822" i="5"/>
  <c r="C1823" i="5"/>
  <c r="C1824" i="5"/>
  <c r="C1825" i="5"/>
  <c r="C1826" i="5"/>
  <c r="C1827" i="5"/>
  <c r="C1828" i="5"/>
  <c r="C1829" i="5"/>
  <c r="C1830" i="5"/>
  <c r="C1831" i="5"/>
  <c r="C1832" i="5"/>
  <c r="C1833" i="5"/>
  <c r="C1834" i="5"/>
  <c r="C1835" i="5"/>
  <c r="C1836" i="5"/>
  <c r="C1837" i="5"/>
  <c r="C1838" i="5"/>
  <c r="C1839" i="5"/>
  <c r="C1840" i="5"/>
  <c r="C1841" i="5"/>
  <c r="C1842" i="5"/>
  <c r="C1843" i="5"/>
  <c r="C1844" i="5"/>
  <c r="C1845" i="5"/>
  <c r="C1846" i="5"/>
  <c r="C1847" i="5"/>
  <c r="C1848" i="5"/>
  <c r="C1849" i="5"/>
  <c r="C1850" i="5"/>
  <c r="C1851" i="5"/>
  <c r="C1852" i="5"/>
  <c r="C1853" i="5"/>
  <c r="C1854" i="5"/>
  <c r="C1855" i="5"/>
  <c r="C1856" i="5"/>
  <c r="C1857" i="5"/>
  <c r="C1858" i="5"/>
  <c r="C1859" i="5"/>
  <c r="C1860" i="5"/>
  <c r="C1861" i="5"/>
  <c r="C1862" i="5"/>
  <c r="C1863" i="5"/>
  <c r="C1864" i="5"/>
  <c r="C1865" i="5"/>
  <c r="C1866" i="5"/>
  <c r="C1867" i="5"/>
  <c r="C1868" i="5"/>
  <c r="C1869" i="5"/>
  <c r="C1870" i="5"/>
  <c r="C1871" i="5"/>
  <c r="C1872" i="5"/>
  <c r="C1873" i="5"/>
  <c r="C1874" i="5"/>
  <c r="C1875" i="5"/>
  <c r="C1876" i="5"/>
  <c r="C1877" i="5"/>
  <c r="C1878" i="5"/>
  <c r="C1879" i="5"/>
  <c r="C1880" i="5"/>
  <c r="C1881" i="5"/>
  <c r="C1882" i="5"/>
  <c r="C1883" i="5"/>
  <c r="C1884" i="5"/>
  <c r="C1885" i="5"/>
  <c r="C1886" i="5"/>
  <c r="C1887" i="5"/>
  <c r="C1888" i="5"/>
  <c r="C1889" i="5"/>
  <c r="C1890" i="5"/>
  <c r="C1891" i="5"/>
  <c r="C1892" i="5"/>
  <c r="C1893" i="5"/>
  <c r="C1894" i="5"/>
  <c r="C1895" i="5"/>
  <c r="C1896" i="5"/>
  <c r="C1897" i="5"/>
  <c r="C1898" i="5"/>
  <c r="C1899" i="5"/>
  <c r="C1900" i="5"/>
  <c r="C1901" i="5"/>
  <c r="C1902" i="5"/>
  <c r="C1903" i="5"/>
  <c r="C1904" i="5"/>
  <c r="C1905" i="5"/>
  <c r="C1906" i="5"/>
  <c r="C1907" i="5"/>
  <c r="C1908" i="5"/>
  <c r="C1909" i="5"/>
  <c r="C1910" i="5"/>
  <c r="C1911" i="5"/>
  <c r="C1912" i="5"/>
  <c r="C1913" i="5"/>
  <c r="C1914" i="5"/>
  <c r="C1915" i="5"/>
  <c r="C1916" i="5"/>
  <c r="C1917" i="5"/>
  <c r="C1918" i="5"/>
  <c r="C1919" i="5"/>
  <c r="C1920" i="5"/>
  <c r="C1921" i="5"/>
  <c r="C1922" i="5"/>
  <c r="C1923" i="5"/>
  <c r="C1924" i="5"/>
  <c r="C1925" i="5"/>
  <c r="C1926" i="5"/>
  <c r="C1927" i="5"/>
  <c r="C1928" i="5"/>
  <c r="C1929" i="5"/>
  <c r="C1930" i="5"/>
  <c r="C1931" i="5"/>
  <c r="C1932" i="5"/>
  <c r="C1933" i="5"/>
  <c r="C1934" i="5"/>
  <c r="C1935" i="5"/>
  <c r="C1936" i="5"/>
  <c r="C1937" i="5"/>
  <c r="C1938" i="5"/>
  <c r="C1939" i="5"/>
  <c r="C1940" i="5"/>
  <c r="C1941" i="5"/>
  <c r="C1942" i="5"/>
  <c r="C1943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C1071" i="5"/>
  <c r="C1072" i="5"/>
  <c r="C1073" i="5"/>
  <c r="C1074" i="5"/>
  <c r="C1075" i="5"/>
  <c r="C1076" i="5"/>
  <c r="C1077" i="5"/>
  <c r="C1078" i="5"/>
  <c r="C1079" i="5"/>
  <c r="C1080" i="5"/>
  <c r="C1081" i="5"/>
  <c r="C1082" i="5"/>
  <c r="C1083" i="5"/>
  <c r="C1084" i="5"/>
  <c r="C1085" i="5"/>
  <c r="C1086" i="5"/>
  <c r="C1087" i="5"/>
  <c r="C1088" i="5"/>
  <c r="C1089" i="5"/>
  <c r="C1090" i="5"/>
  <c r="C1091" i="5"/>
  <c r="C1092" i="5"/>
  <c r="C1093" i="5"/>
  <c r="C1094" i="5"/>
  <c r="C1095" i="5"/>
  <c r="C1096" i="5"/>
  <c r="C1097" i="5"/>
  <c r="C1098" i="5"/>
  <c r="C1099" i="5"/>
  <c r="C1100" i="5"/>
  <c r="C1101" i="5"/>
  <c r="C1102" i="5"/>
  <c r="C1103" i="5"/>
  <c r="C1104" i="5"/>
  <c r="C1105" i="5"/>
  <c r="C1106" i="5"/>
  <c r="C1107" i="5"/>
  <c r="C1108" i="5"/>
  <c r="C1109" i="5"/>
  <c r="C1110" i="5"/>
  <c r="C1111" i="5"/>
  <c r="C1112" i="5"/>
  <c r="C1113" i="5"/>
  <c r="C1114" i="5"/>
  <c r="C1115" i="5"/>
  <c r="C1116" i="5"/>
  <c r="C1117" i="5"/>
  <c r="C1118" i="5"/>
  <c r="C1119" i="5"/>
  <c r="C1120" i="5"/>
  <c r="C1121" i="5"/>
  <c r="C1122" i="5"/>
  <c r="C1123" i="5"/>
  <c r="C1124" i="5"/>
  <c r="C1125" i="5"/>
  <c r="C1126" i="5"/>
  <c r="C1127" i="5"/>
  <c r="C1128" i="5"/>
  <c r="C1129" i="5"/>
  <c r="C1130" i="5"/>
  <c r="C1131" i="5"/>
  <c r="C1132" i="5"/>
  <c r="C1133" i="5"/>
  <c r="C1134" i="5"/>
  <c r="C1135" i="5"/>
  <c r="C1136" i="5"/>
  <c r="C1137" i="5"/>
  <c r="C1138" i="5"/>
  <c r="C1139" i="5"/>
  <c r="C1140" i="5"/>
  <c r="C1141" i="5"/>
  <c r="C1142" i="5"/>
  <c r="C1143" i="5"/>
  <c r="C1144" i="5"/>
  <c r="C1145" i="5"/>
  <c r="C1146" i="5"/>
  <c r="C1147" i="5"/>
  <c r="C1148" i="5"/>
  <c r="C1149" i="5"/>
  <c r="C1150" i="5"/>
  <c r="C1151" i="5"/>
  <c r="C1152" i="5"/>
  <c r="C1153" i="5"/>
  <c r="C1154" i="5"/>
  <c r="C1155" i="5"/>
  <c r="C1156" i="5"/>
  <c r="C1157" i="5"/>
  <c r="C1158" i="5"/>
  <c r="C1159" i="5"/>
  <c r="C1160" i="5"/>
  <c r="C1161" i="5"/>
  <c r="C1162" i="5"/>
  <c r="C1163" i="5"/>
  <c r="C1164" i="5"/>
  <c r="C1165" i="5"/>
  <c r="C1166" i="5"/>
  <c r="C1167" i="5"/>
  <c r="C1168" i="5"/>
  <c r="C1169" i="5"/>
  <c r="C1170" i="5"/>
  <c r="C1171" i="5"/>
  <c r="C1172" i="5"/>
  <c r="C1173" i="5"/>
  <c r="C1174" i="5"/>
  <c r="C1175" i="5"/>
  <c r="C1176" i="5"/>
  <c r="C1177" i="5"/>
  <c r="C1178" i="5"/>
  <c r="C1179" i="5"/>
  <c r="C1180" i="5"/>
  <c r="C1181" i="5"/>
  <c r="C1182" i="5"/>
  <c r="C1183" i="5"/>
  <c r="C1184" i="5"/>
  <c r="C1185" i="5"/>
  <c r="C1186" i="5"/>
  <c r="C1187" i="5"/>
  <c r="C1188" i="5"/>
  <c r="C1189" i="5"/>
  <c r="C1190" i="5"/>
  <c r="C1191" i="5"/>
  <c r="C1192" i="5"/>
  <c r="C1193" i="5"/>
  <c r="C1194" i="5"/>
  <c r="C1195" i="5"/>
  <c r="C1196" i="5"/>
  <c r="C1197" i="5"/>
  <c r="C1198" i="5"/>
  <c r="C1199" i="5"/>
  <c r="C1200" i="5"/>
  <c r="C1201" i="5"/>
  <c r="C1202" i="5"/>
  <c r="C1203" i="5"/>
  <c r="C1204" i="5"/>
  <c r="C1205" i="5"/>
  <c r="C1206" i="5"/>
  <c r="C1207" i="5"/>
  <c r="C1208" i="5"/>
  <c r="C1209" i="5"/>
  <c r="C1210" i="5"/>
  <c r="C1211" i="5"/>
  <c r="C1212" i="5"/>
  <c r="C1213" i="5"/>
  <c r="C1214" i="5"/>
  <c r="C1215" i="5"/>
  <c r="C1216" i="5"/>
  <c r="C1217" i="5"/>
  <c r="C1218" i="5"/>
  <c r="C1219" i="5"/>
  <c r="C1220" i="5"/>
  <c r="C1221" i="5"/>
  <c r="C1222" i="5"/>
  <c r="C1223" i="5"/>
  <c r="C1224" i="5"/>
  <c r="C1225" i="5"/>
  <c r="C1226" i="5"/>
  <c r="C1227" i="5"/>
  <c r="C1228" i="5"/>
  <c r="C1229" i="5"/>
  <c r="C1230" i="5"/>
  <c r="C1231" i="5"/>
  <c r="C1232" i="5"/>
  <c r="C1233" i="5"/>
  <c r="C1234" i="5"/>
  <c r="C1235" i="5"/>
  <c r="C1236" i="5"/>
  <c r="C1237" i="5"/>
  <c r="C1238" i="5"/>
  <c r="C1239" i="5"/>
  <c r="C1240" i="5"/>
  <c r="C1241" i="5"/>
  <c r="C1242" i="5"/>
  <c r="C1243" i="5"/>
  <c r="C1244" i="5"/>
  <c r="C1245" i="5"/>
  <c r="C1246" i="5"/>
  <c r="C1247" i="5"/>
  <c r="C1248" i="5"/>
  <c r="C1249" i="5"/>
  <c r="C1250" i="5"/>
  <c r="C1251" i="5"/>
  <c r="C1252" i="5"/>
  <c r="C1253" i="5"/>
  <c r="C1254" i="5"/>
  <c r="C1255" i="5"/>
  <c r="C1256" i="5"/>
  <c r="C1257" i="5"/>
  <c r="C1258" i="5"/>
  <c r="C1259" i="5"/>
  <c r="C1260" i="5"/>
  <c r="C1261" i="5"/>
  <c r="C1262" i="5"/>
  <c r="C1263" i="5"/>
  <c r="C1264" i="5"/>
  <c r="C1265" i="5"/>
  <c r="C1266" i="5"/>
  <c r="C1267" i="5"/>
  <c r="C1268" i="5"/>
  <c r="C1269" i="5"/>
  <c r="C1270" i="5"/>
  <c r="C1271" i="5"/>
  <c r="C1272" i="5"/>
  <c r="C1273" i="5"/>
  <c r="C1274" i="5"/>
  <c r="C1275" i="5"/>
  <c r="C1276" i="5"/>
  <c r="C1277" i="5"/>
  <c r="C1278" i="5"/>
  <c r="C1279" i="5"/>
  <c r="C1280" i="5"/>
  <c r="C1281" i="5"/>
  <c r="C1282" i="5"/>
  <c r="C1283" i="5"/>
  <c r="C1284" i="5"/>
  <c r="C1285" i="5"/>
  <c r="C1286" i="5"/>
  <c r="C1287" i="5"/>
  <c r="C1288" i="5"/>
  <c r="C1289" i="5"/>
  <c r="C1290" i="5"/>
  <c r="C1291" i="5"/>
  <c r="C1292" i="5"/>
  <c r="C1293" i="5"/>
  <c r="C1294" i="5"/>
  <c r="C1295" i="5"/>
  <c r="C1296" i="5"/>
  <c r="C1297" i="5"/>
  <c r="C1298" i="5"/>
  <c r="C1299" i="5"/>
  <c r="C1300" i="5"/>
  <c r="C1301" i="5"/>
  <c r="C1302" i="5"/>
  <c r="C1303" i="5"/>
  <c r="C1304" i="5"/>
  <c r="C1305" i="5"/>
  <c r="C1306" i="5"/>
  <c r="C1307" i="5"/>
  <c r="C1308" i="5"/>
  <c r="C1309" i="5"/>
  <c r="C1310" i="5"/>
  <c r="C1311" i="5"/>
  <c r="C1312" i="5"/>
  <c r="C1313" i="5"/>
  <c r="C1314" i="5"/>
  <c r="C1315" i="5"/>
  <c r="C1316" i="5"/>
  <c r="C1317" i="5"/>
  <c r="C1318" i="5"/>
  <c r="C1319" i="5"/>
  <c r="C1320" i="5"/>
  <c r="C1321" i="5"/>
  <c r="C1322" i="5"/>
  <c r="C1323" i="5"/>
  <c r="C1324" i="5"/>
  <c r="C1325" i="5"/>
  <c r="C1326" i="5"/>
  <c r="C1327" i="5"/>
  <c r="C1328" i="5"/>
  <c r="C1329" i="5"/>
  <c r="C1330" i="5"/>
  <c r="C1331" i="5"/>
  <c r="C1332" i="5"/>
  <c r="C1333" i="5"/>
  <c r="C1334" i="5"/>
  <c r="C1335" i="5"/>
  <c r="C1336" i="5"/>
  <c r="C1337" i="5"/>
  <c r="C1338" i="5"/>
  <c r="C1339" i="5"/>
  <c r="C1340" i="5"/>
  <c r="C1341" i="5"/>
  <c r="C1342" i="5"/>
  <c r="C1343" i="5"/>
  <c r="C1344" i="5"/>
  <c r="C1345" i="5"/>
  <c r="C1346" i="5"/>
  <c r="C1347" i="5"/>
  <c r="C1348" i="5"/>
  <c r="C1349" i="5"/>
  <c r="C1350" i="5"/>
  <c r="C1351" i="5"/>
  <c r="C1352" i="5"/>
  <c r="C1353" i="5"/>
  <c r="C1354" i="5"/>
  <c r="C1355" i="5"/>
  <c r="C1356" i="5"/>
  <c r="C1357" i="5"/>
  <c r="C1358" i="5"/>
  <c r="C1359" i="5"/>
  <c r="C1360" i="5"/>
  <c r="C1361" i="5"/>
  <c r="C1362" i="5"/>
  <c r="C1363" i="5"/>
  <c r="C1364" i="5"/>
  <c r="C1365" i="5"/>
  <c r="C1366" i="5"/>
  <c r="C1367" i="5"/>
  <c r="C1368" i="5"/>
  <c r="C1369" i="5"/>
  <c r="C1370" i="5"/>
  <c r="C1371" i="5"/>
  <c r="C1372" i="5"/>
  <c r="C1373" i="5"/>
  <c r="C1374" i="5"/>
  <c r="C1375" i="5"/>
  <c r="C1376" i="5"/>
  <c r="C1377" i="5"/>
  <c r="C1378" i="5"/>
  <c r="C1379" i="5"/>
  <c r="C1380" i="5"/>
  <c r="C1381" i="5"/>
  <c r="C1382" i="5"/>
  <c r="C1383" i="5"/>
  <c r="C1384" i="5"/>
  <c r="C1385" i="5"/>
  <c r="C1386" i="5"/>
  <c r="C1387" i="5"/>
  <c r="C1388" i="5"/>
  <c r="C1389" i="5"/>
  <c r="C1390" i="5"/>
  <c r="C1391" i="5"/>
  <c r="C1392" i="5"/>
  <c r="C1393" i="5"/>
  <c r="C1394" i="5"/>
  <c r="C1395" i="5"/>
  <c r="C1396" i="5"/>
  <c r="C1397" i="5"/>
  <c r="C1398" i="5"/>
  <c r="C1399" i="5"/>
  <c r="C1400" i="5"/>
  <c r="C1401" i="5"/>
  <c r="C1402" i="5"/>
  <c r="C1403" i="5"/>
  <c r="C1404" i="5"/>
  <c r="C1405" i="5"/>
  <c r="C1406" i="5"/>
  <c r="C1407" i="5"/>
  <c r="C1408" i="5"/>
  <c r="C1409" i="5"/>
  <c r="C1410" i="5"/>
  <c r="C1411" i="5"/>
  <c r="C1412" i="5"/>
  <c r="C1413" i="5"/>
  <c r="C1414" i="5"/>
  <c r="C1415" i="5"/>
  <c r="C1416" i="5"/>
  <c r="C1417" i="5"/>
  <c r="C1418" i="5"/>
  <c r="C1419" i="5"/>
  <c r="C1420" i="5"/>
  <c r="C1421" i="5"/>
  <c r="C1422" i="5"/>
  <c r="C1423" i="5"/>
  <c r="C1424" i="5"/>
  <c r="C1425" i="5"/>
  <c r="C1426" i="5"/>
  <c r="C1427" i="5"/>
  <c r="C1428" i="5"/>
  <c r="C1429" i="5"/>
  <c r="C1430" i="5"/>
  <c r="C1431" i="5"/>
  <c r="C1432" i="5"/>
  <c r="C1433" i="5"/>
  <c r="C1434" i="5"/>
  <c r="C1435" i="5"/>
  <c r="C1436" i="5"/>
  <c r="C1437" i="5"/>
  <c r="C1438" i="5"/>
  <c r="C1439" i="5"/>
  <c r="C1440" i="5"/>
  <c r="C1441" i="5"/>
  <c r="C1442" i="5"/>
  <c r="C1443" i="5"/>
  <c r="C1444" i="5"/>
  <c r="C1445" i="5"/>
  <c r="C1446" i="5"/>
  <c r="C1447" i="5"/>
  <c r="C1448" i="5"/>
  <c r="C1449" i="5"/>
  <c r="C1450" i="5"/>
  <c r="C1451" i="5"/>
  <c r="C1452" i="5"/>
  <c r="C1453" i="5"/>
  <c r="C1454" i="5"/>
  <c r="C1455" i="5"/>
  <c r="C1456" i="5"/>
  <c r="C1457" i="5"/>
  <c r="C1458" i="5"/>
  <c r="C1459" i="5"/>
  <c r="C1460" i="5"/>
  <c r="C1461" i="5"/>
  <c r="C1462" i="5"/>
  <c r="C1463" i="5"/>
  <c r="C1464" i="5"/>
  <c r="C1465" i="5"/>
  <c r="C1466" i="5"/>
  <c r="C1467" i="5"/>
  <c r="C1468" i="5"/>
  <c r="C1469" i="5"/>
  <c r="C1470" i="5"/>
  <c r="C1471" i="5"/>
  <c r="C1472" i="5"/>
  <c r="C1473" i="5"/>
  <c r="C1474" i="5"/>
  <c r="C1475" i="5"/>
  <c r="C1476" i="5"/>
  <c r="C1477" i="5"/>
  <c r="C1478" i="5"/>
  <c r="C1479" i="5"/>
  <c r="C1480" i="5"/>
  <c r="C1481" i="5"/>
  <c r="C1482" i="5"/>
  <c r="C1483" i="5"/>
  <c r="C1484" i="5"/>
  <c r="C1485" i="5"/>
  <c r="C1486" i="5"/>
  <c r="C1487" i="5"/>
  <c r="C1488" i="5"/>
  <c r="C1489" i="5"/>
  <c r="C1490" i="5"/>
  <c r="C1491" i="5"/>
  <c r="C1492" i="5"/>
  <c r="C1493" i="5"/>
  <c r="C1494" i="5"/>
  <c r="C1495" i="5"/>
  <c r="C1496" i="5"/>
  <c r="C1497" i="5"/>
  <c r="C1498" i="5"/>
  <c r="C1499" i="5"/>
  <c r="C1500" i="5"/>
  <c r="C1501" i="5"/>
  <c r="C1502" i="5"/>
  <c r="C1503" i="5"/>
  <c r="C1504" i="5"/>
  <c r="C1505" i="5"/>
  <c r="C1506" i="5"/>
  <c r="C1507" i="5"/>
  <c r="C1508" i="5"/>
  <c r="C1509" i="5"/>
  <c r="C1510" i="5"/>
  <c r="C1511" i="5"/>
  <c r="C1512" i="5"/>
  <c r="C1513" i="5"/>
  <c r="C1514" i="5"/>
  <c r="C1515" i="5"/>
  <c r="C1516" i="5"/>
  <c r="C1517" i="5"/>
  <c r="C1518" i="5"/>
  <c r="C1519" i="5"/>
  <c r="C1520" i="5"/>
  <c r="C1521" i="5"/>
  <c r="C1522" i="5"/>
  <c r="C1523" i="5"/>
  <c r="C1524" i="5"/>
  <c r="C1525" i="5"/>
  <c r="C1526" i="5"/>
  <c r="C1527" i="5"/>
  <c r="C1528" i="5"/>
  <c r="C1529" i="5"/>
  <c r="C1530" i="5"/>
  <c r="C1531" i="5"/>
  <c r="C1532" i="5"/>
  <c r="C1533" i="5"/>
  <c r="C1534" i="5"/>
  <c r="C1535" i="5"/>
  <c r="C1536" i="5"/>
  <c r="C1537" i="5"/>
  <c r="C1538" i="5"/>
  <c r="C1539" i="5"/>
  <c r="C1540" i="5"/>
  <c r="C1541" i="5"/>
  <c r="C1542" i="5"/>
  <c r="C1543" i="5"/>
  <c r="C1544" i="5"/>
  <c r="C1545" i="5"/>
  <c r="C1546" i="5"/>
  <c r="C1547" i="5"/>
  <c r="C1548" i="5"/>
  <c r="C1549" i="5"/>
  <c r="C1550" i="5"/>
  <c r="C1551" i="5"/>
  <c r="C1552" i="5"/>
  <c r="C1553" i="5"/>
  <c r="C1554" i="5"/>
  <c r="C1555" i="5"/>
  <c r="C1556" i="5"/>
  <c r="C1557" i="5"/>
  <c r="C1558" i="5"/>
  <c r="C1559" i="5"/>
  <c r="C1560" i="5"/>
  <c r="C1561" i="5"/>
  <c r="C1562" i="5"/>
  <c r="C1563" i="5"/>
  <c r="C1564" i="5"/>
  <c r="C1565" i="5"/>
  <c r="C1566" i="5"/>
  <c r="C1567" i="5"/>
  <c r="C1568" i="5"/>
  <c r="C1569" i="5"/>
  <c r="C1570" i="5"/>
  <c r="C1571" i="5"/>
  <c r="C1572" i="5"/>
  <c r="C1573" i="5"/>
  <c r="C1574" i="5"/>
  <c r="C1575" i="5"/>
  <c r="C1576" i="5"/>
  <c r="C1577" i="5"/>
  <c r="C1578" i="5"/>
  <c r="C1579" i="5"/>
  <c r="C1580" i="5"/>
  <c r="C1581" i="5"/>
  <c r="C1582" i="5"/>
  <c r="C1583" i="5"/>
  <c r="C1584" i="5"/>
  <c r="C1585" i="5"/>
  <c r="C1586" i="5"/>
  <c r="C1587" i="5"/>
  <c r="C1588" i="5"/>
  <c r="C1589" i="5"/>
  <c r="C1590" i="5"/>
  <c r="C1591" i="5"/>
  <c r="C1592" i="5"/>
  <c r="C1593" i="5"/>
  <c r="C1594" i="5"/>
  <c r="C1595" i="5"/>
  <c r="C1596" i="5"/>
  <c r="C1597" i="5"/>
  <c r="C1598" i="5"/>
  <c r="C1599" i="5"/>
  <c r="C1600" i="5"/>
  <c r="C1601" i="5"/>
  <c r="C1602" i="5"/>
  <c r="C1603" i="5"/>
  <c r="C1604" i="5"/>
  <c r="C1605" i="5"/>
  <c r="C1606" i="5"/>
  <c r="C1607" i="5"/>
  <c r="C1608" i="5"/>
  <c r="C1609" i="5"/>
  <c r="C1610" i="5"/>
  <c r="C1611" i="5"/>
  <c r="C1612" i="5"/>
  <c r="C1613" i="5"/>
  <c r="C1614" i="5"/>
  <c r="C1615" i="5"/>
  <c r="C1616" i="5"/>
  <c r="C1617" i="5"/>
  <c r="C1618" i="5"/>
  <c r="C1619" i="5"/>
  <c r="C1620" i="5"/>
  <c r="C1621" i="5"/>
  <c r="C1622" i="5"/>
  <c r="C1623" i="5"/>
  <c r="C1624" i="5"/>
  <c r="C1625" i="5"/>
  <c r="C1626" i="5"/>
  <c r="C1627" i="5"/>
  <c r="C1628" i="5"/>
  <c r="C1629" i="5"/>
  <c r="C1630" i="5"/>
  <c r="C1631" i="5"/>
  <c r="C1632" i="5"/>
  <c r="C1633" i="5"/>
  <c r="C1634" i="5"/>
  <c r="C1635" i="5"/>
  <c r="C1636" i="5"/>
  <c r="C1637" i="5"/>
  <c r="C1638" i="5"/>
  <c r="C1639" i="5"/>
  <c r="C1640" i="5"/>
  <c r="C1641" i="5"/>
  <c r="C1642" i="5"/>
  <c r="C1643" i="5"/>
  <c r="C1644" i="5"/>
  <c r="C1645" i="5"/>
  <c r="C1646" i="5"/>
  <c r="C1647" i="5"/>
  <c r="C1648" i="5"/>
  <c r="C1649" i="5"/>
  <c r="C1650" i="5"/>
  <c r="C1651" i="5"/>
  <c r="C1652" i="5"/>
  <c r="C1653" i="5"/>
  <c r="C1654" i="5"/>
  <c r="C1655" i="5"/>
  <c r="C1656" i="5"/>
  <c r="C1657" i="5"/>
  <c r="C1658" i="5"/>
  <c r="C1659" i="5"/>
  <c r="C1660" i="5"/>
  <c r="C1661" i="5"/>
  <c r="C1662" i="5"/>
  <c r="C1663" i="5"/>
  <c r="C1664" i="5"/>
  <c r="C1665" i="5"/>
  <c r="C1666" i="5"/>
  <c r="C1667" i="5"/>
  <c r="C1668" i="5"/>
  <c r="C1669" i="5"/>
  <c r="C1670" i="5"/>
  <c r="C1671" i="5"/>
  <c r="C1672" i="5"/>
  <c r="C1673" i="5"/>
  <c r="C1674" i="5"/>
  <c r="C1675" i="5"/>
  <c r="C1676" i="5"/>
  <c r="C1677" i="5"/>
  <c r="C1678" i="5"/>
  <c r="C1679" i="5"/>
  <c r="C1680" i="5"/>
  <c r="C1681" i="5"/>
  <c r="C1682" i="5"/>
  <c r="C1683" i="5"/>
  <c r="C1684" i="5"/>
  <c r="C1685" i="5"/>
  <c r="C1686" i="5"/>
  <c r="C1687" i="5"/>
  <c r="C1688" i="5"/>
  <c r="C1689" i="5"/>
  <c r="C1690" i="5"/>
  <c r="C1691" i="5"/>
  <c r="C1692" i="5"/>
  <c r="C1693" i="5"/>
  <c r="C1694" i="5"/>
  <c r="C1695" i="5"/>
  <c r="C1696" i="5"/>
  <c r="C1697" i="5"/>
  <c r="C1698" i="5"/>
  <c r="C1699" i="5"/>
  <c r="C1700" i="5"/>
  <c r="C1701" i="5"/>
  <c r="C1702" i="5"/>
  <c r="C1703" i="5"/>
  <c r="C1704" i="5"/>
  <c r="C1705" i="5"/>
  <c r="C1706" i="5"/>
  <c r="C1707" i="5"/>
  <c r="C1708" i="5"/>
  <c r="C1709" i="5"/>
  <c r="C1710" i="5"/>
  <c r="C1711" i="5"/>
  <c r="C1712" i="5"/>
  <c r="C1713" i="5"/>
  <c r="C1714" i="5"/>
  <c r="C1715" i="5"/>
  <c r="C1716" i="5"/>
  <c r="C1717" i="5"/>
  <c r="C1718" i="5"/>
  <c r="C1719" i="5"/>
  <c r="C1720" i="5"/>
  <c r="C1721" i="5"/>
  <c r="C1722" i="5"/>
  <c r="C1723" i="5"/>
  <c r="C1724" i="5"/>
  <c r="C1725" i="5"/>
  <c r="C1726" i="5"/>
  <c r="C1727" i="5"/>
  <c r="C1728" i="5"/>
  <c r="C1729" i="5"/>
  <c r="C1730" i="5"/>
  <c r="C1731" i="5"/>
  <c r="C1732" i="5"/>
  <c r="C1733" i="5"/>
  <c r="C1734" i="5"/>
  <c r="C1735" i="5"/>
  <c r="C1736" i="5"/>
  <c r="C1737" i="5"/>
  <c r="C1738" i="5"/>
  <c r="C1739" i="5"/>
  <c r="C1740" i="5"/>
  <c r="C1741" i="5"/>
  <c r="C1742" i="5"/>
  <c r="C1743" i="5"/>
  <c r="D931" i="6"/>
  <c r="D932" i="6"/>
  <c r="D934" i="6"/>
  <c r="D935" i="6"/>
  <c r="D936" i="6"/>
  <c r="D938" i="6"/>
  <c r="D939" i="6"/>
  <c r="D940" i="6"/>
  <c r="D942" i="6"/>
  <c r="D943" i="6"/>
  <c r="D910" i="6"/>
  <c r="D911" i="6"/>
  <c r="D912" i="6"/>
  <c r="D914" i="6"/>
  <c r="D915" i="6"/>
  <c r="D916" i="6"/>
  <c r="D918" i="6"/>
  <c r="D919" i="6"/>
  <c r="D920" i="6"/>
  <c r="D922" i="6"/>
  <c r="D923" i="6"/>
  <c r="D924" i="6"/>
  <c r="D926" i="6"/>
  <c r="D927" i="6"/>
  <c r="D928" i="6"/>
  <c r="D930" i="6"/>
  <c r="D885" i="6"/>
  <c r="D886" i="6"/>
  <c r="D888" i="6"/>
  <c r="D889" i="6"/>
  <c r="D890" i="6"/>
  <c r="D892" i="6"/>
  <c r="D893" i="6"/>
  <c r="D894" i="6"/>
  <c r="D896" i="6"/>
  <c r="D897" i="6"/>
  <c r="D898" i="6"/>
  <c r="D900" i="6"/>
  <c r="D901" i="6"/>
  <c r="D902" i="6"/>
  <c r="D904" i="6"/>
  <c r="D905" i="6"/>
  <c r="D906" i="6"/>
  <c r="D908" i="6"/>
  <c r="D865" i="6"/>
  <c r="D866" i="6"/>
  <c r="D867" i="6"/>
  <c r="D869" i="6"/>
  <c r="D870" i="6"/>
  <c r="D871" i="6"/>
  <c r="D873" i="6"/>
  <c r="D874" i="6"/>
  <c r="D875" i="6"/>
  <c r="D877" i="6"/>
  <c r="D878" i="6"/>
  <c r="D879" i="6"/>
  <c r="D881" i="6"/>
  <c r="D882" i="6"/>
  <c r="D883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4" i="6"/>
  <c r="D868" i="6"/>
  <c r="D872" i="6"/>
  <c r="D876" i="6"/>
  <c r="D880" i="6"/>
  <c r="D884" i="6"/>
  <c r="D887" i="6"/>
  <c r="D891" i="6"/>
  <c r="D895" i="6"/>
  <c r="D899" i="6"/>
  <c r="D903" i="6"/>
  <c r="D907" i="6"/>
  <c r="D909" i="6"/>
  <c r="D913" i="6"/>
  <c r="D917" i="6"/>
  <c r="D921" i="6"/>
  <c r="D925" i="6"/>
  <c r="D929" i="6"/>
  <c r="D933" i="6"/>
  <c r="D937" i="6"/>
  <c r="D941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4" i="6"/>
  <c r="D1944" i="9" l="1"/>
  <c r="D1938" i="9"/>
  <c r="D1941" i="9"/>
  <c r="D1937" i="9"/>
  <c r="D1933" i="9"/>
  <c r="D1929" i="9"/>
  <c r="D1925" i="9"/>
  <c r="D1926" i="9"/>
  <c r="D1928" i="9"/>
  <c r="D1930" i="9"/>
  <c r="D1943" i="9"/>
  <c r="D1939" i="9"/>
  <c r="D1935" i="9"/>
  <c r="D1931" i="9"/>
  <c r="D1927" i="9"/>
  <c r="D1936" i="9"/>
  <c r="D1932" i="9"/>
  <c r="D1934" i="9"/>
  <c r="D1924" i="9"/>
  <c r="D1024" i="6"/>
  <c r="D1020" i="6"/>
  <c r="D1019" i="6"/>
  <c r="D1008" i="6"/>
  <c r="D992" i="6"/>
  <c r="H3" i="6"/>
  <c r="N3" i="6"/>
  <c r="O3" i="6"/>
  <c r="F3" i="6"/>
  <c r="M3" i="6"/>
  <c r="P3" i="6"/>
  <c r="G3" i="6"/>
  <c r="I3" i="6"/>
  <c r="L3" i="6"/>
  <c r="K3" i="6"/>
  <c r="D1025" i="6"/>
  <c r="D984" i="6"/>
  <c r="D972" i="6"/>
  <c r="D954" i="6"/>
  <c r="D950" i="6"/>
  <c r="D945" i="6"/>
  <c r="D1023" i="6"/>
  <c r="D1087" i="6"/>
  <c r="D1007" i="6"/>
  <c r="D1074" i="6"/>
  <c r="D1083" i="6"/>
  <c r="D1088" i="6"/>
  <c r="D1022" i="6"/>
  <c r="D1012" i="6"/>
  <c r="D1005" i="6"/>
  <c r="D1001" i="6"/>
  <c r="D997" i="6"/>
  <c r="D1035" i="6"/>
  <c r="D1031" i="6"/>
  <c r="D1027" i="6"/>
  <c r="D1003" i="6"/>
  <c r="D999" i="6"/>
  <c r="D994" i="6"/>
  <c r="D989" i="6"/>
  <c r="D985" i="6"/>
  <c r="D981" i="6"/>
  <c r="D977" i="6"/>
  <c r="D964" i="6"/>
  <c r="D960" i="6"/>
  <c r="D956" i="6"/>
  <c r="D952" i="6"/>
  <c r="D967" i="6"/>
  <c r="D963" i="6"/>
  <c r="D959" i="6"/>
  <c r="D955" i="6"/>
  <c r="D951" i="6"/>
  <c r="D946" i="6"/>
  <c r="D1006" i="6"/>
  <c r="D1073" i="6"/>
  <c r="D1082" i="6"/>
  <c r="D1067" i="6"/>
  <c r="D1002" i="6"/>
  <c r="D1086" i="6"/>
  <c r="D1065" i="6"/>
  <c r="D1061" i="6"/>
  <c r="D1056" i="6"/>
  <c r="D1052" i="6"/>
  <c r="D1048" i="6"/>
  <c r="D1044" i="6"/>
  <c r="D1040" i="6"/>
  <c r="D1039" i="6"/>
  <c r="D1034" i="6"/>
  <c r="D1030" i="6"/>
  <c r="D1026" i="6"/>
  <c r="D1016" i="6"/>
  <c r="D1009" i="6"/>
  <c r="D988" i="6"/>
  <c r="D980" i="6"/>
  <c r="D1036" i="6"/>
  <c r="D1032" i="6"/>
  <c r="D1028" i="6"/>
  <c r="D1004" i="6"/>
  <c r="D1000" i="6"/>
  <c r="D995" i="6"/>
  <c r="D990" i="6"/>
  <c r="D986" i="6"/>
  <c r="D982" i="6"/>
  <c r="D978" i="6"/>
  <c r="D973" i="6"/>
  <c r="D969" i="6"/>
  <c r="D947" i="6"/>
  <c r="D1071" i="6"/>
  <c r="D1079" i="6"/>
  <c r="D1063" i="6"/>
  <c r="D1058" i="6"/>
  <c r="D1054" i="6"/>
  <c r="D1050" i="6"/>
  <c r="D1046" i="6"/>
  <c r="D1042" i="6"/>
  <c r="D1018" i="6"/>
  <c r="D976" i="6"/>
  <c r="D998" i="6"/>
  <c r="D993" i="6"/>
  <c r="D975" i="6"/>
  <c r="D971" i="6"/>
  <c r="D966" i="6"/>
  <c r="D962" i="6"/>
  <c r="D958" i="6"/>
  <c r="D1084" i="6"/>
  <c r="D1072" i="6"/>
  <c r="D1076" i="6"/>
  <c r="D1081" i="6"/>
  <c r="D1085" i="6"/>
  <c r="E3" i="6"/>
  <c r="D1014" i="6"/>
  <c r="D1070" i="6"/>
  <c r="D1075" i="6"/>
  <c r="D1078" i="6"/>
  <c r="D1068" i="6"/>
  <c r="D1064" i="6"/>
  <c r="D1060" i="6"/>
  <c r="D1055" i="6"/>
  <c r="D1051" i="6"/>
  <c r="D1047" i="6"/>
  <c r="D1043" i="6"/>
  <c r="D1011" i="6"/>
  <c r="D1066" i="6"/>
  <c r="D1062" i="6"/>
  <c r="D1057" i="6"/>
  <c r="D1053" i="6"/>
  <c r="D1049" i="6"/>
  <c r="D1045" i="6"/>
  <c r="D1041" i="6"/>
  <c r="D1010" i="6"/>
  <c r="D1021" i="6"/>
  <c r="D1013" i="6"/>
  <c r="D1037" i="6"/>
  <c r="D1033" i="6"/>
  <c r="D1029" i="6"/>
  <c r="D991" i="6"/>
  <c r="D987" i="6"/>
  <c r="D983" i="6"/>
  <c r="D979" i="6"/>
  <c r="D974" i="6"/>
  <c r="D970" i="6"/>
  <c r="D965" i="6"/>
  <c r="D961" i="6"/>
  <c r="D957" i="6"/>
  <c r="D953" i="6"/>
  <c r="D949" i="6"/>
  <c r="D1015" i="6"/>
  <c r="D1069" i="6"/>
  <c r="D1077" i="6"/>
  <c r="D944" i="6"/>
  <c r="D2112" i="5"/>
  <c r="D2120" i="5"/>
  <c r="D2125" i="5"/>
  <c r="D2129" i="5"/>
  <c r="D2122" i="5"/>
  <c r="D2116" i="5"/>
  <c r="D2117" i="5"/>
  <c r="D2113" i="5"/>
  <c r="D2109" i="5"/>
  <c r="D1924" i="5"/>
  <c r="D1923" i="5"/>
  <c r="D1920" i="5"/>
  <c r="D1908" i="5"/>
  <c r="D1903" i="5"/>
  <c r="D1901" i="5"/>
  <c r="D1900" i="5"/>
  <c r="D1895" i="5"/>
  <c r="D1893" i="5"/>
  <c r="D1892" i="5"/>
  <c r="D1887" i="5"/>
  <c r="D1881" i="5"/>
  <c r="D1879" i="5"/>
  <c r="D1873" i="5"/>
  <c r="D1872" i="5"/>
  <c r="D1865" i="5"/>
  <c r="D1864" i="5"/>
  <c r="D1859" i="5"/>
  <c r="D1857" i="5"/>
  <c r="D1856" i="5"/>
  <c r="D1851" i="5"/>
  <c r="D1849" i="5"/>
  <c r="D1848" i="5"/>
  <c r="D1843" i="5"/>
  <c r="D1837" i="5"/>
  <c r="D1835" i="5"/>
  <c r="D1827" i="5"/>
  <c r="D1821" i="5"/>
  <c r="D1820" i="5"/>
  <c r="D1816" i="5"/>
  <c r="D1811" i="5"/>
  <c r="D1805" i="5"/>
  <c r="D1804" i="5"/>
  <c r="D1795" i="5"/>
  <c r="D1789" i="5"/>
  <c r="D1788" i="5"/>
  <c r="D1783" i="5"/>
  <c r="D1781" i="5"/>
  <c r="D1780" i="5"/>
  <c r="D1773" i="5"/>
  <c r="D1772" i="5"/>
  <c r="D1767" i="5"/>
  <c r="D1757" i="5"/>
  <c r="D1756" i="5"/>
  <c r="D1753" i="5"/>
  <c r="D1749" i="5"/>
  <c r="D1748" i="5"/>
  <c r="D1943" i="5"/>
  <c r="D1940" i="5"/>
  <c r="D1939" i="5"/>
  <c r="D1936" i="5"/>
  <c r="D1932" i="5"/>
  <c r="D1931" i="5"/>
  <c r="D1928" i="5"/>
  <c r="D1927" i="5"/>
  <c r="D1919" i="5"/>
  <c r="D1911" i="5"/>
  <c r="D1905" i="5"/>
  <c r="D1904" i="5"/>
  <c r="D1899" i="5"/>
  <c r="D1889" i="5"/>
  <c r="D1888" i="5"/>
  <c r="D1883" i="5"/>
  <c r="D1877" i="5"/>
  <c r="D1876" i="5"/>
  <c r="D1871" i="5"/>
  <c r="D1867" i="5"/>
  <c r="D1861" i="5"/>
  <c r="D1860" i="5"/>
  <c r="D1855" i="5"/>
  <c r="D1845" i="5"/>
  <c r="D1844" i="5"/>
  <c r="D1839" i="5"/>
  <c r="D1833" i="5"/>
  <c r="D1832" i="5"/>
  <c r="D1829" i="5"/>
  <c r="D1828" i="5"/>
  <c r="D1823" i="5"/>
  <c r="D1815" i="5"/>
  <c r="D1809" i="5"/>
  <c r="D1808" i="5"/>
  <c r="D1803" i="5"/>
  <c r="D1799" i="5"/>
  <c r="D1793" i="5"/>
  <c r="D1792" i="5"/>
  <c r="D1787" i="5"/>
  <c r="D1777" i="5"/>
  <c r="D1776" i="5"/>
  <c r="D1771" i="5"/>
  <c r="D1765" i="5"/>
  <c r="D1764" i="5"/>
  <c r="D1763" i="5"/>
  <c r="D1760" i="5"/>
  <c r="D1755" i="5"/>
  <c r="D1916" i="5"/>
  <c r="D1915" i="5"/>
  <c r="D1912" i="5"/>
  <c r="D1907" i="5"/>
  <c r="D1897" i="5"/>
  <c r="D1896" i="5"/>
  <c r="D1891" i="5"/>
  <c r="D1885" i="5"/>
  <c r="D1884" i="5"/>
  <c r="D1875" i="5"/>
  <c r="D1869" i="5"/>
  <c r="D1868" i="5"/>
  <c r="D1863" i="5"/>
  <c r="D1853" i="5"/>
  <c r="D1852" i="5"/>
  <c r="D1847" i="5"/>
  <c r="D1841" i="5"/>
  <c r="D1840" i="5"/>
  <c r="D1831" i="5"/>
  <c r="D1825" i="5"/>
  <c r="D1824" i="5"/>
  <c r="D1819" i="5"/>
  <c r="D1817" i="5"/>
  <c r="D1813" i="5"/>
  <c r="D1812" i="5"/>
  <c r="D1807" i="5"/>
  <c r="D1801" i="5"/>
  <c r="D1800" i="5"/>
  <c r="D1797" i="5"/>
  <c r="D1796" i="5"/>
  <c r="D1791" i="5"/>
  <c r="D1785" i="5"/>
  <c r="D1784" i="5"/>
  <c r="D1779" i="5"/>
  <c r="D1775" i="5"/>
  <c r="D1769" i="5"/>
  <c r="D1768" i="5"/>
  <c r="D1759" i="5"/>
  <c r="D1752" i="5"/>
  <c r="D1744" i="5"/>
  <c r="D864" i="6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4" i="5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1107" i="9"/>
  <c r="D1108" i="9"/>
  <c r="D1109" i="9"/>
  <c r="D1110" i="9"/>
  <c r="D1111" i="9"/>
  <c r="D1112" i="9"/>
  <c r="D1113" i="9"/>
  <c r="D1114" i="9"/>
  <c r="D1115" i="9"/>
  <c r="D1116" i="9"/>
  <c r="D1117" i="9"/>
  <c r="D1118" i="9"/>
  <c r="D1119" i="9"/>
  <c r="D1120" i="9"/>
  <c r="D1121" i="9"/>
  <c r="D1122" i="9"/>
  <c r="D1123" i="9"/>
  <c r="D1124" i="9"/>
  <c r="D1125" i="9"/>
  <c r="D1126" i="9"/>
  <c r="D1127" i="9"/>
  <c r="D1128" i="9"/>
  <c r="D1129" i="9"/>
  <c r="D1130" i="9"/>
  <c r="D1131" i="9"/>
  <c r="D1132" i="9"/>
  <c r="D1133" i="9"/>
  <c r="D1134" i="9"/>
  <c r="D1135" i="9"/>
  <c r="D1136" i="9"/>
  <c r="D1137" i="9"/>
  <c r="D1138" i="9"/>
  <c r="D1139" i="9"/>
  <c r="D1140" i="9"/>
  <c r="D1141" i="9"/>
  <c r="D1142" i="9"/>
  <c r="D1143" i="9"/>
  <c r="D1144" i="9"/>
  <c r="D1145" i="9"/>
  <c r="D1146" i="9"/>
  <c r="D1147" i="9"/>
  <c r="D1148" i="9"/>
  <c r="D1149" i="9"/>
  <c r="D1150" i="9"/>
  <c r="D1151" i="9"/>
  <c r="D1152" i="9"/>
  <c r="D1153" i="9"/>
  <c r="D1154" i="9"/>
  <c r="D1155" i="9"/>
  <c r="D1156" i="9"/>
  <c r="D1157" i="9"/>
  <c r="D1158" i="9"/>
  <c r="D1159" i="9"/>
  <c r="D1160" i="9"/>
  <c r="D1161" i="9"/>
  <c r="D1162" i="9"/>
  <c r="D1163" i="9"/>
  <c r="D1164" i="9"/>
  <c r="D1165" i="9"/>
  <c r="D1166" i="9"/>
  <c r="D1167" i="9"/>
  <c r="D1168" i="9"/>
  <c r="D1169" i="9"/>
  <c r="D1170" i="9"/>
  <c r="D1171" i="9"/>
  <c r="D1172" i="9"/>
  <c r="D1173" i="9"/>
  <c r="D1174" i="9"/>
  <c r="D1175" i="9"/>
  <c r="D1176" i="9"/>
  <c r="D1177" i="9"/>
  <c r="D1178" i="9"/>
  <c r="D1179" i="9"/>
  <c r="D1180" i="9"/>
  <c r="D1181" i="9"/>
  <c r="D1182" i="9"/>
  <c r="D1183" i="9"/>
  <c r="D1184" i="9"/>
  <c r="D1185" i="9"/>
  <c r="D1186" i="9"/>
  <c r="D1187" i="9"/>
  <c r="D1188" i="9"/>
  <c r="D1189" i="9"/>
  <c r="D1190" i="9"/>
  <c r="D1191" i="9"/>
  <c r="D1192" i="9"/>
  <c r="D1193" i="9"/>
  <c r="D1194" i="9"/>
  <c r="D1195" i="9"/>
  <c r="D1196" i="9"/>
  <c r="D1197" i="9"/>
  <c r="D1198" i="9"/>
  <c r="D1199" i="9"/>
  <c r="D1200" i="9"/>
  <c r="D1201" i="9"/>
  <c r="D1202" i="9"/>
  <c r="D1203" i="9"/>
  <c r="D1204" i="9"/>
  <c r="D1205" i="9"/>
  <c r="D1206" i="9"/>
  <c r="D1207" i="9"/>
  <c r="D1208" i="9"/>
  <c r="D1209" i="9"/>
  <c r="D1210" i="9"/>
  <c r="D1211" i="9"/>
  <c r="D1212" i="9"/>
  <c r="D1213" i="9"/>
  <c r="D1214" i="9"/>
  <c r="D1215" i="9"/>
  <c r="D1216" i="9"/>
  <c r="D1217" i="9"/>
  <c r="D1218" i="9"/>
  <c r="D1219" i="9"/>
  <c r="D1220" i="9"/>
  <c r="D1221" i="9"/>
  <c r="D1222" i="9"/>
  <c r="D1223" i="9"/>
  <c r="D1224" i="9"/>
  <c r="D1225" i="9"/>
  <c r="D1226" i="9"/>
  <c r="D1227" i="9"/>
  <c r="D1228" i="9"/>
  <c r="D1229" i="9"/>
  <c r="D1230" i="9"/>
  <c r="D1231" i="9"/>
  <c r="D1232" i="9"/>
  <c r="D1233" i="9"/>
  <c r="D1234" i="9"/>
  <c r="D1235" i="9"/>
  <c r="D1236" i="9"/>
  <c r="D1237" i="9"/>
  <c r="D1238" i="9"/>
  <c r="D1239" i="9"/>
  <c r="D1240" i="9"/>
  <c r="D1241" i="9"/>
  <c r="D1242" i="9"/>
  <c r="D1243" i="9"/>
  <c r="D1244" i="9"/>
  <c r="D1245" i="9"/>
  <c r="D1246" i="9"/>
  <c r="D1247" i="9"/>
  <c r="D1248" i="9"/>
  <c r="D1249" i="9"/>
  <c r="D1250" i="9"/>
  <c r="D1251" i="9"/>
  <c r="D1252" i="9"/>
  <c r="D1253" i="9"/>
  <c r="D1254" i="9"/>
  <c r="D1255" i="9"/>
  <c r="D1256" i="9"/>
  <c r="D1257" i="9"/>
  <c r="D1258" i="9"/>
  <c r="D1259" i="9"/>
  <c r="D1260" i="9"/>
  <c r="D1261" i="9"/>
  <c r="D1262" i="9"/>
  <c r="D1263" i="9"/>
  <c r="D1264" i="9"/>
  <c r="D1265" i="9"/>
  <c r="D1266" i="9"/>
  <c r="D1267" i="9"/>
  <c r="D1268" i="9"/>
  <c r="D1269" i="9"/>
  <c r="D1270" i="9"/>
  <c r="D1271" i="9"/>
  <c r="D1272" i="9"/>
  <c r="D1273" i="9"/>
  <c r="D1274" i="9"/>
  <c r="D1275" i="9"/>
  <c r="D1276" i="9"/>
  <c r="D1277" i="9"/>
  <c r="D1278" i="9"/>
  <c r="D1279" i="9"/>
  <c r="D1280" i="9"/>
  <c r="D1281" i="9"/>
  <c r="D1282" i="9"/>
  <c r="D1283" i="9"/>
  <c r="D1284" i="9"/>
  <c r="D1285" i="9"/>
  <c r="D1286" i="9"/>
  <c r="D1287" i="9"/>
  <c r="D1288" i="9"/>
  <c r="D1289" i="9"/>
  <c r="D1290" i="9"/>
  <c r="D1291" i="9"/>
  <c r="D1292" i="9"/>
  <c r="D1293" i="9"/>
  <c r="D1294" i="9"/>
  <c r="D1295" i="9"/>
  <c r="D1296" i="9"/>
  <c r="D1297" i="9"/>
  <c r="D1298" i="9"/>
  <c r="D1299" i="9"/>
  <c r="D1300" i="9"/>
  <c r="D1301" i="9"/>
  <c r="D1302" i="9"/>
  <c r="D1303" i="9"/>
  <c r="D1304" i="9"/>
  <c r="D1305" i="9"/>
  <c r="D1306" i="9"/>
  <c r="D1307" i="9"/>
  <c r="D1308" i="9"/>
  <c r="D1309" i="9"/>
  <c r="D1310" i="9"/>
  <c r="D1311" i="9"/>
  <c r="D1312" i="9"/>
  <c r="D1313" i="9"/>
  <c r="D1314" i="9"/>
  <c r="D1315" i="9"/>
  <c r="D1316" i="9"/>
  <c r="D1317" i="9"/>
  <c r="D1318" i="9"/>
  <c r="D1319" i="9"/>
  <c r="D1320" i="9"/>
  <c r="D1321" i="9"/>
  <c r="D1322" i="9"/>
  <c r="D1323" i="9"/>
  <c r="D1324" i="9"/>
  <c r="D1325" i="9"/>
  <c r="D1326" i="9"/>
  <c r="D1327" i="9"/>
  <c r="D1328" i="9"/>
  <c r="D1329" i="9"/>
  <c r="D1330" i="9"/>
  <c r="D1331" i="9"/>
  <c r="D1332" i="9"/>
  <c r="D1333" i="9"/>
  <c r="D1334" i="9"/>
  <c r="D1335" i="9"/>
  <c r="D1336" i="9"/>
  <c r="D1337" i="9"/>
  <c r="D1338" i="9"/>
  <c r="D1339" i="9"/>
  <c r="D1340" i="9"/>
  <c r="D1341" i="9"/>
  <c r="D1342" i="9"/>
  <c r="D1343" i="9"/>
  <c r="D1344" i="9"/>
  <c r="D1345" i="9"/>
  <c r="D1346" i="9"/>
  <c r="D1347" i="9"/>
  <c r="D1348" i="9"/>
  <c r="D1349" i="9"/>
  <c r="D1350" i="9"/>
  <c r="D1351" i="9"/>
  <c r="D1352" i="9"/>
  <c r="D1353" i="9"/>
  <c r="D1354" i="9"/>
  <c r="D1355" i="9"/>
  <c r="D1356" i="9"/>
  <c r="D1357" i="9"/>
  <c r="D1358" i="9"/>
  <c r="D1359" i="9"/>
  <c r="D1360" i="9"/>
  <c r="D1361" i="9"/>
  <c r="D1362" i="9"/>
  <c r="D1363" i="9"/>
  <c r="D1364" i="9"/>
  <c r="D1365" i="9"/>
  <c r="D1366" i="9"/>
  <c r="D1367" i="9"/>
  <c r="D1368" i="9"/>
  <c r="D1369" i="9"/>
  <c r="D1370" i="9"/>
  <c r="D1371" i="9"/>
  <c r="D1372" i="9"/>
  <c r="D1373" i="9"/>
  <c r="D1374" i="9"/>
  <c r="D1375" i="9"/>
  <c r="D1376" i="9"/>
  <c r="D1377" i="9"/>
  <c r="D1378" i="9"/>
  <c r="D1379" i="9"/>
  <c r="D1380" i="9"/>
  <c r="D1381" i="9"/>
  <c r="D1382" i="9"/>
  <c r="D1383" i="9"/>
  <c r="D1384" i="9"/>
  <c r="D1385" i="9"/>
  <c r="D1386" i="9"/>
  <c r="D1387" i="9"/>
  <c r="D1388" i="9"/>
  <c r="D1389" i="9"/>
  <c r="D1390" i="9"/>
  <c r="D1391" i="9"/>
  <c r="D1392" i="9"/>
  <c r="D1393" i="9"/>
  <c r="D1394" i="9"/>
  <c r="D1395" i="9"/>
  <c r="D1396" i="9"/>
  <c r="D1397" i="9"/>
  <c r="D1398" i="9"/>
  <c r="D1399" i="9"/>
  <c r="D1400" i="9"/>
  <c r="D1401" i="9"/>
  <c r="D1402" i="9"/>
  <c r="D1403" i="9"/>
  <c r="D1404" i="9"/>
  <c r="D1405" i="9"/>
  <c r="D1406" i="9"/>
  <c r="D1407" i="9"/>
  <c r="D1408" i="9"/>
  <c r="D1409" i="9"/>
  <c r="D1410" i="9"/>
  <c r="D1411" i="9"/>
  <c r="D1412" i="9"/>
  <c r="D1413" i="9"/>
  <c r="D1414" i="9"/>
  <c r="D1415" i="9"/>
  <c r="D1416" i="9"/>
  <c r="D1417" i="9"/>
  <c r="D1418" i="9"/>
  <c r="D1419" i="9"/>
  <c r="D1420" i="9"/>
  <c r="D1421" i="9"/>
  <c r="D1422" i="9"/>
  <c r="D1423" i="9"/>
  <c r="D1424" i="9"/>
  <c r="D1425" i="9"/>
  <c r="D1426" i="9"/>
  <c r="D1427" i="9"/>
  <c r="D1428" i="9"/>
  <c r="D1429" i="9"/>
  <c r="D1430" i="9"/>
  <c r="D1431" i="9"/>
  <c r="D1432" i="9"/>
  <c r="D1433" i="9"/>
  <c r="D1434" i="9"/>
  <c r="D1435" i="9"/>
  <c r="D1436" i="9"/>
  <c r="D1437" i="9"/>
  <c r="D1438" i="9"/>
  <c r="D1439" i="9"/>
  <c r="D1440" i="9"/>
  <c r="D1441" i="9"/>
  <c r="D1442" i="9"/>
  <c r="D1443" i="9"/>
  <c r="D1444" i="9"/>
  <c r="D1445" i="9"/>
  <c r="D1446" i="9"/>
  <c r="D1447" i="9"/>
  <c r="D1448" i="9"/>
  <c r="D1449" i="9"/>
  <c r="D1450" i="9"/>
  <c r="D1451" i="9"/>
  <c r="D1452" i="9"/>
  <c r="D1453" i="9"/>
  <c r="D1454" i="9"/>
  <c r="D1455" i="9"/>
  <c r="D1456" i="9"/>
  <c r="D1457" i="9"/>
  <c r="D1458" i="9"/>
  <c r="D1459" i="9"/>
  <c r="D1460" i="9"/>
  <c r="D1461" i="9"/>
  <c r="D1462" i="9"/>
  <c r="D1463" i="9"/>
  <c r="D1464" i="9"/>
  <c r="D1465" i="9"/>
  <c r="D1466" i="9"/>
  <c r="D1467" i="9"/>
  <c r="D1468" i="9"/>
  <c r="D1469" i="9"/>
  <c r="D1470" i="9"/>
  <c r="D1471" i="9"/>
  <c r="D1472" i="9"/>
  <c r="D1473" i="9"/>
  <c r="D1474" i="9"/>
  <c r="D1475" i="9"/>
  <c r="D1476" i="9"/>
  <c r="D1477" i="9"/>
  <c r="D1478" i="9"/>
  <c r="D1479" i="9"/>
  <c r="D1480" i="9"/>
  <c r="D1481" i="9"/>
  <c r="D1482" i="9"/>
  <c r="D1483" i="9"/>
  <c r="D1484" i="9"/>
  <c r="D1485" i="9"/>
  <c r="D1486" i="9"/>
  <c r="D1487" i="9"/>
  <c r="D1488" i="9"/>
  <c r="D1489" i="9"/>
  <c r="D1490" i="9"/>
  <c r="D1491" i="9"/>
  <c r="D1492" i="9"/>
  <c r="D1493" i="9"/>
  <c r="D1494" i="9"/>
  <c r="D1495" i="9"/>
  <c r="D1496" i="9"/>
  <c r="D1497" i="9"/>
  <c r="D1498" i="9"/>
  <c r="D1499" i="9"/>
  <c r="D1500" i="9"/>
  <c r="D1501" i="9"/>
  <c r="D1502" i="9"/>
  <c r="D1503" i="9"/>
  <c r="D1504" i="9"/>
  <c r="D1505" i="9"/>
  <c r="D1506" i="9"/>
  <c r="D1507" i="9"/>
  <c r="D1508" i="9"/>
  <c r="D1509" i="9"/>
  <c r="D1510" i="9"/>
  <c r="D1511" i="9"/>
  <c r="D1512" i="9"/>
  <c r="D1513" i="9"/>
  <c r="D1514" i="9"/>
  <c r="D1515" i="9"/>
  <c r="D1516" i="9"/>
  <c r="D1517" i="9"/>
  <c r="D1518" i="9"/>
  <c r="D1519" i="9"/>
  <c r="D1520" i="9"/>
  <c r="D1521" i="9"/>
  <c r="D1522" i="9"/>
  <c r="D1523" i="9"/>
  <c r="D1524" i="9"/>
  <c r="D1525" i="9"/>
  <c r="D1526" i="9"/>
  <c r="D1527" i="9"/>
  <c r="D1528" i="9"/>
  <c r="D1529" i="9"/>
  <c r="D1530" i="9"/>
  <c r="D1531" i="9"/>
  <c r="D1532" i="9"/>
  <c r="D1533" i="9"/>
  <c r="D1534" i="9"/>
  <c r="D1535" i="9"/>
  <c r="D1536" i="9"/>
  <c r="D1537" i="9"/>
  <c r="D1538" i="9"/>
  <c r="D1539" i="9"/>
  <c r="D1540" i="9"/>
  <c r="D1541" i="9"/>
  <c r="D1542" i="9"/>
  <c r="D1543" i="9"/>
  <c r="D1544" i="9"/>
  <c r="D1545" i="9"/>
  <c r="D1546" i="9"/>
  <c r="D1547" i="9"/>
  <c r="D1548" i="9"/>
  <c r="D1549" i="9"/>
  <c r="D1550" i="9"/>
  <c r="D1551" i="9"/>
  <c r="D1552" i="9"/>
  <c r="D1553" i="9"/>
  <c r="D1554" i="9"/>
  <c r="D1555" i="9"/>
  <c r="D1556" i="9"/>
  <c r="D1557" i="9"/>
  <c r="D1558" i="9"/>
  <c r="D1559" i="9"/>
  <c r="D1560" i="9"/>
  <c r="D1561" i="9"/>
  <c r="D1562" i="9"/>
  <c r="D1563" i="9"/>
  <c r="D1564" i="9"/>
  <c r="D1565" i="9"/>
  <c r="D1566" i="9"/>
  <c r="D1567" i="9"/>
  <c r="D1568" i="9"/>
  <c r="D1569" i="9"/>
  <c r="D1570" i="9"/>
  <c r="D1571" i="9"/>
  <c r="D1572" i="9"/>
  <c r="D1573" i="9"/>
  <c r="D1574" i="9"/>
  <c r="D1575" i="9"/>
  <c r="D1576" i="9"/>
  <c r="D1577" i="9"/>
  <c r="D1578" i="9"/>
  <c r="D1579" i="9"/>
  <c r="D1580" i="9"/>
  <c r="D1581" i="9"/>
  <c r="D1582" i="9"/>
  <c r="D1583" i="9"/>
  <c r="D1584" i="9"/>
  <c r="D1585" i="9"/>
  <c r="D1586" i="9"/>
  <c r="D1587" i="9"/>
  <c r="D1588" i="9"/>
  <c r="D1589" i="9"/>
  <c r="D1590" i="9"/>
  <c r="D1591" i="9"/>
  <c r="D1592" i="9"/>
  <c r="D1593" i="9"/>
  <c r="D1594" i="9"/>
  <c r="D1595" i="9"/>
  <c r="D1596" i="9"/>
  <c r="D1597" i="9"/>
  <c r="D1598" i="9"/>
  <c r="D1599" i="9"/>
  <c r="D1600" i="9"/>
  <c r="D1601" i="9"/>
  <c r="D1602" i="9"/>
  <c r="D1603" i="9"/>
  <c r="D1604" i="9"/>
  <c r="D1605" i="9"/>
  <c r="D1606" i="9"/>
  <c r="D1607" i="9"/>
  <c r="D1608" i="9"/>
  <c r="D1609" i="9"/>
  <c r="D1610" i="9"/>
  <c r="D1611" i="9"/>
  <c r="D1612" i="9"/>
  <c r="D1613" i="9"/>
  <c r="D1614" i="9"/>
  <c r="D1615" i="9"/>
  <c r="D1616" i="9"/>
  <c r="D1617" i="9"/>
  <c r="D1618" i="9"/>
  <c r="D1619" i="9"/>
  <c r="D1620" i="9"/>
  <c r="D1621" i="9"/>
  <c r="D1622" i="9"/>
  <c r="D1623" i="9"/>
  <c r="D1624" i="9"/>
  <c r="D1625" i="9"/>
  <c r="D1626" i="9"/>
  <c r="D1627" i="9"/>
  <c r="D1628" i="9"/>
  <c r="D1629" i="9"/>
  <c r="D1630" i="9"/>
  <c r="D1631" i="9"/>
  <c r="D1632" i="9"/>
  <c r="D1633" i="9"/>
  <c r="D1634" i="9"/>
  <c r="D1635" i="9"/>
  <c r="D1636" i="9"/>
  <c r="D1637" i="9"/>
  <c r="D1638" i="9"/>
  <c r="D1639" i="9"/>
  <c r="D1640" i="9"/>
  <c r="D1641" i="9"/>
  <c r="D1642" i="9"/>
  <c r="D1643" i="9"/>
  <c r="D1644" i="9"/>
  <c r="D1645" i="9"/>
  <c r="D1646" i="9"/>
  <c r="D1647" i="9"/>
  <c r="D1648" i="9"/>
  <c r="D1649" i="9"/>
  <c r="D1650" i="9"/>
  <c r="D1651" i="9"/>
  <c r="D1652" i="9"/>
  <c r="D1653" i="9"/>
  <c r="D1654" i="9"/>
  <c r="D1655" i="9"/>
  <c r="D1656" i="9"/>
  <c r="D1657" i="9"/>
  <c r="D1658" i="9"/>
  <c r="D1659" i="9"/>
  <c r="D1660" i="9"/>
  <c r="D1661" i="9"/>
  <c r="D1662" i="9"/>
  <c r="D1663" i="9"/>
  <c r="D1664" i="9"/>
  <c r="D1665" i="9"/>
  <c r="D1666" i="9"/>
  <c r="D1667" i="9"/>
  <c r="D1668" i="9"/>
  <c r="D1669" i="9"/>
  <c r="D1670" i="9"/>
  <c r="D1671" i="9"/>
  <c r="D1672" i="9"/>
  <c r="D1673" i="9"/>
  <c r="D1674" i="9"/>
  <c r="D1675" i="9"/>
  <c r="D1676" i="9"/>
  <c r="D1677" i="9"/>
  <c r="D1678" i="9"/>
  <c r="D1679" i="9"/>
  <c r="D1680" i="9"/>
  <c r="D1681" i="9"/>
  <c r="D1682" i="9"/>
  <c r="D1683" i="9"/>
  <c r="D1684" i="9"/>
  <c r="D1685" i="9"/>
  <c r="D1686" i="9"/>
  <c r="D1687" i="9"/>
  <c r="D1688" i="9"/>
  <c r="D1689" i="9"/>
  <c r="D1690" i="9"/>
  <c r="D1691" i="9"/>
  <c r="D1692" i="9"/>
  <c r="D1693" i="9"/>
  <c r="D1694" i="9"/>
  <c r="D1695" i="9"/>
  <c r="D1696" i="9"/>
  <c r="D1697" i="9"/>
  <c r="D1698" i="9"/>
  <c r="D1699" i="9"/>
  <c r="D1700" i="9"/>
  <c r="D1701" i="9"/>
  <c r="D1702" i="9"/>
  <c r="D1703" i="9"/>
  <c r="D1704" i="9"/>
  <c r="D1705" i="9"/>
  <c r="D1706" i="9"/>
  <c r="D1707" i="9"/>
  <c r="D1708" i="9"/>
  <c r="D1709" i="9"/>
  <c r="D1710" i="9"/>
  <c r="D1711" i="9"/>
  <c r="D1712" i="9"/>
  <c r="D1713" i="9"/>
  <c r="D1714" i="9"/>
  <c r="D1715" i="9"/>
  <c r="D1716" i="9"/>
  <c r="D1717" i="9"/>
  <c r="D1718" i="9"/>
  <c r="D1719" i="9"/>
  <c r="D1720" i="9"/>
  <c r="D1721" i="9"/>
  <c r="D1722" i="9"/>
  <c r="D1723" i="9"/>
  <c r="D1724" i="9"/>
  <c r="D1725" i="9"/>
  <c r="D1726" i="9"/>
  <c r="D1727" i="9"/>
  <c r="D1728" i="9"/>
  <c r="D1729" i="9"/>
  <c r="D1730" i="9"/>
  <c r="D1731" i="9"/>
  <c r="D1732" i="9"/>
  <c r="D1733" i="9"/>
  <c r="D1734" i="9"/>
  <c r="D1735" i="9"/>
  <c r="D1736" i="9"/>
  <c r="D1737" i="9"/>
  <c r="D1738" i="9"/>
  <c r="D1739" i="9"/>
  <c r="D1740" i="9"/>
  <c r="D1741" i="9"/>
  <c r="D1742" i="9"/>
  <c r="D1743" i="9"/>
  <c r="D1744" i="9"/>
  <c r="D1745" i="9"/>
  <c r="D1746" i="9"/>
  <c r="D1747" i="9"/>
  <c r="D1748" i="9"/>
  <c r="D1749" i="9"/>
  <c r="D1750" i="9"/>
  <c r="D1751" i="9"/>
  <c r="D1752" i="9"/>
  <c r="D1753" i="9"/>
  <c r="D1754" i="9"/>
  <c r="D1755" i="9"/>
  <c r="D1756" i="9"/>
  <c r="D1757" i="9"/>
  <c r="D1758" i="9"/>
  <c r="D1759" i="9"/>
  <c r="D1760" i="9"/>
  <c r="D1761" i="9"/>
  <c r="D1762" i="9"/>
  <c r="D1763" i="9"/>
  <c r="D1764" i="9"/>
  <c r="D1765" i="9"/>
  <c r="D1766" i="9"/>
  <c r="D1767" i="9"/>
  <c r="D1768" i="9"/>
  <c r="D1769" i="9"/>
  <c r="D1770" i="9"/>
  <c r="D1771" i="9"/>
  <c r="D1772" i="9"/>
  <c r="D1773" i="9"/>
  <c r="D1774" i="9"/>
  <c r="D1775" i="9"/>
  <c r="D1776" i="9"/>
  <c r="D1777" i="9"/>
  <c r="D1778" i="9"/>
  <c r="D1779" i="9"/>
  <c r="D1780" i="9"/>
  <c r="D1781" i="9"/>
  <c r="D1782" i="9"/>
  <c r="D1783" i="9"/>
  <c r="D1784" i="9"/>
  <c r="D1785" i="9"/>
  <c r="D1786" i="9"/>
  <c r="D1787" i="9"/>
  <c r="D1788" i="9"/>
  <c r="D1789" i="9"/>
  <c r="D1790" i="9"/>
  <c r="D1791" i="9"/>
  <c r="D1792" i="9"/>
  <c r="D1793" i="9"/>
  <c r="D1794" i="9"/>
  <c r="D1795" i="9"/>
  <c r="D1796" i="9"/>
  <c r="D1797" i="9"/>
  <c r="D1798" i="9"/>
  <c r="D1799" i="9"/>
  <c r="D1800" i="9"/>
  <c r="D1801" i="9"/>
  <c r="D1802" i="9"/>
  <c r="D1803" i="9"/>
  <c r="D1804" i="9"/>
  <c r="D1805" i="9"/>
  <c r="D1806" i="9"/>
  <c r="D1807" i="9"/>
  <c r="D1808" i="9"/>
  <c r="D1809" i="9"/>
  <c r="D1810" i="9"/>
  <c r="D1811" i="9"/>
  <c r="D1812" i="9"/>
  <c r="D1813" i="9"/>
  <c r="D1814" i="9"/>
  <c r="D1815" i="9"/>
  <c r="D1816" i="9"/>
  <c r="D1817" i="9"/>
  <c r="D1818" i="9"/>
  <c r="D1819" i="9"/>
  <c r="D1820" i="9"/>
  <c r="D1821" i="9"/>
  <c r="D1822" i="9"/>
  <c r="D1823" i="9"/>
  <c r="D1824" i="9"/>
  <c r="D1825" i="9"/>
  <c r="D1826" i="9"/>
  <c r="D1827" i="9"/>
  <c r="D1828" i="9"/>
  <c r="D1829" i="9"/>
  <c r="D1830" i="9"/>
  <c r="D1831" i="9"/>
  <c r="D1832" i="9"/>
  <c r="D1833" i="9"/>
  <c r="D1834" i="9"/>
  <c r="D1835" i="9"/>
  <c r="D1836" i="9"/>
  <c r="D1837" i="9"/>
  <c r="D1838" i="9"/>
  <c r="D1839" i="9"/>
  <c r="D1840" i="9"/>
  <c r="D1841" i="9"/>
  <c r="D1842" i="9"/>
  <c r="D1843" i="9"/>
  <c r="D1844" i="9"/>
  <c r="D1845" i="9"/>
  <c r="D1846" i="9"/>
  <c r="D1847" i="9"/>
  <c r="D1848" i="9"/>
  <c r="D1849" i="9"/>
  <c r="D1850" i="9"/>
  <c r="D1851" i="9"/>
  <c r="D1852" i="9"/>
  <c r="D1853" i="9"/>
  <c r="D1854" i="9"/>
  <c r="D1855" i="9"/>
  <c r="D1856" i="9"/>
  <c r="D1857" i="9"/>
  <c r="D1858" i="9"/>
  <c r="D1859" i="9"/>
  <c r="D1860" i="9"/>
  <c r="D1861" i="9"/>
  <c r="D1862" i="9"/>
  <c r="D1863" i="9"/>
  <c r="D1864" i="9"/>
  <c r="D1865" i="9"/>
  <c r="D1866" i="9"/>
  <c r="D1867" i="9"/>
  <c r="D1868" i="9"/>
  <c r="D1869" i="9"/>
  <c r="D1870" i="9"/>
  <c r="D1871" i="9"/>
  <c r="D1872" i="9"/>
  <c r="D1873" i="9"/>
  <c r="D1874" i="9"/>
  <c r="D1875" i="9"/>
  <c r="D1876" i="9"/>
  <c r="D1877" i="9"/>
  <c r="D1878" i="9"/>
  <c r="D1879" i="9"/>
  <c r="D1880" i="9"/>
  <c r="D1881" i="9"/>
  <c r="D1882" i="9"/>
  <c r="D1883" i="9"/>
  <c r="D1884" i="9"/>
  <c r="D1885" i="9"/>
  <c r="D1886" i="9"/>
  <c r="D1887" i="9"/>
  <c r="D1888" i="9"/>
  <c r="D1889" i="9"/>
  <c r="D1890" i="9"/>
  <c r="D1891" i="9"/>
  <c r="D1892" i="9"/>
  <c r="D1893" i="9"/>
  <c r="D1894" i="9"/>
  <c r="D1895" i="9"/>
  <c r="D1896" i="9"/>
  <c r="D1897" i="9"/>
  <c r="D1898" i="9"/>
  <c r="D1899" i="9"/>
  <c r="D1900" i="9"/>
  <c r="D1901" i="9"/>
  <c r="D1902" i="9"/>
  <c r="D1903" i="9"/>
  <c r="D1904" i="9"/>
  <c r="D1905" i="9"/>
  <c r="D1906" i="9"/>
  <c r="D1907" i="9"/>
  <c r="D1908" i="9"/>
  <c r="D1909" i="9"/>
  <c r="D1910" i="9"/>
  <c r="D1911" i="9"/>
  <c r="D1912" i="9"/>
  <c r="D1913" i="9"/>
  <c r="D1914" i="9"/>
  <c r="D1915" i="9"/>
  <c r="D1916" i="9"/>
  <c r="D1917" i="9"/>
  <c r="D1918" i="9"/>
  <c r="D1919" i="9"/>
  <c r="D1920" i="9"/>
  <c r="D1921" i="9"/>
  <c r="D1922" i="9"/>
  <c r="D1923" i="9"/>
  <c r="D4" i="9"/>
  <c r="K90" i="8" l="1"/>
  <c r="K91" i="8"/>
  <c r="K110" i="8" l="1"/>
  <c r="K109" i="8"/>
  <c r="K108" i="8"/>
  <c r="K107" i="8"/>
  <c r="K106" i="8"/>
  <c r="K105" i="8"/>
  <c r="K104" i="8"/>
  <c r="K103" i="8"/>
  <c r="K102" i="8"/>
  <c r="K101" i="8"/>
  <c r="K100" i="8"/>
  <c r="K99" i="8"/>
  <c r="K98" i="8"/>
  <c r="K97" i="8"/>
  <c r="K96" i="8"/>
  <c r="K95" i="8"/>
  <c r="K94" i="8"/>
  <c r="K93" i="8"/>
  <c r="K92" i="8"/>
  <c r="C642" i="9"/>
  <c r="C643" i="9"/>
  <c r="C644" i="9"/>
  <c r="C645" i="9"/>
  <c r="C646" i="9"/>
  <c r="C647" i="9"/>
  <c r="C648" i="9"/>
  <c r="C649" i="9"/>
  <c r="C650" i="9"/>
  <c r="C651" i="9"/>
  <c r="C652" i="9"/>
  <c r="C653" i="9"/>
  <c r="C654" i="9"/>
  <c r="C655" i="9"/>
  <c r="C656" i="9"/>
  <c r="C657" i="9"/>
  <c r="C658" i="9"/>
  <c r="C659" i="9"/>
  <c r="C660" i="9"/>
  <c r="C661" i="9"/>
  <c r="C662" i="9"/>
  <c r="C663" i="9"/>
  <c r="C664" i="9"/>
  <c r="C665" i="9"/>
  <c r="C666" i="9"/>
  <c r="C667" i="9"/>
  <c r="C668" i="9"/>
  <c r="C669" i="9"/>
  <c r="C670" i="9"/>
  <c r="C671" i="9"/>
  <c r="C672" i="9"/>
  <c r="C673" i="9"/>
  <c r="C674" i="9"/>
  <c r="C675" i="9"/>
  <c r="C676" i="9"/>
  <c r="C677" i="9"/>
  <c r="C678" i="9"/>
  <c r="C679" i="9"/>
  <c r="C680" i="9"/>
  <c r="C681" i="9"/>
  <c r="C682" i="9"/>
  <c r="C683" i="9"/>
  <c r="C684" i="9"/>
  <c r="C685" i="9"/>
  <c r="C686" i="9"/>
  <c r="C687" i="9"/>
  <c r="C688" i="9"/>
  <c r="C689" i="9"/>
  <c r="C690" i="9"/>
  <c r="C691" i="9"/>
  <c r="C692" i="9"/>
  <c r="C693" i="9"/>
  <c r="C694" i="9"/>
  <c r="C695" i="9"/>
  <c r="C696" i="9"/>
  <c r="C697" i="9"/>
  <c r="C698" i="9"/>
  <c r="C699" i="9"/>
  <c r="C700" i="9"/>
  <c r="C701" i="9"/>
  <c r="C702" i="9"/>
  <c r="C703" i="9"/>
  <c r="C704" i="9"/>
  <c r="C705" i="9"/>
  <c r="C706" i="9"/>
  <c r="C707" i="9"/>
  <c r="C708" i="9"/>
  <c r="C709" i="9"/>
  <c r="C710" i="9"/>
  <c r="C711" i="9"/>
  <c r="C712" i="9"/>
  <c r="C713" i="9"/>
  <c r="C714" i="9"/>
  <c r="C715" i="9"/>
  <c r="C716" i="9"/>
  <c r="C717" i="9"/>
  <c r="C718" i="9"/>
  <c r="C719" i="9"/>
  <c r="C720" i="9"/>
  <c r="C721" i="9"/>
  <c r="C722" i="9"/>
  <c r="C723" i="9"/>
  <c r="C724" i="9"/>
  <c r="C725" i="9"/>
  <c r="C726" i="9"/>
  <c r="C727" i="9"/>
  <c r="C728" i="9"/>
  <c r="C729" i="9"/>
  <c r="C730" i="9"/>
  <c r="C731" i="9"/>
  <c r="C732" i="9"/>
  <c r="C733" i="9"/>
  <c r="C734" i="9"/>
  <c r="C735" i="9"/>
  <c r="C736" i="9"/>
  <c r="C737" i="9"/>
  <c r="C738" i="9"/>
  <c r="C739" i="9"/>
  <c r="C740" i="9"/>
  <c r="C741" i="9"/>
  <c r="C742" i="9"/>
  <c r="C743" i="9"/>
  <c r="C744" i="9"/>
  <c r="C745" i="9"/>
  <c r="C746" i="9"/>
  <c r="C747" i="9"/>
  <c r="C748" i="9"/>
  <c r="C749" i="9"/>
  <c r="C750" i="9"/>
  <c r="C751" i="9"/>
  <c r="C752" i="9"/>
  <c r="C753" i="9"/>
  <c r="C754" i="9"/>
  <c r="C755" i="9"/>
  <c r="C756" i="9"/>
  <c r="C757" i="9"/>
  <c r="C758" i="9"/>
  <c r="C759" i="9"/>
  <c r="C760" i="9"/>
  <c r="C761" i="9"/>
  <c r="C762" i="9"/>
  <c r="C763" i="9"/>
  <c r="C764" i="9"/>
  <c r="C765" i="9"/>
  <c r="C766" i="9"/>
  <c r="C767" i="9"/>
  <c r="C768" i="9"/>
  <c r="C769" i="9"/>
  <c r="C770" i="9"/>
  <c r="C771" i="9"/>
  <c r="C772" i="9"/>
  <c r="C773" i="9"/>
  <c r="C774" i="9"/>
  <c r="C775" i="9"/>
  <c r="C776" i="9"/>
  <c r="C777" i="9"/>
  <c r="C778" i="9"/>
  <c r="C779" i="9"/>
  <c r="C780" i="9"/>
  <c r="C781" i="9"/>
  <c r="C782" i="9"/>
  <c r="C783" i="9"/>
  <c r="C784" i="9"/>
  <c r="C785" i="9"/>
  <c r="C786" i="9"/>
  <c r="C787" i="9"/>
  <c r="C788" i="9"/>
  <c r="C789" i="9"/>
  <c r="C790" i="9"/>
  <c r="C791" i="9"/>
  <c r="C792" i="9"/>
  <c r="C793" i="9"/>
  <c r="C794" i="9"/>
  <c r="C795" i="9"/>
  <c r="C796" i="9"/>
  <c r="C797" i="9"/>
  <c r="C798" i="9"/>
  <c r="C799" i="9"/>
  <c r="C800" i="9"/>
  <c r="C801" i="9"/>
  <c r="C802" i="9"/>
  <c r="C803" i="9"/>
  <c r="C804" i="9"/>
  <c r="C805" i="9"/>
  <c r="C806" i="9"/>
  <c r="C807" i="9"/>
  <c r="C808" i="9"/>
  <c r="C809" i="9"/>
  <c r="C810" i="9"/>
  <c r="C811" i="9"/>
  <c r="C812" i="9"/>
  <c r="C813" i="9"/>
  <c r="C814" i="9"/>
  <c r="C815" i="9"/>
  <c r="C816" i="9"/>
  <c r="C817" i="9"/>
  <c r="C818" i="9"/>
  <c r="C819" i="9"/>
  <c r="C820" i="9"/>
  <c r="C821" i="9"/>
  <c r="C822" i="9"/>
  <c r="C823" i="9"/>
  <c r="C824" i="9"/>
  <c r="C825" i="9"/>
  <c r="C826" i="9"/>
  <c r="C827" i="9"/>
  <c r="C828" i="9"/>
  <c r="C829" i="9"/>
  <c r="C830" i="9"/>
  <c r="C831" i="9"/>
  <c r="C832" i="9"/>
  <c r="C833" i="9"/>
  <c r="C834" i="9"/>
  <c r="C835" i="9"/>
  <c r="C836" i="9"/>
  <c r="C837" i="9"/>
  <c r="C838" i="9"/>
  <c r="C839" i="9"/>
  <c r="C840" i="9"/>
  <c r="C841" i="9"/>
  <c r="C842" i="9"/>
  <c r="C843" i="9"/>
  <c r="C844" i="9"/>
  <c r="C845" i="9"/>
  <c r="C846" i="9"/>
  <c r="C847" i="9"/>
  <c r="C848" i="9"/>
  <c r="C849" i="9"/>
  <c r="C850" i="9"/>
  <c r="C851" i="9"/>
  <c r="C852" i="9"/>
  <c r="C853" i="9"/>
  <c r="C854" i="9"/>
  <c r="C855" i="9"/>
  <c r="C856" i="9"/>
  <c r="C857" i="9"/>
  <c r="C858" i="9"/>
  <c r="C859" i="9"/>
  <c r="C860" i="9"/>
  <c r="C861" i="9"/>
  <c r="C862" i="9"/>
  <c r="C863" i="9"/>
  <c r="C864" i="9"/>
  <c r="C865" i="9"/>
  <c r="C866" i="9"/>
  <c r="C867" i="9"/>
  <c r="C868" i="9"/>
  <c r="C869" i="9"/>
  <c r="C870" i="9"/>
  <c r="C871" i="9"/>
  <c r="C872" i="9"/>
  <c r="C873" i="9"/>
  <c r="C874" i="9"/>
  <c r="C875" i="9"/>
  <c r="C876" i="9"/>
  <c r="C877" i="9"/>
  <c r="C878" i="9"/>
  <c r="C879" i="9"/>
  <c r="C880" i="9"/>
  <c r="C881" i="9"/>
  <c r="C882" i="9"/>
  <c r="C883" i="9"/>
  <c r="C884" i="9"/>
  <c r="C885" i="9"/>
  <c r="C886" i="9"/>
  <c r="C887" i="9"/>
  <c r="C888" i="9"/>
  <c r="C889" i="9"/>
  <c r="C890" i="9"/>
  <c r="C891" i="9"/>
  <c r="C892" i="9"/>
  <c r="C893" i="9"/>
  <c r="C894" i="9"/>
  <c r="C895" i="9"/>
  <c r="C896" i="9"/>
  <c r="C897" i="9"/>
  <c r="C898" i="9"/>
  <c r="C899" i="9"/>
  <c r="C900" i="9"/>
  <c r="C901" i="9"/>
  <c r="C902" i="9"/>
  <c r="C903" i="9"/>
  <c r="C904" i="9"/>
  <c r="C905" i="9"/>
  <c r="C906" i="9"/>
  <c r="C907" i="9"/>
  <c r="C908" i="9"/>
  <c r="C909" i="9"/>
  <c r="C910" i="9"/>
  <c r="C911" i="9"/>
  <c r="C912" i="9"/>
  <c r="C913" i="9"/>
  <c r="C914" i="9"/>
  <c r="C915" i="9"/>
  <c r="C916" i="9"/>
  <c r="C917" i="9"/>
  <c r="C918" i="9"/>
  <c r="C919" i="9"/>
  <c r="C920" i="9"/>
  <c r="C921" i="9"/>
  <c r="C922" i="9"/>
  <c r="C923" i="9"/>
  <c r="C924" i="9"/>
  <c r="C925" i="9"/>
  <c r="C926" i="9"/>
  <c r="C927" i="9"/>
  <c r="C928" i="9"/>
  <c r="C929" i="9"/>
  <c r="C930" i="9"/>
  <c r="C931" i="9"/>
  <c r="C932" i="9"/>
  <c r="C933" i="9"/>
  <c r="C934" i="9"/>
  <c r="C935" i="9"/>
  <c r="C936" i="9"/>
  <c r="C937" i="9"/>
  <c r="C938" i="9"/>
  <c r="C939" i="9"/>
  <c r="C940" i="9"/>
  <c r="C941" i="9"/>
  <c r="C942" i="9"/>
  <c r="C943" i="9"/>
  <c r="C944" i="9"/>
  <c r="C945" i="9"/>
  <c r="C946" i="9"/>
  <c r="C947" i="9"/>
  <c r="C948" i="9"/>
  <c r="C949" i="9"/>
  <c r="C950" i="9"/>
  <c r="C951" i="9"/>
  <c r="C952" i="9"/>
  <c r="C953" i="9"/>
  <c r="C954" i="9"/>
  <c r="C955" i="9"/>
  <c r="C956" i="9"/>
  <c r="C957" i="9"/>
  <c r="C958" i="9"/>
  <c r="C959" i="9"/>
  <c r="C960" i="9"/>
  <c r="C961" i="9"/>
  <c r="C962" i="9"/>
  <c r="C963" i="9"/>
  <c r="C964" i="9"/>
  <c r="C965" i="9"/>
  <c r="C966" i="9"/>
  <c r="C967" i="9"/>
  <c r="C968" i="9"/>
  <c r="C969" i="9"/>
  <c r="C970" i="9"/>
  <c r="C971" i="9"/>
  <c r="C972" i="9"/>
  <c r="C973" i="9"/>
  <c r="C974" i="9"/>
  <c r="C975" i="9"/>
  <c r="C976" i="9"/>
  <c r="C977" i="9"/>
  <c r="C978" i="9"/>
  <c r="C979" i="9"/>
  <c r="C980" i="9"/>
  <c r="C981" i="9"/>
  <c r="C982" i="9"/>
  <c r="C983" i="9"/>
  <c r="C984" i="9"/>
  <c r="C985" i="9"/>
  <c r="C986" i="9"/>
  <c r="C987" i="9"/>
  <c r="C988" i="9"/>
  <c r="C989" i="9"/>
  <c r="C990" i="9"/>
  <c r="C991" i="9"/>
  <c r="C992" i="9"/>
  <c r="C993" i="9"/>
  <c r="C994" i="9"/>
  <c r="C995" i="9"/>
  <c r="C996" i="9"/>
  <c r="C997" i="9"/>
  <c r="C998" i="9"/>
  <c r="C999" i="9"/>
  <c r="C1000" i="9"/>
  <c r="C1001" i="9"/>
  <c r="C1002" i="9"/>
  <c r="C1003" i="9"/>
  <c r="C1004" i="9"/>
  <c r="C1005" i="9"/>
  <c r="C1006" i="9"/>
  <c r="C1007" i="9"/>
  <c r="C1008" i="9"/>
  <c r="C1009" i="9"/>
  <c r="C1010" i="9"/>
  <c r="C1011" i="9"/>
  <c r="C1012" i="9"/>
  <c r="C1013" i="9"/>
  <c r="C1014" i="9"/>
  <c r="C1015" i="9"/>
  <c r="C1016" i="9"/>
  <c r="C1017" i="9"/>
  <c r="C1018" i="9"/>
  <c r="C1019" i="9"/>
  <c r="C1020" i="9"/>
  <c r="C1021" i="9"/>
  <c r="C1022" i="9"/>
  <c r="C1023" i="9"/>
  <c r="C1024" i="9"/>
  <c r="C1025" i="9"/>
  <c r="C1026" i="9"/>
  <c r="C1027" i="9"/>
  <c r="C1028" i="9"/>
  <c r="C1029" i="9"/>
  <c r="C1030" i="9"/>
  <c r="C1031" i="9"/>
  <c r="C1032" i="9"/>
  <c r="C1033" i="9"/>
  <c r="C1034" i="9"/>
  <c r="C1035" i="9"/>
  <c r="C1036" i="9"/>
  <c r="C1037" i="9"/>
  <c r="C1038" i="9"/>
  <c r="C1039" i="9"/>
  <c r="C1040" i="9"/>
  <c r="C1041" i="9"/>
  <c r="C1042" i="9"/>
  <c r="C1043" i="9"/>
  <c r="C1044" i="9"/>
  <c r="C1045" i="9"/>
  <c r="C1046" i="9"/>
  <c r="C1047" i="9"/>
  <c r="C1048" i="9"/>
  <c r="C1049" i="9"/>
  <c r="C1050" i="9"/>
  <c r="C1051" i="9"/>
  <c r="C1052" i="9"/>
  <c r="C1053" i="9"/>
  <c r="C1054" i="9"/>
  <c r="C1055" i="9"/>
  <c r="C1056" i="9"/>
  <c r="C1057" i="9"/>
  <c r="C1058" i="9"/>
  <c r="C1059" i="9"/>
  <c r="C1060" i="9"/>
  <c r="C1061" i="9"/>
  <c r="C1062" i="9"/>
  <c r="C1063" i="9"/>
  <c r="C1064" i="9"/>
  <c r="C1065" i="9"/>
  <c r="C1066" i="9"/>
  <c r="C1067" i="9"/>
  <c r="C1068" i="9"/>
  <c r="C1069" i="9"/>
  <c r="C1070" i="9"/>
  <c r="C1071" i="9"/>
  <c r="C1072" i="9"/>
  <c r="C1073" i="9"/>
  <c r="C1074" i="9"/>
  <c r="C1075" i="9"/>
  <c r="C1076" i="9"/>
  <c r="C1077" i="9"/>
  <c r="C1078" i="9"/>
  <c r="C1079" i="9"/>
  <c r="C1080" i="9"/>
  <c r="C1081" i="9"/>
  <c r="C1082" i="9"/>
  <c r="C1083" i="9"/>
  <c r="C1084" i="9"/>
  <c r="C1085" i="9"/>
  <c r="C1086" i="9"/>
  <c r="C1087" i="9"/>
  <c r="C1088" i="9"/>
  <c r="C1089" i="9"/>
  <c r="C1090" i="9"/>
  <c r="C1091" i="9"/>
  <c r="C1092" i="9"/>
  <c r="C1093" i="9"/>
  <c r="C1094" i="9"/>
  <c r="C1095" i="9"/>
  <c r="C1096" i="9"/>
  <c r="C1097" i="9"/>
  <c r="C1098" i="9"/>
  <c r="C1099" i="9"/>
  <c r="C1100" i="9"/>
  <c r="C1101" i="9"/>
  <c r="C1102" i="9"/>
  <c r="C1103" i="9"/>
  <c r="C1104" i="9"/>
  <c r="C1105" i="9"/>
  <c r="C1106" i="9"/>
  <c r="C1107" i="9"/>
  <c r="C1108" i="9"/>
  <c r="C1109" i="9"/>
  <c r="C1110" i="9"/>
  <c r="C1111" i="9"/>
  <c r="C1112" i="9"/>
  <c r="C1113" i="9"/>
  <c r="C1114" i="9"/>
  <c r="C1115" i="9"/>
  <c r="C1116" i="9"/>
  <c r="C1117" i="9"/>
  <c r="C1118" i="9"/>
  <c r="C1119" i="9"/>
  <c r="C1120" i="9"/>
  <c r="C1121" i="9"/>
  <c r="C1122" i="9"/>
  <c r="C1123" i="9"/>
  <c r="C1124" i="9"/>
  <c r="C1125" i="9"/>
  <c r="C1126" i="9"/>
  <c r="C1127" i="9"/>
  <c r="C1128" i="9"/>
  <c r="C1129" i="9"/>
  <c r="C1130" i="9"/>
  <c r="C1131" i="9"/>
  <c r="C1132" i="9"/>
  <c r="C1133" i="9"/>
  <c r="C1134" i="9"/>
  <c r="C1135" i="9"/>
  <c r="C1136" i="9"/>
  <c r="C1137" i="9"/>
  <c r="C1138" i="9"/>
  <c r="C1139" i="9"/>
  <c r="C1140" i="9"/>
  <c r="C1141" i="9"/>
  <c r="C1142" i="9"/>
  <c r="C1143" i="9"/>
  <c r="C1144" i="9"/>
  <c r="C1145" i="9"/>
  <c r="C1146" i="9"/>
  <c r="C1147" i="9"/>
  <c r="C1148" i="9"/>
  <c r="C1149" i="9"/>
  <c r="C1150" i="9"/>
  <c r="C1151" i="9"/>
  <c r="C1152" i="9"/>
  <c r="C1153" i="9"/>
  <c r="C1154" i="9"/>
  <c r="C1155" i="9"/>
  <c r="C1156" i="9"/>
  <c r="C1157" i="9"/>
  <c r="C1158" i="9"/>
  <c r="C1159" i="9"/>
  <c r="C1160" i="9"/>
  <c r="C1161" i="9"/>
  <c r="C1162" i="9"/>
  <c r="C1163" i="9"/>
  <c r="C1164" i="9"/>
  <c r="C1165" i="9"/>
  <c r="C1166" i="9"/>
  <c r="C1167" i="9"/>
  <c r="C1168" i="9"/>
  <c r="C1169" i="9"/>
  <c r="C1170" i="9"/>
  <c r="C1171" i="9"/>
  <c r="C1172" i="9"/>
  <c r="C1173" i="9"/>
  <c r="C1174" i="9"/>
  <c r="C1175" i="9"/>
  <c r="C1176" i="9"/>
  <c r="C1177" i="9"/>
  <c r="C1178" i="9"/>
  <c r="C1179" i="9"/>
  <c r="C1180" i="9"/>
  <c r="C1181" i="9"/>
  <c r="C1182" i="9"/>
  <c r="C1183" i="9"/>
  <c r="C1184" i="9"/>
  <c r="C1185" i="9"/>
  <c r="C1186" i="9"/>
  <c r="C1187" i="9"/>
  <c r="C1188" i="9"/>
  <c r="C1189" i="9"/>
  <c r="C1190" i="9"/>
  <c r="C1191" i="9"/>
  <c r="C1192" i="9"/>
  <c r="C1193" i="9"/>
  <c r="C1194" i="9"/>
  <c r="C1195" i="9"/>
  <c r="C1196" i="9"/>
  <c r="C1197" i="9"/>
  <c r="C1198" i="9"/>
  <c r="C1199" i="9"/>
  <c r="C1200" i="9"/>
  <c r="C1201" i="9"/>
  <c r="C1202" i="9"/>
  <c r="C1203" i="9"/>
  <c r="C1204" i="9"/>
  <c r="C1205" i="9"/>
  <c r="C1206" i="9"/>
  <c r="C1207" i="9"/>
  <c r="C1208" i="9"/>
  <c r="C1209" i="9"/>
  <c r="C1210" i="9"/>
  <c r="C1211" i="9"/>
  <c r="C1212" i="9"/>
  <c r="C1213" i="9"/>
  <c r="C1214" i="9"/>
  <c r="C1215" i="9"/>
  <c r="C1216" i="9"/>
  <c r="C1217" i="9"/>
  <c r="C1218" i="9"/>
  <c r="C1219" i="9"/>
  <c r="C1220" i="9"/>
  <c r="C1221" i="9"/>
  <c r="C1222" i="9"/>
  <c r="C1223" i="9"/>
  <c r="C1224" i="9"/>
  <c r="C1225" i="9"/>
  <c r="C1226" i="9"/>
  <c r="C1227" i="9"/>
  <c r="C1228" i="9"/>
  <c r="C1229" i="9"/>
  <c r="C1230" i="9"/>
  <c r="C1231" i="9"/>
  <c r="C1232" i="9"/>
  <c r="C1233" i="9"/>
  <c r="C1234" i="9"/>
  <c r="C1235" i="9"/>
  <c r="C1236" i="9"/>
  <c r="C1237" i="9"/>
  <c r="C1238" i="9"/>
  <c r="C1239" i="9"/>
  <c r="C1240" i="9"/>
  <c r="C1241" i="9"/>
  <c r="C1242" i="9"/>
  <c r="C1243" i="9"/>
  <c r="C1244" i="9"/>
  <c r="C1245" i="9"/>
  <c r="C1246" i="9"/>
  <c r="C1247" i="9"/>
  <c r="C1248" i="9"/>
  <c r="C1249" i="9"/>
  <c r="C1250" i="9"/>
  <c r="C1251" i="9"/>
  <c r="C1252" i="9"/>
  <c r="C1253" i="9"/>
  <c r="C1254" i="9"/>
  <c r="C1255" i="9"/>
  <c r="C1256" i="9"/>
  <c r="C1257" i="9"/>
  <c r="C1258" i="9"/>
  <c r="C1259" i="9"/>
  <c r="C1260" i="9"/>
  <c r="C1261" i="9"/>
  <c r="C1262" i="9"/>
  <c r="C1263" i="9"/>
  <c r="C1264" i="9"/>
  <c r="C1265" i="9"/>
  <c r="C1266" i="9"/>
  <c r="C1267" i="9"/>
  <c r="C1268" i="9"/>
  <c r="C1269" i="9"/>
  <c r="C1270" i="9"/>
  <c r="C1271" i="9"/>
  <c r="C1272" i="9"/>
  <c r="C1273" i="9"/>
  <c r="C1274" i="9"/>
  <c r="C1275" i="9"/>
  <c r="C1276" i="9"/>
  <c r="C1277" i="9"/>
  <c r="C1278" i="9"/>
  <c r="C1279" i="9"/>
  <c r="C1280" i="9"/>
  <c r="C1281" i="9"/>
  <c r="C1282" i="9"/>
  <c r="C1283" i="9"/>
  <c r="C1284" i="9"/>
  <c r="C1285" i="9"/>
  <c r="C1286" i="9"/>
  <c r="C1287" i="9"/>
  <c r="C1288" i="9"/>
  <c r="C1289" i="9"/>
  <c r="C1290" i="9"/>
  <c r="C1291" i="9"/>
  <c r="C1292" i="9"/>
  <c r="C1293" i="9"/>
  <c r="C1294" i="9"/>
  <c r="C1295" i="9"/>
  <c r="C1296" i="9"/>
  <c r="C1297" i="9"/>
  <c r="C1298" i="9"/>
  <c r="C1299" i="9"/>
  <c r="C1300" i="9"/>
  <c r="C1301" i="9"/>
  <c r="C1302" i="9"/>
  <c r="C1303" i="9"/>
  <c r="C1304" i="9"/>
  <c r="C1305" i="9"/>
  <c r="C1306" i="9"/>
  <c r="C1307" i="9"/>
  <c r="C1308" i="9"/>
  <c r="C1309" i="9"/>
  <c r="C1310" i="9"/>
  <c r="C1311" i="9"/>
  <c r="C1312" i="9"/>
  <c r="C1313" i="9"/>
  <c r="C1314" i="9"/>
  <c r="C1315" i="9"/>
  <c r="C1316" i="9"/>
  <c r="C1317" i="9"/>
  <c r="C1318" i="9"/>
  <c r="C1319" i="9"/>
  <c r="C1320" i="9"/>
  <c r="C1321" i="9"/>
  <c r="C1322" i="9"/>
  <c r="C1323" i="9"/>
  <c r="C1324" i="9"/>
  <c r="C1325" i="9"/>
  <c r="C1326" i="9"/>
  <c r="C1327" i="9"/>
  <c r="C1328" i="9"/>
  <c r="C1329" i="9"/>
  <c r="C1330" i="9"/>
  <c r="C1331" i="9"/>
  <c r="C1332" i="9"/>
  <c r="C1333" i="9"/>
  <c r="C1334" i="9"/>
  <c r="C1335" i="9"/>
  <c r="C1336" i="9"/>
  <c r="C1337" i="9"/>
  <c r="C1338" i="9"/>
  <c r="C1339" i="9"/>
  <c r="C1340" i="9"/>
  <c r="C1341" i="9"/>
  <c r="C1342" i="9"/>
  <c r="C1343" i="9"/>
  <c r="C1344" i="9"/>
  <c r="C1345" i="9"/>
  <c r="C1346" i="9"/>
  <c r="C1347" i="9"/>
  <c r="C1348" i="9"/>
  <c r="C1349" i="9"/>
  <c r="C1350" i="9"/>
  <c r="C1351" i="9"/>
  <c r="C1352" i="9"/>
  <c r="C1353" i="9"/>
  <c r="C1354" i="9"/>
  <c r="C1355" i="9"/>
  <c r="C1356" i="9"/>
  <c r="C1357" i="9"/>
  <c r="C1358" i="9"/>
  <c r="C1359" i="9"/>
  <c r="C1360" i="9"/>
  <c r="C1361" i="9"/>
  <c r="C1362" i="9"/>
  <c r="C1363" i="9"/>
  <c r="C1364" i="9"/>
  <c r="C1365" i="9"/>
  <c r="C1366" i="9"/>
  <c r="C1367" i="9"/>
  <c r="C1368" i="9"/>
  <c r="C1369" i="9"/>
  <c r="C1370" i="9"/>
  <c r="C1371" i="9"/>
  <c r="C1372" i="9"/>
  <c r="C1373" i="9"/>
  <c r="C1374" i="9"/>
  <c r="C1375" i="9"/>
  <c r="C1376" i="9"/>
  <c r="C1377" i="9"/>
  <c r="C1378" i="9"/>
  <c r="C1379" i="9"/>
  <c r="C1380" i="9"/>
  <c r="C1381" i="9"/>
  <c r="C1382" i="9"/>
  <c r="C1383" i="9"/>
  <c r="C1384" i="9"/>
  <c r="C1385" i="9"/>
  <c r="C1386" i="9"/>
  <c r="C1387" i="9"/>
  <c r="C1388" i="9"/>
  <c r="C1389" i="9"/>
  <c r="C1390" i="9"/>
  <c r="C1391" i="9"/>
  <c r="C1392" i="9"/>
  <c r="C1393" i="9"/>
  <c r="C1394" i="9"/>
  <c r="C1395" i="9"/>
  <c r="C1396" i="9"/>
  <c r="C1397" i="9"/>
  <c r="C1398" i="9"/>
  <c r="C1399" i="9"/>
  <c r="C1400" i="9"/>
  <c r="C1401" i="9"/>
  <c r="C1402" i="9"/>
  <c r="C1403" i="9"/>
  <c r="C1404" i="9"/>
  <c r="C1405" i="9"/>
  <c r="C1406" i="9"/>
  <c r="C1407" i="9"/>
  <c r="C1408" i="9"/>
  <c r="C1409" i="9"/>
  <c r="C1410" i="9"/>
  <c r="C1411" i="9"/>
  <c r="C1412" i="9"/>
  <c r="C1413" i="9"/>
  <c r="C1414" i="9"/>
  <c r="C1415" i="9"/>
  <c r="C1416" i="9"/>
  <c r="C1417" i="9"/>
  <c r="C1418" i="9"/>
  <c r="C1419" i="9"/>
  <c r="C1420" i="9"/>
  <c r="C1421" i="9"/>
  <c r="C1422" i="9"/>
  <c r="C1423" i="9"/>
  <c r="C1424" i="9"/>
  <c r="C1425" i="9"/>
  <c r="C1426" i="9"/>
  <c r="C1427" i="9"/>
  <c r="C1428" i="9"/>
  <c r="C1429" i="9"/>
  <c r="C1430" i="9"/>
  <c r="C1431" i="9"/>
  <c r="C1432" i="9"/>
  <c r="C1433" i="9"/>
  <c r="C1434" i="9"/>
  <c r="C1435" i="9"/>
  <c r="C1436" i="9"/>
  <c r="C1437" i="9"/>
  <c r="C1438" i="9"/>
  <c r="C1439" i="9"/>
  <c r="C1440" i="9"/>
  <c r="C1441" i="9"/>
  <c r="C1442" i="9"/>
  <c r="C1443" i="9"/>
  <c r="C1444" i="9"/>
  <c r="C1445" i="9"/>
  <c r="C1446" i="9"/>
  <c r="C1447" i="9"/>
  <c r="C1448" i="9"/>
  <c r="C1449" i="9"/>
  <c r="C1450" i="9"/>
  <c r="C1451" i="9"/>
  <c r="C1452" i="9"/>
  <c r="C1453" i="9"/>
  <c r="C1454" i="9"/>
  <c r="C1455" i="9"/>
  <c r="C1456" i="9"/>
  <c r="C1457" i="9"/>
  <c r="C1458" i="9"/>
  <c r="C1459" i="9"/>
  <c r="C1460" i="9"/>
  <c r="C1461" i="9"/>
  <c r="C1462" i="9"/>
  <c r="C1463" i="9"/>
  <c r="C1464" i="9"/>
  <c r="C1465" i="9"/>
  <c r="C1466" i="9"/>
  <c r="C1467" i="9"/>
  <c r="C1468" i="9"/>
  <c r="C1469" i="9"/>
  <c r="C1470" i="9"/>
  <c r="C1471" i="9"/>
  <c r="C1472" i="9"/>
  <c r="C1473" i="9"/>
  <c r="C1474" i="9"/>
  <c r="C1475" i="9"/>
  <c r="C1476" i="9"/>
  <c r="C1477" i="9"/>
  <c r="C1478" i="9"/>
  <c r="C1479" i="9"/>
  <c r="C1480" i="9"/>
  <c r="C1481" i="9"/>
  <c r="C1482" i="9"/>
  <c r="C1483" i="9"/>
  <c r="C1484" i="9"/>
  <c r="C1485" i="9"/>
  <c r="C1486" i="9"/>
  <c r="C1487" i="9"/>
  <c r="C1488" i="9"/>
  <c r="C1489" i="9"/>
  <c r="C1490" i="9"/>
  <c r="C1491" i="9"/>
  <c r="C1492" i="9"/>
  <c r="C1493" i="9"/>
  <c r="C1494" i="9"/>
  <c r="C1495" i="9"/>
  <c r="C1496" i="9"/>
  <c r="C1497" i="9"/>
  <c r="C1498" i="9"/>
  <c r="C1499" i="9"/>
  <c r="C1500" i="9"/>
  <c r="C1501" i="9"/>
  <c r="C1502" i="9"/>
  <c r="C1503" i="9"/>
  <c r="C1504" i="9"/>
  <c r="C1505" i="9"/>
  <c r="C1506" i="9"/>
  <c r="C1507" i="9"/>
  <c r="C1508" i="9"/>
  <c r="C1509" i="9"/>
  <c r="C1510" i="9"/>
  <c r="C1511" i="9"/>
  <c r="C1512" i="9"/>
  <c r="C1513" i="9"/>
  <c r="C1514" i="9"/>
  <c r="C1515" i="9"/>
  <c r="C1516" i="9"/>
  <c r="C1517" i="9"/>
  <c r="C1518" i="9"/>
  <c r="C1519" i="9"/>
  <c r="C1520" i="9"/>
  <c r="C1521" i="9"/>
  <c r="C1522" i="9"/>
  <c r="C1523" i="9"/>
  <c r="C1524" i="9"/>
  <c r="C1525" i="9"/>
  <c r="C1526" i="9"/>
  <c r="C1527" i="9"/>
  <c r="C1528" i="9"/>
  <c r="C1529" i="9"/>
  <c r="C1530" i="9"/>
  <c r="C1531" i="9"/>
  <c r="C1532" i="9"/>
  <c r="C1533" i="9"/>
  <c r="C1534" i="9"/>
  <c r="C1535" i="9"/>
  <c r="C1536" i="9"/>
  <c r="C1537" i="9"/>
  <c r="C1538" i="9"/>
  <c r="C1539" i="9"/>
  <c r="C1540" i="9"/>
  <c r="C1541" i="9"/>
  <c r="C1542" i="9"/>
  <c r="C1543" i="9"/>
  <c r="C1544" i="9"/>
  <c r="C1545" i="9"/>
  <c r="C1546" i="9"/>
  <c r="C1547" i="9"/>
  <c r="C1548" i="9"/>
  <c r="C1549" i="9"/>
  <c r="C1550" i="9"/>
  <c r="C1551" i="9"/>
  <c r="C1552" i="9"/>
  <c r="C1553" i="9"/>
  <c r="C1554" i="9"/>
  <c r="C1555" i="9"/>
  <c r="C1556" i="9"/>
  <c r="C1557" i="9"/>
  <c r="C1558" i="9"/>
  <c r="C1559" i="9"/>
  <c r="C1560" i="9"/>
  <c r="C1561" i="9"/>
  <c r="C1562" i="9"/>
  <c r="C1563" i="9"/>
  <c r="C1564" i="9"/>
  <c r="C1565" i="9"/>
  <c r="C1566" i="9"/>
  <c r="C1567" i="9"/>
  <c r="C1568" i="9"/>
  <c r="C1569" i="9"/>
  <c r="C1570" i="9"/>
  <c r="C1571" i="9"/>
  <c r="C1572" i="9"/>
  <c r="C1573" i="9"/>
  <c r="C1574" i="9"/>
  <c r="C1575" i="9"/>
  <c r="C1576" i="9"/>
  <c r="C1577" i="9"/>
  <c r="C1578" i="9"/>
  <c r="C1579" i="9"/>
  <c r="C1580" i="9"/>
  <c r="C1581" i="9"/>
  <c r="C1582" i="9"/>
  <c r="C1583" i="9"/>
  <c r="C1584" i="9"/>
  <c r="C1585" i="9"/>
  <c r="C1586" i="9"/>
  <c r="C1587" i="9"/>
  <c r="C1588" i="9"/>
  <c r="C1589" i="9"/>
  <c r="C1590" i="9"/>
  <c r="C1591" i="9"/>
  <c r="C1592" i="9"/>
  <c r="C1593" i="9"/>
  <c r="C1594" i="9"/>
  <c r="C1595" i="9"/>
  <c r="C1596" i="9"/>
  <c r="C1597" i="9"/>
  <c r="C1598" i="9"/>
  <c r="C1599" i="9"/>
  <c r="C1600" i="9"/>
  <c r="C1601" i="9"/>
  <c r="C1602" i="9"/>
  <c r="C1603" i="9"/>
  <c r="C1604" i="9"/>
  <c r="C1605" i="9"/>
  <c r="C1606" i="9"/>
  <c r="C1607" i="9"/>
  <c r="C1608" i="9"/>
  <c r="C1609" i="9"/>
  <c r="C1610" i="9"/>
  <c r="C1611" i="9"/>
  <c r="C1612" i="9"/>
  <c r="C1613" i="9"/>
  <c r="C1614" i="9"/>
  <c r="C1615" i="9"/>
  <c r="C1616" i="9"/>
  <c r="C1617" i="9"/>
  <c r="C1618" i="9"/>
  <c r="C1619" i="9"/>
  <c r="C1620" i="9"/>
  <c r="C1621" i="9"/>
  <c r="C1622" i="9"/>
  <c r="C1623" i="9"/>
  <c r="C1624" i="9"/>
  <c r="C1625" i="9"/>
  <c r="C1626" i="9"/>
  <c r="C1627" i="9"/>
  <c r="C1628" i="9"/>
  <c r="C1629" i="9"/>
  <c r="C1630" i="9"/>
  <c r="C1631" i="9"/>
  <c r="C1632" i="9"/>
  <c r="C1633" i="9"/>
  <c r="C1634" i="9"/>
  <c r="C1635" i="9"/>
  <c r="C1636" i="9"/>
  <c r="C1637" i="9"/>
  <c r="C1638" i="9"/>
  <c r="C1639" i="9"/>
  <c r="C1640" i="9"/>
  <c r="C1641" i="9"/>
  <c r="C1642" i="9"/>
  <c r="C1643" i="9"/>
  <c r="C1644" i="9"/>
  <c r="C1645" i="9"/>
  <c r="C1646" i="9"/>
  <c r="C1647" i="9"/>
  <c r="C1648" i="9"/>
  <c r="C1649" i="9"/>
  <c r="C1650" i="9"/>
  <c r="C1651" i="9"/>
  <c r="C1652" i="9"/>
  <c r="C1653" i="9"/>
  <c r="C1654" i="9"/>
  <c r="C1655" i="9"/>
  <c r="C1656" i="9"/>
  <c r="C1657" i="9"/>
  <c r="C1658" i="9"/>
  <c r="C1659" i="9"/>
  <c r="C1660" i="9"/>
  <c r="C1661" i="9"/>
  <c r="C1662" i="9"/>
  <c r="C1663" i="9"/>
  <c r="C1664" i="9"/>
  <c r="C1665" i="9"/>
  <c r="C1666" i="9"/>
  <c r="C1667" i="9"/>
  <c r="C1668" i="9"/>
  <c r="C1669" i="9"/>
  <c r="C1670" i="9"/>
  <c r="C1671" i="9"/>
  <c r="C1672" i="9"/>
  <c r="C1673" i="9"/>
  <c r="C1674" i="9"/>
  <c r="C1675" i="9"/>
  <c r="C1676" i="9"/>
  <c r="C1677" i="9"/>
  <c r="C1678" i="9"/>
  <c r="C1679" i="9"/>
  <c r="C1680" i="9"/>
  <c r="C1681" i="9"/>
  <c r="C1682" i="9"/>
  <c r="C1683" i="9"/>
  <c r="C1684" i="9"/>
  <c r="C1685" i="9"/>
  <c r="C1686" i="9"/>
  <c r="C1687" i="9"/>
  <c r="C1688" i="9"/>
  <c r="C1689" i="9"/>
  <c r="C1690" i="9"/>
  <c r="C1691" i="9"/>
  <c r="C1692" i="9"/>
  <c r="C1693" i="9"/>
  <c r="C1694" i="9"/>
  <c r="C1695" i="9"/>
  <c r="C1696" i="9"/>
  <c r="C1697" i="9"/>
  <c r="C1698" i="9"/>
  <c r="C1699" i="9"/>
  <c r="C1700" i="9"/>
  <c r="C1701" i="9"/>
  <c r="C1702" i="9"/>
  <c r="C1703" i="9"/>
  <c r="C1704" i="9"/>
  <c r="C1705" i="9"/>
  <c r="C1706" i="9"/>
  <c r="C1707" i="9"/>
  <c r="C1708" i="9"/>
  <c r="C1709" i="9"/>
  <c r="C1710" i="9"/>
  <c r="C1711" i="9"/>
  <c r="C1712" i="9"/>
  <c r="C1713" i="9"/>
  <c r="C1714" i="9"/>
  <c r="C1715" i="9"/>
  <c r="C1716" i="9"/>
  <c r="C1717" i="9"/>
  <c r="C1718" i="9"/>
  <c r="C1719" i="9"/>
  <c r="C1720" i="9"/>
  <c r="C1721" i="9"/>
  <c r="C1722" i="9"/>
  <c r="C1723" i="9"/>
  <c r="C1724" i="9"/>
  <c r="C1725" i="9"/>
  <c r="C1726" i="9"/>
  <c r="C1727" i="9"/>
  <c r="C1728" i="9"/>
  <c r="C1729" i="9"/>
  <c r="C1730" i="9"/>
  <c r="C1731" i="9"/>
  <c r="C1732" i="9"/>
  <c r="C1733" i="9"/>
  <c r="C1734" i="9"/>
  <c r="C1735" i="9"/>
  <c r="C1736" i="9"/>
  <c r="C1737" i="9"/>
  <c r="C1738" i="9"/>
  <c r="C1739" i="9"/>
  <c r="C1740" i="9"/>
  <c r="C1741" i="9"/>
  <c r="C1742" i="9"/>
  <c r="C1743" i="9"/>
  <c r="C1744" i="9"/>
  <c r="C1745" i="9"/>
  <c r="C1746" i="9"/>
  <c r="C1747" i="9"/>
  <c r="C1748" i="9"/>
  <c r="C1749" i="9"/>
  <c r="C1750" i="9"/>
  <c r="C1751" i="9"/>
  <c r="C1752" i="9"/>
  <c r="C1753" i="9"/>
  <c r="C1754" i="9"/>
  <c r="C1755" i="9"/>
  <c r="C1756" i="9"/>
  <c r="C1757" i="9"/>
  <c r="C1758" i="9"/>
  <c r="C1759" i="9"/>
  <c r="C1760" i="9"/>
  <c r="C1761" i="9"/>
  <c r="C1762" i="9"/>
  <c r="C1763" i="9"/>
  <c r="C1764" i="9"/>
  <c r="C1765" i="9"/>
  <c r="C1766" i="9"/>
  <c r="C1767" i="9"/>
  <c r="C1768" i="9"/>
  <c r="C1769" i="9"/>
  <c r="C1770" i="9"/>
  <c r="C1771" i="9"/>
  <c r="C1772" i="9"/>
  <c r="C1773" i="9"/>
  <c r="C1774" i="9"/>
  <c r="C1775" i="9"/>
  <c r="C1776" i="9"/>
  <c r="C1777" i="9"/>
  <c r="C1778" i="9"/>
  <c r="C1779" i="9"/>
  <c r="C1780" i="9"/>
  <c r="C1781" i="9"/>
  <c r="C1782" i="9"/>
  <c r="C1783" i="9"/>
  <c r="C1784" i="9"/>
  <c r="C1785" i="9"/>
  <c r="C1786" i="9"/>
  <c r="C1787" i="9"/>
  <c r="C1788" i="9"/>
  <c r="C1789" i="9"/>
  <c r="C1790" i="9"/>
  <c r="C1791" i="9"/>
  <c r="C1792" i="9"/>
  <c r="C1793" i="9"/>
  <c r="C1794" i="9"/>
  <c r="C1795" i="9"/>
  <c r="C1796" i="9"/>
  <c r="C1797" i="9"/>
  <c r="C1798" i="9"/>
  <c r="C1799" i="9"/>
  <c r="C1800" i="9"/>
  <c r="C1801" i="9"/>
  <c r="C1802" i="9"/>
  <c r="C1803" i="9"/>
  <c r="C1804" i="9"/>
  <c r="C1805" i="9"/>
  <c r="C1806" i="9"/>
  <c r="C1807" i="9"/>
  <c r="C1808" i="9"/>
  <c r="C1809" i="9"/>
  <c r="C1810" i="9"/>
  <c r="C1811" i="9"/>
  <c r="C1812" i="9"/>
  <c r="C1813" i="9"/>
  <c r="C1814" i="9"/>
  <c r="C1815" i="9"/>
  <c r="C1816" i="9"/>
  <c r="C1817" i="9"/>
  <c r="C1818" i="9"/>
  <c r="C1819" i="9"/>
  <c r="C1820" i="9"/>
  <c r="C1821" i="9"/>
  <c r="C1822" i="9"/>
  <c r="C1823" i="9"/>
  <c r="C1824" i="9"/>
  <c r="C1825" i="9"/>
  <c r="C1826" i="9"/>
  <c r="C1827" i="9"/>
  <c r="C1828" i="9"/>
  <c r="C1829" i="9"/>
  <c r="C1830" i="9"/>
  <c r="C1831" i="9"/>
  <c r="C1832" i="9"/>
  <c r="C1833" i="9"/>
  <c r="C1834" i="9"/>
  <c r="C1835" i="9"/>
  <c r="C1836" i="9"/>
  <c r="C1837" i="9"/>
  <c r="C1838" i="9"/>
  <c r="C1839" i="9"/>
  <c r="C1840" i="9"/>
  <c r="C1841" i="9"/>
  <c r="C1842" i="9"/>
  <c r="C1843" i="9"/>
  <c r="C1844" i="9"/>
  <c r="C1845" i="9"/>
  <c r="C1846" i="9"/>
  <c r="C1847" i="9"/>
  <c r="C1848" i="9"/>
  <c r="C1849" i="9"/>
  <c r="C1850" i="9"/>
  <c r="C1851" i="9"/>
  <c r="C1852" i="9"/>
  <c r="C1853" i="9"/>
  <c r="C1854" i="9"/>
  <c r="C1855" i="9"/>
  <c r="C1856" i="9"/>
  <c r="C1857" i="9"/>
  <c r="C1858" i="9"/>
  <c r="C1859" i="9"/>
  <c r="C1860" i="9"/>
  <c r="C1861" i="9"/>
  <c r="C1862" i="9"/>
  <c r="C1863" i="9"/>
  <c r="C1864" i="9"/>
  <c r="C1865" i="9"/>
  <c r="C1866" i="9"/>
  <c r="C1867" i="9"/>
  <c r="C1868" i="9"/>
  <c r="C1869" i="9"/>
  <c r="C1870" i="9"/>
  <c r="C1871" i="9"/>
  <c r="C1872" i="9"/>
  <c r="C1873" i="9"/>
  <c r="C1874" i="9"/>
  <c r="C1875" i="9"/>
  <c r="C1876" i="9"/>
  <c r="C1877" i="9"/>
  <c r="C1878" i="9"/>
  <c r="C1879" i="9"/>
  <c r="C1880" i="9"/>
  <c r="C1881" i="9"/>
  <c r="C1882" i="9"/>
  <c r="C1883" i="9"/>
  <c r="C1884" i="9"/>
  <c r="C1885" i="9"/>
  <c r="C1886" i="9"/>
  <c r="C1887" i="9"/>
  <c r="C1888" i="9"/>
  <c r="C1889" i="9"/>
  <c r="C1890" i="9"/>
  <c r="C1891" i="9"/>
  <c r="C1892" i="9"/>
  <c r="C1893" i="9"/>
  <c r="C1894" i="9"/>
  <c r="C1895" i="9"/>
  <c r="C1896" i="9"/>
  <c r="C1897" i="9"/>
  <c r="C1898" i="9"/>
  <c r="C1899" i="9"/>
  <c r="C1900" i="9"/>
  <c r="C1901" i="9"/>
  <c r="C1902" i="9"/>
  <c r="C1903" i="9"/>
  <c r="C1904" i="9"/>
  <c r="C1905" i="9"/>
  <c r="C1906" i="9"/>
  <c r="C1907" i="9"/>
  <c r="C1908" i="9"/>
  <c r="C1909" i="9"/>
  <c r="C1910" i="9"/>
  <c r="C1911" i="9"/>
  <c r="C1912" i="9"/>
  <c r="C1913" i="9"/>
  <c r="C1914" i="9"/>
  <c r="C1915" i="9"/>
  <c r="C1916" i="9"/>
  <c r="C1917" i="9"/>
  <c r="C1918" i="9"/>
  <c r="C1919" i="9"/>
  <c r="C1920" i="9"/>
  <c r="C1921" i="9"/>
  <c r="C1922" i="9"/>
  <c r="C1923" i="9"/>
  <c r="C504" i="9"/>
  <c r="C505" i="9"/>
  <c r="C506" i="9"/>
  <c r="C507" i="9"/>
  <c r="C508" i="9"/>
  <c r="C509" i="9"/>
  <c r="C510" i="9"/>
  <c r="C511" i="9"/>
  <c r="C512" i="9"/>
  <c r="C513" i="9"/>
  <c r="C514" i="9"/>
  <c r="C515" i="9"/>
  <c r="C516" i="9"/>
  <c r="C517" i="9"/>
  <c r="C518" i="9"/>
  <c r="C519" i="9"/>
  <c r="C520" i="9"/>
  <c r="C521" i="9"/>
  <c r="C522" i="9"/>
  <c r="C523" i="9"/>
  <c r="C524" i="9"/>
  <c r="C525" i="9"/>
  <c r="C526" i="9"/>
  <c r="C527" i="9"/>
  <c r="C528" i="9"/>
  <c r="C529" i="9"/>
  <c r="C530" i="9"/>
  <c r="C531" i="9"/>
  <c r="C532" i="9"/>
  <c r="C533" i="9"/>
  <c r="C534" i="9"/>
  <c r="C535" i="9"/>
  <c r="C536" i="9"/>
  <c r="C537" i="9"/>
  <c r="C538" i="9"/>
  <c r="C539" i="9"/>
  <c r="C540" i="9"/>
  <c r="C541" i="9"/>
  <c r="C542" i="9"/>
  <c r="C543" i="9"/>
  <c r="C544" i="9"/>
  <c r="C545" i="9"/>
  <c r="C546" i="9"/>
  <c r="C547" i="9"/>
  <c r="C548" i="9"/>
  <c r="C549" i="9"/>
  <c r="C550" i="9"/>
  <c r="C551" i="9"/>
  <c r="C552" i="9"/>
  <c r="C553" i="9"/>
  <c r="C554" i="9"/>
  <c r="C555" i="9"/>
  <c r="C556" i="9"/>
  <c r="C557" i="9"/>
  <c r="C558" i="9"/>
  <c r="C559" i="9"/>
  <c r="C560" i="9"/>
  <c r="C561" i="9"/>
  <c r="C562" i="9"/>
  <c r="C563" i="9"/>
  <c r="C564" i="9"/>
  <c r="C565" i="9"/>
  <c r="C566" i="9"/>
  <c r="C567" i="9"/>
  <c r="C568" i="9"/>
  <c r="C569" i="9"/>
  <c r="C570" i="9"/>
  <c r="C571" i="9"/>
  <c r="C572" i="9"/>
  <c r="C573" i="9"/>
  <c r="C574" i="9"/>
  <c r="C575" i="9"/>
  <c r="C576" i="9"/>
  <c r="C577" i="9"/>
  <c r="C578" i="9"/>
  <c r="C579" i="9"/>
  <c r="C580" i="9"/>
  <c r="C581" i="9"/>
  <c r="C582" i="9"/>
  <c r="C583" i="9"/>
  <c r="C584" i="9"/>
  <c r="C585" i="9"/>
  <c r="C586" i="9"/>
  <c r="C587" i="9"/>
  <c r="C588" i="9"/>
  <c r="C589" i="9"/>
  <c r="C590" i="9"/>
  <c r="C591" i="9"/>
  <c r="C592" i="9"/>
  <c r="C593" i="9"/>
  <c r="C594" i="9"/>
  <c r="C595" i="9"/>
  <c r="C596" i="9"/>
  <c r="C597" i="9"/>
  <c r="C598" i="9"/>
  <c r="C599" i="9"/>
  <c r="C600" i="9"/>
  <c r="C601" i="9"/>
  <c r="C602" i="9"/>
  <c r="C603" i="9"/>
  <c r="C604" i="9"/>
  <c r="C605" i="9"/>
  <c r="C606" i="9"/>
  <c r="C607" i="9"/>
  <c r="C608" i="9"/>
  <c r="C609" i="9"/>
  <c r="C610" i="9"/>
  <c r="C611" i="9"/>
  <c r="C612" i="9"/>
  <c r="C613" i="9"/>
  <c r="C614" i="9"/>
  <c r="C615" i="9"/>
  <c r="C616" i="9"/>
  <c r="C617" i="9"/>
  <c r="C618" i="9"/>
  <c r="C619" i="9"/>
  <c r="C620" i="9"/>
  <c r="C621" i="9"/>
  <c r="C622" i="9"/>
  <c r="C623" i="9"/>
  <c r="C624" i="9"/>
  <c r="C625" i="9"/>
  <c r="C626" i="9"/>
  <c r="C627" i="9"/>
  <c r="C628" i="9"/>
  <c r="C629" i="9"/>
  <c r="C630" i="9"/>
  <c r="C631" i="9"/>
  <c r="C632" i="9"/>
  <c r="C633" i="9"/>
  <c r="C634" i="9"/>
  <c r="C635" i="9"/>
  <c r="C636" i="9"/>
  <c r="C637" i="9"/>
  <c r="C638" i="9"/>
  <c r="C639" i="9"/>
  <c r="C640" i="9"/>
  <c r="C641" i="9"/>
  <c r="C4" i="5" l="1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393" i="9"/>
  <c r="C394" i="9"/>
  <c r="C395" i="9"/>
  <c r="C396" i="9"/>
  <c r="C397" i="9"/>
  <c r="C398" i="9"/>
  <c r="C399" i="9"/>
  <c r="C400" i="9"/>
  <c r="C401" i="9"/>
  <c r="C402" i="9"/>
  <c r="C403" i="9"/>
  <c r="C404" i="9"/>
  <c r="C405" i="9"/>
  <c r="C406" i="9"/>
  <c r="C407" i="9"/>
  <c r="C408" i="9"/>
  <c r="C409" i="9"/>
  <c r="C410" i="9"/>
  <c r="C411" i="9"/>
  <c r="C412" i="9"/>
  <c r="C413" i="9"/>
  <c r="C414" i="9"/>
  <c r="C415" i="9"/>
  <c r="C416" i="9"/>
  <c r="C417" i="9"/>
  <c r="C418" i="9"/>
  <c r="C419" i="9"/>
  <c r="C420" i="9"/>
  <c r="C421" i="9"/>
  <c r="C422" i="9"/>
  <c r="C423" i="9"/>
  <c r="C424" i="9"/>
  <c r="C425" i="9"/>
  <c r="C426" i="9"/>
  <c r="C427" i="9"/>
  <c r="C428" i="9"/>
  <c r="C429" i="9"/>
  <c r="C430" i="9"/>
  <c r="C431" i="9"/>
  <c r="C432" i="9"/>
  <c r="C433" i="9"/>
  <c r="C434" i="9"/>
  <c r="C435" i="9"/>
  <c r="C436" i="9"/>
  <c r="C437" i="9"/>
  <c r="C438" i="9"/>
  <c r="C439" i="9"/>
  <c r="C440" i="9"/>
  <c r="C441" i="9"/>
  <c r="C442" i="9"/>
  <c r="C443" i="9"/>
  <c r="C444" i="9"/>
  <c r="C445" i="9"/>
  <c r="C446" i="9"/>
  <c r="C447" i="9"/>
  <c r="C448" i="9"/>
  <c r="C449" i="9"/>
  <c r="C450" i="9"/>
  <c r="C451" i="9"/>
  <c r="C452" i="9"/>
  <c r="C453" i="9"/>
  <c r="C454" i="9"/>
  <c r="C455" i="9"/>
  <c r="C456" i="9"/>
  <c r="C457" i="9"/>
  <c r="C458" i="9"/>
  <c r="C459" i="9"/>
  <c r="C460" i="9"/>
  <c r="C461" i="9"/>
  <c r="C462" i="9"/>
  <c r="C463" i="9"/>
  <c r="C464" i="9"/>
  <c r="C465" i="9"/>
  <c r="C466" i="9"/>
  <c r="C467" i="9"/>
  <c r="C468" i="9"/>
  <c r="C469" i="9"/>
  <c r="C470" i="9"/>
  <c r="C471" i="9"/>
  <c r="C472" i="9"/>
  <c r="C473" i="9"/>
  <c r="C474" i="9"/>
  <c r="C475" i="9"/>
  <c r="C476" i="9"/>
  <c r="C477" i="9"/>
  <c r="C478" i="9"/>
  <c r="C479" i="9"/>
  <c r="C480" i="9"/>
  <c r="C481" i="9"/>
  <c r="C482" i="9"/>
  <c r="C483" i="9"/>
  <c r="C484" i="9"/>
  <c r="C485" i="9"/>
  <c r="C486" i="9"/>
  <c r="C487" i="9"/>
  <c r="C488" i="9"/>
  <c r="C489" i="9"/>
  <c r="C490" i="9"/>
  <c r="C491" i="9"/>
  <c r="C492" i="9"/>
  <c r="C493" i="9"/>
  <c r="C494" i="9"/>
  <c r="C495" i="9"/>
  <c r="C496" i="9"/>
  <c r="C497" i="9"/>
  <c r="C498" i="9"/>
  <c r="C499" i="9"/>
  <c r="C500" i="9"/>
  <c r="C501" i="9"/>
  <c r="C502" i="9"/>
  <c r="C503" i="9"/>
  <c r="C4" i="9"/>
  <c r="D1946" i="9" l="1"/>
  <c r="D2050" i="9"/>
  <c r="D2040" i="9"/>
  <c r="D1945" i="9"/>
  <c r="D2124" i="9"/>
  <c r="D1956" i="9"/>
  <c r="D2023" i="9"/>
  <c r="D2246" i="9"/>
  <c r="D1957" i="9"/>
  <c r="D2008" i="9"/>
  <c r="D2250" i="9"/>
  <c r="D1949" i="9"/>
  <c r="D2135" i="9"/>
  <c r="D2067" i="9" l="1"/>
  <c r="D2258" i="9"/>
  <c r="D2038" i="9"/>
  <c r="D2243" i="9"/>
  <c r="D2000" i="9"/>
  <c r="D2111" i="9"/>
  <c r="D2030" i="9"/>
  <c r="D2014" i="9"/>
  <c r="D2241" i="9"/>
  <c r="D2078" i="9"/>
  <c r="D2187" i="9"/>
  <c r="D1982" i="9"/>
  <c r="D2176" i="9"/>
  <c r="D2029" i="9"/>
  <c r="D2059" i="9"/>
  <c r="D2183" i="9"/>
  <c r="D2076" i="9"/>
  <c r="D2046" i="9"/>
  <c r="D2152" i="9"/>
  <c r="D2201" i="9"/>
  <c r="D2194" i="9"/>
  <c r="D2213" i="9"/>
  <c r="D2220" i="9"/>
  <c r="D2230" i="9"/>
  <c r="D2236" i="9"/>
  <c r="D2180" i="9"/>
  <c r="D2020" i="9"/>
  <c r="D2077" i="9"/>
  <c r="D2094" i="9"/>
  <c r="D2110" i="9"/>
  <c r="D2251" i="9"/>
  <c r="D2037" i="9"/>
  <c r="D2041" i="9"/>
  <c r="D2053" i="9"/>
  <c r="D2198" i="9"/>
  <c r="D2139" i="9"/>
  <c r="D2149" i="9"/>
  <c r="D2051" i="9"/>
  <c r="D1984" i="9"/>
  <c r="D2016" i="9"/>
  <c r="D2136" i="9"/>
  <c r="D2052" i="9"/>
  <c r="D2192" i="9"/>
  <c r="D2167" i="9"/>
  <c r="D2117" i="9"/>
  <c r="D2083" i="9"/>
  <c r="D2049" i="9"/>
  <c r="D2248" i="9"/>
  <c r="D2068" i="9"/>
  <c r="D2073" i="9"/>
  <c r="D2199" i="9"/>
  <c r="D2184" i="9"/>
  <c r="D2157" i="9"/>
  <c r="D2081" i="9"/>
  <c r="D2253" i="9"/>
  <c r="D2108" i="9"/>
  <c r="D2058" i="9"/>
  <c r="D2255" i="9"/>
  <c r="D1965" i="9"/>
  <c r="D2116" i="9"/>
  <c r="D2042" i="9"/>
  <c r="D1989" i="9"/>
  <c r="D2005" i="9"/>
  <c r="D1975" i="9"/>
  <c r="D1959" i="9"/>
  <c r="D2107" i="9"/>
  <c r="D2055" i="9"/>
  <c r="D2025" i="9"/>
  <c r="D2004" i="9"/>
  <c r="D1979" i="9"/>
  <c r="D1963" i="9"/>
  <c r="D2082" i="9"/>
  <c r="D2019" i="9"/>
  <c r="D2242" i="9"/>
  <c r="D1970" i="9"/>
  <c r="D2223" i="9"/>
  <c r="D2164" i="9"/>
  <c r="D2225" i="9"/>
  <c r="D2210" i="9"/>
  <c r="D2216" i="9"/>
  <c r="D2179" i="9"/>
  <c r="D2185" i="9"/>
  <c r="D2158" i="9"/>
  <c r="D2174" i="9"/>
  <c r="D2147" i="9"/>
  <c r="D2095" i="9"/>
  <c r="D2006" i="9"/>
  <c r="D1958" i="9"/>
  <c r="D2088" i="9"/>
  <c r="D2099" i="9"/>
  <c r="D2244" i="9"/>
  <c r="D2098" i="9"/>
  <c r="D2064" i="9"/>
  <c r="D2163" i="9"/>
  <c r="D2129" i="9"/>
  <c r="D2079" i="9"/>
  <c r="D2045" i="9"/>
  <c r="D2010" i="9"/>
  <c r="D2026" i="9"/>
  <c r="D2007" i="9"/>
  <c r="D2104" i="9"/>
  <c r="D2054" i="9"/>
  <c r="D2070" i="9"/>
  <c r="D1981" i="9"/>
  <c r="D1992" i="9"/>
  <c r="D1974" i="9"/>
  <c r="D2003" i="9"/>
  <c r="D1977" i="9"/>
  <c r="D1961" i="9"/>
  <c r="D2086" i="9"/>
  <c r="D2001" i="9"/>
  <c r="D2071" i="9"/>
  <c r="D2151" i="9"/>
  <c r="D2101" i="9"/>
  <c r="D1996" i="9"/>
  <c r="D1966" i="9"/>
  <c r="D2177" i="9"/>
  <c r="D2239" i="9"/>
  <c r="D2126" i="9"/>
  <c r="D2074" i="9"/>
  <c r="D2011" i="9"/>
  <c r="D1978" i="9"/>
  <c r="D2219" i="9"/>
  <c r="D2235" i="9"/>
  <c r="D2160" i="9"/>
  <c r="D2114" i="9"/>
  <c r="D2221" i="9"/>
  <c r="D2237" i="9"/>
  <c r="D2200" i="9"/>
  <c r="D2206" i="9"/>
  <c r="D2212" i="9"/>
  <c r="D2141" i="9"/>
  <c r="D2195" i="9"/>
  <c r="D2170" i="9"/>
  <c r="D2143" i="9"/>
  <c r="D2017" i="9"/>
  <c r="D1998" i="9"/>
  <c r="D2256" i="9"/>
  <c r="D2218" i="9"/>
  <c r="D1964" i="9"/>
  <c r="D1954" i="9"/>
  <c r="D2128" i="9"/>
  <c r="D2080" i="9"/>
  <c r="D2027" i="9"/>
  <c r="D2145" i="9"/>
  <c r="D2021" i="9"/>
  <c r="D2002" i="9"/>
  <c r="D2252" i="9"/>
  <c r="D1960" i="9"/>
  <c r="D2169" i="9"/>
  <c r="D2207" i="9"/>
  <c r="D2131" i="9"/>
  <c r="D2012" i="9"/>
  <c r="D2150" i="9"/>
  <c r="D2024" i="9"/>
  <c r="D2144" i="9"/>
  <c r="D2060" i="9"/>
  <c r="D2125" i="9"/>
  <c r="D1999" i="9"/>
  <c r="D2197" i="9"/>
  <c r="D2130" i="9"/>
  <c r="D2092" i="9"/>
  <c r="D1997" i="9"/>
  <c r="D2155" i="9"/>
  <c r="D1983" i="9"/>
  <c r="D1967" i="9"/>
  <c r="D1947" i="9"/>
  <c r="D2093" i="9"/>
  <c r="D1988" i="9"/>
  <c r="D2202" i="9"/>
  <c r="D1987" i="9"/>
  <c r="D1971" i="9"/>
  <c r="D1955" i="9"/>
  <c r="D2120" i="9"/>
  <c r="D2044" i="9"/>
  <c r="D1952" i="9"/>
  <c r="D1986" i="9"/>
  <c r="D2231" i="9"/>
  <c r="D2156" i="9"/>
  <c r="D2172" i="9"/>
  <c r="D2233" i="9"/>
  <c r="D2208" i="9"/>
  <c r="D2191" i="9"/>
  <c r="D2166" i="9"/>
  <c r="D2084" i="9"/>
  <c r="D2065" i="9"/>
  <c r="D2036" i="9"/>
  <c r="D2009" i="9"/>
  <c r="D1990" i="9"/>
  <c r="D1972" i="9"/>
  <c r="D2118" i="9"/>
  <c r="D2072" i="9"/>
  <c r="D2069" i="9"/>
  <c r="D2013" i="9"/>
  <c r="D1994" i="9"/>
  <c r="D1968" i="9"/>
  <c r="D2085" i="9"/>
  <c r="D2215" i="9"/>
  <c r="D2102" i="9"/>
  <c r="D2133" i="9"/>
  <c r="D2123" i="9"/>
  <c r="D2226" i="9"/>
  <c r="D2232" i="9"/>
  <c r="D2154" i="9"/>
  <c r="D2031" i="9"/>
  <c r="D2089" i="9"/>
  <c r="D2211" i="9"/>
  <c r="D2186" i="9"/>
  <c r="D2047" i="9"/>
  <c r="D2161" i="9"/>
  <c r="D2209" i="9"/>
  <c r="D2148" i="9"/>
  <c r="D2222" i="9"/>
  <c r="D2228" i="9"/>
  <c r="D2238" i="9"/>
  <c r="D2178" i="9"/>
  <c r="D2146" i="9"/>
  <c r="D2182" i="9"/>
  <c r="D2173" i="9"/>
  <c r="D2205" i="9"/>
  <c r="D2043" i="9"/>
  <c r="D2035" i="9"/>
  <c r="D2159" i="9"/>
  <c r="D2175" i="9"/>
  <c r="D2075" i="9"/>
  <c r="D2091" i="9"/>
  <c r="D2022" i="9"/>
  <c r="D2100" i="9"/>
  <c r="D2066" i="9"/>
  <c r="D2224" i="9"/>
  <c r="D2234" i="9"/>
  <c r="D2138" i="9"/>
  <c r="D2119" i="9"/>
  <c r="D2249" i="9"/>
  <c r="D2039" i="9"/>
  <c r="D2203" i="9"/>
  <c r="D2188" i="9"/>
  <c r="D2165" i="9"/>
  <c r="D2115" i="9"/>
  <c r="D2257" i="9"/>
  <c r="D2190" i="9"/>
  <c r="D2217" i="9"/>
  <c r="D2142" i="9"/>
  <c r="D2127" i="9"/>
  <c r="D2140" i="9"/>
  <c r="D2106" i="9"/>
  <c r="D2056" i="9"/>
  <c r="D1973" i="9"/>
  <c r="D1953" i="9"/>
  <c r="D2196" i="9"/>
  <c r="D2171" i="9"/>
  <c r="D2121" i="9"/>
  <c r="D2087" i="9"/>
  <c r="D2033" i="9"/>
  <c r="D2018" i="9"/>
  <c r="D1991" i="9"/>
  <c r="D2245" i="9"/>
  <c r="D2105" i="9"/>
  <c r="D2096" i="9"/>
  <c r="D2112" i="9"/>
  <c r="D2062" i="9"/>
  <c r="D2247" i="9"/>
  <c r="D2113" i="9"/>
  <c r="D2097" i="9"/>
  <c r="D2015" i="9"/>
  <c r="D1995" i="9"/>
  <c r="D1985" i="9"/>
  <c r="D1969" i="9"/>
  <c r="D2122" i="9"/>
  <c r="D2048" i="9"/>
  <c r="D2028" i="9"/>
  <c r="D1993" i="9"/>
  <c r="D2259" i="9"/>
  <c r="D1951" i="9"/>
  <c r="D2063" i="9"/>
  <c r="D2034" i="9"/>
  <c r="D2254" i="9"/>
  <c r="D1950" i="9"/>
  <c r="D2090" i="9"/>
  <c r="D1962" i="9"/>
  <c r="D1948" i="9"/>
  <c r="D2227" i="9"/>
  <c r="D2193" i="9"/>
  <c r="D2168" i="9"/>
  <c r="D2137" i="9"/>
  <c r="D2229" i="9"/>
  <c r="D2204" i="9"/>
  <c r="D2214" i="9"/>
  <c r="D2189" i="9"/>
  <c r="D2181" i="9"/>
  <c r="D2162" i="9"/>
  <c r="D2132" i="9"/>
  <c r="D2153" i="9"/>
  <c r="D2103" i="9"/>
  <c r="D2057" i="9"/>
  <c r="D2240" i="9"/>
  <c r="D1980" i="9"/>
  <c r="D2134" i="9"/>
  <c r="D2109" i="9"/>
  <c r="D2061" i="9"/>
  <c r="D2032" i="9"/>
  <c r="D1976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D1" authorId="0" shapeId="0" xr:uid="{00000000-0006-0000-0200-000001000000}">
      <text>
        <r>
          <rPr>
            <sz val="9"/>
            <color indexed="81"/>
            <rFont val="Segoe UI"/>
            <family val="2"/>
          </rPr>
          <t>counting
without DOC</t>
        </r>
      </text>
    </comment>
    <comment ref="M1" authorId="0" shapeId="0" xr:uid="{32FE8AB3-95F8-4277-80F3-F892A3C34688}">
      <text>
        <r>
          <rPr>
            <sz val="9"/>
            <color indexed="81"/>
            <rFont val="Segoe UI"/>
            <family val="2"/>
          </rPr>
          <t>further analyses are cancelled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</author>
  </authors>
  <commentList>
    <comment ref="D1" authorId="0" shapeId="0" xr:uid="{00000000-0006-0000-0300-000001000000}">
      <text>
        <r>
          <rPr>
            <sz val="9"/>
            <color indexed="81"/>
            <rFont val="Segoe UI"/>
            <family val="2"/>
          </rPr>
          <t>counting without
turbidity/fine sediment load</t>
        </r>
      </text>
    </comment>
  </commentList>
</comments>
</file>

<file path=xl/sharedStrings.xml><?xml version="1.0" encoding="utf-8"?>
<sst xmlns="http://schemas.openxmlformats.org/spreadsheetml/2006/main" count="7668" uniqueCount="467">
  <si>
    <t>KIN1</t>
  </si>
  <si>
    <t>Kinzig</t>
  </si>
  <si>
    <t>KIN2</t>
  </si>
  <si>
    <t>Herolz</t>
  </si>
  <si>
    <t>KIN3</t>
  </si>
  <si>
    <t>Schlüchtern (S7)</t>
  </si>
  <si>
    <t>KIN4</t>
  </si>
  <si>
    <t>STE1</t>
  </si>
  <si>
    <t>Steinau</t>
  </si>
  <si>
    <t>STE2</t>
  </si>
  <si>
    <t>SAL1</t>
  </si>
  <si>
    <t>Salz</t>
  </si>
  <si>
    <t>SAL2</t>
  </si>
  <si>
    <t>Eckardroth</t>
  </si>
  <si>
    <t>BRA1</t>
  </si>
  <si>
    <t>Bracht</t>
  </si>
  <si>
    <t>Hitzkirchen</t>
  </si>
  <si>
    <t>BRA2</t>
  </si>
  <si>
    <t>ORB1</t>
  </si>
  <si>
    <t>Orb</t>
  </si>
  <si>
    <t>Bad Orb</t>
  </si>
  <si>
    <t>ORB2</t>
  </si>
  <si>
    <t>BIE1</t>
  </si>
  <si>
    <t>Bieber</t>
  </si>
  <si>
    <t>Rossbach</t>
  </si>
  <si>
    <t>BIE2</t>
  </si>
  <si>
    <t>GRU1</t>
  </si>
  <si>
    <t>Gründau</t>
  </si>
  <si>
    <t>GRU2</t>
  </si>
  <si>
    <t>Hain-Gründau</t>
  </si>
  <si>
    <t>FAL1</t>
  </si>
  <si>
    <t>Fallbach</t>
  </si>
  <si>
    <t>FAL2</t>
  </si>
  <si>
    <t>Langendiebach</t>
  </si>
  <si>
    <t>KRE1</t>
  </si>
  <si>
    <t>Krebsbach</t>
  </si>
  <si>
    <t>Bruchköbel</t>
  </si>
  <si>
    <t>KRE2</t>
  </si>
  <si>
    <t>stream name</t>
  </si>
  <si>
    <t>position</t>
  </si>
  <si>
    <t>nordwestl. Kerbersdorf</t>
  </si>
  <si>
    <t>östl. Ravolzhausen</t>
  </si>
  <si>
    <t>unterh. Breitenborn</t>
  </si>
  <si>
    <t>oberh. Lanzingen</t>
  </si>
  <si>
    <t>oberh. Herolz</t>
  </si>
  <si>
    <t>unterh. Niederzell (O7)</t>
  </si>
  <si>
    <t>unterh. Bad Orb</t>
  </si>
  <si>
    <t>oberh. Mündung</t>
  </si>
  <si>
    <t>Nähe Teufelshöhle</t>
  </si>
  <si>
    <t>südöstl. Hitzkirchen</t>
  </si>
  <si>
    <t>DOC</t>
  </si>
  <si>
    <t>total nitrogen</t>
  </si>
  <si>
    <t>total phosphate</t>
  </si>
  <si>
    <t>Co32-</t>
  </si>
  <si>
    <t>K+</t>
  </si>
  <si>
    <t>Na+</t>
  </si>
  <si>
    <t>Mg2+</t>
  </si>
  <si>
    <t>Ca2+</t>
  </si>
  <si>
    <t>Zn</t>
  </si>
  <si>
    <t>Pb</t>
  </si>
  <si>
    <t>Ni</t>
  </si>
  <si>
    <t>Fe</t>
  </si>
  <si>
    <t>Cu</t>
  </si>
  <si>
    <t>Cd</t>
  </si>
  <si>
    <t>site name</t>
  </si>
  <si>
    <t>[mg/l]</t>
  </si>
  <si>
    <t>ortho-phosphate</t>
  </si>
  <si>
    <t>ammonia</t>
  </si>
  <si>
    <t>nitrite</t>
  </si>
  <si>
    <t>nitrate</t>
  </si>
  <si>
    <t>chloride</t>
  </si>
  <si>
    <t>sulfate</t>
  </si>
  <si>
    <t>water temp.</t>
  </si>
  <si>
    <t>time</t>
  </si>
  <si>
    <t>-</t>
  </si>
  <si>
    <t>[µS/cm]</t>
  </si>
  <si>
    <t>[°C]</t>
  </si>
  <si>
    <t>[cm]</t>
  </si>
  <si>
    <t>field was fertilized the week before</t>
  </si>
  <si>
    <t>0,4m water depth in the middle</t>
  </si>
  <si>
    <t>Schaum, ca. 15 m flussabwärts</t>
  </si>
  <si>
    <t>Probe 5 m flussabwärts genommen, Spielplatz abgeschlossen, wenig Schaum</t>
  </si>
  <si>
    <t>Bauer hat Feld gedüngt</t>
  </si>
  <si>
    <t>Schaum</t>
  </si>
  <si>
    <t>Schaum?</t>
  </si>
  <si>
    <t>Schaum, Bild</t>
  </si>
  <si>
    <t>wenig Schaum, Bild</t>
  </si>
  <si>
    <t>Baustelle</t>
  </si>
  <si>
    <t>Schaum, Bilder</t>
  </si>
  <si>
    <t>wenig Schaum, Bilder</t>
  </si>
  <si>
    <t>vorheriges Hochwasser, Schaum, Bilder</t>
  </si>
  <si>
    <t>Logger ausgelesen</t>
  </si>
  <si>
    <t xml:space="preserve">Ab jetzt bei Salix Probenahme </t>
  </si>
  <si>
    <t>vorheriges Hochwasser, wenig Schaum, Bilder</t>
  </si>
  <si>
    <t>Bauarbeiten, betreffen nicht das Gewässer</t>
  </si>
  <si>
    <t>riesiger Fisch</t>
  </si>
  <si>
    <t>Pflock weg, vorheriges Hochwasser, bisschen Schaum, Bilder</t>
  </si>
  <si>
    <t>wenig Schaum</t>
  </si>
  <si>
    <t>bisschen Schaum, 2 Bilder</t>
  </si>
  <si>
    <t>Biberspuren,  aufgestaut durch Treibgut (Fotos gemacht)</t>
  </si>
  <si>
    <t>bisschen Schaum</t>
  </si>
  <si>
    <t>Tiefenmessung stark abbhängig davon wo gemessen wird, Schaum (Bilder)</t>
  </si>
  <si>
    <t>Kollegen der Uni Kiel machten Temp-Messungen</t>
  </si>
  <si>
    <t>Biberdamm ca. 10m oberhalb des Loggers, Logger trockengefallen + Schaum</t>
  </si>
  <si>
    <t>bisschen Schaum, Bilder</t>
  </si>
  <si>
    <t>Baustelle 15m oberhalb der Probestelle, betrifft nun auch Fallbach selbst, Bild</t>
  </si>
  <si>
    <t>Biberdamm 10m unterhalb der Probestelle, Bild</t>
  </si>
  <si>
    <t>Bisschen Schaum, Bilder</t>
  </si>
  <si>
    <t>Fische im Wasser, Schaum, Bilder</t>
  </si>
  <si>
    <t>Biberdamm + Logger wieder trocken gefallen + Schaum</t>
  </si>
  <si>
    <t>Schaum, Bild, Wasser trüb</t>
  </si>
  <si>
    <t xml:space="preserve">Schaum </t>
  </si>
  <si>
    <t>Wasser sehr trüb</t>
  </si>
  <si>
    <t>Wasser trüb, starke Strömung, Probenentnahme ca. 15m unterhalb</t>
  </si>
  <si>
    <t>Schaum, Bilder, Pflock nicht gefunden</t>
  </si>
  <si>
    <t>mit Messstab gemessen</t>
  </si>
  <si>
    <t>Bild von Anstauung Bieberdamm</t>
  </si>
  <si>
    <t>Schaum, Messstab</t>
  </si>
  <si>
    <t>Messstab, Pflock an gegenüberliegender Seite nicht im Wasser</t>
  </si>
  <si>
    <t>NA</t>
  </si>
  <si>
    <t xml:space="preserve">pH
</t>
  </si>
  <si>
    <t>notes</t>
  </si>
  <si>
    <t>missing data</t>
  </si>
  <si>
    <t>.</t>
  </si>
  <si>
    <t>sampling date</t>
  </si>
  <si>
    <t>HCO3-</t>
  </si>
  <si>
    <t>characteristics</t>
  </si>
  <si>
    <t>average velocity</t>
  </si>
  <si>
    <t>average depth</t>
  </si>
  <si>
    <t>discharge</t>
  </si>
  <si>
    <t>pole position</t>
  </si>
  <si>
    <t>year 2021</t>
  </si>
  <si>
    <t>[m/s]</t>
  </si>
  <si>
    <t>[m³/s]</t>
  </si>
  <si>
    <t>year 2022</t>
  </si>
  <si>
    <t xml:space="preserve">pole located just upstream of tree on right bank with about 10 main trunks </t>
  </si>
  <si>
    <t>pole located between two trees on left bank</t>
  </si>
  <si>
    <t>pole located at large dead tree root, parallel to street light at parking lot</t>
  </si>
  <si>
    <t>just upstream of the large tree on the right bank</t>
  </si>
  <si>
    <t>pole located at connection between the two stream arms - gap in island</t>
  </si>
  <si>
    <t>just upstream of concrete pipe on left bank</t>
  </si>
  <si>
    <t>pole located 4m upstream end of pool and start of riffle section with large stones, requires measuring water level below pole using spirit level</t>
  </si>
  <si>
    <t>no pole; discharge observed behind house wall, at concrete wall bank, cut hazelnut bush</t>
  </si>
  <si>
    <t>at downstream end of old stone bridge</t>
  </si>
  <si>
    <t>pole located app. 10M upstream of confluence, single large bend tree on right bank</t>
  </si>
  <si>
    <t>no pole, water level at wall, written in red numbers, picture id 1074, 3m downstream of stairs at right bank, at two iron bars in wall on right bank</t>
  </si>
  <si>
    <t>pole located app. 20M downstream of confluence with small side arm on right bank</t>
  </si>
  <si>
    <t>pole located just upstream of the large sewage pipe on the left bank</t>
  </si>
  <si>
    <t>pole located 5m downstream of last large alder tree on right bank</t>
  </si>
  <si>
    <t>pole located at large birk tree on right bank</t>
  </si>
  <si>
    <t>pole located just upstream of the bridge, half way between bridge and beginning of concrete bed</t>
  </si>
  <si>
    <t>pole located at lower river bank near large tree on upper right bank with three trunks</t>
  </si>
  <si>
    <t>pole located 10m downstream of sewage pipe on right bank</t>
  </si>
  <si>
    <t>oxygen sensor implausible</t>
  </si>
  <si>
    <t>pole located at wooden small pole, oxygen sensor implausible</t>
  </si>
  <si>
    <t>water level at pole</t>
  </si>
  <si>
    <r>
      <t xml:space="preserve">water level </t>
    </r>
    <r>
      <rPr>
        <sz val="10"/>
        <rFont val="Calibri"/>
        <family val="2"/>
        <scheme val="minor"/>
      </rPr>
      <t>at pole</t>
    </r>
  </si>
  <si>
    <t>dissolved oxygen</t>
  </si>
  <si>
    <t xml:space="preserve">mit Messstab gemessen </t>
  </si>
  <si>
    <t>mit Messstab an Brücke gemessen</t>
  </si>
  <si>
    <t>Pflock weg</t>
  </si>
  <si>
    <t>Hochwasser</t>
  </si>
  <si>
    <t>Pflock nicht errechbar, Hochwasser</t>
  </si>
  <si>
    <t>Durchquerung nicht möglich, am anderem Ufer gemessen, Hochwasser</t>
  </si>
  <si>
    <t>Probe von anderer Uferseite aus genommen, komplette Zufahrt gesperrt</t>
  </si>
  <si>
    <t xml:space="preserve">Pflock weg, ab jetzt mit Messstab an selber Stelle wie Pflock gemessen </t>
  </si>
  <si>
    <t>Pflock nicht im Wasser, Messung in Gewässer Mitte</t>
  </si>
  <si>
    <t>Pflock ohne Skala, Messtab angehalten</t>
  </si>
  <si>
    <t>Pflock weg, Messung auf höhe des zweiten Stromkasen (vgl. Markierung auf Satelliten-Foto)</t>
  </si>
  <si>
    <t>Pflock weg, Messung in Gewässer Mitte (vgl. Markierung auf Satelliten-Foto)</t>
  </si>
  <si>
    <t>Pflock weg, Messung auf Treppenhöhe</t>
  </si>
  <si>
    <t>Pflock weg, Messung in Gewässermitte auf Höhe kleiner Buch</t>
  </si>
  <si>
    <t>Pflock weg, Eimer kaputt gegangen (Anwohnerin war sehr freundlich und hat einen Eimer für den Arbeitstag geliehen), Messung unter der Brücke unter Straßenschild</t>
  </si>
  <si>
    <t>Messung in Gewässermitte</t>
  </si>
  <si>
    <t>Pflock weg, Messung in Gewässermitte</t>
  </si>
  <si>
    <t>lab | once a month</t>
  </si>
  <si>
    <t>year 2023</t>
  </si>
  <si>
    <t>unaccessible due to flooding</t>
  </si>
  <si>
    <t>year 2024</t>
  </si>
  <si>
    <r>
      <t xml:space="preserve">date
</t>
    </r>
    <r>
      <rPr>
        <sz val="11"/>
        <color rgb="FF000000"/>
        <rFont val="Calibri"/>
        <family val="2"/>
      </rPr>
      <t>yyyy-mm-dd</t>
    </r>
  </si>
  <si>
    <t>Code</t>
  </si>
  <si>
    <t>field |bi-weekly</t>
  </si>
  <si>
    <t>lab |bi-weekly</t>
  </si>
  <si>
    <t>* listed are all dates with at least one parameter measured</t>
  </si>
  <si>
    <t>Pflock nicht auffindbar, Hochwasser</t>
  </si>
  <si>
    <t>year 2021 ------------------------------------------------------</t>
  </si>
  <si>
    <t>year 2022 ------------------------------------------------------</t>
  </si>
  <si>
    <t>year 2023 ------------------------------------------------------</t>
  </si>
  <si>
    <t>year 2024 ------------------------------------------------------</t>
  </si>
  <si>
    <t>physico-chemical data</t>
  </si>
  <si>
    <t>Pegel gemessen in Gewässermitte (großer Stein)</t>
  </si>
  <si>
    <t>Pegel gemessen in Gewässermitte (Strange außerhalb); Logger trocken</t>
  </si>
  <si>
    <t>Pegel als Mittelwert aus Transekt (kein Pfahl)</t>
  </si>
  <si>
    <t>Wasser milchig</t>
  </si>
  <si>
    <t>Hochwasser (Wassertiefe etwa 3/4 der Shovel-Stange)</t>
  </si>
  <si>
    <t>water
temp.</t>
  </si>
  <si>
    <t>oxygen
at 100%</t>
  </si>
  <si>
    <r>
      <t xml:space="preserve">oxygen
</t>
    </r>
    <r>
      <rPr>
        <sz val="10"/>
        <color rgb="FF000000"/>
        <rFont val="Calibri"/>
        <family val="2"/>
      </rPr>
      <t>dissolved</t>
    </r>
  </si>
  <si>
    <r>
      <t xml:space="preserve">oxygen
</t>
    </r>
    <r>
      <rPr>
        <sz val="10"/>
        <color rgb="FF000000"/>
        <rFont val="Calibri"/>
        <family val="2"/>
      </rPr>
      <t>saturation</t>
    </r>
  </si>
  <si>
    <t>conduc-tivity</t>
  </si>
  <si>
    <t>no sampling because of flooding</t>
  </si>
  <si>
    <t>pole was missing</t>
  </si>
  <si>
    <t>year 2025 ------------------------------------------------------</t>
  </si>
  <si>
    <t>---</t>
  </si>
  <si>
    <t>Pflock nicht gefunden</t>
  </si>
  <si>
    <t>Kachel flussabwärts nur zur Hälfte im Wasser</t>
  </si>
  <si>
    <t>sehr niedriger Pegel, Kacheln trocken</t>
  </si>
  <si>
    <t>Foto 3</t>
  </si>
  <si>
    <t>Foto 4</t>
  </si>
  <si>
    <t>zu trüb für Foto</t>
  </si>
  <si>
    <t>Pflock weg, zu trüb für Foto</t>
  </si>
  <si>
    <t>Pflock weg, Foto 5</t>
  </si>
  <si>
    <t>Foto 6</t>
  </si>
  <si>
    <t>Foto 1</t>
  </si>
  <si>
    <t>Foto 2</t>
  </si>
  <si>
    <t>Pflock nicht im Wasser, Messung in Gewässermitte</t>
  </si>
  <si>
    <t>wasserstand sehr niedrig</t>
  </si>
  <si>
    <t>Logger trocken</t>
  </si>
  <si>
    <t>eine Kachel fehlt + sehr niedriger Pegel, Kacheln trocken</t>
  </si>
  <si>
    <t>7,5</t>
  </si>
  <si>
    <t>Logger trocken, jetzt 3 cm unter Wasser</t>
  </si>
  <si>
    <t xml:space="preserve">Wasser durch Biber angestaut </t>
  </si>
  <si>
    <t>Biberdamm ist weg</t>
  </si>
  <si>
    <t>Pflock nicht im Wasser, Messung in Gewässermitte; O2 Sonde schwankt stark zwischen 10 &amp; 11</t>
  </si>
  <si>
    <t>beide Logger ausgelesen</t>
  </si>
  <si>
    <t xml:space="preserve">Pflock nicht im Wasser, Messung in Gewässermitte; O2 Sonde schwankt </t>
  </si>
  <si>
    <t>Pflock weg, Messung in Gewässermitte; O2 Sonde schwankt</t>
  </si>
  <si>
    <t>Messung in Gewässermitte; O2 Sonde schwankt</t>
  </si>
  <si>
    <t xml:space="preserve">Wasser schwärzlich </t>
  </si>
  <si>
    <t>Biberdamm, Altarm gefüllt</t>
  </si>
  <si>
    <t xml:space="preserve">Temperatur Sensor misst extrem langsam </t>
  </si>
  <si>
    <t>Pflock nicht im Wasser, Messung in Gewässermitte; Wasseroberfläche nicht gefroren</t>
  </si>
  <si>
    <t>Pflock nicht im Wasser, Messung in Gewässermitte; Wasseroberfläche teilweise gefroren</t>
  </si>
  <si>
    <t>Pflock weg, Messung in Gewässermitte; Wasseroberfläche teilweise gefroren</t>
  </si>
  <si>
    <t>Pflock weg, Messung in Gewässermitte; Wasseroberfläche nicht gefroren</t>
  </si>
  <si>
    <t>Messung in Gewässermitte; Wasseroberfläche nicht gefroren</t>
  </si>
  <si>
    <t>Pflock nicht im Wasser, Messung in Gewässermitte; höhere Strömung</t>
  </si>
  <si>
    <t>Pflock nicht im Wasser, Messung in Gewässermitte; höhere Strömung, Überquerung nicht möglich, Messung 100m weiter abwärts</t>
  </si>
  <si>
    <t>Pflock nicht im Wasser, Messung in Gewässermitte; Wasser bräunlich gefärbt, höhere Strömung</t>
  </si>
  <si>
    <t>Pflock weg, Messung in Gewässermitte; Wasser bräunlich gefärbt, höhere Strömung</t>
  </si>
  <si>
    <t>Pflock weg, Messung in Gewässermitte; höhere Strömung</t>
  </si>
  <si>
    <t>Messung in Gewässermitte; höhere Strömung</t>
  </si>
  <si>
    <t xml:space="preserve">Einleitung durch Klärwerk sehr stark </t>
  </si>
  <si>
    <t>Niedriger Wasserstand durch Biberdamm</t>
  </si>
  <si>
    <t>Messung in Gewässermitte; Wasser sehr trüb</t>
  </si>
  <si>
    <t>Messung Flussabwärts, Wildschweine &gt; keine Tiefenmessung möglich</t>
  </si>
  <si>
    <t>am Pflock</t>
  </si>
  <si>
    <t>Gewässermitte</t>
  </si>
  <si>
    <t>Gewässermitte (Höhe Logger)</t>
  </si>
  <si>
    <t>Pflock wegen der Vegetation nicht gefunden</t>
  </si>
  <si>
    <t>Pflock nicht gefunden, an Bildern orientiert</t>
  </si>
  <si>
    <t>Electric conductivity in mS gemessen</t>
  </si>
  <si>
    <t>electric conductivity in mS gemessen</t>
  </si>
  <si>
    <t>electric conductivity in µS gemessen</t>
  </si>
  <si>
    <t>Verschmutzung in Probeeimer, electric conductivity in µS gemessen</t>
  </si>
  <si>
    <t>Probenahme an Gewässerrand (Strömung), Tiefe geschätzt, electric conductivity in µS gemessen</t>
  </si>
  <si>
    <t>electric conductivity in µS gemessen, keine Tiefenmessung in Gewässermitte möglich</t>
  </si>
  <si>
    <t>Tiefe wurde circa 1 Meter vom Ufer entfernt gemessen, Wasserentnahme von Gewässerrand, electric conductivity in mS gemessen</t>
  </si>
  <si>
    <t>Tiefe wurde circa 1,5 Meter vom Ufer entfernt gemessen, Wasserentnahme von Gewässerrand, electric conductivity in mS gemessen</t>
  </si>
  <si>
    <t>Bauer hat gespritzt</t>
  </si>
  <si>
    <t>eingetrübtes Wasser</t>
  </si>
  <si>
    <t>Tiefe in Gewässermitte gemessen</t>
  </si>
  <si>
    <t>Wasserstand viel niedriger wie sonst</t>
  </si>
  <si>
    <t>Tiefe wurde circa 2 Meter vom gegenüber liegenden Ufer entfernt gemessen, Wasserentnahme von Gewässerrand am gegenüber liegenden Ufer, electric conductivity in µS gemessen</t>
  </si>
  <si>
    <t>Tiefe wurde circa 2 Meter vom Ufer entfernt gemessen, Wasserentnahme von Gewässerrand, electric conductivity in µS gemessen</t>
  </si>
  <si>
    <t>Probe ca. 2 Meter weiter vorne wegen Hochwasser genommen</t>
  </si>
  <si>
    <t>notes (other)</t>
  </si>
  <si>
    <t>Probe ca. 5 m flussaufwärts wegen Wegsperrung genommen</t>
  </si>
  <si>
    <r>
      <t xml:space="preserve">pH
</t>
    </r>
    <r>
      <rPr>
        <sz val="10"/>
        <color theme="1"/>
        <rFont val="Calibri"/>
        <family val="2"/>
        <scheme val="minor"/>
      </rPr>
      <t>value</t>
    </r>
  </si>
  <si>
    <t>avg.</t>
  </si>
  <si>
    <t>del.</t>
  </si>
  <si>
    <t>corr.</t>
  </si>
  <si>
    <t xml:space="preserve">measured directly before the bridge </t>
  </si>
  <si>
    <t>pH-Sonde spinnt, Messkoffer 2 (sonst Messkoffer 1)</t>
  </si>
  <si>
    <t>notes (pH)</t>
  </si>
  <si>
    <t>error with sensor</t>
  </si>
  <si>
    <t xml:space="preserve"> Wert unplausibel [9,71]</t>
  </si>
  <si>
    <t xml:space="preserve"> Wert nachgemessen</t>
  </si>
  <si>
    <t xml:space="preserve"> Sonde vermutl. nicht korrekt (trotz mehrf. Messung)</t>
  </si>
  <si>
    <t xml:space="preserve"> Wert unplausibel [9,66]</t>
  </si>
  <si>
    <t xml:space="preserve"> ab jetzt neue Sonde verwendet</t>
  </si>
  <si>
    <t xml:space="preserve"> Wert unplausibel [10,50]</t>
  </si>
  <si>
    <t xml:space="preserve"> Wert unplausibel [9,90]</t>
  </si>
  <si>
    <t xml:space="preserve"> ungewöhnlich hoher Wert</t>
  </si>
  <si>
    <t xml:space="preserve"> Wert unplausibel [4,67]</t>
  </si>
  <si>
    <t xml:space="preserve"> Wert unplausibel [4,48]</t>
  </si>
  <si>
    <t xml:space="preserve"> Wert unplausibel [4,69]</t>
  </si>
  <si>
    <t xml:space="preserve"> Wert unplausibel [4,34]</t>
  </si>
  <si>
    <t xml:space="preserve"> Sonde springt</t>
  </si>
  <si>
    <t xml:space="preserve"> Sonde springt [6,63-6,33]</t>
  </si>
  <si>
    <t xml:space="preserve"> Sonde (neu) spinnt, alte Sonde &gt; 8 [7,6 ± 0,1]</t>
  </si>
  <si>
    <t xml:space="preserve"> Sonde (neu) spinnt, alte Sonde &gt; 8 [7,7 ± 0,1]</t>
  </si>
  <si>
    <t xml:space="preserve"> alte Sonde = 8,2 neue Sonde = 8,17</t>
  </si>
  <si>
    <t xml:space="preserve"> Wert zu niedrig?</t>
  </si>
  <si>
    <t xml:space="preserve"> mit anderer Sonde nachgemessen [7,4/7,25]</t>
  </si>
  <si>
    <t xml:space="preserve"> mit anderer Sonde nachgemessen [7,7/7,86]</t>
  </si>
  <si>
    <t xml:space="preserve"> mit anderer Sonde nachgemessen [6,7/6,68]</t>
  </si>
  <si>
    <t xml:space="preserve"> Sonde schwankt</t>
  </si>
  <si>
    <t xml:space="preserve"> mit anderer Sonde nachgemessen [7,8/8,36]</t>
  </si>
  <si>
    <t xml:space="preserve"> alte Sonde = 7,99 neue Sonde = 7,88 / pH-Wert mit ± 0,05 Schwankung</t>
  </si>
  <si>
    <t xml:space="preserve"> alte Sonde = 7,95 neue Sonde = 7,8 / pH-Wert mit ± 0,05 Schwankung</t>
  </si>
  <si>
    <t xml:space="preserve"> alte Sonde = 8,27 neue Sonde = 8,21</t>
  </si>
  <si>
    <t xml:space="preserve"> alte Sonde = 8,54 neue Sonde = 8,47</t>
  </si>
  <si>
    <t xml:space="preserve"> alte Sonde = 7,84 neue Sonde = 7,5 / pH-Wert mit ± 0,1 Schwankung</t>
  </si>
  <si>
    <t xml:space="preserve"> alte Sonde = 7,8 neue Sonde = 7,46 / pH-Wert mit ± 0,05 Schwankung</t>
  </si>
  <si>
    <t xml:space="preserve"> alte Sonde = 8,21 neue Sonde = 8,25</t>
  </si>
  <si>
    <t xml:space="preserve"> alte Sonde = 5,8 neue Sonde = 6,3 / pH-Sonde vermutlich fehlerhaft</t>
  </si>
  <si>
    <t xml:space="preserve"> alte Sonde = 5,65 neue Sonde = 7,54 / pH-Sonde vermutlich fehlerhaft</t>
  </si>
  <si>
    <t xml:space="preserve"> alte Sonde = 6,5 neue Sonde = 6,53 / pH-Sonde vermutlich fehlerhaft</t>
  </si>
  <si>
    <t xml:space="preserve"> alte Sonde = 8,5 neue Sonde = 8,46 / pH-Sonde vermutlich fehlerhaft</t>
  </si>
  <si>
    <t xml:space="preserve"> alte Sonde = 6,0 neue Sonde = 6,1 / pH-Sonde vermutlich fehlerhaft</t>
  </si>
  <si>
    <t xml:space="preserve"> alte Sonde = 6,2 neue Sonde = 6,25 / pH-Sonde vermutlich fehlerhaft</t>
  </si>
  <si>
    <t xml:space="preserve"> Sonde springt [8,1-8,2]</t>
  </si>
  <si>
    <t xml:space="preserve"> Sonde springt [7,4-7,5]</t>
  </si>
  <si>
    <t xml:space="preserve"> Sonde springt [8,1-8,5]</t>
  </si>
  <si>
    <t xml:space="preserve"> Sonde springt [7,9 ± 0,05]</t>
  </si>
  <si>
    <t xml:space="preserve"> Sonde springt [7,95-8,11]</t>
  </si>
  <si>
    <t xml:space="preserve"> Sonde springt [7,25-7,5]</t>
  </si>
  <si>
    <t xml:space="preserve"> Sonde springt [7,96-8,06]</t>
  </si>
  <si>
    <t xml:space="preserve"> Sonde springt [7,9 ±0,1]</t>
  </si>
  <si>
    <t xml:space="preserve"> Sonde springt [7,8 ±0,05]</t>
  </si>
  <si>
    <t xml:space="preserve"> Sonde springt [7,9-8,2]</t>
  </si>
  <si>
    <t xml:space="preserve"> Sonde springt [7,3 ±0,1]</t>
  </si>
  <si>
    <t xml:space="preserve"> Sonde springt  [7,89-8,17]</t>
  </si>
  <si>
    <t xml:space="preserve"> Sonde springt [7,99-8,09]</t>
  </si>
  <si>
    <t xml:space="preserve"> Sonde springt [7,9 ±0,05]</t>
  </si>
  <si>
    <t xml:space="preserve"> Sonde springt [8,1 ±0,05]</t>
  </si>
  <si>
    <t xml:space="preserve"> Sonde springt [7,4 ±0,05]</t>
  </si>
  <si>
    <t xml:space="preserve"> Sonde springt [7,25 ±0,05]</t>
  </si>
  <si>
    <t xml:space="preserve"> Sonde springt [8,0 ±0,05]</t>
  </si>
  <si>
    <t xml:space="preserve"> Sonde springt [8,15 ±0,05]</t>
  </si>
  <si>
    <t xml:space="preserve"> Sonde springt [8,05 ±0,05]</t>
  </si>
  <si>
    <t xml:space="preserve"> Sonde springt [8,25 ±0,05]</t>
  </si>
  <si>
    <t xml:space="preserve"> Sonde springt [7,5 ±0,1]</t>
  </si>
  <si>
    <t xml:space="preserve"> Sonde springt [8,0 ±0,1]</t>
  </si>
  <si>
    <t xml:space="preserve"> Sonde springt [8,1-8,3]</t>
  </si>
  <si>
    <t xml:space="preserve"> Sonde springt [7,8 ±0,1]</t>
  </si>
  <si>
    <t xml:space="preserve"> Sonde springt [7,6 ±0,05]</t>
  </si>
  <si>
    <t xml:space="preserve"> Sonde springt [7,7 ±0,05]</t>
  </si>
  <si>
    <t xml:space="preserve"> Sonde springt [7,55-7,6]</t>
  </si>
  <si>
    <t xml:space="preserve"> Sonde springt [7,65 ±0,05]</t>
  </si>
  <si>
    <t xml:space="preserve"> Sonde springt [7,7 ±0,1]</t>
  </si>
  <si>
    <t xml:space="preserve"> Sonde spinnt, Messkoffer 2 (sonst Messkoffer 1)</t>
  </si>
  <si>
    <t xml:space="preserve"> Wert unplausibel [5,74]</t>
  </si>
  <si>
    <t xml:space="preserve"> Wert unplausibel [9,80]</t>
  </si>
  <si>
    <t xml:space="preserve"> Wert zwischen 8,16 und 8,28</t>
  </si>
  <si>
    <t xml:space="preserve"> Wert zwischen 7,96 und 8,17</t>
  </si>
  <si>
    <t xml:space="preserve"> Wert zwischen 7,89 und 8,02</t>
  </si>
  <si>
    <t xml:space="preserve"> Wert zwischen 8,20 und 8,30</t>
  </si>
  <si>
    <t xml:space="preserve"> Wert unplausibel [4,55]</t>
  </si>
  <si>
    <t xml:space="preserve"> Wert unplausibel [4,78]</t>
  </si>
  <si>
    <t xml:space="preserve"> Wert unplausibel [4,50]</t>
  </si>
  <si>
    <t xml:space="preserve"> Wert unplausibel [4,27]</t>
  </si>
  <si>
    <t xml:space="preserve"> Wert unplausibel [5,21]</t>
  </si>
  <si>
    <t xml:space="preserve"> Wert unplausibel [5,09]</t>
  </si>
  <si>
    <t xml:space="preserve"> Sonde springt [7,5-7,8]</t>
  </si>
  <si>
    <t xml:space="preserve"> Wert unplausibel [4,20]</t>
  </si>
  <si>
    <t xml:space="preserve"> Sonde springt [6,7-7,3]</t>
  </si>
  <si>
    <t xml:space="preserve"> Wert zwischen 7,26 und 7,43</t>
  </si>
  <si>
    <t xml:space="preserve"> Wert zwischen 8,16 und 8,24</t>
  </si>
  <si>
    <t xml:space="preserve"> Wert unplausibel [3,91]</t>
  </si>
  <si>
    <t xml:space="preserve"> Wert unplausibel [3,73]</t>
  </si>
  <si>
    <t xml:space="preserve"> Wert unplausibel [4,24]</t>
  </si>
  <si>
    <t xml:space="preserve"> Wert unplausibel [4,16]</t>
  </si>
  <si>
    <t xml:space="preserve"> Wert zwischen 8,08 und 8,22</t>
  </si>
  <si>
    <t xml:space="preserve"> Wert zwischen 7,16 und 7,30</t>
  </si>
  <si>
    <t xml:space="preserve"> Wert zwischen 7,66 und 7,74</t>
  </si>
  <si>
    <t xml:space="preserve"> Wert unplausibel [3,00]</t>
  </si>
  <si>
    <t xml:space="preserve"> Wert unplausibel [3,47]</t>
  </si>
  <si>
    <t xml:space="preserve"> Wert zwischen 8,10 und 8,16</t>
  </si>
  <si>
    <t xml:space="preserve"> Wert zwischen 8,02 und 8,13</t>
  </si>
  <si>
    <t xml:space="preserve"> Wert unplausibel [3,80]</t>
  </si>
  <si>
    <t xml:space="preserve"> Wert unplausibel [3,72]</t>
  </si>
  <si>
    <t xml:space="preserve"> Wert unplausibel [3,30]</t>
  </si>
  <si>
    <t xml:space="preserve"> Wert zwischen 7,87 und 8,2</t>
  </si>
  <si>
    <t xml:space="preserve"> Wert zwischen 8,9 und 8,22</t>
  </si>
  <si>
    <t xml:space="preserve"> Wert zwischen 7,76 und 7,84</t>
  </si>
  <si>
    <t xml:space="preserve"> Sonde nachkalibriert</t>
  </si>
  <si>
    <t xml:space="preserve"> Sonde springt [7,76-8,15]</t>
  </si>
  <si>
    <t xml:space="preserve"> Sonde springt [7,52-7,78]</t>
  </si>
  <si>
    <t xml:space="preserve"> Sonde neu kalibriert</t>
  </si>
  <si>
    <t>no exact time noted</t>
  </si>
  <si>
    <t>no exact time noted; water depth taken on 20.04.2021</t>
  </si>
  <si>
    <t>sensor showed +++</t>
  </si>
  <si>
    <t>sensor was off</t>
  </si>
  <si>
    <t>Wert zwischen 12,6 und 13,3</t>
  </si>
  <si>
    <t>notes (dissolved oxygen)</t>
  </si>
  <si>
    <t xml:space="preserve">measured at first stairs after the bridge </t>
  </si>
  <si>
    <t>calibrated</t>
  </si>
  <si>
    <t>calibrated (first measurement &lt; 7)</t>
  </si>
  <si>
    <t>mehrfach kalibriert</t>
  </si>
  <si>
    <t>neu kalibriert</t>
  </si>
  <si>
    <t>Sonde kalibriert</t>
  </si>
  <si>
    <t>Sonde kalibriert (springt)</t>
  </si>
  <si>
    <t>Sonde kalibriert und Elektrolyte nachgefüllt</t>
  </si>
  <si>
    <t>Logger wieder im Wasser</t>
  </si>
  <si>
    <t>Sonde ausgefallen</t>
  </si>
  <si>
    <t>Sonde springt</t>
  </si>
  <si>
    <t>Sonde mehrfach kalibriert (springt zwischen 9,1 und 9,6)</t>
  </si>
  <si>
    <t>Sonde mehrfach kalibriert (springt zwischen 9,4 und 9,8)</t>
  </si>
  <si>
    <t>Sonde mehrfach kalibriert (springt zwischen 9,8 und 10,3)</t>
  </si>
  <si>
    <t>Sonde mehrfach kalibriert (springt zwischen 10,0 und 11,2)</t>
  </si>
  <si>
    <t>Sonde mehrfach kalibriert (springt zwischen 4,5 und 5,7)</t>
  </si>
  <si>
    <t>electric conductivity in µS gemessen / water level: keine Werte aufgrund der Strömung &amp; Tiefe</t>
  </si>
  <si>
    <t>electric conductivity in µS gemessen, Probenahme flussabwärts / water level: keine Werte aufgrund der Strömung &amp; Tiefe</t>
  </si>
  <si>
    <t>electric conductivity in mS gemessen, Probenahme am Ufer / water level: keine Werte aufgrund der Strömung &amp; Tiefe</t>
  </si>
  <si>
    <t>electric conductivity in µS gemessen, Probenahme am Ufer gegenüber / water level: keine Werte aufgrund der Strömung &amp; Tiefe</t>
  </si>
  <si>
    <t>electric conductivity in µS gemessen, Probenahme am Ufer / water level: keine Werte aufgrund der Strömung &amp; Tiefe</t>
  </si>
  <si>
    <t>electric conductivity in µS gemessen , Probenahme etwas flussabwärts / water level: keine Werte aufgrund der Strömung &amp; Tiefe</t>
  </si>
  <si>
    <t>water level: ca. 1 m vom Ufer entfernt gemessen, Wasserentnahme von Gewässerrand, electric conductivity in mS gemessen</t>
  </si>
  <si>
    <t>Wasserstand sehr niedrig</t>
  </si>
  <si>
    <t xml:space="preserve">erst nach 20 min Messzeit annähernd konstant </t>
  </si>
  <si>
    <t>Wert schwankt zwischen 13 und 14</t>
  </si>
  <si>
    <t>Wert schwankt</t>
  </si>
  <si>
    <t>Gewässer bei Baustelle (oberhalb Probestelle) durch Rohr geleitet (s. Foto)</t>
  </si>
  <si>
    <t>Probestelle wegen Straßensperrung nicht anfahrbar</t>
  </si>
  <si>
    <t>Baustelle flussaufwärts</t>
  </si>
  <si>
    <t>pH remark</t>
  </si>
  <si>
    <t>ox.
remark</t>
  </si>
  <si>
    <t>temp.
remark</t>
  </si>
  <si>
    <t>turbidity/fine
sediment load</t>
  </si>
  <si>
    <t>KLI</t>
  </si>
  <si>
    <t>Klingbach</t>
  </si>
  <si>
    <t>[%] calc.</t>
  </si>
  <si>
    <t>[%] meas.</t>
  </si>
  <si>
    <t>not measured</t>
  </si>
  <si>
    <t>redox potential</t>
  </si>
  <si>
    <t>[V]</t>
  </si>
  <si>
    <t>Wehr geöffnet (oder geschliffen?)</t>
  </si>
  <si>
    <t>no pole, no discharge measured</t>
  </si>
  <si>
    <t>measured</t>
  </si>
  <si>
    <t>calculated</t>
  </si>
  <si>
    <t>Pegel gemessen an kleiner Steintreppe</t>
  </si>
  <si>
    <t>Forstweg</t>
  </si>
  <si>
    <t>no pole; discharge extremely low</t>
  </si>
  <si>
    <t>missing data ==&gt;</t>
  </si>
  <si>
    <t>Pflock nicht auffindbar, Hochwasser; water level &gt; 100</t>
  </si>
  <si>
    <t>gaps mostly due to measurement errors</t>
  </si>
  <si>
    <t>measure period
last update</t>
  </si>
  <si>
    <t>13.04.2021 - 10.02.2025
21.02.2025</t>
  </si>
  <si>
    <t>data gaps cannot be fixed</t>
  </si>
  <si>
    <t>water sample was lost</t>
  </si>
  <si>
    <t>new data</t>
  </si>
  <si>
    <t>+ measure frequency reduced to monthly</t>
  </si>
  <si>
    <r>
      <t>year 2025</t>
    </r>
    <r>
      <rPr>
        <vertAlign val="superscript"/>
        <sz val="11"/>
        <color rgb="FF000000"/>
        <rFont val="Calibri"/>
        <family val="2"/>
      </rPr>
      <t>+</t>
    </r>
  </si>
  <si>
    <r>
      <t>year 2026</t>
    </r>
    <r>
      <rPr>
        <vertAlign val="superscript"/>
        <sz val="11"/>
        <color rgb="FF000000"/>
        <rFont val="Calibri"/>
        <family val="2"/>
      </rPr>
      <t>+</t>
    </r>
  </si>
  <si>
    <t>additional measurement</t>
  </si>
  <si>
    <t>Probe fehlt, trockengefallen</t>
  </si>
  <si>
    <t>29.03.2021 - 10.06.2025
22.01.2026</t>
  </si>
  <si>
    <t>K aus ICP MS</t>
  </si>
  <si>
    <t>K aus ICP MS / HCO3-: zusätzl. Probe wurde nicht analysiert</t>
  </si>
  <si>
    <t>20m flussaufwärts gemessen wegen Baustelle</t>
  </si>
  <si>
    <t>Die Messungen wurden mit dem neuen Mess-Equipment durchgeführt. Vermutlich wurde ein Fehler bei der Kalibrierung gemacht, da die Messwerte sehr stark von zuvor gemessenen Werten abweichen.</t>
  </si>
  <si>
    <t>siehe Erläuterung im gelben Kasten</t>
  </si>
  <si>
    <t>Riverbed dry</t>
  </si>
  <si>
    <t>Bach ausgetrocknet</t>
  </si>
  <si>
    <t>Bach ist teilweise durch Äste versperrt</t>
  </si>
  <si>
    <t>Riverbed almost dry</t>
  </si>
  <si>
    <t>Renaturation</t>
  </si>
  <si>
    <t>River dried out</t>
  </si>
  <si>
    <t>pH Sonde möglicherweise defekt</t>
  </si>
  <si>
    <t>Probestelle wegen Baustelle nicht erreichbar</t>
  </si>
  <si>
    <t>wegen Baustelle kein Zugang zur Probestelle</t>
  </si>
  <si>
    <t>keine Zufahrt möglich wegen Baustelle</t>
  </si>
  <si>
    <t>pH gesprungen zwischen 8,69-8,92</t>
  </si>
  <si>
    <t>Wasserstand in Gewässermitte gemessen</t>
  </si>
  <si>
    <t>in % gemessen =&gt; Werte abgeleitet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</si>
</sst>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.0000"/>
    <numFmt numFmtId="167" formatCode="0.0%"/>
    <numFmt numFmtId="168" formatCode="#,##0.0000"/>
    <numFmt numFmtId="169" formatCode="#,##0.00000"/>
    <numFmt numFmtId="170" formatCode="yyyy\-mm\-dd;@"/>
  </numFmts>
  <fonts count="5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i/>
      <sz val="12"/>
      <name val="Calibri"/>
      <family val="2"/>
      <scheme val="minor"/>
    </font>
    <font>
      <sz val="12"/>
      <color rgb="FFC00000"/>
      <name val="Calibri"/>
      <family val="2"/>
      <charset val="1"/>
    </font>
    <font>
      <sz val="12"/>
      <color rgb="FFC00000"/>
      <name val="Calibri"/>
      <family val="2"/>
    </font>
    <font>
      <sz val="12"/>
      <name val="Calibri"/>
      <family val="2"/>
    </font>
    <font>
      <sz val="11"/>
      <color theme="3"/>
      <name val="Calibri"/>
      <family val="2"/>
      <scheme val="minor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  <font>
      <sz val="10"/>
      <color theme="1" tint="0.499984740745262"/>
      <name val="Calibri"/>
      <family val="2"/>
      <charset val="1"/>
    </font>
    <font>
      <sz val="11"/>
      <color rgb="FFC00000"/>
      <name val="Calibri"/>
      <family val="2"/>
    </font>
    <font>
      <i/>
      <sz val="11"/>
      <color rgb="FF000000"/>
      <name val="Calibri"/>
      <family val="2"/>
    </font>
    <font>
      <sz val="9"/>
      <color rgb="FF000000"/>
      <name val="Calibri"/>
      <family val="2"/>
      <charset val="1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12"/>
      <color rgb="FFA6A6A6"/>
      <name val="Calibri"/>
      <family val="2"/>
      <charset val="1"/>
    </font>
    <font>
      <sz val="12"/>
      <color rgb="FFA6A6A6"/>
      <name val="Calibri"/>
      <family val="2"/>
      <scheme val="minor"/>
    </font>
    <font>
      <sz val="10"/>
      <color rgb="FF000000"/>
      <name val="Calibri"/>
      <family val="2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FF"/>
      <name val="Calibri"/>
      <family val="2"/>
    </font>
    <font>
      <sz val="11"/>
      <name val="Calibri"/>
      <family val="2"/>
    </font>
    <font>
      <sz val="10"/>
      <color theme="1"/>
      <name val="Calibri"/>
      <family val="2"/>
      <scheme val="minor"/>
    </font>
    <font>
      <sz val="13"/>
      <color rgb="FFC00000"/>
      <name val="Calibri"/>
      <family val="2"/>
      <scheme val="minor"/>
    </font>
    <font>
      <sz val="12"/>
      <color theme="7" tint="-0.499984740745262"/>
      <name val="Calibri"/>
      <family val="2"/>
      <scheme val="minor"/>
    </font>
    <font>
      <sz val="12"/>
      <color theme="7" tint="-0.499984740745262"/>
      <name val="Calibri"/>
      <family val="2"/>
    </font>
    <font>
      <sz val="11"/>
      <color theme="7" tint="-0.499984740745262"/>
      <name val="Calibri"/>
      <family val="2"/>
      <scheme val="minor"/>
    </font>
    <font>
      <sz val="12"/>
      <color rgb="FF806000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9"/>
      <name val="Calibri"/>
      <family val="2"/>
    </font>
    <font>
      <b/>
      <sz val="9"/>
      <name val="Calibri"/>
      <family val="2"/>
    </font>
    <font>
      <i/>
      <sz val="9"/>
      <color rgb="FF000000"/>
      <name val="Calibri"/>
      <family val="2"/>
    </font>
    <font>
      <sz val="11"/>
      <color rgb="FFED7D31"/>
      <name val="Calibri"/>
      <family val="2"/>
    </font>
    <font>
      <sz val="9"/>
      <color indexed="81"/>
      <name val="Segoe UI"/>
      <family val="2"/>
    </font>
    <font>
      <sz val="12"/>
      <color rgb="FFED7D31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vertAlign val="superscript"/>
      <sz val="11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FFFFFF"/>
      </patternFill>
    </fill>
    <fill>
      <patternFill patternType="solid">
        <fgColor rgb="FFD6DCE5"/>
        <bgColor rgb="FFA6A6A6"/>
      </patternFill>
    </fill>
    <fill>
      <patternFill patternType="solid">
        <fgColor rgb="FFD6DCE5"/>
        <bgColor indexed="64"/>
      </patternFill>
    </fill>
    <fill>
      <patternFill patternType="solid">
        <fgColor rgb="FFADB9CA"/>
        <bgColor indexed="64"/>
      </patternFill>
    </fill>
    <fill>
      <patternFill patternType="solid">
        <fgColor rgb="FFFFFFCC"/>
        <bgColor rgb="FFFFF2CC"/>
      </patternFill>
    </fill>
    <fill>
      <patternFill patternType="solid">
        <fgColor rgb="FFD6DCE5"/>
        <bgColor rgb="FFD9D9D9"/>
      </patternFill>
    </fill>
    <fill>
      <patternFill patternType="solid">
        <fgColor rgb="FFFFFFCC"/>
        <bgColor rgb="FFD9D9D9"/>
      </patternFill>
    </fill>
    <fill>
      <patternFill patternType="solid">
        <fgColor rgb="FFFFFFCC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6E6"/>
        <bgColor indexed="64"/>
      </patternFill>
    </fill>
    <fill>
      <patternFill patternType="solid">
        <fgColor rgb="FFC8E6FF"/>
        <bgColor rgb="FFFFFFCC"/>
      </patternFill>
    </fill>
    <fill>
      <patternFill patternType="solid">
        <fgColor rgb="FFFFBEBE"/>
        <bgColor rgb="FFA6A6A6"/>
      </patternFill>
    </fill>
    <fill>
      <patternFill patternType="solid">
        <fgColor rgb="FFB9EDB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66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8">
    <xf numFmtId="0" fontId="0" fillId="0" borderId="0"/>
    <xf numFmtId="0" fontId="7" fillId="0" borderId="0"/>
    <xf numFmtId="0" fontId="8" fillId="0" borderId="0"/>
    <xf numFmtId="0" fontId="11" fillId="0" borderId="0" applyNumberFormat="0" applyFill="0" applyBorder="0" applyAlignment="0" applyProtection="0"/>
    <xf numFmtId="0" fontId="6" fillId="0" borderId="0"/>
    <xf numFmtId="0" fontId="5" fillId="0" borderId="0"/>
    <xf numFmtId="0" fontId="4" fillId="0" borderId="0"/>
    <xf numFmtId="0" fontId="28" fillId="0" borderId="0"/>
  </cellStyleXfs>
  <cellXfs count="296">
    <xf numFmtId="0" fontId="0" fillId="0" borderId="0" xfId="0"/>
    <xf numFmtId="0" fontId="8" fillId="0" borderId="0" xfId="2"/>
    <xf numFmtId="164" fontId="10" fillId="0" borderId="0" xfId="1" applyNumberFormat="1" applyFont="1" applyAlignment="1">
      <alignment horizontal="center" vertical="center"/>
    </xf>
    <xf numFmtId="0" fontId="8" fillId="0" borderId="0" xfId="0" applyFont="1"/>
    <xf numFmtId="0" fontId="8" fillId="0" borderId="0" xfId="2" applyAlignment="1">
      <alignment horizontal="right"/>
    </xf>
    <xf numFmtId="0" fontId="8" fillId="4" borderId="0" xfId="4" applyFont="1" applyFill="1" applyAlignment="1">
      <alignment vertical="center"/>
    </xf>
    <xf numFmtId="0" fontId="6" fillId="4" borderId="0" xfId="4" applyFill="1" applyAlignment="1">
      <alignment vertical="center"/>
    </xf>
    <xf numFmtId="0" fontId="8" fillId="0" borderId="0" xfId="4" applyFont="1" applyAlignment="1">
      <alignment vertical="center"/>
    </xf>
    <xf numFmtId="0" fontId="12" fillId="2" borderId="1" xfId="4" applyFont="1" applyFill="1" applyBorder="1"/>
    <xf numFmtId="0" fontId="12" fillId="4" borderId="0" xfId="4" applyFont="1" applyFill="1" applyAlignment="1">
      <alignment vertical="center"/>
    </xf>
    <xf numFmtId="0" fontId="12" fillId="0" borderId="0" xfId="4" applyFont="1" applyAlignment="1">
      <alignment vertical="center"/>
    </xf>
    <xf numFmtId="0" fontId="8" fillId="3" borderId="1" xfId="4" applyFont="1" applyFill="1" applyBorder="1" applyAlignment="1">
      <alignment vertical="top"/>
    </xf>
    <xf numFmtId="0" fontId="8" fillId="3" borderId="6" xfId="4" applyFont="1" applyFill="1" applyBorder="1" applyAlignment="1">
      <alignment horizontal="right" vertical="top" wrapText="1"/>
    </xf>
    <xf numFmtId="0" fontId="0" fillId="3" borderId="1" xfId="4" applyFont="1" applyFill="1" applyBorder="1" applyAlignment="1">
      <alignment horizontal="left" vertical="top" wrapText="1"/>
    </xf>
    <xf numFmtId="164" fontId="10" fillId="4" borderId="0" xfId="4" applyNumberFormat="1" applyFont="1" applyFill="1" applyAlignment="1">
      <alignment horizontal="center" vertical="center"/>
    </xf>
    <xf numFmtId="164" fontId="10" fillId="4" borderId="7" xfId="4" applyNumberFormat="1" applyFont="1" applyFill="1" applyBorder="1" applyAlignment="1">
      <alignment horizontal="center" vertical="center"/>
    </xf>
    <xf numFmtId="164" fontId="17" fillId="4" borderId="7" xfId="4" applyNumberFormat="1" applyFont="1" applyFill="1" applyBorder="1" applyAlignment="1">
      <alignment horizontal="center" vertical="center"/>
    </xf>
    <xf numFmtId="165" fontId="10" fillId="4" borderId="7" xfId="4" applyNumberFormat="1" applyFont="1" applyFill="1" applyBorder="1" applyAlignment="1">
      <alignment horizontal="center"/>
    </xf>
    <xf numFmtId="166" fontId="10" fillId="4" borderId="8" xfId="4" applyNumberFormat="1" applyFont="1" applyFill="1" applyBorder="1" applyAlignment="1">
      <alignment horizontal="center"/>
    </xf>
    <xf numFmtId="164" fontId="10" fillId="0" borderId="0" xfId="4" applyNumberFormat="1" applyFont="1" applyAlignment="1">
      <alignment horizontal="center" vertical="center"/>
    </xf>
    <xf numFmtId="0" fontId="8" fillId="0" borderId="9" xfId="4" applyFont="1" applyBorder="1" applyAlignment="1">
      <alignment vertical="center"/>
    </xf>
    <xf numFmtId="0" fontId="15" fillId="4" borderId="0" xfId="4" applyFont="1" applyFill="1" applyAlignment="1">
      <alignment vertical="center"/>
    </xf>
    <xf numFmtId="2" fontId="8" fillId="0" borderId="9" xfId="4" applyNumberFormat="1" applyFont="1" applyBorder="1" applyAlignment="1">
      <alignment vertical="center"/>
    </xf>
    <xf numFmtId="164" fontId="8" fillId="0" borderId="9" xfId="4" applyNumberFormat="1" applyFont="1" applyBorder="1" applyAlignment="1">
      <alignment vertical="center"/>
    </xf>
    <xf numFmtId="2" fontId="16" fillId="0" borderId="9" xfId="4" applyNumberFormat="1" applyFont="1" applyBorder="1" applyAlignment="1">
      <alignment vertical="center"/>
    </xf>
    <xf numFmtId="1" fontId="8" fillId="0" borderId="9" xfId="4" applyNumberFormat="1" applyFont="1" applyBorder="1" applyAlignment="1">
      <alignment vertical="center"/>
    </xf>
    <xf numFmtId="0" fontId="8" fillId="5" borderId="9" xfId="4" applyFont="1" applyFill="1" applyBorder="1" applyAlignment="1">
      <alignment vertical="center"/>
    </xf>
    <xf numFmtId="2" fontId="16" fillId="5" borderId="9" xfId="4" applyNumberFormat="1" applyFont="1" applyFill="1" applyBorder="1" applyAlignment="1">
      <alignment vertical="center"/>
    </xf>
    <xf numFmtId="2" fontId="13" fillId="0" borderId="9" xfId="4" applyNumberFormat="1" applyFont="1" applyBorder="1" applyAlignment="1">
      <alignment vertical="center"/>
    </xf>
    <xf numFmtId="164" fontId="13" fillId="0" borderId="9" xfId="4" applyNumberFormat="1" applyFont="1" applyBorder="1" applyAlignment="1">
      <alignment vertical="center"/>
    </xf>
    <xf numFmtId="167" fontId="13" fillId="0" borderId="9" xfId="4" applyNumberFormat="1" applyFont="1" applyBorder="1" applyAlignment="1">
      <alignment vertical="center"/>
    </xf>
    <xf numFmtId="1" fontId="13" fillId="0" borderId="9" xfId="4" applyNumberFormat="1" applyFont="1" applyBorder="1" applyAlignment="1">
      <alignment vertical="center"/>
    </xf>
    <xf numFmtId="0" fontId="13" fillId="4" borderId="0" xfId="4" applyFont="1" applyFill="1" applyAlignment="1">
      <alignment vertical="center"/>
    </xf>
    <xf numFmtId="165" fontId="9" fillId="0" borderId="9" xfId="4" applyNumberFormat="1" applyFont="1" applyBorder="1"/>
    <xf numFmtId="164" fontId="9" fillId="0" borderId="9" xfId="4" applyNumberFormat="1" applyFont="1" applyBorder="1"/>
    <xf numFmtId="166" fontId="9" fillId="0" borderId="9" xfId="4" applyNumberFormat="1" applyFont="1" applyBorder="1"/>
    <xf numFmtId="1" fontId="9" fillId="0" borderId="9" xfId="4" applyNumberFormat="1" applyFont="1" applyBorder="1"/>
    <xf numFmtId="2" fontId="13" fillId="5" borderId="9" xfId="4" applyNumberFormat="1" applyFont="1" applyFill="1" applyBorder="1" applyAlignment="1">
      <alignment vertical="center"/>
    </xf>
    <xf numFmtId="164" fontId="13" fillId="5" borderId="9" xfId="4" applyNumberFormat="1" applyFont="1" applyFill="1" applyBorder="1" applyAlignment="1">
      <alignment vertical="center"/>
    </xf>
    <xf numFmtId="167" fontId="13" fillId="5" borderId="9" xfId="4" applyNumberFormat="1" applyFont="1" applyFill="1" applyBorder="1" applyAlignment="1">
      <alignment vertical="center"/>
    </xf>
    <xf numFmtId="1" fontId="13" fillId="5" borderId="9" xfId="4" applyNumberFormat="1" applyFont="1" applyFill="1" applyBorder="1" applyAlignment="1">
      <alignment vertical="center"/>
    </xf>
    <xf numFmtId="165" fontId="9" fillId="6" borderId="9" xfId="4" applyNumberFormat="1" applyFont="1" applyFill="1" applyBorder="1"/>
    <xf numFmtId="164" fontId="9" fillId="6" borderId="9" xfId="4" applyNumberFormat="1" applyFont="1" applyFill="1" applyBorder="1"/>
    <xf numFmtId="166" fontId="9" fillId="6" borderId="9" xfId="4" applyNumberFormat="1" applyFont="1" applyFill="1" applyBorder="1"/>
    <xf numFmtId="1" fontId="9" fillId="6" borderId="9" xfId="4" applyNumberFormat="1" applyFont="1" applyFill="1" applyBorder="1"/>
    <xf numFmtId="0" fontId="6" fillId="0" borderId="0" xfId="4" applyAlignment="1">
      <alignment vertical="center"/>
    </xf>
    <xf numFmtId="0" fontId="6" fillId="3" borderId="6" xfId="4" applyFill="1" applyBorder="1" applyAlignment="1">
      <alignment horizontal="right" vertical="top" wrapText="1"/>
    </xf>
    <xf numFmtId="166" fontId="8" fillId="0" borderId="9" xfId="4" applyNumberFormat="1" applyFont="1" applyBorder="1" applyAlignment="1">
      <alignment vertical="center"/>
    </xf>
    <xf numFmtId="1" fontId="9" fillId="0" borderId="9" xfId="4" applyNumberFormat="1" applyFont="1" applyBorder="1" applyAlignment="1">
      <alignment vertical="center"/>
    </xf>
    <xf numFmtId="2" fontId="8" fillId="6" borderId="9" xfId="4" applyNumberFormat="1" applyFont="1" applyFill="1" applyBorder="1" applyAlignment="1">
      <alignment vertical="center"/>
    </xf>
    <xf numFmtId="164" fontId="8" fillId="6" borderId="9" xfId="4" applyNumberFormat="1" applyFont="1" applyFill="1" applyBorder="1" applyAlignment="1">
      <alignment vertical="center"/>
    </xf>
    <xf numFmtId="166" fontId="8" fillId="6" borderId="9" xfId="4" applyNumberFormat="1" applyFont="1" applyFill="1" applyBorder="1" applyAlignment="1">
      <alignment vertical="center"/>
    </xf>
    <xf numFmtId="1" fontId="8" fillId="6" borderId="9" xfId="4" applyNumberFormat="1" applyFont="1" applyFill="1" applyBorder="1" applyAlignment="1">
      <alignment vertical="center"/>
    </xf>
    <xf numFmtId="1" fontId="9" fillId="6" borderId="9" xfId="4" applyNumberFormat="1" applyFont="1" applyFill="1" applyBorder="1" applyAlignment="1">
      <alignment vertical="center"/>
    </xf>
    <xf numFmtId="1" fontId="14" fillId="6" borderId="9" xfId="4" applyNumberFormat="1" applyFont="1" applyFill="1" applyBorder="1" applyAlignment="1">
      <alignment horizontal="right" vertical="center"/>
    </xf>
    <xf numFmtId="166" fontId="18" fillId="6" borderId="9" xfId="4" applyNumberFormat="1" applyFont="1" applyFill="1" applyBorder="1" applyAlignment="1">
      <alignment vertical="center"/>
    </xf>
    <xf numFmtId="1" fontId="18" fillId="6" borderId="9" xfId="4" applyNumberFormat="1" applyFont="1" applyFill="1" applyBorder="1" applyAlignment="1">
      <alignment vertical="center"/>
    </xf>
    <xf numFmtId="0" fontId="0" fillId="3" borderId="6" xfId="1" applyFont="1" applyFill="1" applyBorder="1" applyAlignment="1">
      <alignment horizontal="right" vertical="top" wrapText="1"/>
    </xf>
    <xf numFmtId="0" fontId="8" fillId="0" borderId="0" xfId="5" applyFont="1"/>
    <xf numFmtId="164" fontId="10" fillId="0" borderId="0" xfId="5" applyNumberFormat="1" applyFont="1" applyAlignment="1">
      <alignment horizontal="center" vertical="center"/>
    </xf>
    <xf numFmtId="0" fontId="5" fillId="0" borderId="0" xfId="5"/>
    <xf numFmtId="1" fontId="21" fillId="0" borderId="10" xfId="4" applyNumberFormat="1" applyFont="1" applyBorder="1" applyAlignment="1">
      <alignment vertical="center"/>
    </xf>
    <xf numFmtId="1" fontId="21" fillId="7" borderId="10" xfId="4" applyNumberFormat="1" applyFont="1" applyFill="1" applyBorder="1" applyAlignment="1">
      <alignment vertical="center"/>
    </xf>
    <xf numFmtId="1" fontId="21" fillId="7" borderId="10" xfId="4" applyNumberFormat="1" applyFont="1" applyFill="1" applyBorder="1" applyAlignment="1">
      <alignment horizontal="right" vertical="center"/>
    </xf>
    <xf numFmtId="164" fontId="21" fillId="0" borderId="10" xfId="4" applyNumberFormat="1" applyFont="1" applyBorder="1" applyAlignment="1">
      <alignment horizontal="right" vertical="center"/>
    </xf>
    <xf numFmtId="164" fontId="21" fillId="7" borderId="10" xfId="4" applyNumberFormat="1" applyFont="1" applyFill="1" applyBorder="1" applyAlignment="1">
      <alignment horizontal="right" vertical="center"/>
    </xf>
    <xf numFmtId="1" fontId="21" fillId="0" borderId="10" xfId="4" applyNumberFormat="1" applyFont="1" applyBorder="1" applyAlignment="1">
      <alignment horizontal="right" vertical="center"/>
    </xf>
    <xf numFmtId="14" fontId="22" fillId="5" borderId="9" xfId="4" applyNumberFormat="1" applyFont="1" applyFill="1" applyBorder="1" applyAlignment="1">
      <alignment vertical="center"/>
    </xf>
    <xf numFmtId="164" fontId="20" fillId="7" borderId="10" xfId="4" applyNumberFormat="1" applyFont="1" applyFill="1" applyBorder="1" applyAlignment="1">
      <alignment horizontal="right" vertical="center"/>
    </xf>
    <xf numFmtId="164" fontId="13" fillId="5" borderId="9" xfId="4" applyNumberFormat="1" applyFont="1" applyFill="1" applyBorder="1" applyAlignment="1">
      <alignment horizontal="right" vertical="center"/>
    </xf>
    <xf numFmtId="164" fontId="13" fillId="0" borderId="9" xfId="4" applyNumberFormat="1" applyFont="1" applyBorder="1" applyAlignment="1">
      <alignment horizontal="right" vertical="center"/>
    </xf>
    <xf numFmtId="2" fontId="23" fillId="0" borderId="10" xfId="4" applyNumberFormat="1" applyFont="1" applyBorder="1" applyAlignment="1">
      <alignment horizontal="right" vertical="center"/>
    </xf>
    <xf numFmtId="2" fontId="23" fillId="5" borderId="10" xfId="4" applyNumberFormat="1" applyFont="1" applyFill="1" applyBorder="1" applyAlignment="1">
      <alignment horizontal="right" vertical="center"/>
    </xf>
    <xf numFmtId="2" fontId="24" fillId="0" borderId="10" xfId="4" applyNumberFormat="1" applyFont="1" applyBorder="1" applyAlignment="1">
      <alignment horizontal="right" vertical="center"/>
    </xf>
    <xf numFmtId="2" fontId="24" fillId="5" borderId="10" xfId="4" applyNumberFormat="1" applyFont="1" applyFill="1" applyBorder="1" applyAlignment="1">
      <alignment horizontal="right" vertical="center"/>
    </xf>
    <xf numFmtId="164" fontId="23" fillId="0" borderId="10" xfId="4" applyNumberFormat="1" applyFont="1" applyBorder="1" applyAlignment="1">
      <alignment horizontal="right" vertical="center"/>
    </xf>
    <xf numFmtId="1" fontId="23" fillId="7" borderId="10" xfId="4" applyNumberFormat="1" applyFont="1" applyFill="1" applyBorder="1" applyAlignment="1">
      <alignment horizontal="right" vertical="center"/>
    </xf>
    <xf numFmtId="1" fontId="25" fillId="0" borderId="10" xfId="4" applyNumberFormat="1" applyFont="1" applyBorder="1" applyAlignment="1">
      <alignment vertical="center"/>
    </xf>
    <xf numFmtId="1" fontId="25" fillId="7" borderId="10" xfId="4" applyNumberFormat="1" applyFont="1" applyFill="1" applyBorder="1" applyAlignment="1">
      <alignment vertical="center"/>
    </xf>
    <xf numFmtId="1" fontId="25" fillId="0" borderId="10" xfId="4" applyNumberFormat="1" applyFont="1" applyBorder="1" applyAlignment="1">
      <alignment horizontal="right" vertical="center"/>
    </xf>
    <xf numFmtId="1" fontId="25" fillId="7" borderId="10" xfId="4" applyNumberFormat="1" applyFont="1" applyFill="1" applyBorder="1" applyAlignment="1">
      <alignment horizontal="right" vertical="center"/>
    </xf>
    <xf numFmtId="0" fontId="27" fillId="8" borderId="1" xfId="1" applyFont="1" applyFill="1" applyBorder="1" applyAlignment="1">
      <alignment horizontal="left" vertical="top"/>
    </xf>
    <xf numFmtId="0" fontId="27" fillId="8" borderId="1" xfId="1" applyFont="1" applyFill="1" applyBorder="1" applyAlignment="1">
      <alignment horizontal="left" vertical="top" wrapText="1"/>
    </xf>
    <xf numFmtId="0" fontId="8" fillId="9" borderId="1" xfId="5" applyFont="1" applyFill="1" applyBorder="1" applyAlignment="1">
      <alignment horizontal="left" vertical="top"/>
    </xf>
    <xf numFmtId="0" fontId="8" fillId="9" borderId="1" xfId="5" applyFont="1" applyFill="1" applyBorder="1" applyAlignment="1">
      <alignment horizontal="left" vertical="top" wrapText="1"/>
    </xf>
    <xf numFmtId="0" fontId="13" fillId="9" borderId="1" xfId="5" applyFont="1" applyFill="1" applyBorder="1" applyAlignment="1">
      <alignment horizontal="left" vertical="top" wrapText="1"/>
    </xf>
    <xf numFmtId="0" fontId="8" fillId="3" borderId="1" xfId="5" applyFont="1" applyFill="1" applyBorder="1" applyAlignment="1">
      <alignment horizontal="left" vertical="top"/>
    </xf>
    <xf numFmtId="0" fontId="8" fillId="0" borderId="0" xfId="0" applyFont="1" applyAlignment="1">
      <alignment horizontal="left"/>
    </xf>
    <xf numFmtId="0" fontId="8" fillId="9" borderId="1" xfId="1" applyFont="1" applyFill="1" applyBorder="1" applyAlignment="1">
      <alignment horizontal="left" vertical="top"/>
    </xf>
    <xf numFmtId="0" fontId="13" fillId="9" borderId="1" xfId="1" applyFont="1" applyFill="1" applyBorder="1" applyAlignment="1">
      <alignment horizontal="left" vertical="top" wrapText="1"/>
    </xf>
    <xf numFmtId="164" fontId="29" fillId="0" borderId="0" xfId="1" applyNumberFormat="1" applyFont="1" applyAlignment="1">
      <alignment horizontal="center" vertical="center"/>
    </xf>
    <xf numFmtId="0" fontId="28" fillId="0" borderId="0" xfId="7"/>
    <xf numFmtId="170" fontId="28" fillId="9" borderId="1" xfId="7" applyNumberFormat="1" applyFill="1" applyBorder="1"/>
    <xf numFmtId="170" fontId="28" fillId="0" borderId="12" xfId="7" applyNumberFormat="1" applyBorder="1"/>
    <xf numFmtId="170" fontId="28" fillId="0" borderId="11" xfId="7" applyNumberFormat="1" applyBorder="1"/>
    <xf numFmtId="0" fontId="31" fillId="0" borderId="0" xfId="7" applyFont="1"/>
    <xf numFmtId="164" fontId="32" fillId="0" borderId="0" xfId="1" applyNumberFormat="1" applyFont="1" applyAlignment="1">
      <alignment horizontal="center" vertical="center"/>
    </xf>
    <xf numFmtId="0" fontId="27" fillId="0" borderId="0" xfId="0" applyFont="1"/>
    <xf numFmtId="170" fontId="13" fillId="0" borderId="9" xfId="4" applyNumberFormat="1" applyFont="1" applyBorder="1" applyAlignment="1">
      <alignment vertical="center"/>
    </xf>
    <xf numFmtId="170" fontId="13" fillId="5" borderId="9" xfId="4" applyNumberFormat="1" applyFont="1" applyFill="1" applyBorder="1" applyAlignment="1">
      <alignment vertical="center"/>
    </xf>
    <xf numFmtId="0" fontId="33" fillId="0" borderId="0" xfId="1" applyFont="1" applyAlignment="1">
      <alignment vertical="center"/>
    </xf>
    <xf numFmtId="164" fontId="34" fillId="11" borderId="14" xfId="1" applyNumberFormat="1" applyFont="1" applyFill="1" applyBorder="1" applyAlignment="1">
      <alignment horizontal="center" vertical="center"/>
    </xf>
    <xf numFmtId="164" fontId="34" fillId="11" borderId="15" xfId="1" applyNumberFormat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top" wrapText="1"/>
    </xf>
    <xf numFmtId="0" fontId="27" fillId="12" borderId="6" xfId="1" applyFont="1" applyFill="1" applyBorder="1" applyAlignment="1">
      <alignment horizontal="center" vertical="center" wrapText="1"/>
    </xf>
    <xf numFmtId="0" fontId="35" fillId="12" borderId="6" xfId="1" applyFont="1" applyFill="1" applyBorder="1" applyAlignment="1">
      <alignment horizontal="center" vertical="center" wrapText="1"/>
    </xf>
    <xf numFmtId="2" fontId="36" fillId="0" borderId="9" xfId="4" applyNumberFormat="1" applyFont="1" applyBorder="1" applyAlignment="1">
      <alignment vertical="center"/>
    </xf>
    <xf numFmtId="2" fontId="36" fillId="5" borderId="9" xfId="4" applyNumberFormat="1" applyFont="1" applyFill="1" applyBorder="1" applyAlignment="1">
      <alignment vertical="center"/>
    </xf>
    <xf numFmtId="1" fontId="38" fillId="0" borderId="9" xfId="4" applyNumberFormat="1" applyFont="1" applyBorder="1" applyAlignment="1">
      <alignment horizontal="right"/>
    </xf>
    <xf numFmtId="1" fontId="38" fillId="6" borderId="9" xfId="4" applyNumberFormat="1" applyFont="1" applyFill="1" applyBorder="1" applyAlignment="1">
      <alignment horizontal="right"/>
    </xf>
    <xf numFmtId="164" fontId="39" fillId="6" borderId="9" xfId="4" applyNumberFormat="1" applyFont="1" applyFill="1" applyBorder="1"/>
    <xf numFmtId="165" fontId="38" fillId="6" borderId="9" xfId="4" applyNumberFormat="1" applyFont="1" applyFill="1" applyBorder="1" applyAlignment="1">
      <alignment horizontal="right"/>
    </xf>
    <xf numFmtId="164" fontId="38" fillId="6" borderId="9" xfId="4" applyNumberFormat="1" applyFont="1" applyFill="1" applyBorder="1" applyAlignment="1">
      <alignment horizontal="right"/>
    </xf>
    <xf numFmtId="166" fontId="38" fillId="6" borderId="9" xfId="4" applyNumberFormat="1" applyFont="1" applyFill="1" applyBorder="1" applyAlignment="1">
      <alignment horizontal="right"/>
    </xf>
    <xf numFmtId="164" fontId="40" fillId="11" borderId="13" xfId="1" applyNumberFormat="1" applyFont="1" applyFill="1" applyBorder="1" applyAlignment="1">
      <alignment vertical="center"/>
    </xf>
    <xf numFmtId="164" fontId="4" fillId="0" borderId="9" xfId="4" applyNumberFormat="1" applyFont="1" applyBorder="1"/>
    <xf numFmtId="164" fontId="4" fillId="6" borderId="9" xfId="4" applyNumberFormat="1" applyFont="1" applyFill="1" applyBorder="1"/>
    <xf numFmtId="2" fontId="30" fillId="0" borderId="10" xfId="4" applyNumberFormat="1" applyFont="1" applyBorder="1" applyAlignment="1">
      <alignment horizontal="right" vertical="center"/>
    </xf>
    <xf numFmtId="2" fontId="38" fillId="0" borderId="9" xfId="4" applyNumberFormat="1" applyFont="1" applyBorder="1" applyAlignment="1">
      <alignment vertical="center"/>
    </xf>
    <xf numFmtId="164" fontId="30" fillId="0" borderId="10" xfId="4" applyNumberFormat="1" applyFont="1" applyBorder="1" applyAlignment="1">
      <alignment horizontal="right" vertical="center"/>
    </xf>
    <xf numFmtId="2" fontId="30" fillId="5" borderId="10" xfId="4" applyNumberFormat="1" applyFont="1" applyFill="1" applyBorder="1" applyAlignment="1">
      <alignment horizontal="right" vertical="center"/>
    </xf>
    <xf numFmtId="2" fontId="38" fillId="5" borderId="9" xfId="4" applyNumberFormat="1" applyFont="1" applyFill="1" applyBorder="1" applyAlignment="1">
      <alignment vertical="center"/>
    </xf>
    <xf numFmtId="1" fontId="30" fillId="7" borderId="10" xfId="4" applyNumberFormat="1" applyFont="1" applyFill="1" applyBorder="1" applyAlignment="1">
      <alignment horizontal="right" vertical="center"/>
    </xf>
    <xf numFmtId="164" fontId="8" fillId="4" borderId="0" xfId="4" applyNumberFormat="1" applyFont="1" applyFill="1" applyAlignment="1">
      <alignment vertical="center"/>
    </xf>
    <xf numFmtId="0" fontId="27" fillId="13" borderId="1" xfId="1" applyFont="1" applyFill="1" applyBorder="1" applyAlignment="1">
      <alignment horizontal="left" vertical="top"/>
    </xf>
    <xf numFmtId="0" fontId="27" fillId="14" borderId="1" xfId="1" applyFont="1" applyFill="1" applyBorder="1" applyAlignment="1">
      <alignment horizontal="left" vertical="top"/>
    </xf>
    <xf numFmtId="170" fontId="41" fillId="0" borderId="11" xfId="7" applyNumberFormat="1" applyFont="1" applyBorder="1"/>
    <xf numFmtId="170" fontId="41" fillId="0" borderId="12" xfId="7" applyNumberFormat="1" applyFont="1" applyBorder="1"/>
    <xf numFmtId="0" fontId="4" fillId="0" borderId="11" xfId="0" applyFont="1" applyBorder="1"/>
    <xf numFmtId="170" fontId="30" fillId="0" borderId="11" xfId="7" applyNumberFormat="1" applyFont="1" applyBorder="1"/>
    <xf numFmtId="0" fontId="30" fillId="0" borderId="11" xfId="7" applyFont="1" applyBorder="1"/>
    <xf numFmtId="170" fontId="3" fillId="0" borderId="11" xfId="7" applyNumberFormat="1" applyFont="1" applyBorder="1"/>
    <xf numFmtId="170" fontId="41" fillId="0" borderId="11" xfId="7" quotePrefix="1" applyNumberFormat="1" applyFont="1" applyBorder="1" applyAlignment="1">
      <alignment horizontal="right"/>
    </xf>
    <xf numFmtId="2" fontId="4" fillId="0" borderId="11" xfId="5" applyNumberFormat="1" applyFont="1" applyBorder="1"/>
    <xf numFmtId="2" fontId="42" fillId="0" borderId="11" xfId="5" applyNumberFormat="1" applyFont="1" applyBorder="1"/>
    <xf numFmtId="1" fontId="4" fillId="0" borderId="11" xfId="5" applyNumberFormat="1" applyFont="1" applyBorder="1"/>
    <xf numFmtId="0" fontId="4" fillId="0" borderId="11" xfId="5" applyFont="1" applyBorder="1"/>
    <xf numFmtId="164" fontId="4" fillId="0" borderId="11" xfId="5" applyNumberFormat="1" applyFont="1" applyBorder="1"/>
    <xf numFmtId="0" fontId="42" fillId="16" borderId="1" xfId="5" applyFont="1" applyFill="1" applyBorder="1" applyAlignment="1">
      <alignment horizontal="left" vertical="center" wrapText="1"/>
    </xf>
    <xf numFmtId="1" fontId="9" fillId="6" borderId="9" xfId="4" applyNumberFormat="1" applyFont="1" applyFill="1" applyBorder="1" applyAlignment="1">
      <alignment horizontal="right"/>
    </xf>
    <xf numFmtId="0" fontId="27" fillId="12" borderId="18" xfId="1" applyFont="1" applyFill="1" applyBorder="1" applyAlignment="1">
      <alignment horizontal="center" vertical="center" wrapText="1"/>
    </xf>
    <xf numFmtId="0" fontId="44" fillId="4" borderId="0" xfId="4" applyFont="1" applyFill="1" applyAlignment="1">
      <alignment vertical="center"/>
    </xf>
    <xf numFmtId="0" fontId="44" fillId="0" borderId="9" xfId="4" applyFont="1" applyBorder="1" applyAlignment="1">
      <alignment vertical="center"/>
    </xf>
    <xf numFmtId="170" fontId="44" fillId="0" borderId="9" xfId="4" applyNumberFormat="1" applyFont="1" applyBorder="1" applyAlignment="1">
      <alignment vertical="center"/>
    </xf>
    <xf numFmtId="2" fontId="44" fillId="0" borderId="9" xfId="4" applyNumberFormat="1" applyFont="1" applyBorder="1" applyAlignment="1">
      <alignment vertical="center"/>
    </xf>
    <xf numFmtId="164" fontId="44" fillId="0" borderId="9" xfId="4" applyNumberFormat="1" applyFont="1" applyBorder="1" applyAlignment="1">
      <alignment vertical="center"/>
    </xf>
    <xf numFmtId="1" fontId="45" fillId="0" borderId="10" xfId="4" applyNumberFormat="1" applyFont="1" applyBorder="1" applyAlignment="1">
      <alignment vertical="center"/>
    </xf>
    <xf numFmtId="165" fontId="46" fillId="0" borderId="9" xfId="4" applyNumberFormat="1" applyFont="1" applyBorder="1"/>
    <xf numFmtId="164" fontId="46" fillId="0" borderId="9" xfId="4" applyNumberFormat="1" applyFont="1" applyBorder="1"/>
    <xf numFmtId="166" fontId="46" fillId="0" borderId="9" xfId="4" applyNumberFormat="1" applyFont="1" applyBorder="1"/>
    <xf numFmtId="1" fontId="46" fillId="0" borderId="9" xfId="4" applyNumberFormat="1" applyFont="1" applyBorder="1" applyAlignment="1">
      <alignment horizontal="right"/>
    </xf>
    <xf numFmtId="1" fontId="46" fillId="0" borderId="9" xfId="4" applyNumberFormat="1" applyFont="1" applyBorder="1"/>
    <xf numFmtId="0" fontId="44" fillId="0" borderId="0" xfId="4" applyFont="1" applyAlignment="1">
      <alignment vertical="center"/>
    </xf>
    <xf numFmtId="0" fontId="47" fillId="0" borderId="9" xfId="4" applyFont="1" applyBorder="1" applyAlignment="1">
      <alignment vertical="center"/>
    </xf>
    <xf numFmtId="0" fontId="49" fillId="14" borderId="1" xfId="1" applyFont="1" applyFill="1" applyBorder="1" applyAlignment="1">
      <alignment horizontal="left" vertical="top" wrapText="1"/>
    </xf>
    <xf numFmtId="164" fontId="50" fillId="16" borderId="21" xfId="1" applyNumberFormat="1" applyFont="1" applyFill="1" applyBorder="1" applyAlignment="1">
      <alignment horizontal="left" vertical="center"/>
    </xf>
    <xf numFmtId="170" fontId="4" fillId="0" borderId="11" xfId="5" applyNumberFormat="1" applyFont="1" applyBorder="1"/>
    <xf numFmtId="0" fontId="29" fillId="0" borderId="11" xfId="0" applyFont="1" applyBorder="1"/>
    <xf numFmtId="164" fontId="9" fillId="0" borderId="11" xfId="5" applyNumberFormat="1" applyFont="1" applyBorder="1" applyAlignment="1">
      <alignment horizontal="right"/>
    </xf>
    <xf numFmtId="0" fontId="2" fillId="0" borderId="11" xfId="5" applyFont="1" applyBorder="1"/>
    <xf numFmtId="164" fontId="9" fillId="0" borderId="11" xfId="5" applyNumberFormat="1" applyFont="1" applyBorder="1"/>
    <xf numFmtId="2" fontId="42" fillId="0" borderId="11" xfId="5" applyNumberFormat="1" applyFont="1" applyBorder="1" applyAlignment="1">
      <alignment horizontal="right"/>
    </xf>
    <xf numFmtId="0" fontId="26" fillId="0" borderId="11" xfId="3" applyFont="1" applyBorder="1"/>
    <xf numFmtId="2" fontId="9" fillId="0" borderId="11" xfId="3" applyNumberFormat="1" applyFont="1" applyFill="1" applyBorder="1" applyAlignment="1"/>
    <xf numFmtId="2" fontId="19" fillId="0" borderId="11" xfId="3" applyNumberFormat="1" applyFont="1" applyFill="1" applyBorder="1" applyAlignment="1"/>
    <xf numFmtId="1" fontId="9" fillId="0" borderId="11" xfId="3" applyNumberFormat="1" applyFont="1" applyFill="1" applyBorder="1"/>
    <xf numFmtId="164" fontId="9" fillId="0" borderId="11" xfId="3" applyNumberFormat="1" applyFont="1" applyFill="1" applyBorder="1"/>
    <xf numFmtId="0" fontId="9" fillId="0" borderId="11" xfId="5" applyFont="1" applyBorder="1"/>
    <xf numFmtId="0" fontId="9" fillId="0" borderId="11" xfId="3" applyFont="1" applyBorder="1"/>
    <xf numFmtId="2" fontId="9" fillId="0" borderId="11" xfId="5" applyNumberFormat="1" applyFont="1" applyBorder="1"/>
    <xf numFmtId="2" fontId="19" fillId="0" borderId="11" xfId="5" applyNumberFormat="1" applyFont="1" applyBorder="1"/>
    <xf numFmtId="1" fontId="9" fillId="0" borderId="11" xfId="5" applyNumberFormat="1" applyFont="1" applyBorder="1"/>
    <xf numFmtId="14" fontId="9" fillId="0" borderId="11" xfId="5" applyNumberFormat="1" applyFont="1" applyBorder="1"/>
    <xf numFmtId="2" fontId="4" fillId="0" borderId="11" xfId="3" applyNumberFormat="1" applyFont="1" applyFill="1" applyBorder="1" applyAlignment="1"/>
    <xf numFmtId="2" fontId="42" fillId="0" borderId="11" xfId="3" applyNumberFormat="1" applyFont="1" applyFill="1" applyBorder="1" applyAlignment="1"/>
    <xf numFmtId="1" fontId="4" fillId="0" borderId="11" xfId="3" applyNumberFormat="1" applyFont="1" applyFill="1" applyBorder="1"/>
    <xf numFmtId="164" fontId="4" fillId="0" borderId="11" xfId="3" applyNumberFormat="1" applyFont="1" applyFill="1" applyBorder="1"/>
    <xf numFmtId="14" fontId="4" fillId="0" borderId="11" xfId="5" applyNumberFormat="1" applyFont="1" applyBorder="1"/>
    <xf numFmtId="0" fontId="4" fillId="0" borderId="11" xfId="3" applyNumberFormat="1" applyFont="1" applyFill="1" applyBorder="1"/>
    <xf numFmtId="164" fontId="9" fillId="0" borderId="11" xfId="3" applyNumberFormat="1" applyFont="1" applyFill="1" applyBorder="1" applyAlignment="1">
      <alignment horizontal="right"/>
    </xf>
    <xf numFmtId="0" fontId="42" fillId="0" borderId="11" xfId="5" applyFont="1" applyBorder="1"/>
    <xf numFmtId="0" fontId="8" fillId="0" borderId="11" xfId="5" applyFont="1" applyBorder="1"/>
    <xf numFmtId="164" fontId="4" fillId="0" borderId="11" xfId="5" applyNumberFormat="1" applyFont="1" applyBorder="1" applyAlignment="1">
      <alignment horizontal="right"/>
    </xf>
    <xf numFmtId="2" fontId="4" fillId="0" borderId="11" xfId="5" applyNumberFormat="1" applyFont="1" applyBorder="1" applyAlignment="1">
      <alignment horizontal="right"/>
    </xf>
    <xf numFmtId="2" fontId="2" fillId="0" borderId="11" xfId="5" quotePrefix="1" applyNumberFormat="1" applyFont="1" applyBorder="1" applyAlignment="1">
      <alignment horizontal="right"/>
    </xf>
    <xf numFmtId="2" fontId="2" fillId="0" borderId="11" xfId="5" applyNumberFormat="1" applyFont="1" applyBorder="1" applyAlignment="1">
      <alignment horizontal="right"/>
    </xf>
    <xf numFmtId="0" fontId="2" fillId="0" borderId="11" xfId="5" quotePrefix="1" applyFont="1" applyBorder="1"/>
    <xf numFmtId="2" fontId="2" fillId="0" borderId="11" xfId="5" applyNumberFormat="1" applyFont="1" applyBorder="1"/>
    <xf numFmtId="1" fontId="10" fillId="0" borderId="11" xfId="5" applyNumberFormat="1" applyFont="1" applyBorder="1" applyAlignment="1">
      <alignment horizontal="center" vertical="center"/>
    </xf>
    <xf numFmtId="1" fontId="10" fillId="0" borderId="12" xfId="5" applyNumberFormat="1" applyFont="1" applyBorder="1" applyAlignment="1">
      <alignment horizontal="center" vertical="center"/>
    </xf>
    <xf numFmtId="1" fontId="51" fillId="17" borderId="11" xfId="1" applyNumberFormat="1" applyFont="1" applyFill="1" applyBorder="1" applyAlignment="1">
      <alignment horizontal="center" vertical="center"/>
    </xf>
    <xf numFmtId="1" fontId="52" fillId="17" borderId="11" xfId="1" applyNumberFormat="1" applyFont="1" applyFill="1" applyBorder="1" applyAlignment="1">
      <alignment horizontal="center" vertical="center"/>
    </xf>
    <xf numFmtId="0" fontId="1" fillId="0" borderId="11" xfId="5" applyFont="1" applyBorder="1"/>
    <xf numFmtId="164" fontId="53" fillId="0" borderId="11" xfId="1" applyNumberFormat="1" applyFont="1" applyBorder="1" applyAlignment="1">
      <alignment horizontal="left" vertical="center"/>
    </xf>
    <xf numFmtId="0" fontId="27" fillId="0" borderId="0" xfId="0" applyFont="1" applyAlignment="1">
      <alignment horizontal="left"/>
    </xf>
    <xf numFmtId="0" fontId="28" fillId="0" borderId="0" xfId="0" applyFont="1"/>
    <xf numFmtId="0" fontId="54" fillId="0" borderId="0" xfId="0" applyFont="1"/>
    <xf numFmtId="0" fontId="48" fillId="0" borderId="0" xfId="0" applyFont="1"/>
    <xf numFmtId="2" fontId="27" fillId="8" borderId="1" xfId="1" applyNumberFormat="1" applyFont="1" applyFill="1" applyBorder="1" applyAlignment="1">
      <alignment horizontal="left" vertical="top" wrapText="1"/>
    </xf>
    <xf numFmtId="2" fontId="21" fillId="8" borderId="1" xfId="1" applyNumberFormat="1" applyFont="1" applyFill="1" applyBorder="1" applyAlignment="1">
      <alignment horizontal="left" vertical="top" wrapText="1"/>
    </xf>
    <xf numFmtId="164" fontId="27" fillId="8" borderId="1" xfId="1" applyNumberFormat="1" applyFont="1" applyFill="1" applyBorder="1" applyAlignment="1">
      <alignment horizontal="left" vertical="top" wrapText="1"/>
    </xf>
    <xf numFmtId="1" fontId="27" fillId="8" borderId="1" xfId="1" applyNumberFormat="1" applyFont="1" applyFill="1" applyBorder="1" applyAlignment="1">
      <alignment horizontal="left" vertical="top" wrapText="1"/>
    </xf>
    <xf numFmtId="0" fontId="27" fillId="19" borderId="1" xfId="1" applyFont="1" applyFill="1" applyBorder="1" applyAlignment="1">
      <alignment horizontal="left" vertical="top" wrapText="1"/>
    </xf>
    <xf numFmtId="170" fontId="4" fillId="0" borderId="11" xfId="0" applyNumberFormat="1" applyFont="1" applyBorder="1" applyAlignment="1">
      <alignment horizontal="right"/>
    </xf>
    <xf numFmtId="166" fontId="4" fillId="0" borderId="11" xfId="0" applyNumberFormat="1" applyFont="1" applyBorder="1" applyAlignment="1">
      <alignment horizontal="center"/>
    </xf>
    <xf numFmtId="168" fontId="4" fillId="0" borderId="11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165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2" fontId="8" fillId="15" borderId="11" xfId="2" applyNumberFormat="1" applyFill="1" applyBorder="1"/>
    <xf numFmtId="168" fontId="4" fillId="15" borderId="11" xfId="0" applyNumberFormat="1" applyFont="1" applyFill="1" applyBorder="1" applyAlignment="1">
      <alignment horizontal="center"/>
    </xf>
    <xf numFmtId="2" fontId="8" fillId="0" borderId="11" xfId="2" applyNumberFormat="1" applyBorder="1"/>
    <xf numFmtId="0" fontId="8" fillId="0" borderId="11" xfId="2" applyBorder="1"/>
    <xf numFmtId="1" fontId="10" fillId="0" borderId="11" xfId="1" applyNumberFormat="1" applyFont="1" applyBorder="1" applyAlignment="1">
      <alignment horizontal="center" vertical="center"/>
    </xf>
    <xf numFmtId="1" fontId="10" fillId="0" borderId="12" xfId="1" applyNumberFormat="1" applyFont="1" applyBorder="1" applyAlignment="1">
      <alignment horizontal="center" vertical="center"/>
    </xf>
    <xf numFmtId="164" fontId="48" fillId="0" borderId="12" xfId="1" applyNumberFormat="1" applyFont="1" applyBorder="1" applyAlignment="1">
      <alignment vertical="center"/>
    </xf>
    <xf numFmtId="164" fontId="48" fillId="0" borderId="11" xfId="1" applyNumberFormat="1" applyFont="1" applyBorder="1" applyAlignment="1">
      <alignment vertical="center"/>
    </xf>
    <xf numFmtId="0" fontId="56" fillId="0" borderId="0" xfId="0" applyFont="1"/>
    <xf numFmtId="164" fontId="48" fillId="0" borderId="12" xfId="1" applyNumberFormat="1" applyFont="1" applyBorder="1" applyAlignment="1">
      <alignment horizontal="center" vertical="center"/>
    </xf>
    <xf numFmtId="164" fontId="48" fillId="0" borderId="11" xfId="1" applyNumberFormat="1" applyFont="1" applyBorder="1" applyAlignment="1">
      <alignment horizontal="center" vertical="center"/>
    </xf>
    <xf numFmtId="0" fontId="57" fillId="0" borderId="11" xfId="0" applyFont="1" applyBorder="1"/>
    <xf numFmtId="166" fontId="57" fillId="0" borderId="11" xfId="0" applyNumberFormat="1" applyFont="1" applyBorder="1"/>
    <xf numFmtId="2" fontId="57" fillId="0" borderId="11" xfId="0" applyNumberFormat="1" applyFont="1" applyBorder="1"/>
    <xf numFmtId="2" fontId="57" fillId="15" borderId="11" xfId="2" applyNumberFormat="1" applyFont="1" applyFill="1" applyBorder="1"/>
    <xf numFmtId="2" fontId="57" fillId="0" borderId="11" xfId="2" applyNumberFormat="1" applyFont="1" applyBorder="1"/>
    <xf numFmtId="0" fontId="57" fillId="0" borderId="11" xfId="2" applyFont="1" applyBorder="1"/>
    <xf numFmtId="0" fontId="57" fillId="0" borderId="0" xfId="2" applyFont="1"/>
    <xf numFmtId="0" fontId="27" fillId="14" borderId="1" xfId="1" applyFont="1" applyFill="1" applyBorder="1" applyAlignment="1">
      <alignment vertical="top"/>
    </xf>
    <xf numFmtId="164" fontId="48" fillId="0" borderId="11" xfId="0" applyNumberFormat="1" applyFont="1" applyBorder="1" applyAlignment="1">
      <alignment horizontal="center"/>
    </xf>
    <xf numFmtId="170" fontId="9" fillId="0" borderId="11" xfId="0" applyNumberFormat="1" applyFont="1" applyBorder="1" applyAlignment="1">
      <alignment horizontal="right"/>
    </xf>
    <xf numFmtId="169" fontId="4" fillId="0" borderId="11" xfId="0" applyNumberFormat="1" applyFont="1" applyBorder="1" applyAlignment="1">
      <alignment horizontal="center"/>
    </xf>
    <xf numFmtId="164" fontId="4" fillId="0" borderId="11" xfId="2" applyNumberFormat="1" applyFont="1" applyBorder="1" applyAlignment="1">
      <alignment horizontal="center"/>
    </xf>
    <xf numFmtId="0" fontId="4" fillId="0" borderId="11" xfId="2" applyFont="1" applyBorder="1"/>
    <xf numFmtId="164" fontId="50" fillId="16" borderId="1" xfId="1" applyNumberFormat="1" applyFont="1" applyFill="1" applyBorder="1" applyAlignment="1">
      <alignment vertical="center"/>
    </xf>
    <xf numFmtId="0" fontId="48" fillId="0" borderId="11" xfId="0" applyFont="1" applyBorder="1"/>
    <xf numFmtId="170" fontId="41" fillId="20" borderId="11" xfId="7" applyNumberFormat="1" applyFont="1" applyFill="1" applyBorder="1"/>
    <xf numFmtId="170" fontId="41" fillId="20" borderId="11" xfId="0" applyNumberFormat="1" applyFont="1" applyFill="1" applyBorder="1"/>
    <xf numFmtId="170" fontId="41" fillId="0" borderId="11" xfId="7" applyNumberFormat="1" applyFont="1" applyFill="1" applyBorder="1"/>
    <xf numFmtId="170" fontId="28" fillId="0" borderId="11" xfId="7" applyNumberFormat="1" applyFill="1" applyBorder="1"/>
    <xf numFmtId="170" fontId="41" fillId="0" borderId="11" xfId="0" applyNumberFormat="1" applyFont="1" applyFill="1" applyBorder="1"/>
    <xf numFmtId="0" fontId="31" fillId="0" borderId="0" xfId="0" quotePrefix="1" applyFont="1" applyAlignment="1">
      <alignment vertical="center"/>
    </xf>
    <xf numFmtId="0" fontId="28" fillId="0" borderId="0" xfId="0" applyFont="1" applyAlignment="1">
      <alignment vertical="center"/>
    </xf>
    <xf numFmtId="0" fontId="0" fillId="0" borderId="0" xfId="0" applyAlignment="1">
      <alignment vertical="center"/>
    </xf>
    <xf numFmtId="170" fontId="28" fillId="9" borderId="1" xfId="0" applyNumberFormat="1" applyFont="1" applyFill="1" applyBorder="1" applyAlignment="1">
      <alignment vertical="center"/>
    </xf>
    <xf numFmtId="0" fontId="37" fillId="0" borderId="0" xfId="0" applyFont="1" applyAlignment="1">
      <alignment vertical="center"/>
    </xf>
    <xf numFmtId="170" fontId="41" fillId="20" borderId="11" xfId="0" applyNumberFormat="1" applyFont="1" applyFill="1" applyBorder="1" applyAlignment="1">
      <alignment vertical="center"/>
    </xf>
    <xf numFmtId="0" fontId="1" fillId="0" borderId="11" xfId="0" applyFont="1" applyBorder="1"/>
    <xf numFmtId="166" fontId="4" fillId="0" borderId="11" xfId="0" applyNumberFormat="1" applyFont="1" applyFill="1" applyBorder="1" applyAlignment="1">
      <alignment horizontal="center"/>
    </xf>
    <xf numFmtId="168" fontId="4" fillId="0" borderId="11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>
      <alignment horizontal="center"/>
    </xf>
    <xf numFmtId="165" fontId="4" fillId="0" borderId="11" xfId="0" applyNumberFormat="1" applyFont="1" applyFill="1" applyBorder="1" applyAlignment="1">
      <alignment horizontal="center"/>
    </xf>
    <xf numFmtId="169" fontId="4" fillId="0" borderId="11" xfId="0" applyNumberFormat="1" applyFont="1" applyFill="1" applyBorder="1" applyAlignment="1">
      <alignment horizontal="center"/>
    </xf>
    <xf numFmtId="164" fontId="48" fillId="0" borderId="11" xfId="0" applyNumberFormat="1" applyFont="1" applyFill="1" applyBorder="1" applyAlignment="1">
      <alignment horizontal="center"/>
    </xf>
    <xf numFmtId="164" fontId="4" fillId="0" borderId="11" xfId="2" applyNumberFormat="1" applyFont="1" applyFill="1" applyBorder="1" applyAlignment="1">
      <alignment horizontal="center"/>
    </xf>
    <xf numFmtId="164" fontId="1" fillId="0" borderId="11" xfId="2" quotePrefix="1" applyNumberFormat="1" applyFont="1" applyFill="1" applyBorder="1" applyAlignment="1">
      <alignment horizontal="center"/>
    </xf>
    <xf numFmtId="166" fontId="4" fillId="21" borderId="11" xfId="0" applyNumberFormat="1" applyFont="1" applyFill="1" applyBorder="1" applyAlignment="1">
      <alignment horizontal="center"/>
    </xf>
    <xf numFmtId="14" fontId="0" fillId="0" borderId="0" xfId="0" applyNumberFormat="1"/>
    <xf numFmtId="165" fontId="43" fillId="0" borderId="20" xfId="4" applyNumberFormat="1" applyFont="1" applyBorder="1" applyAlignment="1">
      <alignment horizontal="center" vertical="center"/>
    </xf>
    <xf numFmtId="165" fontId="43" fillId="0" borderId="0" xfId="4" applyNumberFormat="1" applyFont="1" applyAlignment="1">
      <alignment horizontal="center" vertical="center"/>
    </xf>
    <xf numFmtId="165" fontId="43" fillId="0" borderId="19" xfId="4" applyNumberFormat="1" applyFont="1" applyBorder="1" applyAlignment="1">
      <alignment horizontal="center" vertical="center"/>
    </xf>
    <xf numFmtId="0" fontId="12" fillId="2" borderId="2" xfId="4" applyFont="1" applyFill="1" applyBorder="1" applyAlignment="1">
      <alignment vertical="center"/>
    </xf>
    <xf numFmtId="0" fontId="12" fillId="2" borderId="3" xfId="4" applyFont="1" applyFill="1" applyBorder="1" applyAlignment="1">
      <alignment vertical="center"/>
    </xf>
    <xf numFmtId="0" fontId="12" fillId="2" borderId="4" xfId="4" applyFont="1" applyFill="1" applyBorder="1" applyAlignment="1">
      <alignment vertical="center"/>
    </xf>
    <xf numFmtId="0" fontId="12" fillId="2" borderId="2" xfId="4" applyFont="1" applyFill="1" applyBorder="1" applyAlignment="1">
      <alignment horizontal="center" vertical="center"/>
    </xf>
    <xf numFmtId="0" fontId="12" fillId="2" borderId="3" xfId="4" applyFont="1" applyFill="1" applyBorder="1" applyAlignment="1">
      <alignment horizontal="center" vertical="center"/>
    </xf>
    <xf numFmtId="0" fontId="12" fillId="2" borderId="4" xfId="4" applyFont="1" applyFill="1" applyBorder="1" applyAlignment="1">
      <alignment horizontal="center" vertical="center"/>
    </xf>
    <xf numFmtId="0" fontId="27" fillId="12" borderId="2" xfId="1" applyFont="1" applyFill="1" applyBorder="1" applyAlignment="1">
      <alignment horizontal="center" vertical="center" wrapText="1"/>
    </xf>
    <xf numFmtId="0" fontId="27" fillId="12" borderId="4" xfId="1" applyFont="1" applyFill="1" applyBorder="1" applyAlignment="1">
      <alignment horizontal="center" vertical="center" wrapText="1"/>
    </xf>
    <xf numFmtId="0" fontId="28" fillId="18" borderId="17" xfId="0" applyFont="1" applyFill="1" applyBorder="1" applyAlignment="1">
      <alignment horizontal="left" vertical="center" wrapText="1"/>
    </xf>
    <xf numFmtId="0" fontId="28" fillId="18" borderId="16" xfId="0" applyFont="1" applyFill="1" applyBorder="1" applyAlignment="1">
      <alignment horizontal="left" vertical="center"/>
    </xf>
    <xf numFmtId="0" fontId="28" fillId="18" borderId="5" xfId="0" applyFont="1" applyFill="1" applyBorder="1" applyAlignment="1">
      <alignment horizontal="left" vertical="center"/>
    </xf>
    <xf numFmtId="0" fontId="28" fillId="18" borderId="22" xfId="0" applyFont="1" applyFill="1" applyBorder="1" applyAlignment="1">
      <alignment horizontal="right" vertical="center" wrapText="1"/>
    </xf>
    <xf numFmtId="0" fontId="28" fillId="18" borderId="23" xfId="0" applyFont="1" applyFill="1" applyBorder="1" applyAlignment="1">
      <alignment horizontal="right" vertical="center"/>
    </xf>
    <xf numFmtId="0" fontId="28" fillId="18" borderId="18" xfId="0" applyFont="1" applyFill="1" applyBorder="1" applyAlignment="1">
      <alignment horizontal="right" vertical="center"/>
    </xf>
    <xf numFmtId="170" fontId="28" fillId="10" borderId="2" xfId="7" applyNumberFormat="1" applyFill="1" applyBorder="1" applyAlignment="1">
      <alignment horizontal="center"/>
    </xf>
    <xf numFmtId="170" fontId="28" fillId="10" borderId="3" xfId="7" applyNumberFormat="1" applyFill="1" applyBorder="1" applyAlignment="1">
      <alignment horizontal="center"/>
    </xf>
    <xf numFmtId="170" fontId="28" fillId="10" borderId="4" xfId="7" applyNumberFormat="1" applyFill="1" applyBorder="1" applyAlignment="1">
      <alignment horizontal="center"/>
    </xf>
    <xf numFmtId="164" fontId="4" fillId="0" borderId="11" xfId="5" quotePrefix="1" applyNumberFormat="1" applyFont="1" applyBorder="1" applyAlignment="1">
      <alignment horizontal="right"/>
    </xf>
    <xf numFmtId="0" fontId="4" fillId="22" borderId="11" xfId="5" applyFont="1" applyFill="1" applyBorder="1" applyAlignment="1">
      <alignment horizontal="right"/>
    </xf>
    <xf numFmtId="164" fontId="9" fillId="22" borderId="11" xfId="5" applyNumberFormat="1" applyFont="1" applyFill="1" applyBorder="1" applyAlignment="1">
      <alignment horizontal="right"/>
    </xf>
    <xf numFmtId="0" fontId="9" fillId="22" borderId="11" xfId="5" applyFont="1" applyFill="1" applyBorder="1" applyAlignment="1">
      <alignment horizontal="right"/>
    </xf>
    <xf numFmtId="0" fontId="4" fillId="22" borderId="11" xfId="5" applyFont="1" applyFill="1" applyBorder="1"/>
    <xf numFmtId="2" fontId="4" fillId="22" borderId="11" xfId="5" applyNumberFormat="1" applyFont="1" applyFill="1" applyBorder="1"/>
    <xf numFmtId="2" fontId="2" fillId="22" borderId="11" xfId="5" applyNumberFormat="1" applyFont="1" applyFill="1" applyBorder="1" applyAlignment="1">
      <alignment horizontal="right"/>
    </xf>
    <xf numFmtId="164" fontId="4" fillId="22" borderId="11" xfId="5" applyNumberFormat="1" applyFont="1" applyFill="1" applyBorder="1"/>
    <xf numFmtId="0" fontId="2" fillId="22" borderId="11" xfId="5" applyFont="1" applyFill="1" applyBorder="1"/>
    <xf numFmtId="1" fontId="4" fillId="22" borderId="11" xfId="5" applyNumberFormat="1" applyFont="1" applyFill="1" applyBorder="1"/>
    <xf numFmtId="164" fontId="4" fillId="22" borderId="11" xfId="5" applyNumberFormat="1" applyFont="1" applyFill="1" applyBorder="1" applyAlignment="1">
      <alignment horizontal="right"/>
    </xf>
    <xf numFmtId="0" fontId="42" fillId="22" borderId="24" xfId="5" applyFont="1" applyFill="1" applyBorder="1" applyAlignment="1">
      <alignment horizontal="left" vertical="center" wrapText="1"/>
    </xf>
    <xf numFmtId="0" fontId="42" fillId="22" borderId="25" xfId="5" applyFont="1" applyFill="1" applyBorder="1" applyAlignment="1">
      <alignment horizontal="left" vertical="center" wrapText="1"/>
    </xf>
    <xf numFmtId="0" fontId="42" fillId="22" borderId="12" xfId="5" applyFont="1" applyFill="1" applyBorder="1" applyAlignment="1">
      <alignment horizontal="left" vertical="center" wrapText="1"/>
    </xf>
    <xf numFmtId="0" fontId="1" fillId="0" borderId="24" xfId="5" applyFont="1" applyFill="1" applyBorder="1" applyAlignment="1">
      <alignment vertical="center"/>
    </xf>
    <xf numFmtId="0" fontId="1" fillId="0" borderId="12" xfId="5" applyFont="1" applyFill="1" applyBorder="1" applyAlignment="1">
      <alignment vertical="center"/>
    </xf>
    <xf numFmtId="0" fontId="38" fillId="0" borderId="11" xfId="5" applyFont="1" applyBorder="1"/>
    <xf numFmtId="164" fontId="38" fillId="22" borderId="11" xfId="5" applyNumberFormat="1" applyFont="1" applyFill="1" applyBorder="1"/>
  </cellXfs>
  <cellStyles count="8">
    <cellStyle name="Standard" xfId="0" builtinId="0"/>
    <cellStyle name="Standard 2" xfId="1" xr:uid="{00000000-0005-0000-0000-000001000000}"/>
    <cellStyle name="Standard 2 2" xfId="4" xr:uid="{00000000-0005-0000-0000-000002000000}"/>
    <cellStyle name="Standard 2 3" xfId="5" xr:uid="{00000000-0005-0000-0000-000003000000}"/>
    <cellStyle name="Standard 3" xfId="2" xr:uid="{00000000-0005-0000-0000-000004000000}"/>
    <cellStyle name="Standard 4" xfId="6" xr:uid="{00000000-0005-0000-0000-000005000000}"/>
    <cellStyle name="Standard 5" xfId="7" xr:uid="{00000000-0005-0000-0000-000006000000}"/>
    <cellStyle name="Überschrift 4 2" xfId="3" xr:uid="{00000000-0005-0000-0000-000007000000}"/>
  </cellStyles>
  <dxfs count="0"/>
  <tableStyles count="0" defaultTableStyle="TableStyleMedium2" defaultPivotStyle="PivotStyleLight16"/>
  <colors>
    <mruColors>
      <color rgb="FFFFFF66"/>
      <color rgb="FFFFFF99"/>
      <color rgb="FF806000"/>
      <color rgb="FF0000FF"/>
      <color rgb="FFFFFFCC"/>
      <color rgb="FFFF99FF"/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0"/>
  <sheetViews>
    <sheetView showGridLines="0" zoomScale="90" zoomScaleNormal="90" workbookViewId="0">
      <pane ySplit="4" topLeftCell="A68" activePane="bottomLeft" state="frozen"/>
      <selection activeCell="B68" sqref="B68"/>
      <selection pane="bottomLeft" activeCell="C70" sqref="C70"/>
    </sheetView>
  </sheetViews>
  <sheetFormatPr baseColWidth="10" defaultColWidth="11.42578125" defaultRowHeight="15.75" x14ac:dyDescent="0.25"/>
  <cols>
    <col min="1" max="1" width="1.7109375" style="7" customWidth="1"/>
    <col min="2" max="2" width="11.7109375" style="7" customWidth="1"/>
    <col min="3" max="4" width="22.7109375" style="7" customWidth="1"/>
    <col min="5" max="5" width="1.7109375" style="7" customWidth="1"/>
    <col min="6" max="6" width="12.7109375" style="7" customWidth="1"/>
    <col min="7" max="8" width="8.28515625" style="7" customWidth="1"/>
    <col min="9" max="9" width="9.7109375" style="7" hidden="1" customWidth="1"/>
    <col min="10" max="10" width="10.7109375" style="7" customWidth="1"/>
    <col min="11" max="12" width="8.7109375" style="7" customWidth="1"/>
    <col min="13" max="13" width="9.7109375" style="7" customWidth="1"/>
    <col min="14" max="14" width="10.7109375" style="7" customWidth="1"/>
    <col min="15" max="15" width="1.7109375" style="7" customWidth="1"/>
    <col min="16" max="18" width="9.7109375" style="45" customWidth="1"/>
    <col min="19" max="19" width="10.7109375" style="45" customWidth="1"/>
    <col min="20" max="20" width="1.7109375" style="7" customWidth="1"/>
    <col min="21" max="21" width="75.7109375" style="45" customWidth="1"/>
    <col min="22" max="22" width="1.7109375" style="7" customWidth="1"/>
    <col min="23" max="16384" width="11.42578125" style="7"/>
  </cols>
  <sheetData>
    <row r="1" spans="1:29" ht="9.9499999999999993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  <c r="Q1" s="6"/>
      <c r="R1" s="6"/>
      <c r="S1" s="6"/>
      <c r="T1" s="5"/>
      <c r="U1" s="6"/>
      <c r="V1" s="5"/>
      <c r="W1" s="5"/>
      <c r="X1" s="5"/>
      <c r="Y1" s="5"/>
      <c r="Z1" s="5"/>
      <c r="AA1" s="5"/>
      <c r="AB1" s="5"/>
      <c r="AC1" s="5"/>
    </row>
    <row r="2" spans="1:29" s="10" customFormat="1" ht="15" customHeight="1" x14ac:dyDescent="0.25">
      <c r="A2" s="5"/>
      <c r="B2" s="261" t="s">
        <v>126</v>
      </c>
      <c r="C2" s="262"/>
      <c r="D2" s="263"/>
      <c r="E2" s="5"/>
      <c r="F2" s="264" t="s">
        <v>189</v>
      </c>
      <c r="G2" s="265"/>
      <c r="H2" s="265"/>
      <c r="I2" s="265"/>
      <c r="J2" s="265"/>
      <c r="K2" s="265"/>
      <c r="L2" s="265"/>
      <c r="M2" s="265"/>
      <c r="N2" s="265"/>
      <c r="O2" s="265"/>
      <c r="P2" s="265"/>
      <c r="Q2" s="265"/>
      <c r="R2" s="265"/>
      <c r="S2" s="266"/>
      <c r="T2" s="5"/>
      <c r="U2" s="8" t="s">
        <v>121</v>
      </c>
      <c r="V2" s="5"/>
      <c r="W2" s="9"/>
      <c r="X2" s="9"/>
      <c r="Y2" s="9"/>
      <c r="Z2" s="9"/>
      <c r="AA2" s="9"/>
      <c r="AB2" s="9"/>
      <c r="AC2" s="9"/>
    </row>
    <row r="3" spans="1:29" ht="32.1" customHeight="1" x14ac:dyDescent="0.25">
      <c r="A3" s="5"/>
      <c r="B3" s="11" t="s">
        <v>64</v>
      </c>
      <c r="C3" s="11" t="s">
        <v>38</v>
      </c>
      <c r="D3" s="11" t="s">
        <v>39</v>
      </c>
      <c r="E3" s="5"/>
      <c r="F3" s="12" t="s">
        <v>124</v>
      </c>
      <c r="G3" s="103" t="s">
        <v>120</v>
      </c>
      <c r="H3" s="104" t="s">
        <v>195</v>
      </c>
      <c r="I3" s="105" t="s">
        <v>196</v>
      </c>
      <c r="J3" s="104" t="s">
        <v>197</v>
      </c>
      <c r="K3" s="267" t="s">
        <v>198</v>
      </c>
      <c r="L3" s="268"/>
      <c r="M3" s="140" t="s">
        <v>426</v>
      </c>
      <c r="N3" s="104" t="s">
        <v>199</v>
      </c>
      <c r="O3" s="5"/>
      <c r="P3" s="46" t="s">
        <v>127</v>
      </c>
      <c r="Q3" s="46" t="s">
        <v>128</v>
      </c>
      <c r="R3" s="46" t="s">
        <v>129</v>
      </c>
      <c r="S3" s="57" t="s">
        <v>155</v>
      </c>
      <c r="T3" s="5"/>
      <c r="U3" s="13" t="s">
        <v>130</v>
      </c>
      <c r="V3" s="5"/>
      <c r="W3" s="5"/>
      <c r="X3" s="5"/>
      <c r="Y3" s="5"/>
      <c r="Z3" s="5"/>
      <c r="AA3" s="5"/>
      <c r="AB3" s="5"/>
      <c r="AC3" s="5"/>
    </row>
    <row r="4" spans="1:29" s="19" customFormat="1" ht="12" customHeight="1" x14ac:dyDescent="0.2">
      <c r="A4" s="14"/>
      <c r="B4" s="15"/>
      <c r="C4" s="15"/>
      <c r="D4" s="15"/>
      <c r="E4" s="14"/>
      <c r="F4" s="15"/>
      <c r="G4" s="15"/>
      <c r="H4" s="15" t="s">
        <v>76</v>
      </c>
      <c r="I4" s="16" t="s">
        <v>65</v>
      </c>
      <c r="J4" s="15" t="s">
        <v>65</v>
      </c>
      <c r="K4" s="15" t="s">
        <v>423</v>
      </c>
      <c r="L4" s="15" t="s">
        <v>424</v>
      </c>
      <c r="M4" s="15" t="s">
        <v>427</v>
      </c>
      <c r="N4" s="15" t="s">
        <v>75</v>
      </c>
      <c r="O4" s="14"/>
      <c r="P4" s="17" t="s">
        <v>132</v>
      </c>
      <c r="Q4" s="17" t="s">
        <v>77</v>
      </c>
      <c r="R4" s="18" t="s">
        <v>133</v>
      </c>
      <c r="S4" s="17" t="s">
        <v>77</v>
      </c>
      <c r="T4" s="14"/>
      <c r="U4" s="17"/>
      <c r="V4" s="14"/>
      <c r="W4" s="14"/>
      <c r="X4" s="14"/>
      <c r="Y4" s="14"/>
      <c r="Z4" s="14"/>
      <c r="AA4" s="14"/>
      <c r="AB4" s="14"/>
      <c r="AC4" s="14"/>
    </row>
    <row r="5" spans="1:29" s="100" customFormat="1" x14ac:dyDescent="0.25">
      <c r="B5" s="114" t="s">
        <v>185</v>
      </c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2"/>
      <c r="P5" s="101"/>
      <c r="Q5" s="101"/>
      <c r="R5" s="101"/>
      <c r="S5" s="102"/>
    </row>
    <row r="6" spans="1:29" x14ac:dyDescent="0.25">
      <c r="A6" s="5"/>
      <c r="B6" s="20" t="s">
        <v>0</v>
      </c>
      <c r="C6" s="20" t="s">
        <v>1</v>
      </c>
      <c r="D6" s="20" t="s">
        <v>44</v>
      </c>
      <c r="E6" s="21" t="s">
        <v>123</v>
      </c>
      <c r="F6" s="98">
        <v>44280</v>
      </c>
      <c r="G6" s="28">
        <v>8.91</v>
      </c>
      <c r="H6" s="29">
        <v>8.6</v>
      </c>
      <c r="I6" s="106">
        <v>11.66</v>
      </c>
      <c r="J6" s="29">
        <v>12.1</v>
      </c>
      <c r="K6" s="29">
        <v>103.8</v>
      </c>
      <c r="L6" s="29"/>
      <c r="M6" s="29"/>
      <c r="N6" s="31">
        <v>353</v>
      </c>
      <c r="O6" s="32"/>
      <c r="P6" s="22">
        <v>0.43</v>
      </c>
      <c r="Q6" s="23">
        <v>21.1</v>
      </c>
      <c r="R6" s="47">
        <v>0.1042975</v>
      </c>
      <c r="S6" s="25">
        <v>0</v>
      </c>
      <c r="T6" s="21" t="s">
        <v>123</v>
      </c>
      <c r="U6" s="48" t="s">
        <v>135</v>
      </c>
      <c r="V6" s="21" t="s">
        <v>123</v>
      </c>
      <c r="W6" s="5"/>
      <c r="X6" s="5"/>
      <c r="Y6" s="5"/>
      <c r="Z6" s="5"/>
      <c r="AA6" s="5"/>
      <c r="AB6" s="5"/>
      <c r="AC6" s="5"/>
    </row>
    <row r="7" spans="1:29" x14ac:dyDescent="0.25">
      <c r="A7" s="5"/>
      <c r="B7" s="26" t="s">
        <v>2</v>
      </c>
      <c r="C7" s="26" t="s">
        <v>1</v>
      </c>
      <c r="D7" s="26" t="s">
        <v>3</v>
      </c>
      <c r="E7" s="21" t="s">
        <v>123</v>
      </c>
      <c r="F7" s="99">
        <v>44280</v>
      </c>
      <c r="G7" s="37">
        <v>8.5500000000000007</v>
      </c>
      <c r="H7" s="38">
        <v>6</v>
      </c>
      <c r="I7" s="107">
        <v>12.4</v>
      </c>
      <c r="J7" s="38">
        <v>13.6</v>
      </c>
      <c r="K7" s="38">
        <v>109.7</v>
      </c>
      <c r="L7" s="38"/>
      <c r="M7" s="38"/>
      <c r="N7" s="40">
        <v>433</v>
      </c>
      <c r="O7" s="32"/>
      <c r="P7" s="49">
        <v>0.37</v>
      </c>
      <c r="Q7" s="50">
        <v>30.4</v>
      </c>
      <c r="R7" s="51">
        <v>0.26355250000000002</v>
      </c>
      <c r="S7" s="52">
        <v>50</v>
      </c>
      <c r="T7" s="21" t="s">
        <v>123</v>
      </c>
      <c r="U7" s="53" t="s">
        <v>136</v>
      </c>
      <c r="V7" s="21" t="s">
        <v>123</v>
      </c>
      <c r="W7" s="5"/>
      <c r="X7" s="5"/>
      <c r="Y7" s="5"/>
      <c r="Z7" s="5"/>
      <c r="AA7" s="5"/>
      <c r="AB7" s="5"/>
      <c r="AC7" s="5"/>
    </row>
    <row r="8" spans="1:29" x14ac:dyDescent="0.25">
      <c r="A8" s="5"/>
      <c r="B8" s="20" t="s">
        <v>4</v>
      </c>
      <c r="C8" s="20" t="s">
        <v>1</v>
      </c>
      <c r="D8" s="20" t="s">
        <v>5</v>
      </c>
      <c r="E8" s="21" t="s">
        <v>123</v>
      </c>
      <c r="F8" s="98">
        <v>44279</v>
      </c>
      <c r="G8" s="28">
        <v>8.81</v>
      </c>
      <c r="H8" s="29">
        <v>7.8</v>
      </c>
      <c r="I8" s="106">
        <v>11.88</v>
      </c>
      <c r="J8" s="29">
        <v>12.1</v>
      </c>
      <c r="K8" s="29">
        <v>101.9</v>
      </c>
      <c r="L8" s="29"/>
      <c r="M8" s="29"/>
      <c r="N8" s="31">
        <v>401</v>
      </c>
      <c r="O8" s="32"/>
      <c r="P8" s="22">
        <v>0.13</v>
      </c>
      <c r="Q8" s="23">
        <v>50.9</v>
      </c>
      <c r="R8" s="47">
        <v>0.45787499999999998</v>
      </c>
      <c r="S8" s="25">
        <v>52</v>
      </c>
      <c r="T8" s="21" t="s">
        <v>123</v>
      </c>
      <c r="U8" s="48" t="s">
        <v>137</v>
      </c>
      <c r="V8" s="21" t="s">
        <v>123</v>
      </c>
      <c r="W8" s="5"/>
      <c r="X8" s="5"/>
      <c r="Y8" s="5"/>
      <c r="Z8" s="5"/>
      <c r="AA8" s="5"/>
      <c r="AB8" s="5"/>
      <c r="AC8" s="5"/>
    </row>
    <row r="9" spans="1:29" x14ac:dyDescent="0.25">
      <c r="A9" s="5"/>
      <c r="B9" s="26" t="s">
        <v>6</v>
      </c>
      <c r="C9" s="26" t="s">
        <v>1</v>
      </c>
      <c r="D9" s="26" t="s">
        <v>45</v>
      </c>
      <c r="E9" s="21" t="s">
        <v>123</v>
      </c>
      <c r="F9" s="99">
        <v>44279</v>
      </c>
      <c r="G9" s="37">
        <v>8.43</v>
      </c>
      <c r="H9" s="38">
        <v>6</v>
      </c>
      <c r="I9" s="107">
        <v>12.4</v>
      </c>
      <c r="J9" s="38">
        <v>13.1</v>
      </c>
      <c r="K9" s="38">
        <v>105.6</v>
      </c>
      <c r="L9" s="38"/>
      <c r="M9" s="38"/>
      <c r="N9" s="40">
        <v>437</v>
      </c>
      <c r="O9" s="32"/>
      <c r="P9" s="49">
        <v>0.41</v>
      </c>
      <c r="Q9" s="50">
        <v>45.6</v>
      </c>
      <c r="R9" s="51">
        <v>0.64680000000000004</v>
      </c>
      <c r="S9" s="52">
        <v>50</v>
      </c>
      <c r="T9" s="21" t="s">
        <v>123</v>
      </c>
      <c r="U9" s="53" t="s">
        <v>138</v>
      </c>
      <c r="V9" s="21" t="s">
        <v>123</v>
      </c>
      <c r="W9" s="5"/>
      <c r="X9" s="5"/>
      <c r="Y9" s="5"/>
      <c r="Z9" s="5"/>
      <c r="AA9" s="5"/>
      <c r="AB9" s="5"/>
      <c r="AC9" s="5"/>
    </row>
    <row r="10" spans="1:29" x14ac:dyDescent="0.25">
      <c r="A10" s="5"/>
      <c r="B10" s="20" t="s">
        <v>7</v>
      </c>
      <c r="C10" s="20" t="s">
        <v>8</v>
      </c>
      <c r="D10" s="20" t="s">
        <v>48</v>
      </c>
      <c r="E10" s="21" t="s">
        <v>123</v>
      </c>
      <c r="F10" s="98">
        <v>44281</v>
      </c>
      <c r="G10" s="28">
        <v>8.64</v>
      </c>
      <c r="H10" s="29">
        <v>7.8</v>
      </c>
      <c r="I10" s="106">
        <v>11.88</v>
      </c>
      <c r="J10" s="29">
        <v>13.8</v>
      </c>
      <c r="K10" s="29">
        <v>116.2</v>
      </c>
      <c r="L10" s="29"/>
      <c r="M10" s="29"/>
      <c r="N10" s="31">
        <v>238</v>
      </c>
      <c r="O10" s="32"/>
      <c r="P10" s="22">
        <v>0.28000000000000003</v>
      </c>
      <c r="Q10" s="23">
        <v>16</v>
      </c>
      <c r="R10" s="47">
        <v>0.50209999999999999</v>
      </c>
      <c r="S10" s="25">
        <v>40</v>
      </c>
      <c r="T10" s="21" t="s">
        <v>123</v>
      </c>
      <c r="U10" s="48" t="s">
        <v>139</v>
      </c>
      <c r="V10" s="21" t="s">
        <v>123</v>
      </c>
      <c r="W10" s="5"/>
      <c r="X10" s="5"/>
      <c r="Y10" s="5"/>
      <c r="Z10" s="5"/>
      <c r="AA10" s="5"/>
      <c r="AB10" s="5"/>
      <c r="AC10" s="5"/>
    </row>
    <row r="11" spans="1:29" x14ac:dyDescent="0.25">
      <c r="A11" s="5"/>
      <c r="B11" s="26" t="s">
        <v>9</v>
      </c>
      <c r="C11" s="26" t="s">
        <v>8</v>
      </c>
      <c r="D11" s="26" t="s">
        <v>8</v>
      </c>
      <c r="E11" s="21" t="s">
        <v>123</v>
      </c>
      <c r="F11" s="99">
        <v>44280</v>
      </c>
      <c r="G11" s="37">
        <v>9.11</v>
      </c>
      <c r="H11" s="38">
        <v>8.6999999999999993</v>
      </c>
      <c r="I11" s="107">
        <v>11.62</v>
      </c>
      <c r="J11" s="38">
        <v>12.1</v>
      </c>
      <c r="K11" s="39">
        <v>1.0413080895008606</v>
      </c>
      <c r="L11" s="39"/>
      <c r="M11" s="39"/>
      <c r="N11" s="40">
        <v>250</v>
      </c>
      <c r="O11" s="32"/>
      <c r="P11" s="49">
        <v>0.53</v>
      </c>
      <c r="Q11" s="50">
        <v>21.1</v>
      </c>
      <c r="R11" s="51">
        <v>0.46268500000000007</v>
      </c>
      <c r="S11" s="52">
        <v>35</v>
      </c>
      <c r="T11" s="21" t="s">
        <v>123</v>
      </c>
      <c r="U11" s="53" t="s">
        <v>140</v>
      </c>
      <c r="V11" s="21" t="s">
        <v>123</v>
      </c>
      <c r="W11" s="5"/>
      <c r="X11" s="5"/>
      <c r="Y11" s="5"/>
      <c r="Z11" s="5"/>
      <c r="AA11" s="5"/>
      <c r="AB11" s="5"/>
      <c r="AC11" s="5"/>
    </row>
    <row r="12" spans="1:29" x14ac:dyDescent="0.25">
      <c r="A12" s="5"/>
      <c r="B12" s="20" t="s">
        <v>10</v>
      </c>
      <c r="C12" s="20" t="s">
        <v>11</v>
      </c>
      <c r="D12" s="20" t="s">
        <v>40</v>
      </c>
      <c r="E12" s="21" t="s">
        <v>123</v>
      </c>
      <c r="F12" s="98">
        <v>44281</v>
      </c>
      <c r="G12" s="28">
        <v>9.5500000000000007</v>
      </c>
      <c r="H12" s="29">
        <v>10.1</v>
      </c>
      <c r="I12" s="106">
        <v>11.26</v>
      </c>
      <c r="J12" s="29">
        <v>12.74</v>
      </c>
      <c r="K12" s="29">
        <v>113.1</v>
      </c>
      <c r="L12" s="29"/>
      <c r="M12" s="29"/>
      <c r="N12" s="31">
        <v>154</v>
      </c>
      <c r="O12" s="32"/>
      <c r="P12" s="22">
        <v>0.37</v>
      </c>
      <c r="Q12" s="23">
        <v>23.4</v>
      </c>
      <c r="R12" s="47">
        <v>0.37662000000000001</v>
      </c>
      <c r="S12" s="25">
        <v>-22</v>
      </c>
      <c r="T12" s="21" t="s">
        <v>123</v>
      </c>
      <c r="U12" s="48" t="s">
        <v>141</v>
      </c>
      <c r="V12" s="21" t="s">
        <v>123</v>
      </c>
      <c r="W12" s="5"/>
      <c r="X12" s="5"/>
      <c r="Y12" s="5"/>
      <c r="Z12" s="5"/>
      <c r="AA12" s="5"/>
      <c r="AB12" s="5"/>
      <c r="AC12" s="5"/>
    </row>
    <row r="13" spans="1:29" x14ac:dyDescent="0.25">
      <c r="A13" s="5"/>
      <c r="B13" s="26" t="s">
        <v>12</v>
      </c>
      <c r="C13" s="26" t="s">
        <v>11</v>
      </c>
      <c r="D13" s="26" t="s">
        <v>13</v>
      </c>
      <c r="E13" s="21" t="s">
        <v>123</v>
      </c>
      <c r="F13" s="99">
        <v>44281</v>
      </c>
      <c r="G13" s="37">
        <v>9.4600000000000009</v>
      </c>
      <c r="H13" s="38">
        <v>8.9</v>
      </c>
      <c r="I13" s="107">
        <v>11.54</v>
      </c>
      <c r="J13" s="38">
        <v>14.4</v>
      </c>
      <c r="K13" s="38">
        <v>124.8</v>
      </c>
      <c r="L13" s="38"/>
      <c r="M13" s="38"/>
      <c r="N13" s="40">
        <v>171</v>
      </c>
      <c r="O13" s="32"/>
      <c r="P13" s="49">
        <v>0.46</v>
      </c>
      <c r="Q13" s="50">
        <v>22.7</v>
      </c>
      <c r="R13" s="51">
        <v>0.42957000000000001</v>
      </c>
      <c r="S13" s="54" t="s">
        <v>119</v>
      </c>
      <c r="T13" s="21" t="s">
        <v>123</v>
      </c>
      <c r="U13" s="53" t="s">
        <v>142</v>
      </c>
      <c r="V13" s="21" t="s">
        <v>123</v>
      </c>
      <c r="W13" s="5"/>
      <c r="X13" s="5"/>
      <c r="Y13" s="5"/>
      <c r="Z13" s="5"/>
      <c r="AA13" s="5"/>
      <c r="AB13" s="5"/>
      <c r="AC13" s="5"/>
    </row>
    <row r="14" spans="1:29" x14ac:dyDescent="0.25">
      <c r="A14" s="5"/>
      <c r="B14" s="20" t="s">
        <v>14</v>
      </c>
      <c r="C14" s="20" t="s">
        <v>15</v>
      </c>
      <c r="D14" s="20" t="s">
        <v>16</v>
      </c>
      <c r="E14" s="21" t="s">
        <v>123</v>
      </c>
      <c r="F14" s="98">
        <v>44283</v>
      </c>
      <c r="G14" s="28">
        <v>8.76</v>
      </c>
      <c r="H14" s="29">
        <v>7.4</v>
      </c>
      <c r="I14" s="106">
        <v>12.02</v>
      </c>
      <c r="J14" s="29">
        <v>13</v>
      </c>
      <c r="K14" s="29">
        <v>108.2</v>
      </c>
      <c r="L14" s="29"/>
      <c r="M14" s="29"/>
      <c r="N14" s="31">
        <v>155</v>
      </c>
      <c r="O14" s="32"/>
      <c r="P14" s="22">
        <v>0.5</v>
      </c>
      <c r="Q14" s="23">
        <v>14.6</v>
      </c>
      <c r="R14" s="47">
        <v>0.10800999999999999</v>
      </c>
      <c r="S14" s="25">
        <v>30</v>
      </c>
      <c r="T14" s="21" t="s">
        <v>123</v>
      </c>
      <c r="U14" s="48" t="s">
        <v>143</v>
      </c>
      <c r="V14" s="21" t="s">
        <v>123</v>
      </c>
      <c r="W14" s="5"/>
      <c r="X14" s="5"/>
      <c r="Y14" s="5"/>
      <c r="Z14" s="5"/>
      <c r="AA14" s="5"/>
      <c r="AB14" s="5"/>
      <c r="AC14" s="5"/>
    </row>
    <row r="15" spans="1:29" x14ac:dyDescent="0.25">
      <c r="A15" s="5"/>
      <c r="B15" s="26" t="s">
        <v>17</v>
      </c>
      <c r="C15" s="26" t="s">
        <v>15</v>
      </c>
      <c r="D15" s="26" t="s">
        <v>49</v>
      </c>
      <c r="E15" s="21" t="s">
        <v>123</v>
      </c>
      <c r="F15" s="99">
        <v>44283</v>
      </c>
      <c r="G15" s="37">
        <v>8.1</v>
      </c>
      <c r="H15" s="38">
        <v>6.1</v>
      </c>
      <c r="I15" s="107">
        <v>12.38</v>
      </c>
      <c r="J15" s="38">
        <v>12.4</v>
      </c>
      <c r="K15" s="38">
        <v>100.2</v>
      </c>
      <c r="L15" s="38"/>
      <c r="M15" s="38"/>
      <c r="N15" s="40">
        <v>184</v>
      </c>
      <c r="O15" s="32"/>
      <c r="P15" s="49">
        <v>0.7</v>
      </c>
      <c r="Q15" s="50">
        <v>11.4</v>
      </c>
      <c r="R15" s="51">
        <v>0.2412</v>
      </c>
      <c r="S15" s="52">
        <v>38</v>
      </c>
      <c r="T15" s="21" t="s">
        <v>123</v>
      </c>
      <c r="U15" s="53" t="s">
        <v>144</v>
      </c>
      <c r="V15" s="21" t="s">
        <v>123</v>
      </c>
      <c r="W15" s="5"/>
      <c r="X15" s="5"/>
      <c r="Y15" s="5"/>
      <c r="Z15" s="5"/>
      <c r="AA15" s="5"/>
      <c r="AB15" s="5"/>
      <c r="AC15" s="5"/>
    </row>
    <row r="16" spans="1:29" x14ac:dyDescent="0.25">
      <c r="A16" s="5"/>
      <c r="B16" s="20" t="s">
        <v>18</v>
      </c>
      <c r="C16" s="20" t="s">
        <v>19</v>
      </c>
      <c r="D16" s="20" t="s">
        <v>20</v>
      </c>
      <c r="E16" s="21" t="s">
        <v>123</v>
      </c>
      <c r="F16" s="98">
        <v>44284</v>
      </c>
      <c r="G16" s="28">
        <v>7.11</v>
      </c>
      <c r="H16" s="29">
        <v>8.6999999999999993</v>
      </c>
      <c r="I16" s="106">
        <v>11.62</v>
      </c>
      <c r="J16" s="29">
        <v>11.4</v>
      </c>
      <c r="K16" s="29">
        <v>98.1</v>
      </c>
      <c r="L16" s="29"/>
      <c r="M16" s="29"/>
      <c r="N16" s="31">
        <v>108</v>
      </c>
      <c r="O16" s="32"/>
      <c r="P16" s="22">
        <v>0.55000000000000004</v>
      </c>
      <c r="Q16" s="23">
        <v>23.9</v>
      </c>
      <c r="R16" s="47">
        <v>0.35786999999999991</v>
      </c>
      <c r="S16" s="25">
        <v>20</v>
      </c>
      <c r="T16" s="21" t="s">
        <v>123</v>
      </c>
      <c r="U16" s="48" t="s">
        <v>145</v>
      </c>
      <c r="V16" s="21" t="s">
        <v>123</v>
      </c>
      <c r="W16" s="5"/>
      <c r="X16" s="5"/>
      <c r="Y16" s="5"/>
      <c r="Z16" s="5"/>
      <c r="AA16" s="5"/>
      <c r="AB16" s="5"/>
      <c r="AC16" s="5"/>
    </row>
    <row r="17" spans="1:29" x14ac:dyDescent="0.25">
      <c r="A17" s="5"/>
      <c r="B17" s="26" t="s">
        <v>21</v>
      </c>
      <c r="C17" s="26" t="s">
        <v>19</v>
      </c>
      <c r="D17" s="26" t="s">
        <v>46</v>
      </c>
      <c r="E17" s="21" t="s">
        <v>123</v>
      </c>
      <c r="F17" s="99">
        <v>44283</v>
      </c>
      <c r="G17" s="37">
        <v>7.03</v>
      </c>
      <c r="H17" s="38">
        <v>10.6</v>
      </c>
      <c r="I17" s="107">
        <v>11.08</v>
      </c>
      <c r="J17" s="38">
        <v>11.4</v>
      </c>
      <c r="K17" s="38">
        <v>102.9</v>
      </c>
      <c r="L17" s="38"/>
      <c r="M17" s="38"/>
      <c r="N17" s="40">
        <v>131</v>
      </c>
      <c r="O17" s="32"/>
      <c r="P17" s="49">
        <v>0.53</v>
      </c>
      <c r="Q17" s="50">
        <v>21.2</v>
      </c>
      <c r="R17" s="55">
        <v>0.38107500000000005</v>
      </c>
      <c r="S17" s="56">
        <v>27</v>
      </c>
      <c r="T17" s="21" t="s">
        <v>123</v>
      </c>
      <c r="U17" s="53" t="s">
        <v>146</v>
      </c>
      <c r="V17" s="21" t="s">
        <v>123</v>
      </c>
      <c r="W17" s="5"/>
      <c r="X17" s="5"/>
      <c r="Y17" s="5"/>
      <c r="Z17" s="5"/>
      <c r="AA17" s="5"/>
      <c r="AB17" s="5"/>
      <c r="AC17" s="5"/>
    </row>
    <row r="18" spans="1:29" x14ac:dyDescent="0.25">
      <c r="A18" s="5"/>
      <c r="B18" s="20" t="s">
        <v>22</v>
      </c>
      <c r="C18" s="20" t="s">
        <v>23</v>
      </c>
      <c r="D18" s="20" t="s">
        <v>24</v>
      </c>
      <c r="E18" s="21" t="s">
        <v>123</v>
      </c>
      <c r="F18" s="98">
        <v>44284</v>
      </c>
      <c r="G18" s="28">
        <v>7.75</v>
      </c>
      <c r="H18" s="29">
        <v>12.3</v>
      </c>
      <c r="I18" s="106">
        <v>10.68</v>
      </c>
      <c r="J18" s="29">
        <v>10.8</v>
      </c>
      <c r="K18" s="30">
        <v>1.0112359550561798</v>
      </c>
      <c r="L18" s="30"/>
      <c r="M18" s="30"/>
      <c r="N18" s="31">
        <v>182</v>
      </c>
      <c r="O18" s="32"/>
      <c r="P18" s="22">
        <v>0.5</v>
      </c>
      <c r="Q18" s="23">
        <v>25.4</v>
      </c>
      <c r="R18" s="47">
        <v>0.30879999999999991</v>
      </c>
      <c r="S18" s="25">
        <v>40</v>
      </c>
      <c r="T18" s="21" t="s">
        <v>123</v>
      </c>
      <c r="U18" s="48" t="s">
        <v>147</v>
      </c>
      <c r="V18" s="21" t="s">
        <v>123</v>
      </c>
      <c r="W18" s="5"/>
      <c r="X18" s="5"/>
      <c r="Y18" s="5"/>
      <c r="Z18" s="5"/>
      <c r="AA18" s="5"/>
      <c r="AB18" s="5"/>
      <c r="AC18" s="5"/>
    </row>
    <row r="19" spans="1:29" x14ac:dyDescent="0.25">
      <c r="A19" s="5"/>
      <c r="B19" s="26" t="s">
        <v>25</v>
      </c>
      <c r="C19" s="26" t="s">
        <v>23</v>
      </c>
      <c r="D19" s="26" t="s">
        <v>43</v>
      </c>
      <c r="E19" s="21" t="s">
        <v>123</v>
      </c>
      <c r="F19" s="99">
        <v>44284</v>
      </c>
      <c r="G19" s="37">
        <v>8.15</v>
      </c>
      <c r="H19" s="38">
        <v>9.3000000000000007</v>
      </c>
      <c r="I19" s="107">
        <v>11.44</v>
      </c>
      <c r="J19" s="38">
        <v>11.1</v>
      </c>
      <c r="K19" s="38">
        <v>97</v>
      </c>
      <c r="L19" s="38"/>
      <c r="M19" s="38"/>
      <c r="N19" s="40">
        <v>161</v>
      </c>
      <c r="O19" s="32"/>
      <c r="P19" s="49">
        <v>0.43</v>
      </c>
      <c r="Q19" s="50">
        <v>23.5</v>
      </c>
      <c r="R19" s="51">
        <v>0.37369750000000002</v>
      </c>
      <c r="S19" s="52">
        <v>50</v>
      </c>
      <c r="T19" s="21" t="s">
        <v>123</v>
      </c>
      <c r="U19" s="53" t="s">
        <v>148</v>
      </c>
      <c r="V19" s="21" t="s">
        <v>123</v>
      </c>
      <c r="W19" s="5"/>
      <c r="X19" s="5"/>
      <c r="Y19" s="5"/>
      <c r="Z19" s="5"/>
      <c r="AA19" s="5"/>
      <c r="AB19" s="5"/>
      <c r="AC19" s="5"/>
    </row>
    <row r="20" spans="1:29" x14ac:dyDescent="0.25">
      <c r="A20" s="5"/>
      <c r="B20" s="20" t="s">
        <v>26</v>
      </c>
      <c r="C20" s="20" t="s">
        <v>27</v>
      </c>
      <c r="D20" s="20" t="s">
        <v>42</v>
      </c>
      <c r="E20" s="21" t="s">
        <v>123</v>
      </c>
      <c r="F20" s="98">
        <v>44282</v>
      </c>
      <c r="G20" s="28">
        <v>7.73</v>
      </c>
      <c r="H20" s="29">
        <v>8.1999999999999993</v>
      </c>
      <c r="I20" s="106">
        <v>11.76</v>
      </c>
      <c r="J20" s="29">
        <v>12.2</v>
      </c>
      <c r="K20" s="30">
        <v>1.0356536502546689</v>
      </c>
      <c r="L20" s="30"/>
      <c r="M20" s="30"/>
      <c r="N20" s="31">
        <v>145</v>
      </c>
      <c r="O20" s="32"/>
      <c r="P20" s="22">
        <v>0.35</v>
      </c>
      <c r="Q20" s="23">
        <v>13.8</v>
      </c>
      <c r="R20" s="47">
        <v>0.14906000000000003</v>
      </c>
      <c r="S20" s="25">
        <v>40</v>
      </c>
      <c r="T20" s="21" t="s">
        <v>123</v>
      </c>
      <c r="U20" s="48" t="s">
        <v>149</v>
      </c>
      <c r="V20" s="21" t="s">
        <v>123</v>
      </c>
      <c r="W20" s="5"/>
      <c r="X20" s="5"/>
      <c r="Y20" s="5"/>
      <c r="Z20" s="5"/>
      <c r="AA20" s="5"/>
      <c r="AB20" s="5"/>
      <c r="AC20" s="5"/>
    </row>
    <row r="21" spans="1:29" x14ac:dyDescent="0.25">
      <c r="A21" s="5"/>
      <c r="B21" s="26" t="s">
        <v>28</v>
      </c>
      <c r="C21" s="26" t="s">
        <v>27</v>
      </c>
      <c r="D21" s="26" t="s">
        <v>29</v>
      </c>
      <c r="E21" s="21" t="s">
        <v>123</v>
      </c>
      <c r="F21" s="99">
        <v>44282</v>
      </c>
      <c r="G21" s="37">
        <v>7.274</v>
      </c>
      <c r="H21" s="38">
        <v>8.3000000000000007</v>
      </c>
      <c r="I21" s="107">
        <v>11.74</v>
      </c>
      <c r="J21" s="38">
        <v>11.4</v>
      </c>
      <c r="K21" s="38">
        <v>97.1</v>
      </c>
      <c r="L21" s="38"/>
      <c r="M21" s="38"/>
      <c r="N21" s="40">
        <v>164</v>
      </c>
      <c r="O21" s="32"/>
      <c r="P21" s="49">
        <v>0.38</v>
      </c>
      <c r="Q21" s="50">
        <v>25.3</v>
      </c>
      <c r="R21" s="51">
        <v>0.22197999999999998</v>
      </c>
      <c r="S21" s="52">
        <v>43</v>
      </c>
      <c r="T21" s="21" t="s">
        <v>123</v>
      </c>
      <c r="U21" s="53" t="s">
        <v>150</v>
      </c>
      <c r="V21" s="21" t="s">
        <v>123</v>
      </c>
      <c r="W21" s="5"/>
      <c r="X21" s="5"/>
      <c r="Y21" s="5"/>
      <c r="Z21" s="5"/>
      <c r="AA21" s="5"/>
      <c r="AB21" s="5"/>
      <c r="AC21" s="5"/>
    </row>
    <row r="22" spans="1:29" x14ac:dyDescent="0.25">
      <c r="A22" s="5"/>
      <c r="B22" s="20" t="s">
        <v>30</v>
      </c>
      <c r="C22" s="20" t="s">
        <v>31</v>
      </c>
      <c r="D22" s="20" t="s">
        <v>41</v>
      </c>
      <c r="E22" s="21" t="s">
        <v>123</v>
      </c>
      <c r="F22" s="98">
        <v>44285</v>
      </c>
      <c r="G22" s="28">
        <v>8.17</v>
      </c>
      <c r="H22" s="29">
        <v>9.1999999999999993</v>
      </c>
      <c r="I22" s="106">
        <v>11.46</v>
      </c>
      <c r="J22" s="29">
        <v>12</v>
      </c>
      <c r="K22" s="29">
        <v>104.7</v>
      </c>
      <c r="L22" s="29"/>
      <c r="M22" s="29"/>
      <c r="N22" s="31">
        <v>806</v>
      </c>
      <c r="O22" s="32"/>
      <c r="P22" s="22">
        <v>0.34</v>
      </c>
      <c r="Q22" s="23">
        <v>19.100000000000001</v>
      </c>
      <c r="R22" s="47">
        <v>0.103545</v>
      </c>
      <c r="S22" s="25">
        <v>50</v>
      </c>
      <c r="T22" s="21" t="s">
        <v>123</v>
      </c>
      <c r="U22" s="48" t="s">
        <v>151</v>
      </c>
      <c r="V22" s="21" t="s">
        <v>123</v>
      </c>
      <c r="W22" s="5"/>
      <c r="X22" s="5"/>
      <c r="Y22" s="5"/>
      <c r="Z22" s="5"/>
      <c r="AA22" s="5"/>
      <c r="AB22" s="5"/>
      <c r="AC22" s="5"/>
    </row>
    <row r="23" spans="1:29" x14ac:dyDescent="0.25">
      <c r="A23" s="5"/>
      <c r="B23" s="26" t="s">
        <v>32</v>
      </c>
      <c r="C23" s="26" t="s">
        <v>31</v>
      </c>
      <c r="D23" s="26" t="s">
        <v>33</v>
      </c>
      <c r="E23" s="21" t="s">
        <v>123</v>
      </c>
      <c r="F23" s="99">
        <v>44285</v>
      </c>
      <c r="G23" s="37">
        <v>8.2899999999999991</v>
      </c>
      <c r="H23" s="38">
        <v>8.1999999999999993</v>
      </c>
      <c r="I23" s="107">
        <v>11.76</v>
      </c>
      <c r="J23" s="38">
        <v>11.5</v>
      </c>
      <c r="K23" s="38">
        <v>97.8</v>
      </c>
      <c r="L23" s="38"/>
      <c r="M23" s="38"/>
      <c r="N23" s="40">
        <v>727</v>
      </c>
      <c r="O23" s="32"/>
      <c r="P23" s="49">
        <v>0.16</v>
      </c>
      <c r="Q23" s="50">
        <v>35.299999999999997</v>
      </c>
      <c r="R23" s="51">
        <v>8.0299999999999983E-2</v>
      </c>
      <c r="S23" s="52">
        <v>71</v>
      </c>
      <c r="T23" s="21" t="s">
        <v>123</v>
      </c>
      <c r="U23" s="53" t="s">
        <v>152</v>
      </c>
      <c r="V23" s="21" t="s">
        <v>123</v>
      </c>
      <c r="W23" s="5"/>
      <c r="X23" s="5"/>
      <c r="Y23" s="5"/>
      <c r="Z23" s="5"/>
      <c r="AA23" s="5"/>
      <c r="AB23" s="5"/>
      <c r="AC23" s="5"/>
    </row>
    <row r="24" spans="1:29" x14ac:dyDescent="0.25">
      <c r="A24" s="5"/>
      <c r="B24" s="20" t="s">
        <v>34</v>
      </c>
      <c r="C24" s="20" t="s">
        <v>35</v>
      </c>
      <c r="D24" s="20" t="s">
        <v>36</v>
      </c>
      <c r="E24" s="21" t="s">
        <v>123</v>
      </c>
      <c r="F24" s="98">
        <v>44285</v>
      </c>
      <c r="G24" s="28">
        <v>8.17</v>
      </c>
      <c r="H24" s="29">
        <v>12.9</v>
      </c>
      <c r="I24" s="106">
        <v>10.52</v>
      </c>
      <c r="J24" s="29">
        <v>15.3</v>
      </c>
      <c r="K24" s="29">
        <v>145.4</v>
      </c>
      <c r="L24" s="29"/>
      <c r="M24" s="29"/>
      <c r="N24" s="31">
        <v>844</v>
      </c>
      <c r="O24" s="32"/>
      <c r="P24" s="22">
        <v>7.0000000000000007E-2</v>
      </c>
      <c r="Q24" s="23">
        <v>49.6</v>
      </c>
      <c r="R24" s="47">
        <v>0.132025</v>
      </c>
      <c r="S24" s="25">
        <v>60</v>
      </c>
      <c r="T24" s="21" t="s">
        <v>123</v>
      </c>
      <c r="U24" s="48" t="s">
        <v>153</v>
      </c>
      <c r="V24" s="21" t="s">
        <v>123</v>
      </c>
      <c r="W24" s="5"/>
      <c r="X24" s="5"/>
      <c r="Y24" s="5"/>
      <c r="Z24" s="5"/>
      <c r="AA24" s="5"/>
      <c r="AB24" s="5"/>
      <c r="AC24" s="5"/>
    </row>
    <row r="25" spans="1:29" x14ac:dyDescent="0.25">
      <c r="A25" s="5"/>
      <c r="B25" s="26" t="s">
        <v>37</v>
      </c>
      <c r="C25" s="26" t="s">
        <v>35</v>
      </c>
      <c r="D25" s="26" t="s">
        <v>47</v>
      </c>
      <c r="E25" s="21" t="s">
        <v>123</v>
      </c>
      <c r="F25" s="99">
        <v>44285</v>
      </c>
      <c r="G25" s="37">
        <v>8.15</v>
      </c>
      <c r="H25" s="38">
        <v>11.8</v>
      </c>
      <c r="I25" s="107">
        <v>10.84</v>
      </c>
      <c r="J25" s="38">
        <v>13.4</v>
      </c>
      <c r="K25" s="38">
        <v>123.6</v>
      </c>
      <c r="L25" s="38"/>
      <c r="M25" s="38"/>
      <c r="N25" s="40">
        <v>862</v>
      </c>
      <c r="O25" s="32"/>
      <c r="P25" s="49">
        <v>0.11</v>
      </c>
      <c r="Q25" s="50">
        <v>42.9</v>
      </c>
      <c r="R25" s="51">
        <v>0.11458500000000002</v>
      </c>
      <c r="S25" s="52">
        <v>50</v>
      </c>
      <c r="T25" s="21" t="s">
        <v>123</v>
      </c>
      <c r="U25" s="53" t="s">
        <v>154</v>
      </c>
      <c r="V25" s="21" t="s">
        <v>123</v>
      </c>
      <c r="W25" s="5"/>
      <c r="X25" s="5"/>
      <c r="Y25" s="5"/>
      <c r="Z25" s="5"/>
      <c r="AA25" s="5"/>
      <c r="AB25" s="5"/>
      <c r="AC25" s="5"/>
    </row>
    <row r="26" spans="1:29" s="100" customFormat="1" x14ac:dyDescent="0.25">
      <c r="B26" s="114" t="s">
        <v>186</v>
      </c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2"/>
      <c r="P26" s="101"/>
      <c r="Q26" s="101"/>
      <c r="R26" s="101"/>
      <c r="S26" s="102"/>
    </row>
    <row r="27" spans="1:29" x14ac:dyDescent="0.25">
      <c r="A27" s="5"/>
      <c r="B27" s="20" t="s">
        <v>0</v>
      </c>
      <c r="C27" s="20" t="s">
        <v>1</v>
      </c>
      <c r="D27" s="20" t="s">
        <v>44</v>
      </c>
      <c r="E27" s="21" t="s">
        <v>123</v>
      </c>
      <c r="F27" s="98">
        <v>44648</v>
      </c>
      <c r="G27" s="28">
        <v>9.1</v>
      </c>
      <c r="H27" s="29">
        <v>10.7</v>
      </c>
      <c r="I27" s="24">
        <v>11.06</v>
      </c>
      <c r="J27" s="29">
        <v>11.3</v>
      </c>
      <c r="K27" s="64">
        <v>101.9</v>
      </c>
      <c r="L27" s="64"/>
      <c r="M27" s="64"/>
      <c r="N27" s="61">
        <v>394</v>
      </c>
      <c r="O27" s="32"/>
      <c r="P27" s="33">
        <v>0.21249999999999999</v>
      </c>
      <c r="Q27" s="34">
        <v>21.2</v>
      </c>
      <c r="R27" s="35">
        <v>0.13456950000000001</v>
      </c>
      <c r="S27" s="108" t="s">
        <v>119</v>
      </c>
      <c r="T27" s="21" t="s">
        <v>123</v>
      </c>
      <c r="U27" s="36"/>
      <c r="V27" s="21" t="s">
        <v>123</v>
      </c>
      <c r="W27" s="5"/>
      <c r="X27" s="5"/>
      <c r="Y27" s="5"/>
      <c r="Z27" s="5"/>
      <c r="AA27" s="5"/>
      <c r="AB27" s="5"/>
      <c r="AC27" s="5"/>
    </row>
    <row r="28" spans="1:29" x14ac:dyDescent="0.25">
      <c r="A28" s="5"/>
      <c r="B28" s="26" t="s">
        <v>2</v>
      </c>
      <c r="C28" s="26" t="s">
        <v>1</v>
      </c>
      <c r="D28" s="26" t="s">
        <v>3</v>
      </c>
      <c r="E28" s="21" t="s">
        <v>123</v>
      </c>
      <c r="F28" s="99">
        <v>44648</v>
      </c>
      <c r="G28" s="37">
        <v>8.7899999999999991</v>
      </c>
      <c r="H28" s="38">
        <v>9.5</v>
      </c>
      <c r="I28" s="27">
        <v>11.4</v>
      </c>
      <c r="J28" s="72" t="s">
        <v>119</v>
      </c>
      <c r="K28" s="68" t="s">
        <v>119</v>
      </c>
      <c r="L28" s="68"/>
      <c r="M28" s="68"/>
      <c r="N28" s="62">
        <v>451</v>
      </c>
      <c r="O28" s="32"/>
      <c r="P28" s="41">
        <v>0.32690000000000002</v>
      </c>
      <c r="Q28" s="42">
        <v>31</v>
      </c>
      <c r="R28" s="43">
        <v>0.22188875</v>
      </c>
      <c r="S28" s="109" t="s">
        <v>119</v>
      </c>
      <c r="T28" s="21" t="s">
        <v>123</v>
      </c>
      <c r="U28" s="44"/>
      <c r="V28" s="21" t="s">
        <v>123</v>
      </c>
      <c r="W28" s="5"/>
      <c r="X28" s="5"/>
      <c r="Y28" s="5"/>
      <c r="Z28" s="5"/>
      <c r="AA28" s="5"/>
      <c r="AB28" s="5"/>
      <c r="AC28" s="5"/>
    </row>
    <row r="29" spans="1:29" x14ac:dyDescent="0.25">
      <c r="A29" s="5"/>
      <c r="B29" s="20" t="s">
        <v>4</v>
      </c>
      <c r="C29" s="20" t="s">
        <v>1</v>
      </c>
      <c r="D29" s="20" t="s">
        <v>5</v>
      </c>
      <c r="E29" s="21" t="s">
        <v>123</v>
      </c>
      <c r="F29" s="98">
        <v>44648</v>
      </c>
      <c r="G29" s="28">
        <v>9.07</v>
      </c>
      <c r="H29" s="29">
        <v>11.5</v>
      </c>
      <c r="I29" s="24">
        <v>10.9</v>
      </c>
      <c r="J29" s="29">
        <v>9.6999999999999993</v>
      </c>
      <c r="K29" s="64">
        <v>89</v>
      </c>
      <c r="L29" s="64"/>
      <c r="M29" s="64"/>
      <c r="N29" s="61">
        <v>465</v>
      </c>
      <c r="O29" s="32"/>
      <c r="P29" s="33">
        <v>0.12175</v>
      </c>
      <c r="Q29" s="34">
        <v>46.45</v>
      </c>
      <c r="R29" s="35">
        <v>0.4526365</v>
      </c>
      <c r="S29" s="108" t="s">
        <v>119</v>
      </c>
      <c r="T29" s="21" t="s">
        <v>123</v>
      </c>
      <c r="U29" s="36"/>
      <c r="V29" s="21" t="s">
        <v>123</v>
      </c>
      <c r="W29" s="5"/>
      <c r="X29" s="5"/>
      <c r="Y29" s="5"/>
      <c r="Z29" s="5"/>
      <c r="AA29" s="5"/>
      <c r="AB29" s="5"/>
      <c r="AC29" s="5"/>
    </row>
    <row r="30" spans="1:29" x14ac:dyDescent="0.25">
      <c r="A30" s="5"/>
      <c r="B30" s="26" t="s">
        <v>6</v>
      </c>
      <c r="C30" s="26" t="s">
        <v>1</v>
      </c>
      <c r="D30" s="26" t="s">
        <v>45</v>
      </c>
      <c r="E30" s="21" t="s">
        <v>123</v>
      </c>
      <c r="F30" s="99">
        <v>44648</v>
      </c>
      <c r="G30" s="37">
        <v>8.3000000000000007</v>
      </c>
      <c r="H30" s="38">
        <v>11.5</v>
      </c>
      <c r="I30" s="27">
        <v>10.9</v>
      </c>
      <c r="J30" s="38">
        <v>10.3</v>
      </c>
      <c r="K30" s="65">
        <v>94.7</v>
      </c>
      <c r="L30" s="65"/>
      <c r="M30" s="65"/>
      <c r="N30" s="62">
        <v>476</v>
      </c>
      <c r="O30" s="32"/>
      <c r="P30" s="41">
        <v>0.27365</v>
      </c>
      <c r="Q30" s="110">
        <v>47.25</v>
      </c>
      <c r="R30" s="43">
        <v>0.48044350000000002</v>
      </c>
      <c r="S30" s="109" t="s">
        <v>119</v>
      </c>
      <c r="T30" s="21" t="s">
        <v>123</v>
      </c>
      <c r="U30" s="44"/>
      <c r="V30" s="21" t="s">
        <v>123</v>
      </c>
      <c r="W30" s="5"/>
      <c r="X30" s="5"/>
      <c r="Y30" s="5"/>
      <c r="Z30" s="5"/>
      <c r="AA30" s="5"/>
      <c r="AB30" s="5"/>
      <c r="AC30" s="5"/>
    </row>
    <row r="31" spans="1:29" x14ac:dyDescent="0.25">
      <c r="A31" s="5"/>
      <c r="B31" s="20" t="s">
        <v>7</v>
      </c>
      <c r="C31" s="20" t="s">
        <v>8</v>
      </c>
      <c r="D31" s="20" t="s">
        <v>48</v>
      </c>
      <c r="E31" s="21" t="s">
        <v>123</v>
      </c>
      <c r="F31" s="98">
        <v>44652</v>
      </c>
      <c r="G31" s="71" t="s">
        <v>119</v>
      </c>
      <c r="H31" s="71" t="s">
        <v>119</v>
      </c>
      <c r="I31" s="24"/>
      <c r="J31" s="73" t="s">
        <v>119</v>
      </c>
      <c r="K31" s="75" t="s">
        <v>119</v>
      </c>
      <c r="L31" s="75"/>
      <c r="M31" s="75"/>
      <c r="N31" s="71" t="s">
        <v>119</v>
      </c>
      <c r="O31" s="32"/>
      <c r="P31" s="33">
        <v>0.26889999999999997</v>
      </c>
      <c r="Q31" s="34">
        <v>15.05</v>
      </c>
      <c r="R31" s="35">
        <v>0.17400499999999999</v>
      </c>
      <c r="S31" s="108" t="s">
        <v>119</v>
      </c>
      <c r="T31" s="21" t="s">
        <v>123</v>
      </c>
      <c r="U31" s="36"/>
      <c r="V31" s="21" t="s">
        <v>123</v>
      </c>
      <c r="W31" s="5"/>
      <c r="X31" s="5"/>
      <c r="Y31" s="5"/>
      <c r="Z31" s="5"/>
      <c r="AA31" s="5"/>
      <c r="AB31" s="5"/>
      <c r="AC31" s="5"/>
    </row>
    <row r="32" spans="1:29" x14ac:dyDescent="0.25">
      <c r="A32" s="5"/>
      <c r="B32" s="26" t="s">
        <v>9</v>
      </c>
      <c r="C32" s="26" t="s">
        <v>8</v>
      </c>
      <c r="D32" s="26" t="s">
        <v>8</v>
      </c>
      <c r="E32" s="21" t="s">
        <v>123</v>
      </c>
      <c r="F32" s="99">
        <v>44652</v>
      </c>
      <c r="G32" s="72" t="s">
        <v>119</v>
      </c>
      <c r="H32" s="72" t="s">
        <v>119</v>
      </c>
      <c r="I32" s="27"/>
      <c r="J32" s="74" t="s">
        <v>119</v>
      </c>
      <c r="K32" s="74" t="s">
        <v>119</v>
      </c>
      <c r="L32" s="74"/>
      <c r="M32" s="74"/>
      <c r="N32" s="76" t="s">
        <v>119</v>
      </c>
      <c r="O32" s="32"/>
      <c r="P32" s="41">
        <v>0.38305</v>
      </c>
      <c r="Q32" s="42">
        <v>18.100000000000001</v>
      </c>
      <c r="R32" s="43">
        <v>1.0693349999999999</v>
      </c>
      <c r="S32" s="109" t="s">
        <v>119</v>
      </c>
      <c r="T32" s="21" t="s">
        <v>123</v>
      </c>
      <c r="U32" s="44"/>
      <c r="V32" s="21" t="s">
        <v>123</v>
      </c>
      <c r="W32" s="5"/>
      <c r="X32" s="5"/>
      <c r="Y32" s="5"/>
      <c r="Z32" s="5"/>
      <c r="AA32" s="5"/>
      <c r="AB32" s="5"/>
      <c r="AC32" s="5"/>
    </row>
    <row r="33" spans="1:29" x14ac:dyDescent="0.25">
      <c r="A33" s="5"/>
      <c r="B33" s="20" t="s">
        <v>10</v>
      </c>
      <c r="C33" s="20" t="s">
        <v>11</v>
      </c>
      <c r="D33" s="20" t="s">
        <v>40</v>
      </c>
      <c r="E33" s="21" t="s">
        <v>123</v>
      </c>
      <c r="F33" s="98">
        <v>44651</v>
      </c>
      <c r="G33" s="28">
        <v>8.4499999999999993</v>
      </c>
      <c r="H33" s="29">
        <v>6.6</v>
      </c>
      <c r="I33" s="24">
        <v>12.26</v>
      </c>
      <c r="J33" s="29">
        <v>12.7</v>
      </c>
      <c r="K33" s="64">
        <v>103.7</v>
      </c>
      <c r="L33" s="64"/>
      <c r="M33" s="64"/>
      <c r="N33" s="61">
        <v>192</v>
      </c>
      <c r="O33" s="32"/>
      <c r="P33" s="33">
        <v>0.43864999999999998</v>
      </c>
      <c r="Q33" s="34">
        <v>17.55</v>
      </c>
      <c r="R33" s="35">
        <v>0.389067</v>
      </c>
      <c r="S33" s="108" t="s">
        <v>119</v>
      </c>
      <c r="T33" s="21" t="s">
        <v>123</v>
      </c>
      <c r="U33" s="36"/>
      <c r="V33" s="21" t="s">
        <v>123</v>
      </c>
      <c r="W33" s="5"/>
      <c r="X33" s="5"/>
      <c r="Y33" s="5"/>
      <c r="Z33" s="5"/>
      <c r="AA33" s="5"/>
      <c r="AB33" s="5"/>
      <c r="AC33" s="5"/>
    </row>
    <row r="34" spans="1:29" x14ac:dyDescent="0.25">
      <c r="A34" s="5"/>
      <c r="B34" s="26" t="s">
        <v>12</v>
      </c>
      <c r="C34" s="26" t="s">
        <v>11</v>
      </c>
      <c r="D34" s="26" t="s">
        <v>13</v>
      </c>
      <c r="E34" s="21" t="s">
        <v>123</v>
      </c>
      <c r="F34" s="99">
        <v>44651</v>
      </c>
      <c r="G34" s="37">
        <v>8.73</v>
      </c>
      <c r="H34" s="38">
        <v>7.3</v>
      </c>
      <c r="I34" s="27">
        <v>12.040000000000001</v>
      </c>
      <c r="J34" s="38">
        <v>13.5</v>
      </c>
      <c r="K34" s="65">
        <v>112.1</v>
      </c>
      <c r="L34" s="65"/>
      <c r="M34" s="65"/>
      <c r="N34" s="62">
        <v>197</v>
      </c>
      <c r="O34" s="32"/>
      <c r="P34" s="41">
        <v>0.55710000000000004</v>
      </c>
      <c r="Q34" s="42">
        <v>13.2</v>
      </c>
      <c r="R34" s="43">
        <v>0.383853</v>
      </c>
      <c r="S34" s="109" t="s">
        <v>119</v>
      </c>
      <c r="T34" s="21" t="s">
        <v>123</v>
      </c>
      <c r="U34" s="44"/>
      <c r="V34" s="21" t="s">
        <v>123</v>
      </c>
      <c r="W34" s="5"/>
      <c r="X34" s="5"/>
      <c r="Y34" s="5"/>
      <c r="Z34" s="5"/>
      <c r="AA34" s="5"/>
      <c r="AB34" s="5"/>
      <c r="AC34" s="5"/>
    </row>
    <row r="35" spans="1:29" x14ac:dyDescent="0.25">
      <c r="A35" s="5"/>
      <c r="B35" s="20" t="s">
        <v>14</v>
      </c>
      <c r="C35" s="20" t="s">
        <v>15</v>
      </c>
      <c r="D35" s="20" t="s">
        <v>16</v>
      </c>
      <c r="E35" s="21" t="s">
        <v>123</v>
      </c>
      <c r="F35" s="98">
        <v>44651</v>
      </c>
      <c r="G35" s="28">
        <v>8.6</v>
      </c>
      <c r="H35" s="29">
        <v>7.7</v>
      </c>
      <c r="I35" s="24">
        <v>11.920000000000002</v>
      </c>
      <c r="J35" s="29">
        <v>11.9</v>
      </c>
      <c r="K35" s="64">
        <v>99.8</v>
      </c>
      <c r="L35" s="64"/>
      <c r="M35" s="64"/>
      <c r="N35" s="61">
        <v>171</v>
      </c>
      <c r="O35" s="32"/>
      <c r="P35" s="33">
        <v>0.42645</v>
      </c>
      <c r="Q35" s="34">
        <v>14.5</v>
      </c>
      <c r="R35" s="35">
        <v>9.3252500000000002E-2</v>
      </c>
      <c r="S35" s="108" t="s">
        <v>119</v>
      </c>
      <c r="T35" s="21" t="s">
        <v>123</v>
      </c>
      <c r="U35" s="36"/>
      <c r="V35" s="21" t="s">
        <v>123</v>
      </c>
      <c r="W35" s="5"/>
      <c r="X35" s="5"/>
      <c r="Y35" s="5"/>
      <c r="Z35" s="5"/>
      <c r="AA35" s="5"/>
      <c r="AB35" s="5"/>
      <c r="AC35" s="5"/>
    </row>
    <row r="36" spans="1:29" x14ac:dyDescent="0.25">
      <c r="A36" s="5"/>
      <c r="B36" s="26" t="s">
        <v>17</v>
      </c>
      <c r="C36" s="26" t="s">
        <v>15</v>
      </c>
      <c r="D36" s="26" t="s">
        <v>49</v>
      </c>
      <c r="E36" s="21" t="s">
        <v>123</v>
      </c>
      <c r="F36" s="99">
        <v>44651</v>
      </c>
      <c r="G36" s="37">
        <v>8.86</v>
      </c>
      <c r="H36" s="38">
        <v>7</v>
      </c>
      <c r="I36" s="27">
        <v>12.1</v>
      </c>
      <c r="J36" s="38">
        <v>12.8</v>
      </c>
      <c r="K36" s="65">
        <v>105.5</v>
      </c>
      <c r="L36" s="65"/>
      <c r="M36" s="65"/>
      <c r="N36" s="62">
        <v>197</v>
      </c>
      <c r="O36" s="32"/>
      <c r="P36" s="41">
        <v>0.60680000000000001</v>
      </c>
      <c r="Q36" s="42">
        <v>16.8</v>
      </c>
      <c r="R36" s="43">
        <v>0.30894899999999997</v>
      </c>
      <c r="S36" s="109" t="s">
        <v>119</v>
      </c>
      <c r="T36" s="21" t="s">
        <v>123</v>
      </c>
      <c r="U36" s="44"/>
      <c r="V36" s="21" t="s">
        <v>123</v>
      </c>
      <c r="W36" s="5"/>
      <c r="X36" s="5"/>
      <c r="Y36" s="5"/>
      <c r="Z36" s="5"/>
      <c r="AA36" s="5"/>
      <c r="AB36" s="5"/>
      <c r="AC36" s="5"/>
    </row>
    <row r="37" spans="1:29" x14ac:dyDescent="0.25">
      <c r="A37" s="5"/>
      <c r="B37" s="20" t="s">
        <v>18</v>
      </c>
      <c r="C37" s="20" t="s">
        <v>19</v>
      </c>
      <c r="D37" s="20" t="s">
        <v>20</v>
      </c>
      <c r="E37" s="21" t="s">
        <v>123</v>
      </c>
      <c r="F37" s="98">
        <v>44649</v>
      </c>
      <c r="G37" s="28">
        <v>7.9</v>
      </c>
      <c r="H37" s="29">
        <v>11</v>
      </c>
      <c r="I37" s="24">
        <v>11</v>
      </c>
      <c r="J37" s="29">
        <v>10.9</v>
      </c>
      <c r="K37" s="64">
        <v>98.8</v>
      </c>
      <c r="L37" s="64"/>
      <c r="M37" s="64"/>
      <c r="N37" s="61">
        <v>107</v>
      </c>
      <c r="O37" s="32"/>
      <c r="P37" s="33">
        <v>0.30280000000000001</v>
      </c>
      <c r="Q37" s="34">
        <v>15.55</v>
      </c>
      <c r="R37" s="35">
        <v>0.2676965</v>
      </c>
      <c r="S37" s="108" t="s">
        <v>119</v>
      </c>
      <c r="T37" s="21" t="s">
        <v>123</v>
      </c>
      <c r="U37" s="36"/>
      <c r="V37" s="21" t="s">
        <v>123</v>
      </c>
      <c r="W37" s="5"/>
      <c r="X37" s="5"/>
      <c r="Y37" s="5"/>
      <c r="Z37" s="5"/>
      <c r="AA37" s="5"/>
      <c r="AB37" s="5"/>
      <c r="AC37" s="5"/>
    </row>
    <row r="38" spans="1:29" x14ac:dyDescent="0.25">
      <c r="A38" s="5"/>
      <c r="B38" s="26" t="s">
        <v>21</v>
      </c>
      <c r="C38" s="26" t="s">
        <v>19</v>
      </c>
      <c r="D38" s="26" t="s">
        <v>46</v>
      </c>
      <c r="E38" s="21" t="s">
        <v>123</v>
      </c>
      <c r="F38" s="99">
        <v>44649</v>
      </c>
      <c r="G38" s="37">
        <v>7.9</v>
      </c>
      <c r="H38" s="38">
        <v>11.7</v>
      </c>
      <c r="I38" s="27">
        <v>10.860000000000001</v>
      </c>
      <c r="J38" s="38">
        <v>10.7</v>
      </c>
      <c r="K38" s="65">
        <v>98.6</v>
      </c>
      <c r="L38" s="65"/>
      <c r="M38" s="65"/>
      <c r="N38" s="62">
        <v>131</v>
      </c>
      <c r="O38" s="32"/>
      <c r="P38" s="41">
        <v>0.46834999999999999</v>
      </c>
      <c r="Q38" s="42">
        <v>17.899999999999999</v>
      </c>
      <c r="R38" s="43">
        <v>0.32024200000000003</v>
      </c>
      <c r="S38" s="109" t="s">
        <v>119</v>
      </c>
      <c r="T38" s="21" t="s">
        <v>123</v>
      </c>
      <c r="U38" s="44"/>
      <c r="V38" s="21" t="s">
        <v>123</v>
      </c>
      <c r="W38" s="5"/>
      <c r="X38" s="5"/>
      <c r="Y38" s="5"/>
      <c r="Z38" s="5"/>
      <c r="AA38" s="5"/>
      <c r="AB38" s="5"/>
      <c r="AC38" s="5"/>
    </row>
    <row r="39" spans="1:29" x14ac:dyDescent="0.25">
      <c r="A39" s="5"/>
      <c r="B39" s="20" t="s">
        <v>22</v>
      </c>
      <c r="C39" s="20" t="s">
        <v>23</v>
      </c>
      <c r="D39" s="20" t="s">
        <v>24</v>
      </c>
      <c r="E39" s="21" t="s">
        <v>123</v>
      </c>
      <c r="F39" s="98">
        <v>44649</v>
      </c>
      <c r="G39" s="28">
        <v>8.9</v>
      </c>
      <c r="H39" s="29">
        <v>9.4</v>
      </c>
      <c r="I39" s="24">
        <v>11.420000000000002</v>
      </c>
      <c r="J39" s="29">
        <v>11.7</v>
      </c>
      <c r="K39" s="64">
        <v>102.3</v>
      </c>
      <c r="L39" s="64"/>
      <c r="M39" s="64"/>
      <c r="N39" s="61">
        <v>154.30000000000001</v>
      </c>
      <c r="O39" s="32"/>
      <c r="P39" s="33">
        <v>0.31719999999999998</v>
      </c>
      <c r="Q39" s="34">
        <v>26.9</v>
      </c>
      <c r="R39" s="35">
        <v>0.24559</v>
      </c>
      <c r="S39" s="108" t="s">
        <v>119</v>
      </c>
      <c r="T39" s="21" t="s">
        <v>123</v>
      </c>
      <c r="U39" s="36"/>
      <c r="V39" s="21" t="s">
        <v>123</v>
      </c>
      <c r="W39" s="5"/>
      <c r="X39" s="5"/>
      <c r="Y39" s="5"/>
      <c r="Z39" s="5"/>
      <c r="AA39" s="5"/>
      <c r="AB39" s="5"/>
      <c r="AC39" s="5"/>
    </row>
    <row r="40" spans="1:29" x14ac:dyDescent="0.25">
      <c r="A40" s="5"/>
      <c r="B40" s="26" t="s">
        <v>25</v>
      </c>
      <c r="C40" s="26" t="s">
        <v>23</v>
      </c>
      <c r="D40" s="26" t="s">
        <v>43</v>
      </c>
      <c r="E40" s="21" t="s">
        <v>123</v>
      </c>
      <c r="F40" s="99">
        <v>44649</v>
      </c>
      <c r="G40" s="37">
        <v>8.65</v>
      </c>
      <c r="H40" s="38">
        <v>8</v>
      </c>
      <c r="I40" s="27">
        <v>11.8</v>
      </c>
      <c r="J40" s="38">
        <v>11.1</v>
      </c>
      <c r="K40" s="65">
        <v>93.8</v>
      </c>
      <c r="L40" s="65"/>
      <c r="M40" s="65"/>
      <c r="N40" s="62">
        <v>156.30000000000001</v>
      </c>
      <c r="O40" s="32"/>
      <c r="P40" s="41">
        <v>0.33040000000000003</v>
      </c>
      <c r="Q40" s="42">
        <v>28</v>
      </c>
      <c r="R40" s="43">
        <v>0.26644800000000002</v>
      </c>
      <c r="S40" s="109" t="s">
        <v>119</v>
      </c>
      <c r="T40" s="21" t="s">
        <v>123</v>
      </c>
      <c r="U40" s="44"/>
      <c r="V40" s="21" t="s">
        <v>123</v>
      </c>
      <c r="W40" s="5"/>
      <c r="X40" s="5"/>
      <c r="Y40" s="5"/>
      <c r="Z40" s="5"/>
      <c r="AA40" s="5"/>
      <c r="AB40" s="5"/>
      <c r="AC40" s="5"/>
    </row>
    <row r="41" spans="1:29" x14ac:dyDescent="0.25">
      <c r="A41" s="5"/>
      <c r="B41" s="20" t="s">
        <v>26</v>
      </c>
      <c r="C41" s="20" t="s">
        <v>27</v>
      </c>
      <c r="D41" s="20" t="s">
        <v>42</v>
      </c>
      <c r="E41" s="21" t="s">
        <v>123</v>
      </c>
      <c r="F41" s="98">
        <v>44652</v>
      </c>
      <c r="G41" s="117" t="s">
        <v>119</v>
      </c>
      <c r="H41" s="117" t="s">
        <v>119</v>
      </c>
      <c r="I41" s="118"/>
      <c r="J41" s="117" t="s">
        <v>119</v>
      </c>
      <c r="K41" s="119" t="s">
        <v>119</v>
      </c>
      <c r="L41" s="119"/>
      <c r="M41" s="119"/>
      <c r="N41" s="117" t="s">
        <v>119</v>
      </c>
      <c r="O41" s="32"/>
      <c r="P41" s="33">
        <v>0.21640000000000001</v>
      </c>
      <c r="Q41" s="34">
        <v>14.6</v>
      </c>
      <c r="R41" s="35">
        <v>0.1103534</v>
      </c>
      <c r="S41" s="108" t="s">
        <v>119</v>
      </c>
      <c r="T41" s="21" t="s">
        <v>123</v>
      </c>
      <c r="U41" s="36"/>
      <c r="V41" s="21" t="s">
        <v>123</v>
      </c>
      <c r="W41" s="5"/>
      <c r="X41" s="5"/>
      <c r="Y41" s="5"/>
      <c r="Z41" s="5"/>
      <c r="AA41" s="5"/>
      <c r="AB41" s="5"/>
      <c r="AC41" s="5"/>
    </row>
    <row r="42" spans="1:29" x14ac:dyDescent="0.25">
      <c r="A42" s="5"/>
      <c r="B42" s="26" t="s">
        <v>28</v>
      </c>
      <c r="C42" s="26" t="s">
        <v>27</v>
      </c>
      <c r="D42" s="26" t="s">
        <v>29</v>
      </c>
      <c r="E42" s="21" t="s">
        <v>123</v>
      </c>
      <c r="F42" s="99">
        <v>44652</v>
      </c>
      <c r="G42" s="120" t="s">
        <v>119</v>
      </c>
      <c r="H42" s="120" t="s">
        <v>119</v>
      </c>
      <c r="I42" s="121"/>
      <c r="J42" s="120" t="s">
        <v>119</v>
      </c>
      <c r="K42" s="120" t="s">
        <v>119</v>
      </c>
      <c r="L42" s="120"/>
      <c r="M42" s="120"/>
      <c r="N42" s="122" t="s">
        <v>119</v>
      </c>
      <c r="O42" s="32"/>
      <c r="P42" s="41">
        <v>0.11705</v>
      </c>
      <c r="Q42" s="42">
        <v>33.049999999999997</v>
      </c>
      <c r="R42" s="43">
        <v>0.105573</v>
      </c>
      <c r="S42" s="109" t="s">
        <v>119</v>
      </c>
      <c r="T42" s="21" t="s">
        <v>123</v>
      </c>
      <c r="U42" s="44"/>
      <c r="V42" s="21" t="s">
        <v>123</v>
      </c>
      <c r="W42" s="5"/>
      <c r="X42" s="5"/>
      <c r="Y42" s="5"/>
      <c r="Z42" s="5"/>
      <c r="AA42" s="5"/>
      <c r="AB42" s="5"/>
      <c r="AC42" s="5"/>
    </row>
    <row r="43" spans="1:29" x14ac:dyDescent="0.25">
      <c r="A43" s="5"/>
      <c r="B43" s="20" t="s">
        <v>30</v>
      </c>
      <c r="C43" s="20" t="s">
        <v>31</v>
      </c>
      <c r="D43" s="20" t="s">
        <v>41</v>
      </c>
      <c r="E43" s="21" t="s">
        <v>123</v>
      </c>
      <c r="F43" s="98">
        <v>44650</v>
      </c>
      <c r="G43" s="28">
        <v>8.11</v>
      </c>
      <c r="H43" s="29">
        <v>10.8</v>
      </c>
      <c r="I43" s="24">
        <v>11.040000000000001</v>
      </c>
      <c r="J43" s="29">
        <v>11.3</v>
      </c>
      <c r="K43" s="64">
        <v>102.3</v>
      </c>
      <c r="L43" s="64"/>
      <c r="M43" s="64"/>
      <c r="N43" s="61">
        <v>831</v>
      </c>
      <c r="O43" s="32"/>
      <c r="P43" s="33">
        <v>0.15770000000000001</v>
      </c>
      <c r="Q43" s="34">
        <v>44</v>
      </c>
      <c r="R43" s="35">
        <v>0.14446500000000001</v>
      </c>
      <c r="S43" s="108" t="s">
        <v>119</v>
      </c>
      <c r="T43" s="21" t="s">
        <v>123</v>
      </c>
      <c r="U43" s="36"/>
      <c r="V43" s="21" t="s">
        <v>123</v>
      </c>
      <c r="W43" s="5"/>
      <c r="X43" s="5"/>
      <c r="Y43" s="5"/>
      <c r="Z43" s="5"/>
      <c r="AA43" s="5"/>
      <c r="AB43" s="5"/>
      <c r="AC43" s="5"/>
    </row>
    <row r="44" spans="1:29" x14ac:dyDescent="0.25">
      <c r="A44" s="5"/>
      <c r="B44" s="26" t="s">
        <v>32</v>
      </c>
      <c r="C44" s="26" t="s">
        <v>31</v>
      </c>
      <c r="D44" s="26" t="s">
        <v>33</v>
      </c>
      <c r="E44" s="21" t="s">
        <v>123</v>
      </c>
      <c r="F44" s="99">
        <v>44650</v>
      </c>
      <c r="G44" s="37">
        <v>8.18</v>
      </c>
      <c r="H44" s="38">
        <v>8.5</v>
      </c>
      <c r="I44" s="27">
        <v>11.7</v>
      </c>
      <c r="J44" s="38">
        <v>10.1</v>
      </c>
      <c r="K44" s="65">
        <v>86.6</v>
      </c>
      <c r="L44" s="65"/>
      <c r="M44" s="65"/>
      <c r="N44" s="62">
        <v>780</v>
      </c>
      <c r="O44" s="32"/>
      <c r="P44" s="41">
        <v>0.20219999999999999</v>
      </c>
      <c r="Q44" s="42">
        <v>30.1</v>
      </c>
      <c r="R44" s="43">
        <v>0.14185690000000001</v>
      </c>
      <c r="S44" s="109" t="s">
        <v>119</v>
      </c>
      <c r="T44" s="21" t="s">
        <v>123</v>
      </c>
      <c r="U44" s="44"/>
      <c r="V44" s="21" t="s">
        <v>123</v>
      </c>
      <c r="W44" s="5"/>
      <c r="X44" s="5"/>
      <c r="Y44" s="5"/>
      <c r="Z44" s="5"/>
      <c r="AA44" s="5"/>
      <c r="AB44" s="5"/>
      <c r="AC44" s="5"/>
    </row>
    <row r="45" spans="1:29" x14ac:dyDescent="0.25">
      <c r="A45" s="5"/>
      <c r="B45" s="20" t="s">
        <v>34</v>
      </c>
      <c r="C45" s="20" t="s">
        <v>35</v>
      </c>
      <c r="D45" s="20" t="s">
        <v>36</v>
      </c>
      <c r="E45" s="21" t="s">
        <v>123</v>
      </c>
      <c r="F45" s="98">
        <v>44650</v>
      </c>
      <c r="G45" s="28">
        <v>8.52</v>
      </c>
      <c r="H45" s="29">
        <v>11.2</v>
      </c>
      <c r="I45" s="24">
        <v>10.96</v>
      </c>
      <c r="J45" s="29">
        <v>12.4</v>
      </c>
      <c r="K45" s="64">
        <v>113.3</v>
      </c>
      <c r="L45" s="64"/>
      <c r="M45" s="64"/>
      <c r="N45" s="61">
        <v>789</v>
      </c>
      <c r="O45" s="32"/>
      <c r="P45" s="33">
        <v>0.1341</v>
      </c>
      <c r="Q45" s="34">
        <v>58.15</v>
      </c>
      <c r="R45" s="35">
        <v>0.1888061</v>
      </c>
      <c r="S45" s="108" t="s">
        <v>119</v>
      </c>
      <c r="T45" s="21" t="s">
        <v>123</v>
      </c>
      <c r="U45" s="36"/>
      <c r="V45" s="21" t="s">
        <v>123</v>
      </c>
      <c r="W45" s="5"/>
      <c r="X45" s="5"/>
      <c r="Y45" s="5"/>
      <c r="Z45" s="5"/>
      <c r="AA45" s="5"/>
      <c r="AB45" s="5"/>
      <c r="AC45" s="5"/>
    </row>
    <row r="46" spans="1:29" x14ac:dyDescent="0.25">
      <c r="A46" s="5"/>
      <c r="B46" s="26" t="s">
        <v>37</v>
      </c>
      <c r="C46" s="26" t="s">
        <v>35</v>
      </c>
      <c r="D46" s="26" t="s">
        <v>47</v>
      </c>
      <c r="E46" s="21" t="s">
        <v>123</v>
      </c>
      <c r="F46" s="99">
        <v>44650</v>
      </c>
      <c r="G46" s="37">
        <v>8.26</v>
      </c>
      <c r="H46" s="38">
        <v>10.8</v>
      </c>
      <c r="I46" s="27">
        <v>11.040000000000001</v>
      </c>
      <c r="J46" s="38">
        <v>9.5</v>
      </c>
      <c r="K46" s="65">
        <v>86</v>
      </c>
      <c r="L46" s="65"/>
      <c r="M46" s="65"/>
      <c r="N46" s="62">
        <v>751</v>
      </c>
      <c r="O46" s="32"/>
      <c r="P46" s="41">
        <v>0.13489999999999999</v>
      </c>
      <c r="Q46" s="42">
        <v>46.55</v>
      </c>
      <c r="R46" s="43">
        <v>0.18220600000000001</v>
      </c>
      <c r="S46" s="109" t="s">
        <v>119</v>
      </c>
      <c r="T46" s="21" t="s">
        <v>123</v>
      </c>
      <c r="U46" s="44"/>
      <c r="V46" s="21" t="s">
        <v>123</v>
      </c>
      <c r="W46" s="5"/>
      <c r="X46" s="5"/>
      <c r="Y46" s="5"/>
      <c r="Z46" s="5"/>
      <c r="AA46" s="5"/>
      <c r="AB46" s="5"/>
      <c r="AC46" s="5"/>
    </row>
    <row r="47" spans="1:29" s="100" customFormat="1" x14ac:dyDescent="0.25">
      <c r="B47" s="114" t="s">
        <v>187</v>
      </c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2"/>
      <c r="P47" s="101"/>
      <c r="Q47" s="101"/>
      <c r="R47" s="101"/>
      <c r="S47" s="102"/>
    </row>
    <row r="48" spans="1:29" x14ac:dyDescent="0.25">
      <c r="A48" s="5"/>
      <c r="B48" s="20" t="s">
        <v>0</v>
      </c>
      <c r="C48" s="20" t="s">
        <v>1</v>
      </c>
      <c r="D48" s="20" t="s">
        <v>44</v>
      </c>
      <c r="E48" s="21" t="s">
        <v>123</v>
      </c>
      <c r="F48" s="98">
        <v>45029</v>
      </c>
      <c r="G48" s="28">
        <v>8.61</v>
      </c>
      <c r="H48" s="29">
        <v>8.1</v>
      </c>
      <c r="I48" s="24">
        <v>11.780000000000001</v>
      </c>
      <c r="J48" s="29">
        <v>12.1</v>
      </c>
      <c r="K48" s="29">
        <v>102.7</v>
      </c>
      <c r="L48" s="29"/>
      <c r="M48" s="29"/>
      <c r="N48" s="61">
        <v>314</v>
      </c>
      <c r="O48" s="32"/>
      <c r="P48" s="33">
        <v>0.53534999999999988</v>
      </c>
      <c r="Q48" s="34">
        <v>30.4</v>
      </c>
      <c r="R48" s="35">
        <v>0.50251400000000002</v>
      </c>
      <c r="S48" s="108" t="s">
        <v>119</v>
      </c>
      <c r="T48" s="21" t="s">
        <v>123</v>
      </c>
      <c r="U48" s="36"/>
      <c r="V48" s="21" t="s">
        <v>123</v>
      </c>
      <c r="W48" s="5"/>
      <c r="X48" s="5"/>
      <c r="Y48" s="5"/>
      <c r="Z48" s="5"/>
      <c r="AA48" s="5"/>
      <c r="AB48" s="5"/>
      <c r="AC48" s="5"/>
    </row>
    <row r="49" spans="1:29" x14ac:dyDescent="0.25">
      <c r="A49" s="5"/>
      <c r="B49" s="26" t="s">
        <v>2</v>
      </c>
      <c r="C49" s="26" t="s">
        <v>1</v>
      </c>
      <c r="D49" s="26" t="s">
        <v>3</v>
      </c>
      <c r="E49" s="21" t="s">
        <v>123</v>
      </c>
      <c r="F49" s="99">
        <v>45029</v>
      </c>
      <c r="G49" s="37">
        <v>8.32</v>
      </c>
      <c r="H49" s="38">
        <v>7.8</v>
      </c>
      <c r="I49" s="27">
        <v>11.880000000000003</v>
      </c>
      <c r="J49" s="38">
        <v>11.2</v>
      </c>
      <c r="K49" s="38">
        <v>94.3</v>
      </c>
      <c r="L49" s="38"/>
      <c r="M49" s="38"/>
      <c r="N49" s="62">
        <v>370</v>
      </c>
      <c r="O49" s="32"/>
      <c r="P49" s="41">
        <v>0.4870000000000001</v>
      </c>
      <c r="Q49" s="42">
        <v>38.4</v>
      </c>
      <c r="R49" s="43">
        <v>0.70612399999999986</v>
      </c>
      <c r="S49" s="109" t="s">
        <v>119</v>
      </c>
      <c r="T49" s="21" t="s">
        <v>123</v>
      </c>
      <c r="U49" s="44"/>
      <c r="V49" s="21" t="s">
        <v>123</v>
      </c>
      <c r="W49" s="5"/>
      <c r="X49" s="5"/>
      <c r="Y49" s="5"/>
      <c r="Z49" s="5"/>
      <c r="AA49" s="5"/>
      <c r="AB49" s="5"/>
      <c r="AC49" s="5"/>
    </row>
    <row r="50" spans="1:29" x14ac:dyDescent="0.25">
      <c r="A50" s="5"/>
      <c r="B50" s="20" t="s">
        <v>4</v>
      </c>
      <c r="C50" s="20" t="s">
        <v>1</v>
      </c>
      <c r="D50" s="20" t="s">
        <v>5</v>
      </c>
      <c r="E50" s="21" t="s">
        <v>123</v>
      </c>
      <c r="F50" s="98">
        <v>45029</v>
      </c>
      <c r="G50" s="28">
        <v>8.61</v>
      </c>
      <c r="H50" s="29">
        <v>9.4</v>
      </c>
      <c r="I50" s="24">
        <v>11.420000000000002</v>
      </c>
      <c r="J50" s="29">
        <v>12.2</v>
      </c>
      <c r="K50" s="29">
        <v>106.8</v>
      </c>
      <c r="L50" s="29"/>
      <c r="M50" s="29"/>
      <c r="N50" s="61">
        <v>357</v>
      </c>
      <c r="O50" s="32"/>
      <c r="P50" s="33">
        <v>0.25364999999999999</v>
      </c>
      <c r="Q50" s="34">
        <v>66.900000000000006</v>
      </c>
      <c r="R50" s="35">
        <v>1.2010100000000001</v>
      </c>
      <c r="S50" s="108" t="s">
        <v>119</v>
      </c>
      <c r="T50" s="21" t="s">
        <v>123</v>
      </c>
      <c r="U50" s="36"/>
      <c r="V50" s="21" t="s">
        <v>123</v>
      </c>
      <c r="W50" s="5"/>
      <c r="X50" s="5"/>
      <c r="Y50" s="5"/>
      <c r="Z50" s="5"/>
      <c r="AA50" s="5"/>
      <c r="AB50" s="5"/>
      <c r="AC50" s="5"/>
    </row>
    <row r="51" spans="1:29" x14ac:dyDescent="0.25">
      <c r="A51" s="5"/>
      <c r="B51" s="26" t="s">
        <v>6</v>
      </c>
      <c r="C51" s="26" t="s">
        <v>1</v>
      </c>
      <c r="D51" s="26" t="s">
        <v>45</v>
      </c>
      <c r="E51" s="21" t="s">
        <v>123</v>
      </c>
      <c r="F51" s="67" t="s">
        <v>177</v>
      </c>
      <c r="G51" s="37"/>
      <c r="H51" s="38"/>
      <c r="I51" s="109" t="s">
        <v>119</v>
      </c>
      <c r="J51" s="109" t="s">
        <v>119</v>
      </c>
      <c r="K51" s="109" t="s">
        <v>119</v>
      </c>
      <c r="L51" s="139"/>
      <c r="M51" s="139"/>
      <c r="N51" s="109" t="s">
        <v>119</v>
      </c>
      <c r="O51" s="32"/>
      <c r="P51" s="109" t="s">
        <v>119</v>
      </c>
      <c r="Q51" s="109" t="s">
        <v>119</v>
      </c>
      <c r="R51" s="109" t="s">
        <v>119</v>
      </c>
      <c r="S51" s="109" t="s">
        <v>119</v>
      </c>
      <c r="T51" s="21" t="s">
        <v>123</v>
      </c>
      <c r="U51" s="44" t="s">
        <v>200</v>
      </c>
      <c r="V51" s="21" t="s">
        <v>123</v>
      </c>
      <c r="W51" s="5"/>
      <c r="X51" s="5"/>
      <c r="Y51" s="5"/>
      <c r="Z51" s="5"/>
      <c r="AA51" s="5"/>
      <c r="AB51" s="5"/>
      <c r="AC51" s="5"/>
    </row>
    <row r="52" spans="1:29" x14ac:dyDescent="0.25">
      <c r="A52" s="5"/>
      <c r="B52" s="20" t="s">
        <v>7</v>
      </c>
      <c r="C52" s="20" t="s">
        <v>8</v>
      </c>
      <c r="D52" s="20" t="s">
        <v>48</v>
      </c>
      <c r="E52" s="21" t="s">
        <v>123</v>
      </c>
      <c r="F52" s="98">
        <v>45033</v>
      </c>
      <c r="G52" s="28">
        <v>8.2200000000000006</v>
      </c>
      <c r="H52" s="29">
        <v>9.8000000000000007</v>
      </c>
      <c r="I52" s="24">
        <v>11.340000000000002</v>
      </c>
      <c r="J52" s="29">
        <v>11.6</v>
      </c>
      <c r="K52" s="29">
        <v>102.3</v>
      </c>
      <c r="L52" s="29"/>
      <c r="M52" s="29"/>
      <c r="N52" s="66">
        <v>202</v>
      </c>
      <c r="O52" s="32"/>
      <c r="P52" s="33">
        <v>0.39860000000000001</v>
      </c>
      <c r="Q52" s="34">
        <v>19.600000000000001</v>
      </c>
      <c r="R52" s="35">
        <v>1.5403200000000001</v>
      </c>
      <c r="S52" s="108" t="s">
        <v>119</v>
      </c>
      <c r="T52" s="21" t="s">
        <v>123</v>
      </c>
      <c r="U52" s="36"/>
      <c r="V52" s="21" t="s">
        <v>123</v>
      </c>
      <c r="W52" s="5"/>
      <c r="X52" s="5"/>
      <c r="Y52" s="5"/>
      <c r="Z52" s="5"/>
      <c r="AA52" s="5"/>
      <c r="AB52" s="5"/>
      <c r="AC52" s="5"/>
    </row>
    <row r="53" spans="1:29" x14ac:dyDescent="0.25">
      <c r="A53" s="5"/>
      <c r="B53" s="26" t="s">
        <v>9</v>
      </c>
      <c r="C53" s="26" t="s">
        <v>8</v>
      </c>
      <c r="D53" s="26" t="s">
        <v>8</v>
      </c>
      <c r="E53" s="21" t="s">
        <v>123</v>
      </c>
      <c r="F53" s="99">
        <v>45033</v>
      </c>
      <c r="G53" s="37">
        <v>8.51</v>
      </c>
      <c r="H53" s="38">
        <v>9.4</v>
      </c>
      <c r="I53" s="27">
        <v>11.420000000000002</v>
      </c>
      <c r="J53" s="38">
        <v>12.1</v>
      </c>
      <c r="K53" s="69">
        <v>106</v>
      </c>
      <c r="L53" s="69"/>
      <c r="M53" s="69"/>
      <c r="N53" s="63">
        <v>209</v>
      </c>
      <c r="O53" s="32"/>
      <c r="P53" s="41">
        <v>0.52395000000000003</v>
      </c>
      <c r="Q53" s="42">
        <v>29.1</v>
      </c>
      <c r="R53" s="43">
        <v>1.2085774999999999</v>
      </c>
      <c r="S53" s="109" t="s">
        <v>119</v>
      </c>
      <c r="T53" s="21" t="s">
        <v>123</v>
      </c>
      <c r="U53" s="44"/>
      <c r="V53" s="21" t="s">
        <v>123</v>
      </c>
      <c r="W53" s="5"/>
      <c r="X53" s="5"/>
      <c r="Y53" s="5"/>
      <c r="Z53" s="5"/>
      <c r="AA53" s="5"/>
      <c r="AB53" s="5"/>
      <c r="AC53" s="5"/>
    </row>
    <row r="54" spans="1:29" x14ac:dyDescent="0.25">
      <c r="A54" s="5"/>
      <c r="B54" s="20" t="s">
        <v>10</v>
      </c>
      <c r="C54" s="20" t="s">
        <v>11</v>
      </c>
      <c r="D54" s="20" t="s">
        <v>40</v>
      </c>
      <c r="E54" s="21" t="s">
        <v>123</v>
      </c>
      <c r="F54" s="98">
        <v>45032</v>
      </c>
      <c r="G54" s="28">
        <v>7.89</v>
      </c>
      <c r="H54" s="29">
        <v>8.3000000000000007</v>
      </c>
      <c r="I54" s="24">
        <v>11.740000000000002</v>
      </c>
      <c r="J54" s="29">
        <v>11.6</v>
      </c>
      <c r="K54" s="29">
        <v>98.8</v>
      </c>
      <c r="L54" s="29"/>
      <c r="M54" s="29"/>
      <c r="N54" s="61">
        <v>126</v>
      </c>
      <c r="O54" s="32"/>
      <c r="P54" s="33">
        <v>0.37360000000000004</v>
      </c>
      <c r="Q54" s="34">
        <v>25.3</v>
      </c>
      <c r="R54" s="35">
        <v>1.1504750000000001</v>
      </c>
      <c r="S54" s="108" t="s">
        <v>119</v>
      </c>
      <c r="T54" s="21" t="s">
        <v>123</v>
      </c>
      <c r="U54" s="36"/>
      <c r="V54" s="21" t="s">
        <v>123</v>
      </c>
      <c r="W54" s="5"/>
      <c r="X54" s="5"/>
      <c r="Y54" s="5"/>
      <c r="Z54" s="5"/>
      <c r="AA54" s="5"/>
      <c r="AB54" s="5"/>
      <c r="AC54" s="5"/>
    </row>
    <row r="55" spans="1:29" x14ac:dyDescent="0.25">
      <c r="A55" s="5"/>
      <c r="B55" s="26" t="s">
        <v>12</v>
      </c>
      <c r="C55" s="26" t="s">
        <v>11</v>
      </c>
      <c r="D55" s="26" t="s">
        <v>13</v>
      </c>
      <c r="E55" s="21" t="s">
        <v>123</v>
      </c>
      <c r="F55" s="99">
        <v>45032</v>
      </c>
      <c r="G55" s="37">
        <v>7.99</v>
      </c>
      <c r="H55" s="38">
        <v>8.3000000000000007</v>
      </c>
      <c r="I55" s="27">
        <v>11.740000000000002</v>
      </c>
      <c r="J55" s="38">
        <v>11.8</v>
      </c>
      <c r="K55" s="38">
        <v>100.5</v>
      </c>
      <c r="L55" s="38"/>
      <c r="M55" s="38"/>
      <c r="N55" s="62">
        <v>135</v>
      </c>
      <c r="O55" s="32"/>
      <c r="P55" s="41">
        <v>0.67730000000000001</v>
      </c>
      <c r="Q55" s="42">
        <v>22.5</v>
      </c>
      <c r="R55" s="43">
        <v>1.3832819999999999</v>
      </c>
      <c r="S55" s="109" t="s">
        <v>119</v>
      </c>
      <c r="T55" s="21" t="s">
        <v>123</v>
      </c>
      <c r="U55" s="44"/>
      <c r="V55" s="21" t="s">
        <v>123</v>
      </c>
      <c r="W55" s="5"/>
      <c r="X55" s="5"/>
      <c r="Y55" s="5"/>
      <c r="Z55" s="5"/>
      <c r="AA55" s="5"/>
      <c r="AB55" s="5"/>
      <c r="AC55" s="5"/>
    </row>
    <row r="56" spans="1:29" x14ac:dyDescent="0.25">
      <c r="A56" s="5"/>
      <c r="B56" s="20" t="s">
        <v>14</v>
      </c>
      <c r="C56" s="20" t="s">
        <v>15</v>
      </c>
      <c r="D56" s="20" t="s">
        <v>16</v>
      </c>
      <c r="E56" s="21" t="s">
        <v>123</v>
      </c>
      <c r="F56" s="98">
        <v>45032</v>
      </c>
      <c r="G56" s="28">
        <v>7.55</v>
      </c>
      <c r="H56" s="29">
        <v>8.1999999999999993</v>
      </c>
      <c r="I56" s="24">
        <v>11.760000000000002</v>
      </c>
      <c r="J56" s="29">
        <v>11.2</v>
      </c>
      <c r="K56" s="29">
        <v>95.2</v>
      </c>
      <c r="L56" s="29"/>
      <c r="M56" s="29"/>
      <c r="N56" s="61">
        <v>128</v>
      </c>
      <c r="O56" s="32"/>
      <c r="P56" s="33">
        <v>0.44055</v>
      </c>
      <c r="Q56" s="34">
        <v>23</v>
      </c>
      <c r="R56" s="35">
        <v>0.41366599999999998</v>
      </c>
      <c r="S56" s="108" t="s">
        <v>119</v>
      </c>
      <c r="T56" s="21" t="s">
        <v>123</v>
      </c>
      <c r="U56" s="36"/>
      <c r="V56" s="21" t="s">
        <v>123</v>
      </c>
      <c r="W56" s="5"/>
      <c r="X56" s="5"/>
      <c r="Y56" s="5"/>
      <c r="Z56" s="5"/>
      <c r="AA56" s="5"/>
      <c r="AB56" s="5"/>
      <c r="AC56" s="5"/>
    </row>
    <row r="57" spans="1:29" x14ac:dyDescent="0.25">
      <c r="A57" s="5"/>
      <c r="B57" s="26" t="s">
        <v>17</v>
      </c>
      <c r="C57" s="26" t="s">
        <v>15</v>
      </c>
      <c r="D57" s="26" t="s">
        <v>49</v>
      </c>
      <c r="E57" s="21" t="s">
        <v>123</v>
      </c>
      <c r="F57" s="99">
        <v>45032</v>
      </c>
      <c r="G57" s="37">
        <v>7.94</v>
      </c>
      <c r="H57" s="38">
        <v>8.6</v>
      </c>
      <c r="I57" s="27">
        <v>11.66</v>
      </c>
      <c r="J57" s="38">
        <v>11.5</v>
      </c>
      <c r="K57" s="38">
        <v>98.6</v>
      </c>
      <c r="L57" s="38"/>
      <c r="M57" s="38"/>
      <c r="N57" s="62">
        <v>144</v>
      </c>
      <c r="O57" s="32"/>
      <c r="P57" s="41">
        <v>0.45314999999999983</v>
      </c>
      <c r="Q57" s="42">
        <v>17.8</v>
      </c>
      <c r="R57" s="43">
        <v>0.60707949999999988</v>
      </c>
      <c r="S57" s="109" t="s">
        <v>119</v>
      </c>
      <c r="T57" s="21" t="s">
        <v>123</v>
      </c>
      <c r="U57" s="44"/>
      <c r="V57" s="21" t="s">
        <v>123</v>
      </c>
      <c r="W57" s="5"/>
      <c r="X57" s="5"/>
      <c r="Y57" s="5"/>
      <c r="Z57" s="5"/>
      <c r="AA57" s="5"/>
      <c r="AB57" s="5"/>
      <c r="AC57" s="5"/>
    </row>
    <row r="58" spans="1:29" x14ac:dyDescent="0.25">
      <c r="A58" s="5"/>
      <c r="B58" s="20" t="s">
        <v>18</v>
      </c>
      <c r="C58" s="20" t="s">
        <v>19</v>
      </c>
      <c r="D58" s="20" t="s">
        <v>20</v>
      </c>
      <c r="E58" s="21" t="s">
        <v>123</v>
      </c>
      <c r="F58" s="98">
        <v>45031</v>
      </c>
      <c r="G58" s="28">
        <v>7.69</v>
      </c>
      <c r="H58" s="29">
        <v>9.6</v>
      </c>
      <c r="I58" s="24">
        <v>11.38</v>
      </c>
      <c r="J58" s="29">
        <v>11.4</v>
      </c>
      <c r="K58" s="29">
        <v>100.2</v>
      </c>
      <c r="L58" s="29"/>
      <c r="M58" s="29"/>
      <c r="N58" s="61">
        <v>109</v>
      </c>
      <c r="O58" s="32"/>
      <c r="P58" s="33">
        <v>0.376</v>
      </c>
      <c r="Q58" s="34">
        <v>29.2</v>
      </c>
      <c r="R58" s="35">
        <v>0.77274625000000008</v>
      </c>
      <c r="S58" s="108" t="s">
        <v>119</v>
      </c>
      <c r="T58" s="21" t="s">
        <v>123</v>
      </c>
      <c r="U58" s="36"/>
      <c r="V58" s="21" t="s">
        <v>123</v>
      </c>
      <c r="W58" s="5"/>
      <c r="X58" s="5"/>
      <c r="Y58" s="5"/>
      <c r="Z58" s="5"/>
      <c r="AA58" s="5"/>
      <c r="AB58" s="5"/>
      <c r="AC58" s="5"/>
    </row>
    <row r="59" spans="1:29" x14ac:dyDescent="0.25">
      <c r="A59" s="5"/>
      <c r="B59" s="26" t="s">
        <v>21</v>
      </c>
      <c r="C59" s="26" t="s">
        <v>19</v>
      </c>
      <c r="D59" s="26" t="s">
        <v>46</v>
      </c>
      <c r="E59" s="21" t="s">
        <v>123</v>
      </c>
      <c r="F59" s="99">
        <v>45031</v>
      </c>
      <c r="G59" s="37">
        <v>7.46</v>
      </c>
      <c r="H59" s="38">
        <v>9.6</v>
      </c>
      <c r="I59" s="27">
        <v>11.38</v>
      </c>
      <c r="J59" s="38">
        <v>11.4</v>
      </c>
      <c r="K59" s="38">
        <v>100.2</v>
      </c>
      <c r="L59" s="38"/>
      <c r="M59" s="38"/>
      <c r="N59" s="62">
        <v>118</v>
      </c>
      <c r="O59" s="32"/>
      <c r="P59" s="41">
        <v>0.43364999999999998</v>
      </c>
      <c r="Q59" s="42">
        <v>21.9</v>
      </c>
      <c r="R59" s="43">
        <v>0.79809700000000006</v>
      </c>
      <c r="S59" s="109" t="s">
        <v>119</v>
      </c>
      <c r="T59" s="21" t="s">
        <v>123</v>
      </c>
      <c r="U59" s="44"/>
      <c r="V59" s="21" t="s">
        <v>123</v>
      </c>
      <c r="W59" s="5"/>
      <c r="X59" s="5"/>
      <c r="Y59" s="5"/>
      <c r="Z59" s="5"/>
      <c r="AA59" s="5"/>
      <c r="AB59" s="5"/>
      <c r="AC59" s="5"/>
    </row>
    <row r="60" spans="1:29" x14ac:dyDescent="0.25">
      <c r="A60" s="5"/>
      <c r="B60" s="20" t="s">
        <v>22</v>
      </c>
      <c r="C60" s="20" t="s">
        <v>23</v>
      </c>
      <c r="D60" s="20" t="s">
        <v>24</v>
      </c>
      <c r="E60" s="21" t="s">
        <v>123</v>
      </c>
      <c r="F60" s="98">
        <v>45031</v>
      </c>
      <c r="G60" s="28">
        <v>7.88</v>
      </c>
      <c r="H60" s="29">
        <v>8.8000000000000007</v>
      </c>
      <c r="I60" s="24">
        <v>11.580000000000002</v>
      </c>
      <c r="J60" s="29">
        <v>11.3</v>
      </c>
      <c r="K60" s="70">
        <v>97.6</v>
      </c>
      <c r="L60" s="70"/>
      <c r="M60" s="70"/>
      <c r="N60" s="61">
        <v>130</v>
      </c>
      <c r="O60" s="32"/>
      <c r="P60" s="33">
        <v>0.50120000000000009</v>
      </c>
      <c r="Q60" s="34">
        <v>41.9</v>
      </c>
      <c r="R60" s="35">
        <v>0.65151300000000001</v>
      </c>
      <c r="S60" s="108" t="s">
        <v>119</v>
      </c>
      <c r="T60" s="21" t="s">
        <v>123</v>
      </c>
      <c r="U60" s="36"/>
      <c r="V60" s="21" t="s">
        <v>123</v>
      </c>
      <c r="W60" s="5"/>
      <c r="X60" s="5"/>
      <c r="Y60" s="5"/>
      <c r="Z60" s="5"/>
      <c r="AA60" s="5"/>
      <c r="AB60" s="5"/>
      <c r="AC60" s="5"/>
    </row>
    <row r="61" spans="1:29" x14ac:dyDescent="0.25">
      <c r="A61" s="5"/>
      <c r="B61" s="26" t="s">
        <v>25</v>
      </c>
      <c r="C61" s="26" t="s">
        <v>23</v>
      </c>
      <c r="D61" s="26" t="s">
        <v>43</v>
      </c>
      <c r="E61" s="21" t="s">
        <v>123</v>
      </c>
      <c r="F61" s="99">
        <v>45031</v>
      </c>
      <c r="G61" s="37">
        <v>7.99</v>
      </c>
      <c r="H61" s="38">
        <v>8.1</v>
      </c>
      <c r="I61" s="27">
        <v>11.780000000000001</v>
      </c>
      <c r="J61" s="38">
        <v>11.2</v>
      </c>
      <c r="K61" s="38">
        <v>95.1</v>
      </c>
      <c r="L61" s="38"/>
      <c r="M61" s="38"/>
      <c r="N61" s="62">
        <v>132</v>
      </c>
      <c r="O61" s="32"/>
      <c r="P61" s="41">
        <v>0.6016999999999999</v>
      </c>
      <c r="Q61" s="42">
        <v>33.9</v>
      </c>
      <c r="R61" s="43">
        <v>0.75063200000000019</v>
      </c>
      <c r="S61" s="109" t="s">
        <v>119</v>
      </c>
      <c r="T61" s="21" t="s">
        <v>123</v>
      </c>
      <c r="U61" s="44"/>
      <c r="V61" s="21" t="s">
        <v>123</v>
      </c>
      <c r="W61" s="5"/>
      <c r="X61" s="5"/>
      <c r="Y61" s="5"/>
      <c r="Z61" s="5"/>
      <c r="AA61" s="5"/>
      <c r="AB61" s="5"/>
      <c r="AC61" s="5"/>
    </row>
    <row r="62" spans="1:29" x14ac:dyDescent="0.25">
      <c r="A62" s="5"/>
      <c r="B62" s="20" t="s">
        <v>26</v>
      </c>
      <c r="C62" s="20" t="s">
        <v>27</v>
      </c>
      <c r="D62" s="20" t="s">
        <v>42</v>
      </c>
      <c r="E62" s="21" t="s">
        <v>123</v>
      </c>
      <c r="F62" s="98">
        <v>45030</v>
      </c>
      <c r="G62" s="28">
        <v>7.9</v>
      </c>
      <c r="H62" s="29">
        <v>7</v>
      </c>
      <c r="I62" s="24">
        <v>12.1</v>
      </c>
      <c r="J62" s="29">
        <v>11.7</v>
      </c>
      <c r="K62" s="70">
        <v>96.7</v>
      </c>
      <c r="L62" s="70"/>
      <c r="M62" s="70"/>
      <c r="N62" s="66">
        <v>118</v>
      </c>
      <c r="O62" s="32"/>
      <c r="P62" s="33">
        <v>0.39119999999999999</v>
      </c>
      <c r="Q62" s="34">
        <v>21.4</v>
      </c>
      <c r="R62" s="35">
        <v>0.53722600000000009</v>
      </c>
      <c r="S62" s="108" t="s">
        <v>119</v>
      </c>
      <c r="T62" s="21" t="s">
        <v>123</v>
      </c>
      <c r="U62" s="36"/>
      <c r="V62" s="21" t="s">
        <v>123</v>
      </c>
      <c r="W62" s="5"/>
      <c r="X62" s="5"/>
      <c r="Y62" s="5"/>
      <c r="Z62" s="5"/>
      <c r="AA62" s="5"/>
      <c r="AB62" s="5"/>
      <c r="AC62" s="5"/>
    </row>
    <row r="63" spans="1:29" x14ac:dyDescent="0.25">
      <c r="A63" s="5"/>
      <c r="B63" s="26" t="s">
        <v>28</v>
      </c>
      <c r="C63" s="26" t="s">
        <v>27</v>
      </c>
      <c r="D63" s="26" t="s">
        <v>29</v>
      </c>
      <c r="E63" s="21" t="s">
        <v>123</v>
      </c>
      <c r="F63" s="99">
        <v>45029</v>
      </c>
      <c r="G63" s="37">
        <v>7.75</v>
      </c>
      <c r="H63" s="38">
        <v>9.6999999999999993</v>
      </c>
      <c r="I63" s="27">
        <v>11.360000000000001</v>
      </c>
      <c r="J63" s="38">
        <v>10.8</v>
      </c>
      <c r="K63" s="38">
        <v>95.1</v>
      </c>
      <c r="L63" s="38"/>
      <c r="M63" s="38"/>
      <c r="N63" s="63">
        <v>130</v>
      </c>
      <c r="O63" s="32"/>
      <c r="P63" s="41">
        <v>0.27904999999999996</v>
      </c>
      <c r="Q63" s="42">
        <v>46.8</v>
      </c>
      <c r="R63" s="43">
        <v>0.55865200000000004</v>
      </c>
      <c r="S63" s="109" t="s">
        <v>119</v>
      </c>
      <c r="T63" s="21" t="s">
        <v>123</v>
      </c>
      <c r="U63" s="44"/>
      <c r="V63" s="21" t="s">
        <v>123</v>
      </c>
      <c r="W63" s="5"/>
      <c r="X63" s="5"/>
      <c r="Y63" s="5"/>
      <c r="Z63" s="5"/>
      <c r="AA63" s="5"/>
      <c r="AB63" s="5"/>
      <c r="AC63" s="5"/>
    </row>
    <row r="64" spans="1:29" x14ac:dyDescent="0.25">
      <c r="A64" s="5"/>
      <c r="B64" s="20" t="s">
        <v>30</v>
      </c>
      <c r="C64" s="20" t="s">
        <v>31</v>
      </c>
      <c r="D64" s="20" t="s">
        <v>41</v>
      </c>
      <c r="E64" s="21" t="s">
        <v>123</v>
      </c>
      <c r="F64" s="98">
        <v>45030</v>
      </c>
      <c r="G64" s="28">
        <v>8.16</v>
      </c>
      <c r="H64" s="29">
        <v>10.1</v>
      </c>
      <c r="I64" s="24">
        <v>11.26</v>
      </c>
      <c r="J64" s="29">
        <v>11.1</v>
      </c>
      <c r="K64" s="29">
        <v>98.6</v>
      </c>
      <c r="L64" s="29"/>
      <c r="M64" s="29"/>
      <c r="N64" s="61">
        <v>633</v>
      </c>
      <c r="O64" s="32"/>
      <c r="P64" s="33">
        <v>0.26405000000000001</v>
      </c>
      <c r="Q64" s="34">
        <v>27.7</v>
      </c>
      <c r="R64" s="35">
        <v>0.21431799999999998</v>
      </c>
      <c r="S64" s="108" t="s">
        <v>119</v>
      </c>
      <c r="T64" s="21" t="s">
        <v>123</v>
      </c>
      <c r="U64" s="36"/>
      <c r="V64" s="21" t="s">
        <v>123</v>
      </c>
      <c r="W64" s="5"/>
      <c r="X64" s="5"/>
      <c r="Y64" s="5"/>
      <c r="Z64" s="5"/>
      <c r="AA64" s="5"/>
      <c r="AB64" s="5"/>
      <c r="AC64" s="5"/>
    </row>
    <row r="65" spans="1:29" x14ac:dyDescent="0.25">
      <c r="A65" s="5"/>
      <c r="B65" s="26" t="s">
        <v>32</v>
      </c>
      <c r="C65" s="26" t="s">
        <v>31</v>
      </c>
      <c r="D65" s="26" t="s">
        <v>33</v>
      </c>
      <c r="E65" s="21" t="s">
        <v>123</v>
      </c>
      <c r="F65" s="99">
        <v>45030</v>
      </c>
      <c r="G65" s="37">
        <v>8.48</v>
      </c>
      <c r="H65" s="38">
        <v>9.4</v>
      </c>
      <c r="I65" s="27">
        <v>11.420000000000002</v>
      </c>
      <c r="J65" s="38">
        <v>12.9</v>
      </c>
      <c r="K65" s="38">
        <v>113</v>
      </c>
      <c r="L65" s="38"/>
      <c r="M65" s="38"/>
      <c r="N65" s="62">
        <v>673</v>
      </c>
      <c r="O65" s="32"/>
      <c r="P65" s="41">
        <v>0.20830000000000001</v>
      </c>
      <c r="Q65" s="42">
        <v>29.7</v>
      </c>
      <c r="R65" s="43">
        <v>7.9141000000000017E-2</v>
      </c>
      <c r="S65" s="109" t="s">
        <v>119</v>
      </c>
      <c r="T65" s="21" t="s">
        <v>123</v>
      </c>
      <c r="U65" s="44"/>
      <c r="V65" s="21" t="s">
        <v>123</v>
      </c>
      <c r="W65" s="5"/>
      <c r="X65" s="5"/>
      <c r="Y65" s="5"/>
      <c r="Z65" s="5"/>
      <c r="AA65" s="5"/>
      <c r="AB65" s="5"/>
      <c r="AC65" s="5"/>
    </row>
    <row r="66" spans="1:29" x14ac:dyDescent="0.25">
      <c r="A66" s="5"/>
      <c r="B66" s="20" t="s">
        <v>34</v>
      </c>
      <c r="C66" s="20" t="s">
        <v>35</v>
      </c>
      <c r="D66" s="20" t="s">
        <v>36</v>
      </c>
      <c r="E66" s="21" t="s">
        <v>123</v>
      </c>
      <c r="F66" s="98">
        <v>45030</v>
      </c>
      <c r="G66" s="28">
        <v>8.31</v>
      </c>
      <c r="H66" s="29">
        <v>10.8</v>
      </c>
      <c r="I66" s="24">
        <v>11.040000000000001</v>
      </c>
      <c r="J66" s="29">
        <v>13.9</v>
      </c>
      <c r="K66" s="29">
        <v>125.9</v>
      </c>
      <c r="L66" s="29"/>
      <c r="M66" s="29"/>
      <c r="N66" s="61">
        <v>702</v>
      </c>
      <c r="O66" s="32"/>
      <c r="P66" s="33">
        <v>0.19254999999999997</v>
      </c>
      <c r="Q66" s="34">
        <v>50.1</v>
      </c>
      <c r="R66" s="35">
        <v>0.33107399999999998</v>
      </c>
      <c r="S66" s="108" t="s">
        <v>119</v>
      </c>
      <c r="T66" s="21" t="s">
        <v>123</v>
      </c>
      <c r="U66" s="36"/>
      <c r="V66" s="21" t="s">
        <v>123</v>
      </c>
      <c r="W66" s="123"/>
      <c r="X66" s="5"/>
      <c r="Y66" s="5"/>
      <c r="Z66" s="5"/>
      <c r="AA66" s="5"/>
      <c r="AB66" s="5"/>
      <c r="AC66" s="5"/>
    </row>
    <row r="67" spans="1:29" x14ac:dyDescent="0.25">
      <c r="A67" s="5"/>
      <c r="B67" s="26" t="s">
        <v>37</v>
      </c>
      <c r="C67" s="26" t="s">
        <v>35</v>
      </c>
      <c r="D67" s="26" t="s">
        <v>47</v>
      </c>
      <c r="E67" s="21" t="s">
        <v>123</v>
      </c>
      <c r="F67" s="99">
        <v>45033</v>
      </c>
      <c r="G67" s="37">
        <v>7.96</v>
      </c>
      <c r="H67" s="38">
        <v>9.8000000000000007</v>
      </c>
      <c r="I67" s="27">
        <v>11.340000000000002</v>
      </c>
      <c r="J67" s="38">
        <v>10.1</v>
      </c>
      <c r="K67" s="38">
        <v>89.1</v>
      </c>
      <c r="L67" s="38"/>
      <c r="M67" s="38"/>
      <c r="N67" s="62">
        <v>75</v>
      </c>
      <c r="O67" s="32"/>
      <c r="P67" s="109" t="s">
        <v>119</v>
      </c>
      <c r="Q67" s="109" t="s">
        <v>119</v>
      </c>
      <c r="R67" s="109" t="s">
        <v>119</v>
      </c>
      <c r="S67" s="109" t="s">
        <v>119</v>
      </c>
      <c r="T67" s="21" t="s">
        <v>123</v>
      </c>
      <c r="U67" s="44" t="s">
        <v>200</v>
      </c>
      <c r="V67" s="21" t="s">
        <v>123</v>
      </c>
      <c r="W67" s="123"/>
      <c r="X67" s="5"/>
      <c r="Y67" s="5"/>
      <c r="Z67" s="5"/>
      <c r="AA67" s="5"/>
      <c r="AB67" s="5"/>
      <c r="AC67" s="5"/>
    </row>
    <row r="68" spans="1:29" s="100" customFormat="1" x14ac:dyDescent="0.25">
      <c r="B68" s="114" t="s">
        <v>188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2"/>
      <c r="P68" s="101"/>
      <c r="Q68" s="101"/>
      <c r="R68" s="101"/>
      <c r="S68" s="102"/>
    </row>
    <row r="69" spans="1:29" x14ac:dyDescent="0.25">
      <c r="A69" s="5"/>
      <c r="B69" s="20" t="s">
        <v>0</v>
      </c>
      <c r="C69" s="20" t="s">
        <v>1</v>
      </c>
      <c r="D69" s="20" t="s">
        <v>44</v>
      </c>
      <c r="E69" s="21" t="s">
        <v>123</v>
      </c>
      <c r="F69" s="98">
        <v>45369</v>
      </c>
      <c r="G69" s="28">
        <v>9.06</v>
      </c>
      <c r="H69" s="29">
        <v>8.6999999999999993</v>
      </c>
      <c r="I69" s="24">
        <v>11.620000000000001</v>
      </c>
      <c r="J69" s="29">
        <v>12</v>
      </c>
      <c r="K69" s="29">
        <v>103.27022375215145</v>
      </c>
      <c r="L69" s="29"/>
      <c r="M69" s="29"/>
      <c r="N69" s="77">
        <v>391</v>
      </c>
      <c r="O69" s="32"/>
      <c r="P69" s="33">
        <v>8.7992022973835349E-2</v>
      </c>
      <c r="Q69" s="115">
        <v>26.3</v>
      </c>
      <c r="R69" s="35">
        <v>0.13788349999999999</v>
      </c>
      <c r="S69" s="36">
        <v>19</v>
      </c>
      <c r="T69" s="21" t="s">
        <v>123</v>
      </c>
      <c r="U69" s="36"/>
      <c r="V69" s="21" t="s">
        <v>123</v>
      </c>
      <c r="W69" s="5"/>
      <c r="X69" s="5"/>
      <c r="Y69" s="5"/>
      <c r="Z69" s="5"/>
      <c r="AA69" s="5"/>
      <c r="AB69" s="5"/>
      <c r="AC69" s="5"/>
    </row>
    <row r="70" spans="1:29" x14ac:dyDescent="0.25">
      <c r="A70" s="5"/>
      <c r="B70" s="26" t="s">
        <v>2</v>
      </c>
      <c r="C70" s="26" t="s">
        <v>1</v>
      </c>
      <c r="D70" s="26" t="s">
        <v>3</v>
      </c>
      <c r="E70" s="21" t="s">
        <v>123</v>
      </c>
      <c r="F70" s="99">
        <v>45369</v>
      </c>
      <c r="G70" s="37">
        <v>8.61</v>
      </c>
      <c r="H70" s="38">
        <v>8.6999999999999993</v>
      </c>
      <c r="I70" s="27">
        <v>11.620000000000001</v>
      </c>
      <c r="J70" s="38">
        <v>13</v>
      </c>
      <c r="K70" s="38">
        <v>111.87607573149741</v>
      </c>
      <c r="L70" s="38"/>
      <c r="M70" s="38"/>
      <c r="N70" s="78">
        <v>437</v>
      </c>
      <c r="O70" s="32"/>
      <c r="P70" s="41">
        <v>0.25299005681818187</v>
      </c>
      <c r="Q70" s="116">
        <v>19.2</v>
      </c>
      <c r="R70" s="43">
        <v>0.26715750000000005</v>
      </c>
      <c r="S70" s="44">
        <v>20</v>
      </c>
      <c r="T70" s="21" t="s">
        <v>123</v>
      </c>
      <c r="U70" s="44"/>
      <c r="V70" s="21" t="s">
        <v>123</v>
      </c>
      <c r="W70" s="5"/>
      <c r="X70" s="5"/>
      <c r="Y70" s="5"/>
      <c r="Z70" s="5"/>
      <c r="AA70" s="5"/>
      <c r="AB70" s="5"/>
      <c r="AC70" s="5"/>
    </row>
    <row r="71" spans="1:29" x14ac:dyDescent="0.25">
      <c r="A71" s="5"/>
      <c r="B71" s="20" t="s">
        <v>4</v>
      </c>
      <c r="C71" s="20" t="s">
        <v>1</v>
      </c>
      <c r="D71" s="20" t="s">
        <v>5</v>
      </c>
      <c r="E71" s="21" t="s">
        <v>123</v>
      </c>
      <c r="F71" s="98">
        <v>45369</v>
      </c>
      <c r="G71" s="28">
        <v>8.8000000000000007</v>
      </c>
      <c r="H71" s="29">
        <v>9.4</v>
      </c>
      <c r="I71" s="24">
        <v>11.420000000000002</v>
      </c>
      <c r="J71" s="29">
        <v>11.4</v>
      </c>
      <c r="K71" s="29">
        <v>99.8248686514886</v>
      </c>
      <c r="L71" s="29"/>
      <c r="M71" s="29"/>
      <c r="N71" s="77">
        <v>423</v>
      </c>
      <c r="O71" s="32"/>
      <c r="P71" s="33">
        <v>0.18239577656675748</v>
      </c>
      <c r="Q71" s="115">
        <v>20.9</v>
      </c>
      <c r="R71" s="35">
        <v>0.53551400000000005</v>
      </c>
      <c r="S71" s="36">
        <v>16</v>
      </c>
      <c r="T71" s="21" t="s">
        <v>123</v>
      </c>
      <c r="U71" s="36"/>
      <c r="V71" s="21" t="s">
        <v>123</v>
      </c>
      <c r="W71" s="5"/>
      <c r="X71" s="5"/>
      <c r="Y71" s="5"/>
      <c r="Z71" s="5"/>
      <c r="AA71" s="5"/>
      <c r="AB71" s="5"/>
      <c r="AC71" s="5"/>
    </row>
    <row r="72" spans="1:29" x14ac:dyDescent="0.25">
      <c r="A72" s="5"/>
      <c r="B72" s="26" t="s">
        <v>6</v>
      </c>
      <c r="C72" s="26" t="s">
        <v>1</v>
      </c>
      <c r="D72" s="26" t="s">
        <v>45</v>
      </c>
      <c r="E72" s="21" t="s">
        <v>123</v>
      </c>
      <c r="F72" s="99">
        <v>45369</v>
      </c>
      <c r="G72" s="37">
        <v>8.7899999999999991</v>
      </c>
      <c r="H72" s="38">
        <v>9.5</v>
      </c>
      <c r="I72" s="27">
        <v>11.4</v>
      </c>
      <c r="J72" s="38">
        <v>12.1</v>
      </c>
      <c r="K72" s="38">
        <v>106.14035087719297</v>
      </c>
      <c r="L72" s="38"/>
      <c r="M72" s="38"/>
      <c r="N72" s="78">
        <v>449</v>
      </c>
      <c r="O72" s="32"/>
      <c r="P72" s="41">
        <v>0.51525423429781236</v>
      </c>
      <c r="Q72" s="116">
        <v>24.2</v>
      </c>
      <c r="R72" s="43">
        <v>0.7301152500000001</v>
      </c>
      <c r="S72" s="44">
        <v>45</v>
      </c>
      <c r="T72" s="21" t="s">
        <v>123</v>
      </c>
      <c r="U72" s="44"/>
      <c r="V72" s="21" t="s">
        <v>123</v>
      </c>
      <c r="W72" s="5"/>
      <c r="X72" s="5"/>
      <c r="Y72" s="5"/>
      <c r="Z72" s="5"/>
      <c r="AA72" s="5"/>
      <c r="AB72" s="5"/>
      <c r="AC72" s="5"/>
    </row>
    <row r="73" spans="1:29" x14ac:dyDescent="0.25">
      <c r="A73" s="5"/>
      <c r="B73" s="20" t="s">
        <v>7</v>
      </c>
      <c r="C73" s="20" t="s">
        <v>8</v>
      </c>
      <c r="D73" s="20" t="s">
        <v>48</v>
      </c>
      <c r="E73" s="21" t="s">
        <v>123</v>
      </c>
      <c r="F73" s="98">
        <v>45371</v>
      </c>
      <c r="G73" s="28">
        <v>8.8800000000000008</v>
      </c>
      <c r="H73" s="29">
        <v>10.9</v>
      </c>
      <c r="I73" s="24">
        <v>11.020000000000001</v>
      </c>
      <c r="J73" s="29">
        <v>12.1</v>
      </c>
      <c r="K73" s="29">
        <v>109.80036297640652</v>
      </c>
      <c r="L73" s="29"/>
      <c r="M73" s="29"/>
      <c r="N73" s="79">
        <v>253</v>
      </c>
      <c r="O73" s="32"/>
      <c r="P73" s="33">
        <v>0.25739521640091101</v>
      </c>
      <c r="Q73" s="115">
        <v>14.4</v>
      </c>
      <c r="R73" s="35">
        <v>0.56498249999999983</v>
      </c>
      <c r="S73" s="36">
        <v>25</v>
      </c>
      <c r="T73" s="21" t="s">
        <v>123</v>
      </c>
      <c r="U73" s="36" t="s">
        <v>192</v>
      </c>
      <c r="V73" s="21" t="s">
        <v>123</v>
      </c>
      <c r="W73" s="5"/>
      <c r="X73" s="5"/>
      <c r="Y73" s="5"/>
      <c r="Z73" s="5"/>
      <c r="AA73" s="5"/>
      <c r="AB73" s="5"/>
      <c r="AC73" s="5"/>
    </row>
    <row r="74" spans="1:29" x14ac:dyDescent="0.25">
      <c r="A74" s="5"/>
      <c r="B74" s="26" t="s">
        <v>9</v>
      </c>
      <c r="C74" s="26" t="s">
        <v>8</v>
      </c>
      <c r="D74" s="26" t="s">
        <v>8</v>
      </c>
      <c r="E74" s="21" t="s">
        <v>123</v>
      </c>
      <c r="F74" s="99">
        <v>45369</v>
      </c>
      <c r="G74" s="37">
        <v>9.11</v>
      </c>
      <c r="H74" s="38">
        <v>9.8000000000000007</v>
      </c>
      <c r="I74" s="27">
        <v>11.340000000000002</v>
      </c>
      <c r="J74" s="38">
        <v>12.3</v>
      </c>
      <c r="K74" s="69">
        <v>108.46560846560845</v>
      </c>
      <c r="L74" s="69"/>
      <c r="M74" s="69"/>
      <c r="N74" s="80">
        <v>283</v>
      </c>
      <c r="O74" s="32"/>
      <c r="P74" s="41">
        <v>0.26171203438395418</v>
      </c>
      <c r="Q74" s="116">
        <v>25.3</v>
      </c>
      <c r="R74" s="43">
        <v>0.45668750000000008</v>
      </c>
      <c r="S74" s="44">
        <v>55</v>
      </c>
      <c r="T74" s="21" t="s">
        <v>123</v>
      </c>
      <c r="U74" s="44"/>
      <c r="V74" s="21" t="s">
        <v>123</v>
      </c>
      <c r="W74" s="5"/>
      <c r="X74" s="5"/>
      <c r="Y74" s="5"/>
      <c r="Z74" s="5"/>
      <c r="AA74" s="5"/>
      <c r="AB74" s="5"/>
      <c r="AC74" s="5"/>
    </row>
    <row r="75" spans="1:29" x14ac:dyDescent="0.25">
      <c r="A75" s="5"/>
      <c r="B75" s="20" t="s">
        <v>10</v>
      </c>
      <c r="C75" s="20" t="s">
        <v>11</v>
      </c>
      <c r="D75" s="20" t="s">
        <v>40</v>
      </c>
      <c r="E75" s="21" t="s">
        <v>123</v>
      </c>
      <c r="F75" s="98">
        <v>45371</v>
      </c>
      <c r="G75" s="28">
        <v>8.3699999999999992</v>
      </c>
      <c r="H75" s="29">
        <v>9.6</v>
      </c>
      <c r="I75" s="24">
        <v>11.38</v>
      </c>
      <c r="J75" s="29">
        <v>12.1</v>
      </c>
      <c r="K75" s="29">
        <v>106.32688927943761</v>
      </c>
      <c r="L75" s="29"/>
      <c r="M75" s="29"/>
      <c r="N75" s="77">
        <v>153</v>
      </c>
      <c r="O75" s="32"/>
      <c r="P75" s="33">
        <v>0.13119855442176873</v>
      </c>
      <c r="Q75" s="115">
        <v>35.700000000000003</v>
      </c>
      <c r="R75" s="35">
        <v>0.38572375000000003</v>
      </c>
      <c r="S75" s="36">
        <v>60</v>
      </c>
      <c r="T75" s="21" t="s">
        <v>123</v>
      </c>
      <c r="U75" s="36" t="s">
        <v>190</v>
      </c>
      <c r="V75" s="21" t="s">
        <v>123</v>
      </c>
      <c r="W75" s="5"/>
      <c r="X75" s="5"/>
      <c r="Y75" s="5"/>
      <c r="Z75" s="5"/>
      <c r="AA75" s="5"/>
      <c r="AB75" s="5"/>
      <c r="AC75" s="5"/>
    </row>
    <row r="76" spans="1:29" x14ac:dyDescent="0.25">
      <c r="A76" s="5"/>
      <c r="B76" s="26" t="s">
        <v>12</v>
      </c>
      <c r="C76" s="26" t="s">
        <v>11</v>
      </c>
      <c r="D76" s="26" t="s">
        <v>13</v>
      </c>
      <c r="E76" s="21" t="s">
        <v>123</v>
      </c>
      <c r="F76" s="99">
        <v>45371</v>
      </c>
      <c r="G76" s="37">
        <v>8.93</v>
      </c>
      <c r="H76" s="38">
        <v>10.3</v>
      </c>
      <c r="I76" s="27">
        <v>11.179999999999998</v>
      </c>
      <c r="J76" s="38">
        <v>12.3</v>
      </c>
      <c r="K76" s="38">
        <v>110.01788908765656</v>
      </c>
      <c r="L76" s="38"/>
      <c r="M76" s="38"/>
      <c r="N76" s="78">
        <v>161</v>
      </c>
      <c r="O76" s="32"/>
      <c r="P76" s="41">
        <v>0.29078354430379744</v>
      </c>
      <c r="Q76" s="116">
        <v>20</v>
      </c>
      <c r="R76" s="43">
        <v>0.45943800000000001</v>
      </c>
      <c r="S76" s="44">
        <v>27</v>
      </c>
      <c r="T76" s="21" t="s">
        <v>123</v>
      </c>
      <c r="U76" s="44" t="s">
        <v>191</v>
      </c>
      <c r="V76" s="21" t="s">
        <v>123</v>
      </c>
      <c r="W76" s="5"/>
      <c r="X76" s="5"/>
      <c r="Y76" s="5"/>
      <c r="Z76" s="5"/>
      <c r="AA76" s="5"/>
      <c r="AB76" s="5"/>
      <c r="AC76" s="5"/>
    </row>
    <row r="77" spans="1:29" x14ac:dyDescent="0.25">
      <c r="A77" s="5"/>
      <c r="B77" s="20" t="s">
        <v>14</v>
      </c>
      <c r="C77" s="20" t="s">
        <v>15</v>
      </c>
      <c r="D77" s="20" t="s">
        <v>16</v>
      </c>
      <c r="E77" s="21" t="s">
        <v>123</v>
      </c>
      <c r="F77" s="98">
        <v>45371</v>
      </c>
      <c r="G77" s="28">
        <v>8.1</v>
      </c>
      <c r="H77" s="29">
        <v>9.5</v>
      </c>
      <c r="I77" s="24">
        <v>11.4</v>
      </c>
      <c r="J77" s="29">
        <v>11.3</v>
      </c>
      <c r="K77" s="29">
        <v>99.122807017543863</v>
      </c>
      <c r="L77" s="29"/>
      <c r="M77" s="29"/>
      <c r="N77" s="77">
        <v>137</v>
      </c>
      <c r="O77" s="32"/>
      <c r="P77" s="33">
        <v>0.1681984334203655</v>
      </c>
      <c r="Q77" s="115">
        <v>11.3</v>
      </c>
      <c r="R77" s="35">
        <v>0.12883999999999998</v>
      </c>
      <c r="S77" s="36">
        <v>18</v>
      </c>
      <c r="T77" s="21" t="s">
        <v>123</v>
      </c>
      <c r="U77" s="36"/>
      <c r="V77" s="21" t="s">
        <v>123</v>
      </c>
      <c r="W77" s="5"/>
      <c r="X77" s="5"/>
      <c r="Y77" s="5"/>
      <c r="Z77" s="5"/>
      <c r="AA77" s="5"/>
      <c r="AB77" s="5"/>
      <c r="AC77" s="5"/>
    </row>
    <row r="78" spans="1:29" x14ac:dyDescent="0.25">
      <c r="A78" s="5"/>
      <c r="B78" s="26" t="s">
        <v>17</v>
      </c>
      <c r="C78" s="26" t="s">
        <v>15</v>
      </c>
      <c r="D78" s="26" t="s">
        <v>49</v>
      </c>
      <c r="E78" s="21" t="s">
        <v>123</v>
      </c>
      <c r="F78" s="99">
        <v>45371</v>
      </c>
      <c r="G78" s="37">
        <v>8.61</v>
      </c>
      <c r="H78" s="38">
        <v>10</v>
      </c>
      <c r="I78" s="27">
        <v>11.3</v>
      </c>
      <c r="J78" s="38">
        <v>12</v>
      </c>
      <c r="K78" s="38">
        <v>106.19469026548671</v>
      </c>
      <c r="L78" s="38"/>
      <c r="M78" s="38"/>
      <c r="N78" s="78">
        <v>165</v>
      </c>
      <c r="O78" s="32"/>
      <c r="P78" s="41">
        <v>0.33608217821782177</v>
      </c>
      <c r="Q78" s="116">
        <v>20.6</v>
      </c>
      <c r="R78" s="43">
        <v>0.33944299999999999</v>
      </c>
      <c r="S78" s="44">
        <v>20</v>
      </c>
      <c r="T78" s="21" t="s">
        <v>123</v>
      </c>
      <c r="U78" s="44" t="s">
        <v>193</v>
      </c>
      <c r="V78" s="21" t="s">
        <v>123</v>
      </c>
      <c r="W78" s="5"/>
      <c r="X78" s="5"/>
      <c r="Y78" s="5"/>
      <c r="Z78" s="5"/>
      <c r="AA78" s="5"/>
      <c r="AB78" s="5"/>
      <c r="AC78" s="5"/>
    </row>
    <row r="79" spans="1:29" x14ac:dyDescent="0.25">
      <c r="A79" s="5"/>
      <c r="B79" s="20" t="s">
        <v>18</v>
      </c>
      <c r="C79" s="20" t="s">
        <v>19</v>
      </c>
      <c r="D79" s="20" t="s">
        <v>20</v>
      </c>
      <c r="E79" s="21" t="s">
        <v>123</v>
      </c>
      <c r="F79" s="98">
        <v>45370</v>
      </c>
      <c r="G79" s="28">
        <v>7.42</v>
      </c>
      <c r="H79" s="29">
        <v>9.6</v>
      </c>
      <c r="I79" s="24">
        <v>11.38</v>
      </c>
      <c r="J79" s="29">
        <v>11.7</v>
      </c>
      <c r="K79" s="29">
        <v>102.81195079086115</v>
      </c>
      <c r="L79" s="29"/>
      <c r="M79" s="29"/>
      <c r="N79" s="77">
        <v>104</v>
      </c>
      <c r="O79" s="32"/>
      <c r="P79" s="33">
        <v>0.5794900426742533</v>
      </c>
      <c r="Q79" s="115">
        <v>11.3</v>
      </c>
      <c r="R79" s="35">
        <v>0.40738150000000006</v>
      </c>
      <c r="S79" s="36">
        <v>14</v>
      </c>
      <c r="T79" s="21" t="s">
        <v>123</v>
      </c>
      <c r="U79" s="36"/>
      <c r="V79" s="21" t="s">
        <v>123</v>
      </c>
      <c r="W79" s="5"/>
      <c r="X79" s="5"/>
      <c r="Y79" s="5"/>
      <c r="Z79" s="5"/>
      <c r="AA79" s="5"/>
      <c r="AB79" s="5"/>
      <c r="AC79" s="5"/>
    </row>
    <row r="80" spans="1:29" x14ac:dyDescent="0.25">
      <c r="A80" s="5"/>
      <c r="B80" s="26" t="s">
        <v>21</v>
      </c>
      <c r="C80" s="26" t="s">
        <v>19</v>
      </c>
      <c r="D80" s="26" t="s">
        <v>46</v>
      </c>
      <c r="E80" s="21" t="s">
        <v>123</v>
      </c>
      <c r="F80" s="99">
        <v>45370</v>
      </c>
      <c r="G80" s="37">
        <v>6.81</v>
      </c>
      <c r="H80" s="38">
        <v>9.6999999999999993</v>
      </c>
      <c r="I80" s="27">
        <v>11.360000000000001</v>
      </c>
      <c r="J80" s="38">
        <v>11.7</v>
      </c>
      <c r="K80" s="38">
        <v>102.99295774647887</v>
      </c>
      <c r="L80" s="38"/>
      <c r="M80" s="38"/>
      <c r="N80" s="78">
        <v>115</v>
      </c>
      <c r="O80" s="32"/>
      <c r="P80" s="41">
        <v>0.39755024213075058</v>
      </c>
      <c r="Q80" s="116">
        <v>14.7</v>
      </c>
      <c r="R80" s="43">
        <v>0.49256475</v>
      </c>
      <c r="S80" s="44">
        <v>18</v>
      </c>
      <c r="T80" s="21" t="s">
        <v>123</v>
      </c>
      <c r="U80" s="44"/>
      <c r="V80" s="21" t="s">
        <v>123</v>
      </c>
      <c r="W80" s="5"/>
      <c r="X80" s="5"/>
      <c r="Y80" s="5"/>
      <c r="Z80" s="5"/>
      <c r="AA80" s="5"/>
      <c r="AB80" s="5"/>
      <c r="AC80" s="5"/>
    </row>
    <row r="81" spans="1:29" x14ac:dyDescent="0.25">
      <c r="A81" s="5"/>
      <c r="B81" s="20" t="s">
        <v>22</v>
      </c>
      <c r="C81" s="20" t="s">
        <v>23</v>
      </c>
      <c r="D81" s="20" t="s">
        <v>24</v>
      </c>
      <c r="E81" s="21" t="s">
        <v>123</v>
      </c>
      <c r="F81" s="98">
        <v>45370</v>
      </c>
      <c r="G81" s="28">
        <v>7.76</v>
      </c>
      <c r="H81" s="29">
        <v>11.3</v>
      </c>
      <c r="I81" s="24">
        <v>10.940000000000001</v>
      </c>
      <c r="J81" s="29">
        <v>10.8</v>
      </c>
      <c r="K81" s="70">
        <v>98.720292504570367</v>
      </c>
      <c r="L81" s="70"/>
      <c r="M81" s="70"/>
      <c r="N81" s="77">
        <v>152</v>
      </c>
      <c r="O81" s="32"/>
      <c r="P81" s="33">
        <v>0.33179909766454357</v>
      </c>
      <c r="Q81" s="115">
        <v>17.600000000000001</v>
      </c>
      <c r="R81" s="35">
        <v>0.31255475000000005</v>
      </c>
      <c r="S81" s="36">
        <v>30</v>
      </c>
      <c r="T81" s="21" t="s">
        <v>123</v>
      </c>
      <c r="U81" s="36"/>
      <c r="V81" s="21" t="s">
        <v>123</v>
      </c>
      <c r="W81" s="5"/>
      <c r="X81" s="5"/>
      <c r="Y81" s="5"/>
      <c r="Z81" s="5"/>
      <c r="AA81" s="5"/>
      <c r="AB81" s="5"/>
      <c r="AC81" s="5"/>
    </row>
    <row r="82" spans="1:29" x14ac:dyDescent="0.25">
      <c r="A82" s="5"/>
      <c r="B82" s="26" t="s">
        <v>25</v>
      </c>
      <c r="C82" s="26" t="s">
        <v>23</v>
      </c>
      <c r="D82" s="26" t="s">
        <v>43</v>
      </c>
      <c r="E82" s="21" t="s">
        <v>123</v>
      </c>
      <c r="F82" s="99">
        <v>45370</v>
      </c>
      <c r="G82" s="37">
        <v>7.66</v>
      </c>
      <c r="H82" s="38">
        <v>10.9</v>
      </c>
      <c r="I82" s="27">
        <v>11.020000000000001</v>
      </c>
      <c r="J82" s="38">
        <v>10.5</v>
      </c>
      <c r="K82" s="38">
        <v>95.281306715063508</v>
      </c>
      <c r="L82" s="38"/>
      <c r="M82" s="38"/>
      <c r="N82" s="78">
        <v>150</v>
      </c>
      <c r="O82" s="32"/>
      <c r="P82" s="41">
        <v>0.51419925280199252</v>
      </c>
      <c r="Q82" s="116">
        <v>15.6</v>
      </c>
      <c r="R82" s="43">
        <v>0.41290199999999999</v>
      </c>
      <c r="S82" s="44">
        <v>20</v>
      </c>
      <c r="T82" s="21" t="s">
        <v>123</v>
      </c>
      <c r="U82" s="44"/>
      <c r="V82" s="21" t="s">
        <v>123</v>
      </c>
      <c r="W82" s="5"/>
      <c r="X82" s="5"/>
      <c r="Y82" s="5"/>
      <c r="Z82" s="5"/>
      <c r="AA82" s="5"/>
      <c r="AB82" s="5"/>
      <c r="AC82" s="5"/>
    </row>
    <row r="83" spans="1:29" x14ac:dyDescent="0.25">
      <c r="A83" s="5"/>
      <c r="B83" s="20" t="s">
        <v>26</v>
      </c>
      <c r="C83" s="20" t="s">
        <v>27</v>
      </c>
      <c r="D83" s="20" t="s">
        <v>42</v>
      </c>
      <c r="E83" s="21" t="s">
        <v>123</v>
      </c>
      <c r="F83" s="98">
        <v>45370</v>
      </c>
      <c r="G83" s="28">
        <v>7.12</v>
      </c>
      <c r="H83" s="29">
        <v>11.3</v>
      </c>
      <c r="I83" s="24">
        <v>10.940000000000001</v>
      </c>
      <c r="J83" s="29">
        <v>10.6</v>
      </c>
      <c r="K83" s="70">
        <v>96.892138939670915</v>
      </c>
      <c r="L83" s="70"/>
      <c r="M83" s="70"/>
      <c r="N83" s="79">
        <v>125</v>
      </c>
      <c r="O83" s="32"/>
      <c r="P83" s="33">
        <v>0.23614094650205761</v>
      </c>
      <c r="Q83" s="115">
        <v>10.4</v>
      </c>
      <c r="R83" s="35">
        <v>0.32392448079843295</v>
      </c>
      <c r="S83" s="36">
        <v>17</v>
      </c>
      <c r="T83" s="21" t="s">
        <v>123</v>
      </c>
      <c r="U83" s="36"/>
      <c r="V83" s="21" t="s">
        <v>123</v>
      </c>
      <c r="W83" s="5"/>
      <c r="X83" s="5"/>
      <c r="Y83" s="5"/>
      <c r="Z83" s="5"/>
      <c r="AA83" s="5"/>
      <c r="AB83" s="5"/>
      <c r="AC83" s="5"/>
    </row>
    <row r="84" spans="1:29" x14ac:dyDescent="0.25">
      <c r="A84" s="5"/>
      <c r="B84" s="26" t="s">
        <v>28</v>
      </c>
      <c r="C84" s="26" t="s">
        <v>27</v>
      </c>
      <c r="D84" s="26" t="s">
        <v>29</v>
      </c>
      <c r="E84" s="21" t="s">
        <v>123</v>
      </c>
      <c r="F84" s="99">
        <v>45370</v>
      </c>
      <c r="G84" s="37">
        <v>7.05</v>
      </c>
      <c r="H84" s="38">
        <v>11.7</v>
      </c>
      <c r="I84" s="27">
        <v>10.860000000000001</v>
      </c>
      <c r="J84" s="38">
        <v>11.3</v>
      </c>
      <c r="K84" s="38">
        <v>104.05156537753221</v>
      </c>
      <c r="L84" s="38"/>
      <c r="M84" s="38"/>
      <c r="N84" s="80">
        <v>146</v>
      </c>
      <c r="O84" s="32"/>
      <c r="P84" s="41">
        <v>0.14456153846153849</v>
      </c>
      <c r="Q84" s="116">
        <v>29.1</v>
      </c>
      <c r="R84" s="43">
        <v>0.28189500000000006</v>
      </c>
      <c r="S84" s="44">
        <v>22</v>
      </c>
      <c r="T84" s="21" t="s">
        <v>123</v>
      </c>
      <c r="U84" s="44"/>
      <c r="V84" s="21" t="s">
        <v>123</v>
      </c>
      <c r="W84" s="5"/>
      <c r="X84" s="5"/>
      <c r="Y84" s="5"/>
      <c r="Z84" s="5"/>
      <c r="AA84" s="5"/>
      <c r="AB84" s="5"/>
      <c r="AC84" s="5"/>
    </row>
    <row r="85" spans="1:29" x14ac:dyDescent="0.25">
      <c r="A85" s="5"/>
      <c r="B85" s="20" t="s">
        <v>30</v>
      </c>
      <c r="C85" s="20" t="s">
        <v>31</v>
      </c>
      <c r="D85" s="20" t="s">
        <v>41</v>
      </c>
      <c r="E85" s="21" t="s">
        <v>123</v>
      </c>
      <c r="F85" s="98">
        <v>45372</v>
      </c>
      <c r="G85" s="28">
        <v>8.3800000000000008</v>
      </c>
      <c r="H85" s="29">
        <v>11</v>
      </c>
      <c r="I85" s="24">
        <v>11</v>
      </c>
      <c r="J85" s="29">
        <v>10.3</v>
      </c>
      <c r="K85" s="29">
        <v>93.63636363636364</v>
      </c>
      <c r="L85" s="29"/>
      <c r="M85" s="29"/>
      <c r="N85" s="77">
        <v>721</v>
      </c>
      <c r="O85" s="32"/>
      <c r="P85" s="33">
        <v>0.37117260579064593</v>
      </c>
      <c r="Q85" s="115">
        <v>13.3</v>
      </c>
      <c r="R85" s="35">
        <v>0.16665650000000001</v>
      </c>
      <c r="S85" s="36">
        <v>22</v>
      </c>
      <c r="T85" s="21" t="s">
        <v>123</v>
      </c>
      <c r="U85" s="36"/>
      <c r="V85" s="21" t="s">
        <v>123</v>
      </c>
      <c r="W85" s="5"/>
      <c r="X85" s="5"/>
      <c r="Y85" s="5"/>
      <c r="Z85" s="5"/>
      <c r="AA85" s="5"/>
      <c r="AB85" s="5"/>
      <c r="AC85" s="5"/>
    </row>
    <row r="86" spans="1:29" x14ac:dyDescent="0.25">
      <c r="A86" s="5"/>
      <c r="B86" s="26" t="s">
        <v>32</v>
      </c>
      <c r="C86" s="26" t="s">
        <v>31</v>
      </c>
      <c r="D86" s="26" t="s">
        <v>33</v>
      </c>
      <c r="E86" s="21" t="s">
        <v>123</v>
      </c>
      <c r="F86" s="99">
        <v>45372</v>
      </c>
      <c r="G86" s="37">
        <v>8.69</v>
      </c>
      <c r="H86" s="38">
        <v>10.3</v>
      </c>
      <c r="I86" s="27">
        <v>11.179999999999998</v>
      </c>
      <c r="J86" s="38">
        <v>10.6</v>
      </c>
      <c r="K86" s="38">
        <v>94.81216457960646</v>
      </c>
      <c r="L86" s="38"/>
      <c r="M86" s="38"/>
      <c r="N86" s="78">
        <v>734</v>
      </c>
      <c r="O86" s="32"/>
      <c r="P86" s="41">
        <v>0.38373527721918987</v>
      </c>
      <c r="Q86" s="116">
        <v>20</v>
      </c>
      <c r="R86" s="43">
        <v>0.22640381355932201</v>
      </c>
      <c r="S86" s="44">
        <v>50</v>
      </c>
      <c r="T86" s="21" t="s">
        <v>123</v>
      </c>
      <c r="U86" s="44"/>
      <c r="V86" s="21" t="s">
        <v>123</v>
      </c>
      <c r="W86" s="5"/>
      <c r="X86" s="5"/>
      <c r="Y86" s="5"/>
      <c r="Z86" s="5"/>
      <c r="AA86" s="5"/>
      <c r="AB86" s="5"/>
      <c r="AC86" s="5"/>
    </row>
    <row r="87" spans="1:29" x14ac:dyDescent="0.25">
      <c r="A87" s="5"/>
      <c r="B87" s="20" t="s">
        <v>34</v>
      </c>
      <c r="C87" s="20" t="s">
        <v>35</v>
      </c>
      <c r="D87" s="20" t="s">
        <v>36</v>
      </c>
      <c r="E87" s="21" t="s">
        <v>123</v>
      </c>
      <c r="F87" s="98">
        <v>45372</v>
      </c>
      <c r="G87" s="28">
        <v>8.6199999999999992</v>
      </c>
      <c r="H87" s="29">
        <v>11.4</v>
      </c>
      <c r="I87" s="24">
        <v>10.920000000000002</v>
      </c>
      <c r="J87" s="29">
        <v>11.6</v>
      </c>
      <c r="K87" s="29">
        <v>106.2271062271062</v>
      </c>
      <c r="L87" s="29"/>
      <c r="M87" s="29"/>
      <c r="N87" s="77">
        <v>796</v>
      </c>
      <c r="O87" s="32"/>
      <c r="P87" s="33">
        <v>0.27886278586278579</v>
      </c>
      <c r="Q87" s="115">
        <v>22</v>
      </c>
      <c r="R87" s="35">
        <v>0.33533249999999998</v>
      </c>
      <c r="S87" s="108" t="s">
        <v>119</v>
      </c>
      <c r="T87" s="21" t="s">
        <v>123</v>
      </c>
      <c r="U87" s="36" t="s">
        <v>201</v>
      </c>
      <c r="V87" s="21" t="s">
        <v>123</v>
      </c>
      <c r="W87" s="5"/>
      <c r="X87" s="5"/>
      <c r="Y87" s="5"/>
      <c r="Z87" s="5"/>
      <c r="AA87" s="5"/>
      <c r="AB87" s="5"/>
      <c r="AC87" s="5"/>
    </row>
    <row r="88" spans="1:29" x14ac:dyDescent="0.25">
      <c r="A88" s="5"/>
      <c r="B88" s="26" t="s">
        <v>37</v>
      </c>
      <c r="C88" s="26" t="s">
        <v>35</v>
      </c>
      <c r="D88" s="26" t="s">
        <v>47</v>
      </c>
      <c r="E88" s="21" t="s">
        <v>123</v>
      </c>
      <c r="F88" s="99">
        <v>45372</v>
      </c>
      <c r="G88" s="37">
        <v>8.5500000000000007</v>
      </c>
      <c r="H88" s="38">
        <v>11.4</v>
      </c>
      <c r="I88" s="27">
        <v>10.920000000000002</v>
      </c>
      <c r="J88" s="38">
        <v>10.6</v>
      </c>
      <c r="K88" s="38">
        <v>97.069597069597052</v>
      </c>
      <c r="L88" s="38"/>
      <c r="M88" s="38"/>
      <c r="N88" s="78">
        <v>783</v>
      </c>
      <c r="O88" s="32"/>
      <c r="P88" s="111" t="s">
        <v>119</v>
      </c>
      <c r="Q88" s="112" t="s">
        <v>119</v>
      </c>
      <c r="R88" s="113" t="s">
        <v>119</v>
      </c>
      <c r="S88" s="109" t="s">
        <v>119</v>
      </c>
      <c r="T88" s="21" t="s">
        <v>123</v>
      </c>
      <c r="U88" s="44" t="s">
        <v>194</v>
      </c>
      <c r="V88" s="21" t="s">
        <v>123</v>
      </c>
      <c r="W88" s="5"/>
      <c r="X88" s="5"/>
      <c r="Y88" s="5"/>
      <c r="Z88" s="5"/>
      <c r="AA88" s="5"/>
      <c r="AB88" s="5"/>
      <c r="AC88" s="5"/>
    </row>
    <row r="89" spans="1:29" s="100" customFormat="1" x14ac:dyDescent="0.25">
      <c r="B89" s="114" t="s">
        <v>202</v>
      </c>
      <c r="C89" s="101"/>
      <c r="D89" s="101"/>
      <c r="E89" s="101"/>
      <c r="F89" s="101"/>
      <c r="G89" s="101"/>
      <c r="H89" s="101"/>
      <c r="I89" s="101"/>
      <c r="J89" s="101"/>
      <c r="K89" s="101" t="s">
        <v>431</v>
      </c>
      <c r="L89" s="101" t="s">
        <v>430</v>
      </c>
      <c r="M89" s="101"/>
      <c r="N89" s="101"/>
      <c r="O89" s="102"/>
      <c r="P89" s="101"/>
      <c r="Q89" s="101"/>
      <c r="R89" s="101"/>
      <c r="S89" s="102"/>
    </row>
    <row r="90" spans="1:29" x14ac:dyDescent="0.25">
      <c r="A90" s="5"/>
      <c r="B90" s="20" t="s">
        <v>0</v>
      </c>
      <c r="C90" s="20" t="s">
        <v>1</v>
      </c>
      <c r="D90" s="20" t="s">
        <v>44</v>
      </c>
      <c r="E90" s="21" t="s">
        <v>123</v>
      </c>
      <c r="F90" s="98">
        <v>45741</v>
      </c>
      <c r="G90" s="28">
        <v>8.86</v>
      </c>
      <c r="H90" s="29">
        <v>11.4</v>
      </c>
      <c r="I90" s="24">
        <v>10.92</v>
      </c>
      <c r="J90" s="29">
        <v>12.87</v>
      </c>
      <c r="K90" s="29">
        <f>J90*100/I90</f>
        <v>117.85714285714286</v>
      </c>
      <c r="L90" s="29">
        <v>120.2</v>
      </c>
      <c r="M90" s="29">
        <v>85.6</v>
      </c>
      <c r="N90" s="77">
        <v>359</v>
      </c>
      <c r="O90" s="32"/>
      <c r="P90" s="33"/>
      <c r="Q90" s="115"/>
      <c r="R90" s="35"/>
      <c r="S90" s="36">
        <v>15</v>
      </c>
      <c r="T90" s="21"/>
      <c r="U90" s="36"/>
      <c r="V90" s="21" t="s">
        <v>123</v>
      </c>
      <c r="W90" s="5"/>
      <c r="X90" s="5"/>
      <c r="Y90" s="5"/>
      <c r="Z90" s="5"/>
      <c r="AA90" s="5"/>
      <c r="AB90" s="5"/>
      <c r="AC90" s="5"/>
    </row>
    <row r="91" spans="1:29" x14ac:dyDescent="0.25">
      <c r="A91" s="5"/>
      <c r="B91" s="26" t="s">
        <v>2</v>
      </c>
      <c r="C91" s="26" t="s">
        <v>1</v>
      </c>
      <c r="D91" s="26" t="s">
        <v>3</v>
      </c>
      <c r="E91" s="21" t="s">
        <v>123</v>
      </c>
      <c r="F91" s="99">
        <v>45741</v>
      </c>
      <c r="G91" s="37">
        <v>8.5299999999999994</v>
      </c>
      <c r="H91" s="38">
        <v>10.7</v>
      </c>
      <c r="I91" s="27">
        <v>11.06</v>
      </c>
      <c r="J91" s="38">
        <v>13.44</v>
      </c>
      <c r="K91" s="38">
        <f t="shared" ref="K91:K110" si="0">J91/I91*100</f>
        <v>121.51898734177213</v>
      </c>
      <c r="L91" s="38">
        <v>123.1</v>
      </c>
      <c r="M91" s="38">
        <v>77</v>
      </c>
      <c r="N91" s="78">
        <v>436</v>
      </c>
      <c r="O91" s="32"/>
      <c r="P91" s="41"/>
      <c r="Q91" s="116"/>
      <c r="R91" s="43"/>
      <c r="S91" s="44">
        <v>15</v>
      </c>
      <c r="T91" s="21"/>
      <c r="U91" s="44"/>
      <c r="V91" s="21" t="s">
        <v>123</v>
      </c>
      <c r="W91" s="5"/>
      <c r="X91" s="5"/>
      <c r="Y91" s="5"/>
      <c r="Z91" s="5"/>
      <c r="AA91" s="5"/>
      <c r="AB91" s="5"/>
      <c r="AC91" s="5"/>
    </row>
    <row r="92" spans="1:29" x14ac:dyDescent="0.25">
      <c r="A92" s="5"/>
      <c r="B92" s="20" t="s">
        <v>4</v>
      </c>
      <c r="C92" s="20" t="s">
        <v>1</v>
      </c>
      <c r="D92" s="20" t="s">
        <v>5</v>
      </c>
      <c r="E92" s="21" t="s">
        <v>123</v>
      </c>
      <c r="F92" s="98">
        <v>45741</v>
      </c>
      <c r="G92" s="28">
        <v>8.6300000000000008</v>
      </c>
      <c r="H92" s="29">
        <v>9.6999999999999993</v>
      </c>
      <c r="I92" s="24">
        <v>11.36</v>
      </c>
      <c r="J92" s="29">
        <v>13.09</v>
      </c>
      <c r="K92" s="29">
        <f t="shared" si="0"/>
        <v>115.22887323943662</v>
      </c>
      <c r="L92" s="29">
        <v>116.6</v>
      </c>
      <c r="M92" s="29">
        <v>70.900000000000006</v>
      </c>
      <c r="N92" s="77">
        <v>435</v>
      </c>
      <c r="O92" s="32"/>
      <c r="P92" s="33"/>
      <c r="Q92" s="115"/>
      <c r="R92" s="35"/>
      <c r="S92" s="36">
        <v>9</v>
      </c>
      <c r="T92" s="21"/>
      <c r="U92" s="36" t="s">
        <v>428</v>
      </c>
      <c r="V92" s="21" t="s">
        <v>123</v>
      </c>
      <c r="W92" s="5"/>
      <c r="X92" s="5"/>
      <c r="Y92" s="5"/>
      <c r="Z92" s="5"/>
      <c r="AA92" s="5"/>
      <c r="AB92" s="5"/>
      <c r="AC92" s="5"/>
    </row>
    <row r="93" spans="1:29" x14ac:dyDescent="0.25">
      <c r="A93" s="5"/>
      <c r="B93" s="26" t="s">
        <v>6</v>
      </c>
      <c r="C93" s="26" t="s">
        <v>1</v>
      </c>
      <c r="D93" s="26" t="s">
        <v>45</v>
      </c>
      <c r="E93" s="21" t="s">
        <v>123</v>
      </c>
      <c r="F93" s="99">
        <v>45741</v>
      </c>
      <c r="G93" s="37">
        <v>7.91</v>
      </c>
      <c r="H93" s="38">
        <v>9.5</v>
      </c>
      <c r="I93" s="27">
        <v>11.4</v>
      </c>
      <c r="J93" s="38">
        <v>10.97</v>
      </c>
      <c r="K93" s="38">
        <f t="shared" si="0"/>
        <v>96.228070175438603</v>
      </c>
      <c r="L93" s="38">
        <v>97.1</v>
      </c>
      <c r="M93" s="38">
        <v>77.5</v>
      </c>
      <c r="N93" s="78">
        <v>438</v>
      </c>
      <c r="O93" s="32"/>
      <c r="P93" s="41"/>
      <c r="Q93" s="116"/>
      <c r="R93" s="43"/>
      <c r="S93" s="44">
        <v>36</v>
      </c>
      <c r="T93" s="21"/>
      <c r="U93" s="44"/>
      <c r="V93" s="21" t="s">
        <v>123</v>
      </c>
      <c r="W93" s="5"/>
      <c r="X93" s="5"/>
      <c r="Y93" s="5"/>
      <c r="Z93" s="5"/>
      <c r="AA93" s="5"/>
      <c r="AB93" s="5"/>
      <c r="AC93" s="5"/>
    </row>
    <row r="94" spans="1:29" x14ac:dyDescent="0.25">
      <c r="A94" s="5"/>
      <c r="B94" s="20" t="s">
        <v>7</v>
      </c>
      <c r="C94" s="20" t="s">
        <v>8</v>
      </c>
      <c r="D94" s="20" t="s">
        <v>48</v>
      </c>
      <c r="E94" s="21" t="s">
        <v>123</v>
      </c>
      <c r="F94" s="98">
        <v>45743</v>
      </c>
      <c r="G94" s="28">
        <v>8.19</v>
      </c>
      <c r="H94" s="29">
        <v>9.6999999999999993</v>
      </c>
      <c r="I94" s="24">
        <v>11.36</v>
      </c>
      <c r="J94" s="29">
        <v>12.24</v>
      </c>
      <c r="K94" s="29">
        <f t="shared" si="0"/>
        <v>107.74647887323945</v>
      </c>
      <c r="L94" s="29">
        <v>108.5</v>
      </c>
      <c r="M94" s="29">
        <v>86.6</v>
      </c>
      <c r="N94" s="79">
        <v>313</v>
      </c>
      <c r="O94" s="32"/>
      <c r="P94" s="33"/>
      <c r="Q94" s="115"/>
      <c r="R94" s="35"/>
      <c r="S94" s="108" t="s">
        <v>119</v>
      </c>
      <c r="T94" s="21"/>
      <c r="U94" s="36" t="s">
        <v>429</v>
      </c>
      <c r="V94" s="21" t="s">
        <v>123</v>
      </c>
      <c r="W94" s="5"/>
      <c r="X94" s="5"/>
      <c r="Y94" s="5"/>
      <c r="Z94" s="5"/>
      <c r="AA94" s="5"/>
      <c r="AB94" s="5"/>
      <c r="AC94" s="5"/>
    </row>
    <row r="95" spans="1:29" x14ac:dyDescent="0.25">
      <c r="A95" s="5"/>
      <c r="B95" s="26" t="s">
        <v>9</v>
      </c>
      <c r="C95" s="26" t="s">
        <v>8</v>
      </c>
      <c r="D95" s="26" t="s">
        <v>8</v>
      </c>
      <c r="E95" s="21" t="s">
        <v>123</v>
      </c>
      <c r="F95" s="99">
        <v>45741</v>
      </c>
      <c r="G95" s="37">
        <v>8.82</v>
      </c>
      <c r="H95" s="38">
        <v>11.5</v>
      </c>
      <c r="I95" s="27">
        <v>10.9</v>
      </c>
      <c r="J95" s="38">
        <v>12.19</v>
      </c>
      <c r="K95" s="69">
        <f t="shared" si="0"/>
        <v>111.8348623853211</v>
      </c>
      <c r="L95" s="69">
        <v>112.4</v>
      </c>
      <c r="M95" s="69">
        <v>27.9</v>
      </c>
      <c r="N95" s="80">
        <v>320</v>
      </c>
      <c r="O95" s="32"/>
      <c r="P95" s="41"/>
      <c r="Q95" s="116"/>
      <c r="R95" s="43"/>
      <c r="S95" s="109" t="s">
        <v>119</v>
      </c>
      <c r="T95" s="21"/>
      <c r="U95" s="44" t="s">
        <v>429</v>
      </c>
      <c r="V95" s="21" t="s">
        <v>123</v>
      </c>
      <c r="W95" s="5"/>
      <c r="X95" s="5"/>
      <c r="Y95" s="5"/>
      <c r="Z95" s="5"/>
      <c r="AA95" s="5"/>
      <c r="AB95" s="5"/>
      <c r="AC95" s="5"/>
    </row>
    <row r="96" spans="1:29" x14ac:dyDescent="0.25">
      <c r="A96" s="5"/>
      <c r="B96" s="20" t="s">
        <v>10</v>
      </c>
      <c r="C96" s="20" t="s">
        <v>11</v>
      </c>
      <c r="D96" s="20" t="s">
        <v>40</v>
      </c>
      <c r="E96" s="21" t="s">
        <v>123</v>
      </c>
      <c r="F96" s="98">
        <v>45743</v>
      </c>
      <c r="G96" s="28">
        <v>8.8800000000000008</v>
      </c>
      <c r="H96" s="29">
        <v>8.1</v>
      </c>
      <c r="I96" s="24">
        <v>11.78</v>
      </c>
      <c r="J96" s="29">
        <v>14.04</v>
      </c>
      <c r="K96" s="29">
        <f t="shared" si="0"/>
        <v>119.18505942275041</v>
      </c>
      <c r="L96" s="29">
        <v>120.2</v>
      </c>
      <c r="M96" s="29">
        <v>80.3</v>
      </c>
      <c r="N96" s="77">
        <v>171</v>
      </c>
      <c r="O96" s="32"/>
      <c r="P96" s="33"/>
      <c r="Q96" s="115"/>
      <c r="R96" s="35"/>
      <c r="S96" s="36">
        <v>48</v>
      </c>
      <c r="T96" s="21"/>
      <c r="U96" s="36"/>
      <c r="V96" s="21" t="s">
        <v>123</v>
      </c>
      <c r="W96" s="5"/>
      <c r="X96" s="5"/>
      <c r="Y96" s="5"/>
      <c r="Z96" s="5"/>
      <c r="AA96" s="5"/>
      <c r="AB96" s="5"/>
      <c r="AC96" s="5"/>
    </row>
    <row r="97" spans="1:29" x14ac:dyDescent="0.25">
      <c r="A97" s="5"/>
      <c r="B97" s="26" t="s">
        <v>12</v>
      </c>
      <c r="C97" s="26" t="s">
        <v>11</v>
      </c>
      <c r="D97" s="26" t="s">
        <v>13</v>
      </c>
      <c r="E97" s="21" t="s">
        <v>123</v>
      </c>
      <c r="F97" s="99">
        <v>45743</v>
      </c>
      <c r="G97" s="37">
        <v>8.25</v>
      </c>
      <c r="H97" s="38">
        <v>6.1</v>
      </c>
      <c r="I97" s="27">
        <v>12.38</v>
      </c>
      <c r="J97" s="38">
        <v>14.13</v>
      </c>
      <c r="K97" s="38">
        <f t="shared" si="0"/>
        <v>114.13570274636511</v>
      </c>
      <c r="L97" s="38">
        <v>114.2</v>
      </c>
      <c r="M97" s="38">
        <v>72.599999999999994</v>
      </c>
      <c r="N97" s="78">
        <v>209</v>
      </c>
      <c r="O97" s="32"/>
      <c r="P97" s="41"/>
      <c r="Q97" s="116"/>
      <c r="R97" s="43"/>
      <c r="S97" s="44">
        <v>23</v>
      </c>
      <c r="T97" s="21"/>
      <c r="U97" s="44" t="s">
        <v>432</v>
      </c>
      <c r="V97" s="21" t="s">
        <v>123</v>
      </c>
      <c r="W97" s="5"/>
      <c r="X97" s="5"/>
      <c r="Y97" s="5"/>
      <c r="Z97" s="5"/>
      <c r="AA97" s="5"/>
      <c r="AB97" s="5"/>
      <c r="AC97" s="5"/>
    </row>
    <row r="98" spans="1:29" x14ac:dyDescent="0.25">
      <c r="A98" s="5"/>
      <c r="B98" s="20" t="s">
        <v>14</v>
      </c>
      <c r="C98" s="20" t="s">
        <v>15</v>
      </c>
      <c r="D98" s="20" t="s">
        <v>16</v>
      </c>
      <c r="E98" s="21" t="s">
        <v>123</v>
      </c>
      <c r="F98" s="98">
        <v>45744</v>
      </c>
      <c r="G98" s="28">
        <v>8.23</v>
      </c>
      <c r="H98" s="29">
        <v>10.4</v>
      </c>
      <c r="I98" s="24">
        <v>11.14</v>
      </c>
      <c r="J98" s="29">
        <v>12.48</v>
      </c>
      <c r="K98" s="29">
        <f t="shared" si="0"/>
        <v>112.02872531418313</v>
      </c>
      <c r="L98" s="29">
        <v>116.7</v>
      </c>
      <c r="M98" s="29">
        <v>81.900000000000006</v>
      </c>
      <c r="N98" s="77">
        <v>158</v>
      </c>
      <c r="O98" s="32"/>
      <c r="P98" s="33"/>
      <c r="Q98" s="115"/>
      <c r="R98" s="35"/>
      <c r="S98" s="36">
        <v>10</v>
      </c>
      <c r="T98" s="21"/>
      <c r="U98" s="36"/>
      <c r="V98" s="21" t="s">
        <v>123</v>
      </c>
      <c r="W98" s="5"/>
      <c r="X98" s="5"/>
      <c r="Y98" s="5"/>
      <c r="Z98" s="5"/>
      <c r="AA98" s="5"/>
      <c r="AB98" s="5"/>
      <c r="AC98" s="5"/>
    </row>
    <row r="99" spans="1:29" ht="15.75" customHeight="1" x14ac:dyDescent="0.25">
      <c r="A99" s="5"/>
      <c r="B99" s="26" t="s">
        <v>17</v>
      </c>
      <c r="C99" s="26" t="s">
        <v>15</v>
      </c>
      <c r="D99" s="26" t="s">
        <v>49</v>
      </c>
      <c r="E99" s="21" t="s">
        <v>123</v>
      </c>
      <c r="F99" s="99">
        <v>45744</v>
      </c>
      <c r="G99" s="37">
        <v>8.35</v>
      </c>
      <c r="H99" s="38">
        <v>7.3</v>
      </c>
      <c r="I99" s="27">
        <v>12.04</v>
      </c>
      <c r="J99" s="38">
        <v>11.98</v>
      </c>
      <c r="K99" s="38">
        <f t="shared" si="0"/>
        <v>99.50166112956812</v>
      </c>
      <c r="L99" s="38">
        <v>102.8</v>
      </c>
      <c r="M99" s="38">
        <v>66.599999999999994</v>
      </c>
      <c r="N99" s="78">
        <v>197</v>
      </c>
      <c r="O99" s="32"/>
      <c r="P99" s="41"/>
      <c r="Q99" s="258" t="s">
        <v>425</v>
      </c>
      <c r="R99" s="258"/>
      <c r="S99" s="44">
        <v>12</v>
      </c>
      <c r="T99" s="21"/>
      <c r="U99" s="44"/>
      <c r="V99" s="21" t="s">
        <v>123</v>
      </c>
      <c r="W99" s="5"/>
      <c r="X99" s="5"/>
      <c r="Y99" s="5"/>
      <c r="Z99" s="5"/>
      <c r="AA99" s="5"/>
      <c r="AB99" s="5"/>
      <c r="AC99" s="5"/>
    </row>
    <row r="100" spans="1:29" ht="15.75" customHeight="1" x14ac:dyDescent="0.25">
      <c r="A100" s="5"/>
      <c r="B100" s="20" t="s">
        <v>18</v>
      </c>
      <c r="C100" s="20" t="s">
        <v>19</v>
      </c>
      <c r="D100" s="20" t="s">
        <v>20</v>
      </c>
      <c r="E100" s="21" t="s">
        <v>123</v>
      </c>
      <c r="F100" s="98">
        <v>45742</v>
      </c>
      <c r="G100" s="28">
        <v>7.13</v>
      </c>
      <c r="H100" s="29">
        <v>8.9</v>
      </c>
      <c r="I100" s="24">
        <v>11.54</v>
      </c>
      <c r="J100" s="29">
        <v>11.72</v>
      </c>
      <c r="K100" s="29">
        <f t="shared" si="0"/>
        <v>101.55979202772964</v>
      </c>
      <c r="L100" s="29">
        <v>101.7</v>
      </c>
      <c r="M100" s="29">
        <v>70.900000000000006</v>
      </c>
      <c r="N100" s="77">
        <v>98</v>
      </c>
      <c r="O100" s="32"/>
      <c r="P100" s="33"/>
      <c r="Q100" s="259"/>
      <c r="R100" s="259"/>
      <c r="S100" s="36">
        <v>21</v>
      </c>
      <c r="T100" s="21"/>
      <c r="U100" s="36"/>
      <c r="V100" s="21" t="s">
        <v>123</v>
      </c>
      <c r="W100" s="5"/>
      <c r="X100" s="5"/>
      <c r="Y100" s="5"/>
      <c r="Z100" s="5"/>
      <c r="AA100" s="5"/>
      <c r="AB100" s="5"/>
      <c r="AC100" s="5"/>
    </row>
    <row r="101" spans="1:29" ht="15.75" customHeight="1" x14ac:dyDescent="0.25">
      <c r="A101" s="5"/>
      <c r="B101" s="26" t="s">
        <v>21</v>
      </c>
      <c r="C101" s="26" t="s">
        <v>19</v>
      </c>
      <c r="D101" s="26" t="s">
        <v>46</v>
      </c>
      <c r="E101" s="21" t="s">
        <v>123</v>
      </c>
      <c r="F101" s="99">
        <v>45742</v>
      </c>
      <c r="G101" s="37">
        <v>7.03</v>
      </c>
      <c r="H101" s="38">
        <v>8.9</v>
      </c>
      <c r="I101" s="27">
        <v>11.54</v>
      </c>
      <c r="J101" s="38">
        <v>11.61</v>
      </c>
      <c r="K101" s="38">
        <f t="shared" si="0"/>
        <v>100.60658578856152</v>
      </c>
      <c r="L101" s="38">
        <v>100.3</v>
      </c>
      <c r="M101" s="38">
        <v>74.099999999999994</v>
      </c>
      <c r="N101" s="78">
        <v>123</v>
      </c>
      <c r="O101" s="32"/>
      <c r="P101" s="41"/>
      <c r="Q101" s="260"/>
      <c r="R101" s="260"/>
      <c r="S101" s="44">
        <v>25</v>
      </c>
      <c r="T101" s="21"/>
      <c r="U101" s="44"/>
      <c r="V101" s="21" t="s">
        <v>123</v>
      </c>
      <c r="W101" s="5"/>
      <c r="X101" s="5"/>
      <c r="Y101" s="5"/>
      <c r="Z101" s="5"/>
      <c r="AA101" s="5"/>
      <c r="AB101" s="5"/>
      <c r="AC101" s="5"/>
    </row>
    <row r="102" spans="1:29" x14ac:dyDescent="0.25">
      <c r="A102" s="5"/>
      <c r="B102" s="20" t="s">
        <v>22</v>
      </c>
      <c r="C102" s="20" t="s">
        <v>23</v>
      </c>
      <c r="D102" s="20" t="s">
        <v>24</v>
      </c>
      <c r="E102" s="21" t="s">
        <v>123</v>
      </c>
      <c r="F102" s="98">
        <v>45742</v>
      </c>
      <c r="G102" s="28">
        <v>7.6</v>
      </c>
      <c r="H102" s="29">
        <v>9</v>
      </c>
      <c r="I102" s="24">
        <v>11.5</v>
      </c>
      <c r="J102" s="29">
        <v>11.86</v>
      </c>
      <c r="K102" s="70">
        <f t="shared" si="0"/>
        <v>103.13043478260869</v>
      </c>
      <c r="L102" s="70">
        <v>103.3</v>
      </c>
      <c r="M102" s="70">
        <v>76.099999999999994</v>
      </c>
      <c r="N102" s="77">
        <v>138</v>
      </c>
      <c r="O102" s="32"/>
      <c r="P102" s="33"/>
      <c r="Q102" s="115"/>
      <c r="R102" s="35"/>
      <c r="S102" s="36">
        <v>9</v>
      </c>
      <c r="T102" s="21"/>
      <c r="U102" s="36"/>
      <c r="V102" s="21" t="s">
        <v>123</v>
      </c>
      <c r="W102" s="5"/>
      <c r="X102" s="5"/>
      <c r="Y102" s="5"/>
      <c r="Z102" s="5"/>
      <c r="AA102" s="5"/>
      <c r="AB102" s="5"/>
      <c r="AC102" s="5"/>
    </row>
    <row r="103" spans="1:29" x14ac:dyDescent="0.25">
      <c r="A103" s="5"/>
      <c r="B103" s="26" t="s">
        <v>25</v>
      </c>
      <c r="C103" s="26" t="s">
        <v>23</v>
      </c>
      <c r="D103" s="26" t="s">
        <v>43</v>
      </c>
      <c r="E103" s="21" t="s">
        <v>123</v>
      </c>
      <c r="F103" s="99">
        <v>45742</v>
      </c>
      <c r="G103" s="37">
        <v>7.62</v>
      </c>
      <c r="H103" s="38">
        <v>8.8000000000000007</v>
      </c>
      <c r="I103" s="27">
        <v>11.58</v>
      </c>
      <c r="J103" s="38">
        <v>11.79</v>
      </c>
      <c r="K103" s="38">
        <f t="shared" si="0"/>
        <v>101.81347150259066</v>
      </c>
      <c r="L103" s="38">
        <v>101.7</v>
      </c>
      <c r="M103" s="38">
        <v>76.2</v>
      </c>
      <c r="N103" s="78">
        <v>146</v>
      </c>
      <c r="O103" s="32"/>
      <c r="P103" s="41"/>
      <c r="Q103" s="116"/>
      <c r="R103" s="43"/>
      <c r="S103" s="44">
        <v>18</v>
      </c>
      <c r="T103" s="21"/>
      <c r="U103" s="44"/>
      <c r="V103" s="21" t="s">
        <v>123</v>
      </c>
      <c r="W103" s="5"/>
      <c r="X103" s="5"/>
      <c r="Y103" s="5"/>
      <c r="Z103" s="5"/>
      <c r="AA103" s="5"/>
      <c r="AB103" s="5"/>
      <c r="AC103" s="5"/>
    </row>
    <row r="104" spans="1:29" x14ac:dyDescent="0.25">
      <c r="A104" s="5"/>
      <c r="B104" s="20" t="s">
        <v>26</v>
      </c>
      <c r="C104" s="20" t="s">
        <v>27</v>
      </c>
      <c r="D104" s="20" t="s">
        <v>42</v>
      </c>
      <c r="E104" s="21" t="s">
        <v>123</v>
      </c>
      <c r="F104" s="98">
        <v>45740</v>
      </c>
      <c r="G104" s="28">
        <v>7.45</v>
      </c>
      <c r="H104" s="29">
        <v>11.2</v>
      </c>
      <c r="I104" s="24">
        <v>10.96</v>
      </c>
      <c r="J104" s="29">
        <v>11.36</v>
      </c>
      <c r="K104" s="70">
        <f t="shared" si="0"/>
        <v>103.64963503649633</v>
      </c>
      <c r="L104" s="70">
        <v>104.8</v>
      </c>
      <c r="M104" s="70">
        <v>69</v>
      </c>
      <c r="N104" s="79">
        <v>121</v>
      </c>
      <c r="O104" s="32"/>
      <c r="P104" s="33"/>
      <c r="Q104" s="115"/>
      <c r="R104" s="35"/>
      <c r="S104" s="36">
        <v>22</v>
      </c>
      <c r="T104" s="21"/>
      <c r="U104" s="36"/>
      <c r="V104" s="21" t="s">
        <v>123</v>
      </c>
      <c r="W104" s="5"/>
      <c r="X104" s="5"/>
      <c r="Y104" s="5"/>
      <c r="Z104" s="5"/>
      <c r="AA104" s="5"/>
      <c r="AB104" s="5"/>
      <c r="AC104" s="5"/>
    </row>
    <row r="105" spans="1:29" x14ac:dyDescent="0.25">
      <c r="A105" s="5"/>
      <c r="B105" s="26" t="s">
        <v>28</v>
      </c>
      <c r="C105" s="26" t="s">
        <v>27</v>
      </c>
      <c r="D105" s="26" t="s">
        <v>29</v>
      </c>
      <c r="E105" s="21" t="s">
        <v>123</v>
      </c>
      <c r="F105" s="99">
        <v>45740</v>
      </c>
      <c r="G105" s="37">
        <v>6.91</v>
      </c>
      <c r="H105" s="38">
        <v>12</v>
      </c>
      <c r="I105" s="27">
        <v>10.8</v>
      </c>
      <c r="J105" s="38">
        <v>11.49</v>
      </c>
      <c r="K105" s="38">
        <f t="shared" si="0"/>
        <v>106.38888888888889</v>
      </c>
      <c r="L105" s="38">
        <v>107.6</v>
      </c>
      <c r="M105" s="38">
        <v>64.599999999999994</v>
      </c>
      <c r="N105" s="80">
        <v>144</v>
      </c>
      <c r="O105" s="32"/>
      <c r="P105" s="41"/>
      <c r="Q105" s="116"/>
      <c r="R105" s="43"/>
      <c r="S105" s="44">
        <v>6</v>
      </c>
      <c r="T105" s="21"/>
      <c r="U105" s="44"/>
      <c r="V105" s="21" t="s">
        <v>123</v>
      </c>
      <c r="W105" s="5"/>
      <c r="X105" s="5"/>
      <c r="Y105" s="5"/>
      <c r="Z105" s="5"/>
      <c r="AA105" s="5"/>
      <c r="AB105" s="5"/>
      <c r="AC105" s="5"/>
    </row>
    <row r="106" spans="1:29" x14ac:dyDescent="0.25">
      <c r="A106" s="5"/>
      <c r="B106" s="20" t="s">
        <v>30</v>
      </c>
      <c r="C106" s="20" t="s">
        <v>31</v>
      </c>
      <c r="D106" s="20" t="s">
        <v>41</v>
      </c>
      <c r="E106" s="21" t="s">
        <v>123</v>
      </c>
      <c r="F106" s="98">
        <v>45744</v>
      </c>
      <c r="G106" s="28">
        <v>7.96</v>
      </c>
      <c r="H106" s="29">
        <v>12.1</v>
      </c>
      <c r="I106" s="24">
        <v>10.76</v>
      </c>
      <c r="J106" s="29">
        <v>10.199999999999999</v>
      </c>
      <c r="K106" s="29">
        <f t="shared" si="0"/>
        <v>94.795539033457246</v>
      </c>
      <c r="L106" s="29">
        <v>96.2</v>
      </c>
      <c r="M106" s="29">
        <v>78.7</v>
      </c>
      <c r="N106" s="77">
        <v>141</v>
      </c>
      <c r="O106" s="32"/>
      <c r="P106" s="33"/>
      <c r="Q106" s="115"/>
      <c r="R106" s="35"/>
      <c r="S106" s="36">
        <v>12</v>
      </c>
      <c r="T106" s="21"/>
      <c r="U106" s="36"/>
      <c r="V106" s="21" t="s">
        <v>123</v>
      </c>
      <c r="W106" s="5"/>
      <c r="X106" s="5"/>
      <c r="Y106" s="5"/>
      <c r="Z106" s="5"/>
      <c r="AA106" s="5"/>
      <c r="AB106" s="5"/>
      <c r="AC106" s="5"/>
    </row>
    <row r="107" spans="1:29" x14ac:dyDescent="0.25">
      <c r="A107" s="5"/>
      <c r="B107" s="26" t="s">
        <v>32</v>
      </c>
      <c r="C107" s="26" t="s">
        <v>31</v>
      </c>
      <c r="D107" s="26" t="s">
        <v>33</v>
      </c>
      <c r="E107" s="21" t="s">
        <v>123</v>
      </c>
      <c r="F107" s="99">
        <v>45744</v>
      </c>
      <c r="G107" s="37">
        <v>8.2100000000000009</v>
      </c>
      <c r="H107" s="38">
        <v>11</v>
      </c>
      <c r="I107" s="27">
        <v>11</v>
      </c>
      <c r="J107" s="38">
        <v>13.77</v>
      </c>
      <c r="K107" s="38">
        <f t="shared" si="0"/>
        <v>125.18181818181817</v>
      </c>
      <c r="L107" s="38">
        <v>126</v>
      </c>
      <c r="M107" s="38">
        <v>75.900000000000006</v>
      </c>
      <c r="N107" s="78">
        <v>740</v>
      </c>
      <c r="O107" s="32"/>
      <c r="P107" s="41"/>
      <c r="Q107" s="116"/>
      <c r="R107" s="43"/>
      <c r="S107" s="44">
        <v>19</v>
      </c>
      <c r="T107" s="21"/>
      <c r="U107" s="44"/>
      <c r="V107" s="21" t="s">
        <v>123</v>
      </c>
      <c r="W107" s="5"/>
      <c r="X107" s="5"/>
      <c r="Y107" s="5"/>
      <c r="Z107" s="5"/>
      <c r="AA107" s="5"/>
      <c r="AB107" s="5"/>
      <c r="AC107" s="5"/>
    </row>
    <row r="108" spans="1:29" x14ac:dyDescent="0.25">
      <c r="A108" s="5"/>
      <c r="B108" s="20" t="s">
        <v>34</v>
      </c>
      <c r="C108" s="20" t="s">
        <v>35</v>
      </c>
      <c r="D108" s="20" t="s">
        <v>36</v>
      </c>
      <c r="E108" s="21" t="s">
        <v>123</v>
      </c>
      <c r="F108" s="98">
        <v>45745</v>
      </c>
      <c r="G108" s="28">
        <v>8.2200000000000006</v>
      </c>
      <c r="H108" s="29">
        <v>9.6</v>
      </c>
      <c r="I108" s="24">
        <v>11.38</v>
      </c>
      <c r="J108" s="29">
        <v>12.11</v>
      </c>
      <c r="K108" s="29">
        <f t="shared" si="0"/>
        <v>106.414762741652</v>
      </c>
      <c r="L108" s="29">
        <v>106.5</v>
      </c>
      <c r="M108" s="29">
        <v>80.7</v>
      </c>
      <c r="N108" s="77">
        <v>831</v>
      </c>
      <c r="O108" s="32"/>
      <c r="P108" s="33"/>
      <c r="Q108" s="115"/>
      <c r="R108" s="35"/>
      <c r="S108" s="36">
        <v>25</v>
      </c>
      <c r="T108" s="21"/>
      <c r="U108" s="36"/>
      <c r="V108" s="21" t="s">
        <v>123</v>
      </c>
      <c r="W108" s="5"/>
      <c r="X108" s="5"/>
      <c r="Y108" s="5"/>
      <c r="Z108" s="5"/>
      <c r="AA108" s="5"/>
      <c r="AB108" s="5"/>
      <c r="AC108" s="5"/>
    </row>
    <row r="109" spans="1:29" x14ac:dyDescent="0.25">
      <c r="A109" s="5"/>
      <c r="B109" s="26" t="s">
        <v>37</v>
      </c>
      <c r="C109" s="26" t="s">
        <v>35</v>
      </c>
      <c r="D109" s="26" t="s">
        <v>47</v>
      </c>
      <c r="E109" s="21" t="s">
        <v>123</v>
      </c>
      <c r="F109" s="99">
        <v>45745</v>
      </c>
      <c r="G109" s="37">
        <v>8.01</v>
      </c>
      <c r="H109" s="38">
        <v>9.3000000000000007</v>
      </c>
      <c r="I109" s="27">
        <v>11.44</v>
      </c>
      <c r="J109" s="38">
        <v>10.75</v>
      </c>
      <c r="K109" s="38">
        <f t="shared" si="0"/>
        <v>93.968531468531467</v>
      </c>
      <c r="L109" s="38">
        <v>93.8</v>
      </c>
      <c r="M109" s="38">
        <v>85.1</v>
      </c>
      <c r="N109" s="78">
        <v>839</v>
      </c>
      <c r="O109" s="32"/>
      <c r="P109" s="41"/>
      <c r="Q109" s="116"/>
      <c r="R109" s="43"/>
      <c r="S109" s="44">
        <v>28</v>
      </c>
      <c r="T109" s="21"/>
      <c r="U109" s="44"/>
      <c r="V109" s="21" t="s">
        <v>123</v>
      </c>
      <c r="W109" s="5"/>
      <c r="X109" s="5"/>
      <c r="Y109" s="5"/>
      <c r="Z109" s="5"/>
      <c r="AA109" s="5"/>
      <c r="AB109" s="5"/>
      <c r="AC109" s="5"/>
    </row>
    <row r="110" spans="1:29" s="152" customFormat="1" x14ac:dyDescent="0.25">
      <c r="A110" s="141"/>
      <c r="B110" s="142" t="s">
        <v>421</v>
      </c>
      <c r="C110" s="153" t="s">
        <v>422</v>
      </c>
      <c r="D110" s="142" t="s">
        <v>433</v>
      </c>
      <c r="E110" s="141" t="s">
        <v>123</v>
      </c>
      <c r="F110" s="143">
        <v>45743</v>
      </c>
      <c r="G110" s="144">
        <v>6.81</v>
      </c>
      <c r="H110" s="145">
        <v>9.1</v>
      </c>
      <c r="I110" s="24">
        <v>11.48</v>
      </c>
      <c r="J110" s="145">
        <v>11.11</v>
      </c>
      <c r="K110" s="145">
        <f t="shared" si="0"/>
        <v>96.777003484320545</v>
      </c>
      <c r="L110" s="145">
        <v>98.4</v>
      </c>
      <c r="M110" s="145">
        <v>79.900000000000006</v>
      </c>
      <c r="N110" s="146">
        <v>85</v>
      </c>
      <c r="O110" s="141"/>
      <c r="P110" s="147"/>
      <c r="Q110" s="148"/>
      <c r="R110" s="149"/>
      <c r="S110" s="150" t="s">
        <v>119</v>
      </c>
      <c r="T110" s="141"/>
      <c r="U110" s="151" t="s">
        <v>434</v>
      </c>
      <c r="V110" s="141" t="s">
        <v>123</v>
      </c>
      <c r="W110" s="141"/>
      <c r="X110" s="141"/>
      <c r="Y110" s="141"/>
      <c r="Z110" s="141"/>
      <c r="AA110" s="141"/>
      <c r="AB110" s="141"/>
      <c r="AC110" s="141"/>
    </row>
  </sheetData>
  <mergeCells count="4">
    <mergeCell ref="Q99:R101"/>
    <mergeCell ref="B2:D2"/>
    <mergeCell ref="F2:S2"/>
    <mergeCell ref="K3:L3"/>
  </mergeCells>
  <pageMargins left="0.7" right="0.7" top="0.78740157500000008" bottom="0.78740157500000008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259"/>
  <sheetViews>
    <sheetView showGridLines="0" zoomScaleNormal="100" workbookViewId="0">
      <pane ySplit="3" topLeftCell="A4" activePane="bottomLeft" state="frozen"/>
      <selection pane="bottomLeft" activeCell="A4" sqref="A4"/>
    </sheetView>
  </sheetViews>
  <sheetFormatPr baseColWidth="10" defaultColWidth="10.7109375" defaultRowHeight="15.75" x14ac:dyDescent="0.25"/>
  <cols>
    <col min="1" max="1" width="13.7109375" style="58" customWidth="1"/>
    <col min="2" max="2" width="9.7109375" style="58" customWidth="1"/>
    <col min="3" max="3" width="17.7109375" style="58" customWidth="1"/>
    <col min="4" max="4" width="7.28515625" style="58" customWidth="1"/>
    <col min="5" max="5" width="7.7109375" style="58" customWidth="1"/>
    <col min="6" max="6" width="6.7109375" style="58" customWidth="1"/>
    <col min="7" max="8" width="9.7109375" style="58" customWidth="1"/>
    <col min="9" max="9" width="6.7109375" style="58" customWidth="1"/>
    <col min="10" max="10" width="8.7109375" style="58" customWidth="1"/>
    <col min="11" max="11" width="6.7109375" style="58" customWidth="1"/>
    <col min="12" max="12" width="12.140625" style="58" customWidth="1"/>
    <col min="13" max="13" width="6.7109375" style="58" customWidth="1"/>
    <col min="14" max="14" width="31.7109375" style="58" customWidth="1"/>
    <col min="15" max="15" width="24.7109375" style="58" customWidth="1"/>
    <col min="16" max="16" width="42.7109375" style="58" customWidth="1"/>
    <col min="17" max="17" width="3.7109375" style="97" customWidth="1"/>
    <col min="18" max="18" width="15.7109375" style="195" customWidth="1"/>
    <col min="19" max="19" width="21.7109375" style="195" customWidth="1"/>
    <col min="20" max="16384" width="10.7109375" style="58"/>
  </cols>
  <sheetData>
    <row r="1" spans="1:19" ht="33" customHeight="1" x14ac:dyDescent="0.25">
      <c r="A1" s="82" t="s">
        <v>179</v>
      </c>
      <c r="B1" s="83" t="s">
        <v>64</v>
      </c>
      <c r="C1" s="81" t="s">
        <v>180</v>
      </c>
      <c r="D1" s="154" t="s">
        <v>122</v>
      </c>
      <c r="E1" s="84" t="s">
        <v>268</v>
      </c>
      <c r="F1" s="138" t="s">
        <v>417</v>
      </c>
      <c r="G1" s="84" t="s">
        <v>199</v>
      </c>
      <c r="H1" s="84" t="s">
        <v>157</v>
      </c>
      <c r="I1" s="138" t="s">
        <v>418</v>
      </c>
      <c r="J1" s="84" t="s">
        <v>72</v>
      </c>
      <c r="K1" s="138" t="s">
        <v>419</v>
      </c>
      <c r="L1" s="85" t="s">
        <v>156</v>
      </c>
      <c r="M1" s="86" t="s">
        <v>73</v>
      </c>
      <c r="N1" s="124" t="s">
        <v>274</v>
      </c>
      <c r="O1" s="124" t="s">
        <v>386</v>
      </c>
      <c r="P1" s="124" t="s">
        <v>266</v>
      </c>
      <c r="Q1" s="194"/>
      <c r="R1" s="269" t="s">
        <v>438</v>
      </c>
      <c r="S1" s="272" t="s">
        <v>439</v>
      </c>
    </row>
    <row r="2" spans="1:19" s="60" customFormat="1" ht="12" customHeight="1" x14ac:dyDescent="0.25">
      <c r="A2" s="59"/>
      <c r="B2" s="59"/>
      <c r="C2" s="59"/>
      <c r="D2" s="59"/>
      <c r="E2" s="189" t="s">
        <v>74</v>
      </c>
      <c r="F2" s="189"/>
      <c r="G2" s="189" t="s">
        <v>75</v>
      </c>
      <c r="H2" s="189" t="s">
        <v>65</v>
      </c>
      <c r="I2" s="189"/>
      <c r="J2" s="189" t="s">
        <v>76</v>
      </c>
      <c r="K2" s="189"/>
      <c r="L2" s="189" t="s">
        <v>77</v>
      </c>
      <c r="M2" s="189"/>
      <c r="N2" s="189"/>
      <c r="O2" s="189"/>
      <c r="P2" s="189"/>
      <c r="Q2" s="96"/>
      <c r="R2" s="270"/>
      <c r="S2" s="273"/>
    </row>
    <row r="3" spans="1:19" s="60" customFormat="1" ht="12" customHeight="1" x14ac:dyDescent="0.25">
      <c r="A3" s="59"/>
      <c r="B3" s="59"/>
      <c r="C3" s="155" t="s">
        <v>435</v>
      </c>
      <c r="D3" s="59"/>
      <c r="E3" s="191">
        <f>COUNTBLANK(E4:E2259)</f>
        <v>60</v>
      </c>
      <c r="F3" s="188"/>
      <c r="G3" s="191">
        <f>COUNTBLANK(G4:G2259)</f>
        <v>30</v>
      </c>
      <c r="H3" s="191">
        <f>COUNTBLANK(H4:H2259)</f>
        <v>48</v>
      </c>
      <c r="I3" s="188"/>
      <c r="J3" s="191">
        <f>COUNTBLANK(J4:J2259)</f>
        <v>22</v>
      </c>
      <c r="K3" s="188"/>
      <c r="L3" s="191">
        <f>COUNTBLANK(L4:L2259)</f>
        <v>36</v>
      </c>
      <c r="M3" s="188"/>
      <c r="N3" s="193" t="s">
        <v>437</v>
      </c>
      <c r="O3" s="188"/>
      <c r="P3" s="188"/>
      <c r="Q3" s="96"/>
      <c r="R3" s="271"/>
      <c r="S3" s="274"/>
    </row>
    <row r="4" spans="1:19" ht="16.5" customHeight="1" x14ac:dyDescent="0.25">
      <c r="A4" s="156">
        <v>44300</v>
      </c>
      <c r="B4" s="136" t="s">
        <v>30</v>
      </c>
      <c r="C4" s="157" t="str">
        <f>CONCATENATE(TEXT(A4,"TT.MM.JJJJ"),"_",B4)</f>
        <v>14.04.2021_FAL1</v>
      </c>
      <c r="D4" s="190">
        <f>COUNTBLANK(E4)+COUNTBLANK(G4:H4)+COUNTBLANK(J4)+COUNTBLANK(L4)</f>
        <v>1</v>
      </c>
      <c r="E4" s="133">
        <v>8.44</v>
      </c>
      <c r="F4" s="134"/>
      <c r="G4" s="135">
        <v>756</v>
      </c>
      <c r="H4" s="280"/>
      <c r="I4" s="134"/>
      <c r="J4" s="137">
        <v>8.6</v>
      </c>
      <c r="K4" s="134"/>
      <c r="L4" s="136">
        <v>68</v>
      </c>
      <c r="M4" s="136"/>
      <c r="N4" s="159"/>
      <c r="O4" s="159" t="s">
        <v>275</v>
      </c>
      <c r="P4" s="159" t="s">
        <v>381</v>
      </c>
      <c r="Q4" s="96"/>
      <c r="R4" s="97"/>
      <c r="S4" s="96"/>
    </row>
    <row r="5" spans="1:19" ht="16.5" customHeight="1" x14ac:dyDescent="0.25">
      <c r="A5" s="156">
        <v>44300</v>
      </c>
      <c r="B5" s="136" t="s">
        <v>32</v>
      </c>
      <c r="C5" s="157" t="str">
        <f t="shared" ref="C5:C68" si="0">CONCATENATE(TEXT(A5,"TT.MM.JJJJ"),"_",B5)</f>
        <v>14.04.2021_FAL2</v>
      </c>
      <c r="D5" s="190">
        <f t="shared" ref="D5:D68" si="1">COUNTBLANK(E5)+COUNTBLANK(G5:H5)+COUNTBLANK(J5)+COUNTBLANK(L5)</f>
        <v>0</v>
      </c>
      <c r="E5" s="133">
        <v>8.67</v>
      </c>
      <c r="F5" s="134"/>
      <c r="G5" s="135">
        <v>853</v>
      </c>
      <c r="H5" s="137">
        <v>11.62</v>
      </c>
      <c r="I5" s="134"/>
      <c r="J5" s="137">
        <v>10.4</v>
      </c>
      <c r="K5" s="134"/>
      <c r="L5" s="136">
        <v>74</v>
      </c>
      <c r="M5" s="136"/>
      <c r="N5" s="159"/>
      <c r="O5" s="159" t="s">
        <v>383</v>
      </c>
      <c r="P5" s="159" t="s">
        <v>381</v>
      </c>
      <c r="Q5" s="96"/>
      <c r="R5" s="97"/>
      <c r="S5" s="97"/>
    </row>
    <row r="6" spans="1:19" ht="16.5" customHeight="1" x14ac:dyDescent="0.25">
      <c r="A6" s="156">
        <v>44300</v>
      </c>
      <c r="B6" s="136" t="s">
        <v>37</v>
      </c>
      <c r="C6" s="157" t="str">
        <f t="shared" si="0"/>
        <v>14.04.2021_KRE2</v>
      </c>
      <c r="D6" s="190">
        <f t="shared" si="1"/>
        <v>0</v>
      </c>
      <c r="E6" s="133">
        <v>8.91</v>
      </c>
      <c r="F6" s="134"/>
      <c r="G6" s="135">
        <v>771</v>
      </c>
      <c r="H6" s="137">
        <v>13.51</v>
      </c>
      <c r="I6" s="134"/>
      <c r="J6" s="137">
        <v>9.6</v>
      </c>
      <c r="K6" s="134"/>
      <c r="L6" s="136">
        <v>48</v>
      </c>
      <c r="M6" s="136"/>
      <c r="N6" s="159"/>
      <c r="O6" s="159" t="s">
        <v>383</v>
      </c>
      <c r="P6" s="159" t="s">
        <v>381</v>
      </c>
      <c r="Q6" s="96"/>
    </row>
    <row r="7" spans="1:19" ht="16.5" customHeight="1" x14ac:dyDescent="0.25">
      <c r="A7" s="156">
        <v>44300</v>
      </c>
      <c r="B7" s="136" t="s">
        <v>34</v>
      </c>
      <c r="C7" s="157" t="str">
        <f t="shared" si="0"/>
        <v>14.04.2021_KRE1</v>
      </c>
      <c r="D7" s="190">
        <f t="shared" si="1"/>
        <v>0</v>
      </c>
      <c r="E7" s="133">
        <v>8.4499999999999993</v>
      </c>
      <c r="F7" s="134"/>
      <c r="G7" s="135">
        <v>754</v>
      </c>
      <c r="H7" s="137">
        <v>17.260000000000002</v>
      </c>
      <c r="I7" s="134"/>
      <c r="J7" s="137">
        <v>9.8000000000000007</v>
      </c>
      <c r="K7" s="134"/>
      <c r="L7" s="136">
        <v>50</v>
      </c>
      <c r="M7" s="136"/>
      <c r="N7" s="159"/>
      <c r="O7" s="159" t="s">
        <v>383</v>
      </c>
      <c r="P7" s="159" t="s">
        <v>381</v>
      </c>
      <c r="Q7" s="96"/>
      <c r="R7" s="96"/>
      <c r="S7" s="96"/>
    </row>
    <row r="8" spans="1:19" ht="16.5" customHeight="1" x14ac:dyDescent="0.25">
      <c r="A8" s="156">
        <v>44300</v>
      </c>
      <c r="B8" s="136" t="s">
        <v>22</v>
      </c>
      <c r="C8" s="157" t="str">
        <f t="shared" si="0"/>
        <v>14.04.2021_BIE1</v>
      </c>
      <c r="D8" s="190">
        <f t="shared" si="1"/>
        <v>0</v>
      </c>
      <c r="E8" s="133">
        <v>8.44</v>
      </c>
      <c r="F8" s="134"/>
      <c r="G8" s="135">
        <v>166.1</v>
      </c>
      <c r="H8" s="137">
        <v>12.71</v>
      </c>
      <c r="I8" s="134"/>
      <c r="J8" s="137">
        <v>6.8</v>
      </c>
      <c r="K8" s="134"/>
      <c r="L8" s="136">
        <v>28.999999999999996</v>
      </c>
      <c r="M8" s="136"/>
      <c r="N8" s="159"/>
      <c r="O8" s="159" t="s">
        <v>383</v>
      </c>
      <c r="P8" s="159" t="s">
        <v>381</v>
      </c>
      <c r="Q8" s="96"/>
      <c r="R8" s="96"/>
      <c r="S8" s="96"/>
    </row>
    <row r="9" spans="1:19" ht="16.5" customHeight="1" x14ac:dyDescent="0.25">
      <c r="A9" s="156">
        <v>44300</v>
      </c>
      <c r="B9" s="136" t="s">
        <v>25</v>
      </c>
      <c r="C9" s="157" t="str">
        <f t="shared" si="0"/>
        <v>14.04.2021_BIE2</v>
      </c>
      <c r="D9" s="190">
        <f t="shared" si="1"/>
        <v>0</v>
      </c>
      <c r="E9" s="133">
        <v>8.4700000000000006</v>
      </c>
      <c r="F9" s="134"/>
      <c r="G9" s="135">
        <v>174.3</v>
      </c>
      <c r="H9" s="137">
        <v>13.02</v>
      </c>
      <c r="I9" s="134"/>
      <c r="J9" s="137">
        <v>6.9</v>
      </c>
      <c r="K9" s="134"/>
      <c r="L9" s="136">
        <v>50</v>
      </c>
      <c r="M9" s="136"/>
      <c r="N9" s="159"/>
      <c r="O9" s="159" t="s">
        <v>383</v>
      </c>
      <c r="P9" s="159" t="s">
        <v>381</v>
      </c>
      <c r="Q9" s="96"/>
      <c r="R9" s="96"/>
    </row>
    <row r="10" spans="1:19" ht="16.5" customHeight="1" x14ac:dyDescent="0.25">
      <c r="A10" s="156">
        <v>44300</v>
      </c>
      <c r="B10" s="136" t="s">
        <v>14</v>
      </c>
      <c r="C10" s="157" t="str">
        <f t="shared" si="0"/>
        <v>14.04.2021_BRA1</v>
      </c>
      <c r="D10" s="190">
        <f t="shared" si="1"/>
        <v>0</v>
      </c>
      <c r="E10" s="133">
        <v>8.468</v>
      </c>
      <c r="F10" s="134"/>
      <c r="G10" s="135">
        <v>174.1</v>
      </c>
      <c r="H10" s="137">
        <v>14.2</v>
      </c>
      <c r="I10" s="134"/>
      <c r="J10" s="137">
        <v>6.6</v>
      </c>
      <c r="K10" s="134"/>
      <c r="L10" s="136">
        <v>30</v>
      </c>
      <c r="M10" s="136"/>
      <c r="N10" s="159"/>
      <c r="O10" s="159" t="s">
        <v>383</v>
      </c>
      <c r="P10" s="159" t="s">
        <v>381</v>
      </c>
      <c r="Q10" s="96"/>
      <c r="R10" s="96"/>
    </row>
    <row r="11" spans="1:19" ht="16.5" customHeight="1" x14ac:dyDescent="0.25">
      <c r="A11" s="156">
        <v>44300</v>
      </c>
      <c r="B11" s="136" t="s">
        <v>17</v>
      </c>
      <c r="C11" s="157" t="str">
        <f t="shared" si="0"/>
        <v>14.04.2021_BRA2</v>
      </c>
      <c r="D11" s="190">
        <f t="shared" si="1"/>
        <v>0</v>
      </c>
      <c r="E11" s="133">
        <v>8.51</v>
      </c>
      <c r="F11" s="134"/>
      <c r="G11" s="135">
        <v>193.5</v>
      </c>
      <c r="H11" s="137">
        <v>12.54</v>
      </c>
      <c r="I11" s="134"/>
      <c r="J11" s="137">
        <v>7.3</v>
      </c>
      <c r="K11" s="134"/>
      <c r="L11" s="136">
        <v>25</v>
      </c>
      <c r="M11" s="136"/>
      <c r="N11" s="159"/>
      <c r="O11" s="159" t="s">
        <v>383</v>
      </c>
      <c r="P11" s="159" t="s">
        <v>382</v>
      </c>
      <c r="Q11" s="96"/>
    </row>
    <row r="12" spans="1:19" ht="16.5" customHeight="1" x14ac:dyDescent="0.25">
      <c r="A12" s="156">
        <v>44300</v>
      </c>
      <c r="B12" s="136" t="s">
        <v>26</v>
      </c>
      <c r="C12" s="157" t="str">
        <f t="shared" si="0"/>
        <v>14.04.2021_GRU1</v>
      </c>
      <c r="D12" s="190">
        <f t="shared" si="1"/>
        <v>1</v>
      </c>
      <c r="E12" s="133">
        <v>8.26</v>
      </c>
      <c r="F12" s="134"/>
      <c r="G12" s="135">
        <v>153.4</v>
      </c>
      <c r="H12" s="137">
        <v>14.13</v>
      </c>
      <c r="I12" s="134"/>
      <c r="J12" s="137">
        <v>6.2</v>
      </c>
      <c r="K12" s="134"/>
      <c r="L12" s="281"/>
      <c r="M12" s="136"/>
      <c r="N12" s="159"/>
      <c r="O12" s="159"/>
      <c r="P12" s="159" t="s">
        <v>381</v>
      </c>
      <c r="Q12" s="96"/>
    </row>
    <row r="13" spans="1:19" ht="16.5" customHeight="1" x14ac:dyDescent="0.25">
      <c r="A13" s="156">
        <v>44300</v>
      </c>
      <c r="B13" s="136" t="s">
        <v>28</v>
      </c>
      <c r="C13" s="157" t="str">
        <f t="shared" si="0"/>
        <v>14.04.2021_GRU2</v>
      </c>
      <c r="D13" s="190">
        <f t="shared" si="1"/>
        <v>0</v>
      </c>
      <c r="E13" s="133">
        <v>8.23</v>
      </c>
      <c r="F13" s="134"/>
      <c r="G13" s="135">
        <v>175</v>
      </c>
      <c r="H13" s="137">
        <v>14.15</v>
      </c>
      <c r="I13" s="134"/>
      <c r="J13" s="137">
        <v>6.3</v>
      </c>
      <c r="K13" s="134"/>
      <c r="L13" s="136">
        <v>45</v>
      </c>
      <c r="M13" s="136"/>
      <c r="N13" s="159"/>
      <c r="O13" s="159" t="s">
        <v>383</v>
      </c>
      <c r="P13" s="159" t="s">
        <v>381</v>
      </c>
      <c r="Q13" s="96"/>
    </row>
    <row r="14" spans="1:19" ht="16.5" customHeight="1" x14ac:dyDescent="0.25">
      <c r="A14" s="156">
        <v>44300</v>
      </c>
      <c r="B14" s="136" t="s">
        <v>21</v>
      </c>
      <c r="C14" s="157" t="str">
        <f t="shared" si="0"/>
        <v>14.04.2021_ORB2</v>
      </c>
      <c r="D14" s="190">
        <f t="shared" si="1"/>
        <v>0</v>
      </c>
      <c r="E14" s="133">
        <v>8.2799999999999994</v>
      </c>
      <c r="F14" s="134"/>
      <c r="G14" s="135">
        <v>139.80000000000001</v>
      </c>
      <c r="H14" s="137">
        <v>12.44</v>
      </c>
      <c r="I14" s="134"/>
      <c r="J14" s="137">
        <v>7.9</v>
      </c>
      <c r="K14" s="134"/>
      <c r="L14" s="136">
        <v>25</v>
      </c>
      <c r="M14" s="136"/>
      <c r="N14" s="159"/>
      <c r="O14" s="159" t="s">
        <v>383</v>
      </c>
      <c r="P14" s="159" t="s">
        <v>381</v>
      </c>
      <c r="Q14" s="96"/>
    </row>
    <row r="15" spans="1:19" ht="16.5" customHeight="1" x14ac:dyDescent="0.25">
      <c r="A15" s="156">
        <v>44300</v>
      </c>
      <c r="B15" s="136" t="s">
        <v>18</v>
      </c>
      <c r="C15" s="157" t="str">
        <f t="shared" si="0"/>
        <v>14.04.2021_ORB1</v>
      </c>
      <c r="D15" s="190">
        <f t="shared" si="1"/>
        <v>1</v>
      </c>
      <c r="E15" s="133">
        <v>8.0399999999999991</v>
      </c>
      <c r="F15" s="134"/>
      <c r="G15" s="135">
        <v>109.7</v>
      </c>
      <c r="H15" s="137">
        <v>12.2</v>
      </c>
      <c r="I15" s="134"/>
      <c r="J15" s="137">
        <v>8.1</v>
      </c>
      <c r="K15" s="134"/>
      <c r="L15" s="281"/>
      <c r="M15" s="136"/>
      <c r="N15" s="159"/>
      <c r="O15" s="159" t="s">
        <v>383</v>
      </c>
      <c r="P15" s="159" t="s">
        <v>381</v>
      </c>
      <c r="Q15" s="96"/>
    </row>
    <row r="16" spans="1:19" ht="16.5" customHeight="1" x14ac:dyDescent="0.25">
      <c r="A16" s="156">
        <v>44300</v>
      </c>
      <c r="B16" s="136" t="s">
        <v>10</v>
      </c>
      <c r="C16" s="157" t="str">
        <f t="shared" si="0"/>
        <v>14.04.2021_SAL1</v>
      </c>
      <c r="D16" s="190">
        <f t="shared" si="1"/>
        <v>1</v>
      </c>
      <c r="E16" s="133">
        <v>8.92</v>
      </c>
      <c r="F16" s="134"/>
      <c r="G16" s="135">
        <v>175.7</v>
      </c>
      <c r="H16" s="137">
        <v>13.57</v>
      </c>
      <c r="I16" s="134"/>
      <c r="J16" s="137">
        <v>6.7</v>
      </c>
      <c r="K16" s="134"/>
      <c r="L16" s="281"/>
      <c r="M16" s="136"/>
      <c r="N16" s="159"/>
      <c r="O16" s="159" t="s">
        <v>383</v>
      </c>
      <c r="P16" s="159" t="s">
        <v>381</v>
      </c>
      <c r="Q16" s="96"/>
    </row>
    <row r="17" spans="1:17" ht="16.5" customHeight="1" x14ac:dyDescent="0.25">
      <c r="A17" s="156">
        <v>44300</v>
      </c>
      <c r="B17" s="136" t="s">
        <v>12</v>
      </c>
      <c r="C17" s="157" t="str">
        <f t="shared" si="0"/>
        <v>14.04.2021_SAL2</v>
      </c>
      <c r="D17" s="190">
        <f t="shared" si="1"/>
        <v>1</v>
      </c>
      <c r="E17" s="133">
        <v>9.0869999999999997</v>
      </c>
      <c r="F17" s="134"/>
      <c r="G17" s="135">
        <v>192.2</v>
      </c>
      <c r="H17" s="137">
        <v>14.43</v>
      </c>
      <c r="I17" s="134"/>
      <c r="J17" s="137">
        <v>7.2</v>
      </c>
      <c r="K17" s="134"/>
      <c r="L17" s="281"/>
      <c r="M17" s="136"/>
      <c r="N17" s="159"/>
      <c r="O17" s="159" t="s">
        <v>383</v>
      </c>
      <c r="P17" s="159" t="s">
        <v>381</v>
      </c>
      <c r="Q17" s="96"/>
    </row>
    <row r="18" spans="1:17" ht="16.5" customHeight="1" x14ac:dyDescent="0.25">
      <c r="A18" s="156">
        <v>44300</v>
      </c>
      <c r="B18" s="136" t="s">
        <v>0</v>
      </c>
      <c r="C18" s="157" t="str">
        <f t="shared" si="0"/>
        <v>14.04.2021_KIN1</v>
      </c>
      <c r="D18" s="190">
        <f t="shared" si="1"/>
        <v>1</v>
      </c>
      <c r="E18" s="133">
        <v>8.6180000000000003</v>
      </c>
      <c r="F18" s="134"/>
      <c r="G18" s="135">
        <v>426</v>
      </c>
      <c r="H18" s="160">
        <v>14.49</v>
      </c>
      <c r="I18" s="134"/>
      <c r="J18" s="137">
        <v>6</v>
      </c>
      <c r="K18" s="134"/>
      <c r="L18" s="281"/>
      <c r="M18" s="136"/>
      <c r="N18" s="159"/>
      <c r="O18" s="159"/>
      <c r="P18" s="159" t="s">
        <v>381</v>
      </c>
      <c r="Q18" s="96"/>
    </row>
    <row r="19" spans="1:17" ht="16.5" customHeight="1" x14ac:dyDescent="0.25">
      <c r="A19" s="156">
        <v>44300</v>
      </c>
      <c r="B19" s="136" t="s">
        <v>2</v>
      </c>
      <c r="C19" s="157" t="str">
        <f t="shared" si="0"/>
        <v>14.04.2021_KIN2</v>
      </c>
      <c r="D19" s="190">
        <f t="shared" si="1"/>
        <v>0</v>
      </c>
      <c r="E19" s="133">
        <v>8.5039999999999996</v>
      </c>
      <c r="F19" s="134"/>
      <c r="G19" s="135">
        <v>482</v>
      </c>
      <c r="H19" s="160">
        <v>14.83</v>
      </c>
      <c r="I19" s="134"/>
      <c r="J19" s="137">
        <v>5.4</v>
      </c>
      <c r="K19" s="134"/>
      <c r="L19" s="136">
        <v>45</v>
      </c>
      <c r="M19" s="136"/>
      <c r="N19" s="159"/>
      <c r="O19" s="159"/>
      <c r="P19" s="159" t="s">
        <v>381</v>
      </c>
      <c r="Q19" s="96"/>
    </row>
    <row r="20" spans="1:17" ht="16.5" customHeight="1" x14ac:dyDescent="0.25">
      <c r="A20" s="156">
        <v>44300</v>
      </c>
      <c r="B20" s="136" t="s">
        <v>4</v>
      </c>
      <c r="C20" s="157" t="str">
        <f t="shared" si="0"/>
        <v>14.04.2021_KIN3</v>
      </c>
      <c r="D20" s="190">
        <f t="shared" si="1"/>
        <v>0</v>
      </c>
      <c r="E20" s="133">
        <v>8.5779999999999994</v>
      </c>
      <c r="F20" s="134"/>
      <c r="G20" s="135">
        <v>458</v>
      </c>
      <c r="H20" s="160">
        <v>14.18</v>
      </c>
      <c r="I20" s="134"/>
      <c r="J20" s="137">
        <v>5.8</v>
      </c>
      <c r="K20" s="134"/>
      <c r="L20" s="136">
        <v>45</v>
      </c>
      <c r="M20" s="136"/>
      <c r="N20" s="159"/>
      <c r="O20" s="159"/>
      <c r="P20" s="159" t="s">
        <v>381</v>
      </c>
    </row>
    <row r="21" spans="1:17" ht="16.5" customHeight="1" x14ac:dyDescent="0.25">
      <c r="A21" s="156">
        <v>44300</v>
      </c>
      <c r="B21" s="136" t="s">
        <v>6</v>
      </c>
      <c r="C21" s="157" t="str">
        <f t="shared" si="0"/>
        <v>14.04.2021_KIN4</v>
      </c>
      <c r="D21" s="190">
        <f t="shared" si="1"/>
        <v>0</v>
      </c>
      <c r="E21" s="133">
        <v>8.4390000000000001</v>
      </c>
      <c r="F21" s="134"/>
      <c r="G21" s="135">
        <v>502</v>
      </c>
      <c r="H21" s="160">
        <v>14.79</v>
      </c>
      <c r="I21" s="134"/>
      <c r="J21" s="137">
        <v>6.1</v>
      </c>
      <c r="K21" s="134"/>
      <c r="L21" s="136">
        <v>45</v>
      </c>
      <c r="M21" s="136"/>
      <c r="N21" s="159"/>
      <c r="O21" s="159"/>
      <c r="P21" s="159" t="s">
        <v>381</v>
      </c>
    </row>
    <row r="22" spans="1:17" ht="16.5" customHeight="1" x14ac:dyDescent="0.25">
      <c r="A22" s="156">
        <v>44300</v>
      </c>
      <c r="B22" s="136" t="s">
        <v>7</v>
      </c>
      <c r="C22" s="157" t="str">
        <f t="shared" si="0"/>
        <v>14.04.2021_STE1</v>
      </c>
      <c r="D22" s="190">
        <f t="shared" si="1"/>
        <v>0</v>
      </c>
      <c r="E22" s="133">
        <v>8.9039999999999999</v>
      </c>
      <c r="F22" s="134"/>
      <c r="G22" s="135">
        <v>270</v>
      </c>
      <c r="H22" s="160">
        <v>15.26</v>
      </c>
      <c r="I22" s="134"/>
      <c r="J22" s="137">
        <v>6</v>
      </c>
      <c r="K22" s="134"/>
      <c r="L22" s="136">
        <v>48</v>
      </c>
      <c r="M22" s="136"/>
      <c r="N22" s="159"/>
      <c r="O22" s="159"/>
      <c r="P22" s="159" t="s">
        <v>381</v>
      </c>
    </row>
    <row r="23" spans="1:17" ht="16.5" customHeight="1" x14ac:dyDescent="0.25">
      <c r="A23" s="156">
        <v>44300</v>
      </c>
      <c r="B23" s="136" t="s">
        <v>9</v>
      </c>
      <c r="C23" s="157" t="str">
        <f t="shared" si="0"/>
        <v>14.04.2021_STE2</v>
      </c>
      <c r="D23" s="190">
        <f t="shared" si="1"/>
        <v>0</v>
      </c>
      <c r="E23" s="133">
        <v>8.8759999999999994</v>
      </c>
      <c r="F23" s="134"/>
      <c r="G23" s="135">
        <v>285</v>
      </c>
      <c r="H23" s="160">
        <v>14.15</v>
      </c>
      <c r="I23" s="134"/>
      <c r="J23" s="137">
        <v>7.4</v>
      </c>
      <c r="K23" s="134"/>
      <c r="L23" s="136">
        <v>35</v>
      </c>
      <c r="M23" s="136"/>
      <c r="N23" s="159"/>
      <c r="O23" s="159"/>
      <c r="P23" s="159" t="s">
        <v>381</v>
      </c>
    </row>
    <row r="24" spans="1:17" ht="16.5" customHeight="1" x14ac:dyDescent="0.25">
      <c r="A24" s="156">
        <v>44313</v>
      </c>
      <c r="B24" s="136" t="s">
        <v>0</v>
      </c>
      <c r="C24" s="157" t="str">
        <f t="shared" si="0"/>
        <v>27.04.2021_KIN1</v>
      </c>
      <c r="D24" s="190">
        <f t="shared" si="1"/>
        <v>0</v>
      </c>
      <c r="E24" s="133">
        <v>9.0399999999999991</v>
      </c>
      <c r="F24" s="134"/>
      <c r="G24" s="135">
        <v>436</v>
      </c>
      <c r="H24" s="160">
        <v>10.4</v>
      </c>
      <c r="I24" s="134"/>
      <c r="J24" s="137">
        <v>7.7</v>
      </c>
      <c r="K24" s="134"/>
      <c r="L24" s="136">
        <v>30</v>
      </c>
      <c r="M24" s="136"/>
      <c r="N24" s="159"/>
      <c r="O24" s="159"/>
      <c r="P24" s="136"/>
    </row>
    <row r="25" spans="1:17" ht="16.5" customHeight="1" x14ac:dyDescent="0.25">
      <c r="A25" s="156">
        <v>44313</v>
      </c>
      <c r="B25" s="136" t="s">
        <v>2</v>
      </c>
      <c r="C25" s="157" t="str">
        <f t="shared" si="0"/>
        <v>27.04.2021_KIN2</v>
      </c>
      <c r="D25" s="190">
        <f t="shared" si="1"/>
        <v>0</v>
      </c>
      <c r="E25" s="133">
        <v>8.44</v>
      </c>
      <c r="F25" s="134"/>
      <c r="G25" s="135">
        <v>490</v>
      </c>
      <c r="H25" s="158">
        <v>9.5</v>
      </c>
      <c r="I25" s="134"/>
      <c r="J25" s="137">
        <v>9.8000000000000007</v>
      </c>
      <c r="K25" s="134"/>
      <c r="L25" s="136">
        <v>45</v>
      </c>
      <c r="M25" s="136"/>
      <c r="N25" s="159"/>
      <c r="O25" s="159"/>
      <c r="P25" s="136"/>
    </row>
    <row r="26" spans="1:17" ht="16.5" customHeight="1" x14ac:dyDescent="0.25">
      <c r="A26" s="156">
        <v>44313</v>
      </c>
      <c r="B26" s="136" t="s">
        <v>4</v>
      </c>
      <c r="C26" s="157" t="str">
        <f t="shared" si="0"/>
        <v>27.04.2021_KIN3</v>
      </c>
      <c r="D26" s="190">
        <f t="shared" si="1"/>
        <v>0</v>
      </c>
      <c r="E26" s="133">
        <v>8.68</v>
      </c>
      <c r="F26" s="134"/>
      <c r="G26" s="135">
        <v>466</v>
      </c>
      <c r="H26" s="160">
        <v>8.6999999999999993</v>
      </c>
      <c r="I26" s="134"/>
      <c r="J26" s="137">
        <v>10.6</v>
      </c>
      <c r="K26" s="134"/>
      <c r="L26" s="136">
        <v>45</v>
      </c>
      <c r="M26" s="136"/>
      <c r="N26" s="159"/>
      <c r="O26" s="159"/>
      <c r="P26" s="136"/>
    </row>
    <row r="27" spans="1:17" ht="16.5" customHeight="1" x14ac:dyDescent="0.25">
      <c r="A27" s="156">
        <v>44313</v>
      </c>
      <c r="B27" s="136" t="s">
        <v>6</v>
      </c>
      <c r="C27" s="157" t="str">
        <f t="shared" si="0"/>
        <v>27.04.2021_KIN4</v>
      </c>
      <c r="D27" s="190">
        <f t="shared" si="1"/>
        <v>0</v>
      </c>
      <c r="E27" s="133">
        <v>8.6</v>
      </c>
      <c r="F27" s="134"/>
      <c r="G27" s="135">
        <v>539</v>
      </c>
      <c r="H27" s="160">
        <v>9.4</v>
      </c>
      <c r="I27" s="134"/>
      <c r="J27" s="137">
        <v>10</v>
      </c>
      <c r="K27" s="134"/>
      <c r="L27" s="136">
        <v>45</v>
      </c>
      <c r="M27" s="136"/>
      <c r="N27" s="159"/>
      <c r="O27" s="159"/>
      <c r="P27" s="136"/>
    </row>
    <row r="28" spans="1:17" ht="16.5" customHeight="1" x14ac:dyDescent="0.25">
      <c r="A28" s="156">
        <v>44313</v>
      </c>
      <c r="B28" s="136" t="s">
        <v>34</v>
      </c>
      <c r="C28" s="157" t="str">
        <f t="shared" si="0"/>
        <v>27.04.2021_KRE1</v>
      </c>
      <c r="D28" s="190">
        <f t="shared" si="1"/>
        <v>0</v>
      </c>
      <c r="E28" s="133">
        <v>8.5500000000000007</v>
      </c>
      <c r="F28" s="134"/>
      <c r="G28" s="135">
        <v>853</v>
      </c>
      <c r="H28" s="160">
        <v>6.1</v>
      </c>
      <c r="I28" s="134"/>
      <c r="J28" s="137">
        <v>13.9</v>
      </c>
      <c r="K28" s="134"/>
      <c r="L28" s="136">
        <v>55.000000000000007</v>
      </c>
      <c r="M28" s="136"/>
      <c r="N28" s="159"/>
      <c r="O28" s="159" t="s">
        <v>384</v>
      </c>
      <c r="P28" s="136"/>
    </row>
    <row r="29" spans="1:17" ht="16.5" customHeight="1" x14ac:dyDescent="0.25">
      <c r="A29" s="156">
        <v>44313</v>
      </c>
      <c r="B29" s="136" t="s">
        <v>7</v>
      </c>
      <c r="C29" s="157" t="str">
        <f t="shared" si="0"/>
        <v>27.04.2021_STE1</v>
      </c>
      <c r="D29" s="190">
        <f t="shared" si="1"/>
        <v>0</v>
      </c>
      <c r="E29" s="133">
        <v>9.1</v>
      </c>
      <c r="F29" s="134"/>
      <c r="G29" s="135">
        <v>316</v>
      </c>
      <c r="H29" s="137">
        <v>8.5</v>
      </c>
      <c r="I29" s="134"/>
      <c r="J29" s="137">
        <v>11.3</v>
      </c>
      <c r="K29" s="134"/>
      <c r="L29" s="136">
        <v>35</v>
      </c>
      <c r="M29" s="136"/>
      <c r="N29" s="159"/>
      <c r="O29" s="159"/>
      <c r="P29" s="136"/>
    </row>
    <row r="30" spans="1:17" ht="16.5" customHeight="1" x14ac:dyDescent="0.25">
      <c r="A30" s="156">
        <v>44313</v>
      </c>
      <c r="B30" s="136" t="s">
        <v>37</v>
      </c>
      <c r="C30" s="157" t="str">
        <f t="shared" si="0"/>
        <v>27.04.2021_KRE2</v>
      </c>
      <c r="D30" s="190">
        <f t="shared" si="1"/>
        <v>0</v>
      </c>
      <c r="E30" s="133">
        <v>8.2899999999999991</v>
      </c>
      <c r="F30" s="134"/>
      <c r="G30" s="135">
        <v>876</v>
      </c>
      <c r="H30" s="137">
        <v>6.3</v>
      </c>
      <c r="I30" s="134"/>
      <c r="J30" s="137">
        <v>12.7</v>
      </c>
      <c r="K30" s="134"/>
      <c r="L30" s="136">
        <v>45</v>
      </c>
      <c r="M30" s="136"/>
      <c r="N30" s="159"/>
      <c r="O30" s="159" t="s">
        <v>384</v>
      </c>
      <c r="P30" s="136"/>
    </row>
    <row r="31" spans="1:17" ht="16.5" customHeight="1" x14ac:dyDescent="0.25">
      <c r="A31" s="156">
        <v>44313</v>
      </c>
      <c r="B31" s="136" t="s">
        <v>30</v>
      </c>
      <c r="C31" s="157" t="str">
        <f t="shared" si="0"/>
        <v>27.04.2021_FAL1</v>
      </c>
      <c r="D31" s="190">
        <f t="shared" si="1"/>
        <v>0</v>
      </c>
      <c r="E31" s="133">
        <v>8.2899999999999991</v>
      </c>
      <c r="F31" s="134"/>
      <c r="G31" s="135">
        <v>746</v>
      </c>
      <c r="H31" s="137">
        <v>5.2</v>
      </c>
      <c r="I31" s="134"/>
      <c r="J31" s="137">
        <v>12.9</v>
      </c>
      <c r="K31" s="134"/>
      <c r="L31" s="136">
        <v>45</v>
      </c>
      <c r="M31" s="136"/>
      <c r="N31" s="159"/>
      <c r="O31" s="159"/>
      <c r="P31" s="136" t="s">
        <v>78</v>
      </c>
    </row>
    <row r="32" spans="1:17" ht="16.5" customHeight="1" x14ac:dyDescent="0.25">
      <c r="A32" s="156">
        <v>44313</v>
      </c>
      <c r="B32" s="136" t="s">
        <v>32</v>
      </c>
      <c r="C32" s="157" t="str">
        <f t="shared" si="0"/>
        <v>27.04.2021_FAL2</v>
      </c>
      <c r="D32" s="190">
        <f t="shared" si="1"/>
        <v>0</v>
      </c>
      <c r="E32" s="133">
        <v>8.7100000000000009</v>
      </c>
      <c r="F32" s="134"/>
      <c r="G32" s="135">
        <v>817</v>
      </c>
      <c r="H32" s="137">
        <v>6.2</v>
      </c>
      <c r="I32" s="134"/>
      <c r="J32" s="137">
        <v>15.2</v>
      </c>
      <c r="K32" s="134"/>
      <c r="L32" s="136">
        <v>70</v>
      </c>
      <c r="M32" s="136"/>
      <c r="N32" s="159"/>
      <c r="O32" s="159" t="s">
        <v>384</v>
      </c>
      <c r="P32" s="136"/>
    </row>
    <row r="33" spans="1:16" ht="16.5" customHeight="1" x14ac:dyDescent="0.25">
      <c r="A33" s="156">
        <v>44313</v>
      </c>
      <c r="B33" s="136" t="s">
        <v>26</v>
      </c>
      <c r="C33" s="157" t="str">
        <f t="shared" si="0"/>
        <v>27.04.2021_GRU1</v>
      </c>
      <c r="D33" s="190">
        <f t="shared" si="1"/>
        <v>0</v>
      </c>
      <c r="E33" s="133">
        <v>8.27</v>
      </c>
      <c r="F33" s="134"/>
      <c r="G33" s="135">
        <v>146.30000000000001</v>
      </c>
      <c r="H33" s="137">
        <v>12.5</v>
      </c>
      <c r="I33" s="134"/>
      <c r="J33" s="137">
        <v>9.4</v>
      </c>
      <c r="K33" s="134"/>
      <c r="L33" s="136">
        <v>35</v>
      </c>
      <c r="M33" s="136"/>
      <c r="N33" s="159"/>
      <c r="O33" s="159" t="s">
        <v>384</v>
      </c>
      <c r="P33" s="136"/>
    </row>
    <row r="34" spans="1:16" ht="16.5" customHeight="1" x14ac:dyDescent="0.25">
      <c r="A34" s="156">
        <v>44313</v>
      </c>
      <c r="B34" s="136" t="s">
        <v>9</v>
      </c>
      <c r="C34" s="157" t="str">
        <f t="shared" si="0"/>
        <v>27.04.2021_STE2</v>
      </c>
      <c r="D34" s="190">
        <f t="shared" si="1"/>
        <v>0</v>
      </c>
      <c r="E34" s="133">
        <v>8.36</v>
      </c>
      <c r="F34" s="134"/>
      <c r="G34" s="135">
        <v>343</v>
      </c>
      <c r="H34" s="137">
        <v>8.3000000000000007</v>
      </c>
      <c r="I34" s="134"/>
      <c r="J34" s="137">
        <v>7.4</v>
      </c>
      <c r="K34" s="134"/>
      <c r="L34" s="136">
        <v>30</v>
      </c>
      <c r="M34" s="136"/>
      <c r="N34" s="159"/>
      <c r="O34" s="159"/>
      <c r="P34" s="136"/>
    </row>
    <row r="35" spans="1:16" ht="16.5" customHeight="1" x14ac:dyDescent="0.25">
      <c r="A35" s="156">
        <v>44313</v>
      </c>
      <c r="B35" s="136" t="s">
        <v>28</v>
      </c>
      <c r="C35" s="157" t="str">
        <f t="shared" si="0"/>
        <v>27.04.2021_GRU2</v>
      </c>
      <c r="D35" s="190">
        <f t="shared" si="1"/>
        <v>0</v>
      </c>
      <c r="E35" s="133">
        <v>7.79</v>
      </c>
      <c r="F35" s="134"/>
      <c r="G35" s="135">
        <v>167.6</v>
      </c>
      <c r="H35" s="137">
        <v>11.4</v>
      </c>
      <c r="I35" s="134"/>
      <c r="J35" s="137">
        <v>9.6</v>
      </c>
      <c r="K35" s="134"/>
      <c r="L35" s="136">
        <v>45</v>
      </c>
      <c r="M35" s="136"/>
      <c r="N35" s="159"/>
      <c r="O35" s="159" t="s">
        <v>388</v>
      </c>
      <c r="P35" s="159"/>
    </row>
    <row r="36" spans="1:16" ht="16.5" customHeight="1" x14ac:dyDescent="0.25">
      <c r="A36" s="156">
        <v>44313</v>
      </c>
      <c r="B36" s="136" t="s">
        <v>10</v>
      </c>
      <c r="C36" s="157" t="str">
        <f t="shared" si="0"/>
        <v>27.04.2021_SAL1</v>
      </c>
      <c r="D36" s="190">
        <f t="shared" si="1"/>
        <v>0</v>
      </c>
      <c r="E36" s="133">
        <v>9.11</v>
      </c>
      <c r="F36" s="134"/>
      <c r="G36" s="135">
        <v>205</v>
      </c>
      <c r="H36" s="137">
        <v>12.1</v>
      </c>
      <c r="I36" s="134"/>
      <c r="J36" s="137">
        <v>7.9</v>
      </c>
      <c r="K36" s="134"/>
      <c r="L36" s="136">
        <v>50</v>
      </c>
      <c r="M36" s="136"/>
      <c r="N36" s="159"/>
      <c r="O36" s="159" t="s">
        <v>388</v>
      </c>
      <c r="P36" s="159"/>
    </row>
    <row r="37" spans="1:16" ht="16.5" customHeight="1" x14ac:dyDescent="0.25">
      <c r="A37" s="156">
        <v>44313</v>
      </c>
      <c r="B37" s="136" t="s">
        <v>22</v>
      </c>
      <c r="C37" s="157" t="str">
        <f t="shared" si="0"/>
        <v>27.04.2021_BIE1</v>
      </c>
      <c r="D37" s="190">
        <f t="shared" si="1"/>
        <v>0</v>
      </c>
      <c r="E37" s="133">
        <v>8.24</v>
      </c>
      <c r="F37" s="134"/>
      <c r="G37" s="135">
        <v>167.3</v>
      </c>
      <c r="H37" s="137">
        <v>11.8</v>
      </c>
      <c r="I37" s="134"/>
      <c r="J37" s="137">
        <v>8.6999999999999993</v>
      </c>
      <c r="K37" s="134"/>
      <c r="L37" s="136">
        <v>48</v>
      </c>
      <c r="M37" s="136"/>
      <c r="N37" s="159"/>
      <c r="O37" s="159"/>
      <c r="P37" s="136"/>
    </row>
    <row r="38" spans="1:16" ht="16.5" customHeight="1" x14ac:dyDescent="0.25">
      <c r="A38" s="156">
        <v>44313</v>
      </c>
      <c r="B38" s="136" t="s">
        <v>12</v>
      </c>
      <c r="C38" s="157" t="str">
        <f t="shared" si="0"/>
        <v>27.04.2021_SAL2</v>
      </c>
      <c r="D38" s="190">
        <f t="shared" si="1"/>
        <v>0</v>
      </c>
      <c r="E38" s="133">
        <v>9.3000000000000007</v>
      </c>
      <c r="F38" s="134"/>
      <c r="G38" s="135">
        <v>218</v>
      </c>
      <c r="H38" s="137">
        <v>13.2</v>
      </c>
      <c r="I38" s="134"/>
      <c r="J38" s="137">
        <v>9</v>
      </c>
      <c r="K38" s="134"/>
      <c r="L38" s="136">
        <v>45</v>
      </c>
      <c r="M38" s="136"/>
      <c r="N38" s="159"/>
      <c r="O38" s="159"/>
      <c r="P38" s="159" t="s">
        <v>272</v>
      </c>
    </row>
    <row r="39" spans="1:16" ht="16.5" customHeight="1" x14ac:dyDescent="0.25">
      <c r="A39" s="156">
        <v>44313</v>
      </c>
      <c r="B39" s="136" t="s">
        <v>14</v>
      </c>
      <c r="C39" s="157" t="str">
        <f t="shared" si="0"/>
        <v>27.04.2021_BRA1</v>
      </c>
      <c r="D39" s="190">
        <f t="shared" si="1"/>
        <v>0</v>
      </c>
      <c r="E39" s="133">
        <v>9.27</v>
      </c>
      <c r="F39" s="134"/>
      <c r="G39" s="135">
        <v>160.5</v>
      </c>
      <c r="H39" s="137">
        <v>11.8</v>
      </c>
      <c r="I39" s="134"/>
      <c r="J39" s="137">
        <v>12.8</v>
      </c>
      <c r="K39" s="134"/>
      <c r="L39" s="136">
        <v>28.000000000000004</v>
      </c>
      <c r="M39" s="136"/>
      <c r="N39" s="159"/>
      <c r="O39" s="159"/>
      <c r="P39" s="136"/>
    </row>
    <row r="40" spans="1:16" ht="16.5" customHeight="1" x14ac:dyDescent="0.25">
      <c r="A40" s="156">
        <v>44313</v>
      </c>
      <c r="B40" s="136" t="s">
        <v>25</v>
      </c>
      <c r="C40" s="157" t="str">
        <f t="shared" si="0"/>
        <v>27.04.2021_BIE2</v>
      </c>
      <c r="D40" s="190">
        <f t="shared" si="1"/>
        <v>0</v>
      </c>
      <c r="E40" s="133">
        <v>8.2200000000000006</v>
      </c>
      <c r="F40" s="134"/>
      <c r="G40" s="135">
        <v>160.5</v>
      </c>
      <c r="H40" s="137">
        <v>11.1</v>
      </c>
      <c r="I40" s="134"/>
      <c r="J40" s="137">
        <v>9.9</v>
      </c>
      <c r="K40" s="134"/>
      <c r="L40" s="136">
        <v>28.000000000000004</v>
      </c>
      <c r="M40" s="136"/>
      <c r="N40" s="159"/>
      <c r="O40" s="159"/>
      <c r="P40" s="136" t="s">
        <v>79</v>
      </c>
    </row>
    <row r="41" spans="1:16" ht="16.5" customHeight="1" x14ac:dyDescent="0.25">
      <c r="A41" s="156">
        <v>44313</v>
      </c>
      <c r="B41" s="136" t="s">
        <v>17</v>
      </c>
      <c r="C41" s="157" t="str">
        <f t="shared" si="0"/>
        <v>27.04.2021_BRA2</v>
      </c>
      <c r="D41" s="190">
        <f t="shared" si="1"/>
        <v>1</v>
      </c>
      <c r="E41" s="283"/>
      <c r="F41" s="161" t="s">
        <v>270</v>
      </c>
      <c r="G41" s="135">
        <v>183.1</v>
      </c>
      <c r="H41" s="137">
        <v>10.8</v>
      </c>
      <c r="I41" s="161"/>
      <c r="J41" s="137">
        <v>11.7</v>
      </c>
      <c r="K41" s="161"/>
      <c r="L41" s="136">
        <v>25</v>
      </c>
      <c r="M41" s="136"/>
      <c r="N41" s="159" t="s">
        <v>276</v>
      </c>
      <c r="O41" s="159"/>
      <c r="P41" s="136"/>
    </row>
    <row r="42" spans="1:16" ht="16.5" customHeight="1" x14ac:dyDescent="0.25">
      <c r="A42" s="156">
        <v>44313</v>
      </c>
      <c r="B42" s="136" t="s">
        <v>18</v>
      </c>
      <c r="C42" s="157" t="str">
        <f t="shared" si="0"/>
        <v>27.04.2021_ORB1</v>
      </c>
      <c r="D42" s="190">
        <f t="shared" si="1"/>
        <v>0</v>
      </c>
      <c r="E42" s="133">
        <v>7.73</v>
      </c>
      <c r="F42" s="134"/>
      <c r="G42" s="135">
        <v>107.2</v>
      </c>
      <c r="H42" s="137">
        <v>9.3000000000000007</v>
      </c>
      <c r="I42" s="134"/>
      <c r="J42" s="137">
        <v>12.2</v>
      </c>
      <c r="K42" s="134"/>
      <c r="L42" s="136">
        <v>10</v>
      </c>
      <c r="M42" s="136"/>
      <c r="N42" s="159"/>
      <c r="O42" s="159"/>
      <c r="P42" s="159" t="s">
        <v>387</v>
      </c>
    </row>
    <row r="43" spans="1:16" ht="16.5" customHeight="1" x14ac:dyDescent="0.25">
      <c r="A43" s="156">
        <v>44313</v>
      </c>
      <c r="B43" s="136" t="s">
        <v>21</v>
      </c>
      <c r="C43" s="157" t="str">
        <f t="shared" si="0"/>
        <v>27.04.2021_ORB2</v>
      </c>
      <c r="D43" s="190">
        <f t="shared" si="1"/>
        <v>0</v>
      </c>
      <c r="E43" s="133">
        <v>7.6</v>
      </c>
      <c r="F43" s="134"/>
      <c r="G43" s="135">
        <v>139.30000000000001</v>
      </c>
      <c r="H43" s="158">
        <v>8.1999999999999993</v>
      </c>
      <c r="I43" s="134"/>
      <c r="J43" s="137">
        <v>12.3</v>
      </c>
      <c r="K43" s="134"/>
      <c r="L43" s="136">
        <v>20</v>
      </c>
      <c r="M43" s="136"/>
      <c r="N43" s="159"/>
      <c r="O43" s="159"/>
      <c r="P43" s="136"/>
    </row>
    <row r="44" spans="1:16" ht="16.5" customHeight="1" x14ac:dyDescent="0.25">
      <c r="A44" s="156">
        <v>44327</v>
      </c>
      <c r="B44" s="136" t="s">
        <v>28</v>
      </c>
      <c r="C44" s="157" t="str">
        <f t="shared" si="0"/>
        <v>11.05.2021_GRU2</v>
      </c>
      <c r="D44" s="190">
        <f t="shared" si="1"/>
        <v>0</v>
      </c>
      <c r="E44" s="133">
        <v>7.7</v>
      </c>
      <c r="F44" s="134"/>
      <c r="G44" s="135">
        <v>185.3</v>
      </c>
      <c r="H44" s="137">
        <v>9.8000000000000007</v>
      </c>
      <c r="I44" s="134"/>
      <c r="J44" s="137">
        <v>13.9</v>
      </c>
      <c r="K44" s="134"/>
      <c r="L44" s="136">
        <v>43</v>
      </c>
      <c r="M44" s="136"/>
      <c r="N44" s="159"/>
      <c r="O44" s="159"/>
      <c r="P44" s="136"/>
    </row>
    <row r="45" spans="1:16" ht="16.5" customHeight="1" x14ac:dyDescent="0.25">
      <c r="A45" s="156">
        <v>44327</v>
      </c>
      <c r="B45" s="136" t="s">
        <v>0</v>
      </c>
      <c r="C45" s="157" t="str">
        <f t="shared" si="0"/>
        <v>11.05.2021_KIN1</v>
      </c>
      <c r="D45" s="190">
        <f t="shared" si="1"/>
        <v>0</v>
      </c>
      <c r="E45" s="133">
        <v>8.41</v>
      </c>
      <c r="F45" s="134"/>
      <c r="G45" s="135">
        <v>450</v>
      </c>
      <c r="H45" s="137">
        <v>10.4</v>
      </c>
      <c r="I45" s="134"/>
      <c r="J45" s="137">
        <v>13.3</v>
      </c>
      <c r="K45" s="134"/>
      <c r="L45" s="136">
        <v>40</v>
      </c>
      <c r="M45" s="136"/>
      <c r="N45" s="159"/>
      <c r="O45" s="159"/>
      <c r="P45" s="136"/>
    </row>
    <row r="46" spans="1:16" ht="16.5" customHeight="1" x14ac:dyDescent="0.25">
      <c r="A46" s="156">
        <v>44327</v>
      </c>
      <c r="B46" s="136" t="s">
        <v>2</v>
      </c>
      <c r="C46" s="157" t="str">
        <f t="shared" si="0"/>
        <v>11.05.2021_KIN2</v>
      </c>
      <c r="D46" s="190">
        <f t="shared" si="1"/>
        <v>0</v>
      </c>
      <c r="E46" s="133">
        <v>8.2799999999999994</v>
      </c>
      <c r="F46" s="134"/>
      <c r="G46" s="135">
        <v>513</v>
      </c>
      <c r="H46" s="137">
        <v>11</v>
      </c>
      <c r="I46" s="134"/>
      <c r="J46" s="137">
        <v>13.4</v>
      </c>
      <c r="K46" s="134"/>
      <c r="L46" s="136">
        <v>45</v>
      </c>
      <c r="M46" s="136"/>
      <c r="N46" s="159"/>
      <c r="O46" s="159"/>
      <c r="P46" s="136"/>
    </row>
    <row r="47" spans="1:16" ht="16.5" customHeight="1" x14ac:dyDescent="0.25">
      <c r="A47" s="156">
        <v>44327</v>
      </c>
      <c r="B47" s="136" t="s">
        <v>4</v>
      </c>
      <c r="C47" s="157" t="str">
        <f t="shared" si="0"/>
        <v>11.05.2021_KIN3</v>
      </c>
      <c r="D47" s="190">
        <f t="shared" si="1"/>
        <v>0</v>
      </c>
      <c r="E47" s="133">
        <v>8.39</v>
      </c>
      <c r="F47" s="134"/>
      <c r="G47" s="135">
        <v>496</v>
      </c>
      <c r="H47" s="137">
        <v>10.4</v>
      </c>
      <c r="I47" s="134"/>
      <c r="J47" s="137">
        <v>14.2</v>
      </c>
      <c r="K47" s="134"/>
      <c r="L47" s="136">
        <v>45</v>
      </c>
      <c r="M47" s="136"/>
      <c r="N47" s="159"/>
      <c r="O47" s="159"/>
      <c r="P47" s="136"/>
    </row>
    <row r="48" spans="1:16" ht="16.5" customHeight="1" x14ac:dyDescent="0.25">
      <c r="A48" s="156">
        <v>44327</v>
      </c>
      <c r="B48" s="136" t="s">
        <v>37</v>
      </c>
      <c r="C48" s="157" t="str">
        <f t="shared" si="0"/>
        <v>11.05.2021_KRE2</v>
      </c>
      <c r="D48" s="190">
        <f t="shared" si="1"/>
        <v>0</v>
      </c>
      <c r="E48" s="133">
        <v>8.0500000000000007</v>
      </c>
      <c r="F48" s="134"/>
      <c r="G48" s="135">
        <v>853</v>
      </c>
      <c r="H48" s="137">
        <v>7.9</v>
      </c>
      <c r="I48" s="134"/>
      <c r="J48" s="137">
        <v>14.7</v>
      </c>
      <c r="K48" s="134"/>
      <c r="L48" s="136">
        <v>45</v>
      </c>
      <c r="M48" s="136"/>
      <c r="N48" s="159"/>
      <c r="O48" s="159" t="s">
        <v>389</v>
      </c>
      <c r="P48" s="159"/>
    </row>
    <row r="49" spans="1:16" ht="16.5" customHeight="1" x14ac:dyDescent="0.25">
      <c r="A49" s="156">
        <v>44327</v>
      </c>
      <c r="B49" s="136" t="s">
        <v>6</v>
      </c>
      <c r="C49" s="157" t="str">
        <f t="shared" si="0"/>
        <v>11.05.2021_KIN4</v>
      </c>
      <c r="D49" s="190">
        <f t="shared" si="1"/>
        <v>0</v>
      </c>
      <c r="E49" s="133">
        <v>8.2100000000000009</v>
      </c>
      <c r="F49" s="134"/>
      <c r="G49" s="135">
        <v>580</v>
      </c>
      <c r="H49" s="137">
        <v>9.6</v>
      </c>
      <c r="I49" s="134"/>
      <c r="J49" s="137">
        <v>14.6</v>
      </c>
      <c r="K49" s="134"/>
      <c r="L49" s="136">
        <v>40</v>
      </c>
      <c r="M49" s="136"/>
      <c r="N49" s="159"/>
      <c r="O49" s="159"/>
      <c r="P49" s="136"/>
    </row>
    <row r="50" spans="1:16" ht="16.5" customHeight="1" x14ac:dyDescent="0.25">
      <c r="A50" s="156">
        <v>44327</v>
      </c>
      <c r="B50" s="136" t="s">
        <v>34</v>
      </c>
      <c r="C50" s="157" t="str">
        <f t="shared" si="0"/>
        <v>11.05.2021_KRE1</v>
      </c>
      <c r="D50" s="190">
        <f t="shared" si="1"/>
        <v>0</v>
      </c>
      <c r="E50" s="133">
        <v>8.2100000000000009</v>
      </c>
      <c r="F50" s="134"/>
      <c r="G50" s="135">
        <v>855</v>
      </c>
      <c r="H50" s="137">
        <v>9.3000000000000007</v>
      </c>
      <c r="I50" s="134"/>
      <c r="J50" s="137">
        <v>15.2</v>
      </c>
      <c r="K50" s="134"/>
      <c r="L50" s="136">
        <v>55.000000000000007</v>
      </c>
      <c r="M50" s="136"/>
      <c r="N50" s="159"/>
      <c r="O50" s="159"/>
      <c r="P50" s="136" t="s">
        <v>80</v>
      </c>
    </row>
    <row r="51" spans="1:16" ht="16.5" customHeight="1" x14ac:dyDescent="0.25">
      <c r="A51" s="156">
        <v>44327</v>
      </c>
      <c r="B51" s="136" t="s">
        <v>9</v>
      </c>
      <c r="C51" s="157" t="str">
        <f t="shared" si="0"/>
        <v>11.05.2021_STE2</v>
      </c>
      <c r="D51" s="190">
        <f t="shared" si="1"/>
        <v>0</v>
      </c>
      <c r="E51" s="133">
        <v>8.33</v>
      </c>
      <c r="F51" s="134"/>
      <c r="G51" s="135">
        <v>378</v>
      </c>
      <c r="H51" s="137">
        <v>8.8000000000000007</v>
      </c>
      <c r="I51" s="134"/>
      <c r="J51" s="137">
        <v>14.4</v>
      </c>
      <c r="K51" s="134"/>
      <c r="L51" s="136">
        <v>30</v>
      </c>
      <c r="M51" s="136"/>
      <c r="N51" s="159"/>
      <c r="O51" s="159"/>
      <c r="P51" s="136"/>
    </row>
    <row r="52" spans="1:16" ht="16.5" customHeight="1" x14ac:dyDescent="0.25">
      <c r="A52" s="156">
        <v>44327</v>
      </c>
      <c r="B52" s="136" t="s">
        <v>32</v>
      </c>
      <c r="C52" s="157" t="str">
        <f t="shared" si="0"/>
        <v>11.05.2021_FAL2</v>
      </c>
      <c r="D52" s="190">
        <f t="shared" si="1"/>
        <v>0</v>
      </c>
      <c r="E52" s="133">
        <v>8.44</v>
      </c>
      <c r="F52" s="134"/>
      <c r="G52" s="135">
        <v>822</v>
      </c>
      <c r="H52" s="137">
        <v>9.6</v>
      </c>
      <c r="I52" s="134"/>
      <c r="J52" s="137">
        <v>14.7</v>
      </c>
      <c r="K52" s="134"/>
      <c r="L52" s="136">
        <v>70</v>
      </c>
      <c r="M52" s="136"/>
      <c r="N52" s="159"/>
      <c r="O52" s="159"/>
      <c r="P52" s="136"/>
    </row>
    <row r="53" spans="1:16" ht="16.5" customHeight="1" x14ac:dyDescent="0.25">
      <c r="A53" s="156">
        <v>44327</v>
      </c>
      <c r="B53" s="136" t="s">
        <v>10</v>
      </c>
      <c r="C53" s="157" t="str">
        <f t="shared" si="0"/>
        <v>11.05.2021_SAL1</v>
      </c>
      <c r="D53" s="190">
        <f t="shared" si="1"/>
        <v>0</v>
      </c>
      <c r="E53" s="133">
        <v>8.59</v>
      </c>
      <c r="F53" s="134"/>
      <c r="G53" s="135">
        <v>228</v>
      </c>
      <c r="H53" s="137">
        <v>8.1</v>
      </c>
      <c r="I53" s="134"/>
      <c r="J53" s="137">
        <v>14.4</v>
      </c>
      <c r="K53" s="134"/>
      <c r="L53" s="136">
        <v>50</v>
      </c>
      <c r="M53" s="136"/>
      <c r="N53" s="159"/>
      <c r="O53" s="159"/>
      <c r="P53" s="136"/>
    </row>
    <row r="54" spans="1:16" ht="16.5" customHeight="1" x14ac:dyDescent="0.25">
      <c r="A54" s="156">
        <v>44327</v>
      </c>
      <c r="B54" s="136" t="s">
        <v>30</v>
      </c>
      <c r="C54" s="157" t="str">
        <f t="shared" si="0"/>
        <v>11.05.2021_FAL1</v>
      </c>
      <c r="D54" s="190">
        <f t="shared" si="1"/>
        <v>0</v>
      </c>
      <c r="E54" s="133">
        <v>8.1300000000000008</v>
      </c>
      <c r="F54" s="134"/>
      <c r="G54" s="135">
        <v>755</v>
      </c>
      <c r="H54" s="137">
        <v>9.3000000000000007</v>
      </c>
      <c r="I54" s="134"/>
      <c r="J54" s="137">
        <v>13.5</v>
      </c>
      <c r="K54" s="134"/>
      <c r="L54" s="136">
        <v>45</v>
      </c>
      <c r="M54" s="136"/>
      <c r="N54" s="159"/>
      <c r="O54" s="159" t="s">
        <v>388</v>
      </c>
      <c r="P54" s="136"/>
    </row>
    <row r="55" spans="1:16" ht="16.5" customHeight="1" x14ac:dyDescent="0.25">
      <c r="A55" s="156">
        <v>44327</v>
      </c>
      <c r="B55" s="136" t="s">
        <v>7</v>
      </c>
      <c r="C55" s="157" t="str">
        <f t="shared" si="0"/>
        <v>11.05.2021_STE1</v>
      </c>
      <c r="D55" s="190">
        <f t="shared" si="1"/>
        <v>0</v>
      </c>
      <c r="E55" s="133">
        <v>8.23</v>
      </c>
      <c r="F55" s="134"/>
      <c r="G55" s="135">
        <v>366</v>
      </c>
      <c r="H55" s="137">
        <v>9.1999999999999993</v>
      </c>
      <c r="I55" s="134"/>
      <c r="J55" s="137">
        <v>13.7</v>
      </c>
      <c r="K55" s="134"/>
      <c r="L55" s="136">
        <v>35</v>
      </c>
      <c r="M55" s="136"/>
      <c r="N55" s="159"/>
      <c r="O55" s="159" t="s">
        <v>388</v>
      </c>
      <c r="P55" s="136"/>
    </row>
    <row r="56" spans="1:16" ht="16.5" customHeight="1" x14ac:dyDescent="0.25">
      <c r="A56" s="156">
        <v>44327</v>
      </c>
      <c r="B56" s="136" t="s">
        <v>26</v>
      </c>
      <c r="C56" s="157" t="str">
        <f t="shared" si="0"/>
        <v>11.05.2021_GRU1</v>
      </c>
      <c r="D56" s="190">
        <f t="shared" si="1"/>
        <v>0</v>
      </c>
      <c r="E56" s="133">
        <v>7.73</v>
      </c>
      <c r="F56" s="134"/>
      <c r="G56" s="135">
        <v>164.2</v>
      </c>
      <c r="H56" s="137">
        <v>9.1</v>
      </c>
      <c r="I56" s="134"/>
      <c r="J56" s="137">
        <v>12</v>
      </c>
      <c r="K56" s="134"/>
      <c r="L56" s="136">
        <v>30</v>
      </c>
      <c r="M56" s="136"/>
      <c r="N56" s="159"/>
      <c r="O56" s="159"/>
      <c r="P56" s="136"/>
    </row>
    <row r="57" spans="1:16" ht="16.5" customHeight="1" x14ac:dyDescent="0.25">
      <c r="A57" s="156">
        <v>44327</v>
      </c>
      <c r="B57" s="136" t="s">
        <v>22</v>
      </c>
      <c r="C57" s="157" t="str">
        <f t="shared" si="0"/>
        <v>11.05.2021_BIE1</v>
      </c>
      <c r="D57" s="190">
        <f t="shared" si="1"/>
        <v>0</v>
      </c>
      <c r="E57" s="133">
        <v>8.1</v>
      </c>
      <c r="F57" s="134"/>
      <c r="G57" s="135">
        <v>166.7</v>
      </c>
      <c r="H57" s="137">
        <v>9.9</v>
      </c>
      <c r="I57" s="134"/>
      <c r="J57" s="137">
        <v>13.1</v>
      </c>
      <c r="K57" s="134"/>
      <c r="L57" s="136">
        <v>40</v>
      </c>
      <c r="M57" s="136"/>
      <c r="N57" s="159"/>
      <c r="O57" s="159"/>
      <c r="P57" s="136" t="s">
        <v>81</v>
      </c>
    </row>
    <row r="58" spans="1:16" ht="16.5" customHeight="1" x14ac:dyDescent="0.25">
      <c r="A58" s="156">
        <v>44327</v>
      </c>
      <c r="B58" s="136" t="s">
        <v>25</v>
      </c>
      <c r="C58" s="157" t="str">
        <f t="shared" si="0"/>
        <v>11.05.2021_BIE2</v>
      </c>
      <c r="D58" s="190">
        <f t="shared" si="1"/>
        <v>0</v>
      </c>
      <c r="E58" s="133">
        <v>8.1199999999999992</v>
      </c>
      <c r="F58" s="134"/>
      <c r="G58" s="135">
        <v>171.9</v>
      </c>
      <c r="H58" s="137">
        <v>10</v>
      </c>
      <c r="I58" s="134"/>
      <c r="J58" s="137">
        <v>11.5</v>
      </c>
      <c r="K58" s="134"/>
      <c r="L58" s="136">
        <v>38</v>
      </c>
      <c r="M58" s="136"/>
      <c r="N58" s="159"/>
      <c r="O58" s="159"/>
      <c r="P58" s="136"/>
    </row>
    <row r="59" spans="1:16" ht="16.5" customHeight="1" x14ac:dyDescent="0.25">
      <c r="A59" s="156">
        <v>44327</v>
      </c>
      <c r="B59" s="136" t="s">
        <v>14</v>
      </c>
      <c r="C59" s="157" t="str">
        <f t="shared" si="0"/>
        <v>11.05.2021_BRA1</v>
      </c>
      <c r="D59" s="190">
        <f t="shared" si="1"/>
        <v>0</v>
      </c>
      <c r="E59" s="133">
        <v>8.32</v>
      </c>
      <c r="F59" s="134"/>
      <c r="G59" s="135">
        <v>185.3</v>
      </c>
      <c r="H59" s="137">
        <v>9.5</v>
      </c>
      <c r="I59" s="134"/>
      <c r="J59" s="137">
        <v>13.7</v>
      </c>
      <c r="K59" s="134"/>
      <c r="L59" s="136">
        <v>25</v>
      </c>
      <c r="M59" s="136"/>
      <c r="N59" s="159"/>
      <c r="O59" s="159" t="s">
        <v>388</v>
      </c>
      <c r="P59" s="159" t="s">
        <v>83</v>
      </c>
    </row>
    <row r="60" spans="1:16" ht="16.5" customHeight="1" x14ac:dyDescent="0.25">
      <c r="A60" s="156">
        <v>44327</v>
      </c>
      <c r="B60" s="136" t="s">
        <v>17</v>
      </c>
      <c r="C60" s="157" t="str">
        <f t="shared" si="0"/>
        <v>11.05.2021_BRA2</v>
      </c>
      <c r="D60" s="190">
        <f t="shared" si="1"/>
        <v>0</v>
      </c>
      <c r="E60" s="133">
        <v>8.42</v>
      </c>
      <c r="F60" s="134"/>
      <c r="G60" s="135">
        <v>219</v>
      </c>
      <c r="H60" s="137">
        <v>9.4</v>
      </c>
      <c r="I60" s="134"/>
      <c r="J60" s="137">
        <v>13.2</v>
      </c>
      <c r="K60" s="134"/>
      <c r="L60" s="136">
        <v>20</v>
      </c>
      <c r="M60" s="136"/>
      <c r="N60" s="159"/>
      <c r="O60" s="159"/>
      <c r="P60" s="136"/>
    </row>
    <row r="61" spans="1:16" ht="16.5" customHeight="1" x14ac:dyDescent="0.25">
      <c r="A61" s="156">
        <v>44327</v>
      </c>
      <c r="B61" s="136" t="s">
        <v>18</v>
      </c>
      <c r="C61" s="157" t="str">
        <f t="shared" si="0"/>
        <v>11.05.2021_ORB1</v>
      </c>
      <c r="D61" s="190">
        <f t="shared" si="1"/>
        <v>0</v>
      </c>
      <c r="E61" s="133">
        <v>7.72</v>
      </c>
      <c r="F61" s="134"/>
      <c r="G61" s="135">
        <v>136</v>
      </c>
      <c r="H61" s="158">
        <v>10.1</v>
      </c>
      <c r="I61" s="134"/>
      <c r="J61" s="137">
        <v>11.3</v>
      </c>
      <c r="K61" s="134"/>
      <c r="L61" s="136">
        <v>10</v>
      </c>
      <c r="M61" s="136"/>
      <c r="N61" s="159"/>
      <c r="O61" s="159"/>
      <c r="P61" s="136"/>
    </row>
    <row r="62" spans="1:16" ht="16.5" customHeight="1" x14ac:dyDescent="0.25">
      <c r="A62" s="156">
        <v>44327</v>
      </c>
      <c r="B62" s="136" t="s">
        <v>21</v>
      </c>
      <c r="C62" s="157" t="str">
        <f t="shared" si="0"/>
        <v>11.05.2021_ORB2</v>
      </c>
      <c r="D62" s="190">
        <f t="shared" si="1"/>
        <v>0</v>
      </c>
      <c r="E62" s="133">
        <v>7.45</v>
      </c>
      <c r="F62" s="134"/>
      <c r="G62" s="135">
        <v>177</v>
      </c>
      <c r="H62" s="137">
        <v>9.4</v>
      </c>
      <c r="I62" s="134"/>
      <c r="J62" s="137">
        <v>12.8</v>
      </c>
      <c r="K62" s="134"/>
      <c r="L62" s="136">
        <v>20</v>
      </c>
      <c r="M62" s="136"/>
      <c r="N62" s="159"/>
      <c r="O62" s="159"/>
      <c r="P62" s="136"/>
    </row>
    <row r="63" spans="1:16" ht="16.5" customHeight="1" x14ac:dyDescent="0.25">
      <c r="A63" s="156">
        <v>44327</v>
      </c>
      <c r="B63" s="136" t="s">
        <v>12</v>
      </c>
      <c r="C63" s="157" t="str">
        <f t="shared" si="0"/>
        <v>11.05.2021_SAL2</v>
      </c>
      <c r="D63" s="190">
        <f t="shared" si="1"/>
        <v>0</v>
      </c>
      <c r="E63" s="133">
        <v>8.3800000000000008</v>
      </c>
      <c r="F63" s="134"/>
      <c r="G63" s="135">
        <v>253</v>
      </c>
      <c r="H63" s="137">
        <v>8.8000000000000007</v>
      </c>
      <c r="I63" s="134"/>
      <c r="J63" s="137">
        <v>14.7</v>
      </c>
      <c r="K63" s="134"/>
      <c r="L63" s="136">
        <v>45</v>
      </c>
      <c r="M63" s="136"/>
      <c r="N63" s="159"/>
      <c r="O63" s="159"/>
      <c r="P63" s="136"/>
    </row>
    <row r="64" spans="1:16" ht="16.5" customHeight="1" x14ac:dyDescent="0.25">
      <c r="A64" s="156">
        <v>44341</v>
      </c>
      <c r="B64" s="136" t="s">
        <v>0</v>
      </c>
      <c r="C64" s="157" t="str">
        <f t="shared" si="0"/>
        <v>25.05.2021_KIN1</v>
      </c>
      <c r="D64" s="190">
        <f t="shared" si="1"/>
        <v>0</v>
      </c>
      <c r="E64" s="133">
        <v>8.2799999999999994</v>
      </c>
      <c r="F64" s="134"/>
      <c r="G64" s="135">
        <v>413</v>
      </c>
      <c r="H64" s="137">
        <v>10.6</v>
      </c>
      <c r="I64" s="134"/>
      <c r="J64" s="137">
        <v>9.8000000000000007</v>
      </c>
      <c r="K64" s="134"/>
      <c r="L64" s="136">
        <v>28.000000000000004</v>
      </c>
      <c r="M64" s="136"/>
      <c r="N64" s="159"/>
      <c r="O64" s="159"/>
      <c r="P64" s="136"/>
    </row>
    <row r="65" spans="1:16" ht="16.5" customHeight="1" x14ac:dyDescent="0.25">
      <c r="A65" s="156">
        <v>44341</v>
      </c>
      <c r="B65" s="136" t="s">
        <v>2</v>
      </c>
      <c r="C65" s="157" t="str">
        <f t="shared" si="0"/>
        <v>25.05.2021_KIN2</v>
      </c>
      <c r="D65" s="190">
        <f t="shared" si="1"/>
        <v>0</v>
      </c>
      <c r="E65" s="133">
        <v>8.2100000000000009</v>
      </c>
      <c r="F65" s="134"/>
      <c r="G65" s="135">
        <v>469</v>
      </c>
      <c r="H65" s="137">
        <v>12</v>
      </c>
      <c r="I65" s="134"/>
      <c r="J65" s="137">
        <v>10.6</v>
      </c>
      <c r="K65" s="134"/>
      <c r="L65" s="136">
        <v>45</v>
      </c>
      <c r="M65" s="136"/>
      <c r="N65" s="159"/>
      <c r="O65" s="159"/>
      <c r="P65" s="136"/>
    </row>
    <row r="66" spans="1:16" ht="16.5" customHeight="1" x14ac:dyDescent="0.25">
      <c r="A66" s="156">
        <v>44341</v>
      </c>
      <c r="B66" s="136" t="s">
        <v>37</v>
      </c>
      <c r="C66" s="157" t="str">
        <f t="shared" si="0"/>
        <v>25.05.2021_KRE2</v>
      </c>
      <c r="D66" s="190">
        <f t="shared" si="1"/>
        <v>0</v>
      </c>
      <c r="E66" s="133">
        <v>8.01</v>
      </c>
      <c r="F66" s="134"/>
      <c r="G66" s="135">
        <v>786</v>
      </c>
      <c r="H66" s="137">
        <v>9.9</v>
      </c>
      <c r="I66" s="134"/>
      <c r="J66" s="137">
        <v>12.1</v>
      </c>
      <c r="K66" s="134"/>
      <c r="L66" s="136">
        <v>40</v>
      </c>
      <c r="M66" s="136"/>
      <c r="N66" s="159"/>
      <c r="O66" s="159" t="s">
        <v>388</v>
      </c>
      <c r="P66" s="136"/>
    </row>
    <row r="67" spans="1:16" ht="16.5" customHeight="1" x14ac:dyDescent="0.25">
      <c r="A67" s="156">
        <v>44341</v>
      </c>
      <c r="B67" s="136" t="s">
        <v>4</v>
      </c>
      <c r="C67" s="157" t="str">
        <f t="shared" si="0"/>
        <v>25.05.2021_KIN3</v>
      </c>
      <c r="D67" s="190">
        <f t="shared" si="1"/>
        <v>0</v>
      </c>
      <c r="E67" s="133">
        <v>8.32</v>
      </c>
      <c r="F67" s="134"/>
      <c r="G67" s="135">
        <v>448</v>
      </c>
      <c r="H67" s="137">
        <v>11</v>
      </c>
      <c r="I67" s="134"/>
      <c r="J67" s="137">
        <v>11.5</v>
      </c>
      <c r="K67" s="134"/>
      <c r="L67" s="136">
        <v>45</v>
      </c>
      <c r="M67" s="136"/>
      <c r="N67" s="159"/>
      <c r="O67" s="159"/>
      <c r="P67" s="136"/>
    </row>
    <row r="68" spans="1:16" ht="16.5" customHeight="1" x14ac:dyDescent="0.25">
      <c r="A68" s="156">
        <v>44341</v>
      </c>
      <c r="B68" s="136" t="s">
        <v>6</v>
      </c>
      <c r="C68" s="157" t="str">
        <f t="shared" si="0"/>
        <v>25.05.2021_KIN4</v>
      </c>
      <c r="D68" s="190">
        <f t="shared" si="1"/>
        <v>0</v>
      </c>
      <c r="E68" s="133">
        <v>8.2200000000000006</v>
      </c>
      <c r="F68" s="134"/>
      <c r="G68" s="135">
        <v>491</v>
      </c>
      <c r="H68" s="137">
        <v>10.5</v>
      </c>
      <c r="I68" s="134"/>
      <c r="J68" s="137">
        <v>11.3</v>
      </c>
      <c r="K68" s="134"/>
      <c r="L68" s="136">
        <v>45</v>
      </c>
      <c r="M68" s="136"/>
      <c r="N68" s="159"/>
      <c r="O68" s="159"/>
      <c r="P68" s="136"/>
    </row>
    <row r="69" spans="1:16" ht="16.5" customHeight="1" x14ac:dyDescent="0.25">
      <c r="A69" s="156">
        <v>44341</v>
      </c>
      <c r="B69" s="136" t="s">
        <v>34</v>
      </c>
      <c r="C69" s="157" t="str">
        <f t="shared" ref="C69:C132" si="2">CONCATENATE(TEXT(A69,"TT.MM.JJJJ"),"_",B69)</f>
        <v>25.05.2021_KRE1</v>
      </c>
      <c r="D69" s="190">
        <f t="shared" ref="D69:D132" si="3">COUNTBLANK(E69)+COUNTBLANK(G69:H69)+COUNTBLANK(J69)+COUNTBLANK(L69)</f>
        <v>0</v>
      </c>
      <c r="E69" s="133">
        <v>8.02</v>
      </c>
      <c r="F69" s="134"/>
      <c r="G69" s="135">
        <v>855</v>
      </c>
      <c r="H69" s="137">
        <v>12.3</v>
      </c>
      <c r="I69" s="134"/>
      <c r="J69" s="137">
        <v>13.1</v>
      </c>
      <c r="K69" s="134"/>
      <c r="L69" s="136">
        <v>57.999999999999993</v>
      </c>
      <c r="M69" s="136"/>
      <c r="N69" s="159"/>
      <c r="O69" s="159"/>
      <c r="P69" s="136"/>
    </row>
    <row r="70" spans="1:16" ht="16.5" customHeight="1" x14ac:dyDescent="0.25">
      <c r="A70" s="156">
        <v>44341</v>
      </c>
      <c r="B70" s="136" t="s">
        <v>7</v>
      </c>
      <c r="C70" s="157" t="str">
        <f t="shared" si="2"/>
        <v>25.05.2021_STE1</v>
      </c>
      <c r="D70" s="190">
        <f t="shared" si="3"/>
        <v>0</v>
      </c>
      <c r="E70" s="133">
        <v>8.2899999999999991</v>
      </c>
      <c r="F70" s="134"/>
      <c r="G70" s="135">
        <v>275</v>
      </c>
      <c r="H70" s="137">
        <v>11.7</v>
      </c>
      <c r="I70" s="134"/>
      <c r="J70" s="137">
        <v>11.1</v>
      </c>
      <c r="K70" s="134"/>
      <c r="L70" s="136">
        <v>38</v>
      </c>
      <c r="M70" s="136"/>
      <c r="N70" s="159"/>
      <c r="O70" s="159"/>
      <c r="P70" s="136"/>
    </row>
    <row r="71" spans="1:16" ht="16.5" customHeight="1" x14ac:dyDescent="0.25">
      <c r="A71" s="156">
        <v>44341</v>
      </c>
      <c r="B71" s="136" t="s">
        <v>12</v>
      </c>
      <c r="C71" s="157" t="str">
        <f t="shared" si="2"/>
        <v>25.05.2021_SAL2</v>
      </c>
      <c r="D71" s="190">
        <f t="shared" si="3"/>
        <v>0</v>
      </c>
      <c r="E71" s="133">
        <v>7.93</v>
      </c>
      <c r="F71" s="134"/>
      <c r="G71" s="135">
        <v>197</v>
      </c>
      <c r="H71" s="137">
        <v>9.1999999999999993</v>
      </c>
      <c r="I71" s="134"/>
      <c r="J71" s="137">
        <v>11.3</v>
      </c>
      <c r="K71" s="134"/>
      <c r="L71" s="136">
        <v>30</v>
      </c>
      <c r="M71" s="136"/>
      <c r="N71" s="159"/>
      <c r="O71" s="159" t="s">
        <v>388</v>
      </c>
      <c r="P71" s="136"/>
    </row>
    <row r="72" spans="1:16" ht="16.5" customHeight="1" x14ac:dyDescent="0.25">
      <c r="A72" s="156">
        <v>44341</v>
      </c>
      <c r="B72" s="136" t="s">
        <v>32</v>
      </c>
      <c r="C72" s="157" t="str">
        <f t="shared" si="2"/>
        <v>25.05.2021_FAL2</v>
      </c>
      <c r="D72" s="190">
        <f t="shared" si="3"/>
        <v>0</v>
      </c>
      <c r="E72" s="133">
        <v>8.42</v>
      </c>
      <c r="F72" s="134"/>
      <c r="G72" s="135">
        <v>807</v>
      </c>
      <c r="H72" s="137">
        <v>13.5</v>
      </c>
      <c r="I72" s="134"/>
      <c r="J72" s="137">
        <v>12.7</v>
      </c>
      <c r="K72" s="134"/>
      <c r="L72" s="136">
        <v>75</v>
      </c>
      <c r="M72" s="136"/>
      <c r="N72" s="159"/>
      <c r="O72" s="159"/>
      <c r="P72" s="136" t="s">
        <v>82</v>
      </c>
    </row>
    <row r="73" spans="1:16" ht="16.5" customHeight="1" x14ac:dyDescent="0.25">
      <c r="A73" s="156">
        <v>44341</v>
      </c>
      <c r="B73" s="136" t="s">
        <v>9</v>
      </c>
      <c r="C73" s="157" t="str">
        <f t="shared" si="2"/>
        <v>25.05.2021_STE2</v>
      </c>
      <c r="D73" s="190">
        <f t="shared" si="3"/>
        <v>0</v>
      </c>
      <c r="E73" s="133">
        <v>8.36</v>
      </c>
      <c r="F73" s="134"/>
      <c r="G73" s="135">
        <v>288</v>
      </c>
      <c r="H73" s="137">
        <v>12.1</v>
      </c>
      <c r="I73" s="134"/>
      <c r="J73" s="137">
        <v>11.5</v>
      </c>
      <c r="K73" s="134"/>
      <c r="L73" s="136">
        <v>30</v>
      </c>
      <c r="M73" s="136"/>
      <c r="N73" s="159"/>
      <c r="O73" s="159"/>
      <c r="P73" s="136"/>
    </row>
    <row r="74" spans="1:16" ht="16.5" customHeight="1" x14ac:dyDescent="0.25">
      <c r="A74" s="156">
        <v>44341</v>
      </c>
      <c r="B74" s="136" t="s">
        <v>30</v>
      </c>
      <c r="C74" s="157" t="str">
        <f t="shared" si="2"/>
        <v>25.05.2021_FAL1</v>
      </c>
      <c r="D74" s="190">
        <f t="shared" si="3"/>
        <v>0</v>
      </c>
      <c r="E74" s="133">
        <v>8.0399999999999991</v>
      </c>
      <c r="F74" s="134"/>
      <c r="G74" s="135">
        <v>806</v>
      </c>
      <c r="H74" s="137">
        <v>12.7</v>
      </c>
      <c r="I74" s="134"/>
      <c r="J74" s="137">
        <v>11.8</v>
      </c>
      <c r="K74" s="134"/>
      <c r="L74" s="136">
        <v>46</v>
      </c>
      <c r="M74" s="136"/>
      <c r="N74" s="159"/>
      <c r="O74" s="159"/>
      <c r="P74" s="136"/>
    </row>
    <row r="75" spans="1:16" ht="16.5" customHeight="1" x14ac:dyDescent="0.25">
      <c r="A75" s="156">
        <v>44341</v>
      </c>
      <c r="B75" s="136" t="s">
        <v>10</v>
      </c>
      <c r="C75" s="157" t="str">
        <f t="shared" si="2"/>
        <v>25.05.2021_SAL1</v>
      </c>
      <c r="D75" s="190">
        <f t="shared" si="3"/>
        <v>0</v>
      </c>
      <c r="E75" s="133">
        <v>8.09</v>
      </c>
      <c r="F75" s="134"/>
      <c r="G75" s="135">
        <v>192</v>
      </c>
      <c r="H75" s="137">
        <v>9.5</v>
      </c>
      <c r="I75" s="134"/>
      <c r="J75" s="137">
        <v>11.4</v>
      </c>
      <c r="K75" s="134"/>
      <c r="L75" s="136">
        <v>35</v>
      </c>
      <c r="M75" s="136"/>
      <c r="N75" s="159"/>
      <c r="O75" s="159"/>
      <c r="P75" s="136"/>
    </row>
    <row r="76" spans="1:16" ht="16.5" customHeight="1" x14ac:dyDescent="0.25">
      <c r="A76" s="156">
        <v>44341</v>
      </c>
      <c r="B76" s="136" t="s">
        <v>28</v>
      </c>
      <c r="C76" s="157" t="str">
        <f t="shared" si="2"/>
        <v>25.05.2021_GRU2</v>
      </c>
      <c r="D76" s="190">
        <f t="shared" si="3"/>
        <v>0</v>
      </c>
      <c r="E76" s="133">
        <v>7.53</v>
      </c>
      <c r="F76" s="134"/>
      <c r="G76" s="135">
        <v>167.6</v>
      </c>
      <c r="H76" s="137">
        <v>14.2</v>
      </c>
      <c r="I76" s="134"/>
      <c r="J76" s="137">
        <v>11.7</v>
      </c>
      <c r="K76" s="134"/>
      <c r="L76" s="136">
        <v>46</v>
      </c>
      <c r="M76" s="136"/>
      <c r="N76" s="159"/>
      <c r="O76" s="159"/>
      <c r="P76" s="136"/>
    </row>
    <row r="77" spans="1:16" ht="16.5" customHeight="1" x14ac:dyDescent="0.25">
      <c r="A77" s="156">
        <v>44341</v>
      </c>
      <c r="B77" s="136" t="s">
        <v>26</v>
      </c>
      <c r="C77" s="157" t="str">
        <f t="shared" si="2"/>
        <v>25.05.2021_GRU1</v>
      </c>
      <c r="D77" s="190">
        <f t="shared" si="3"/>
        <v>0</v>
      </c>
      <c r="E77" s="133">
        <v>7.68</v>
      </c>
      <c r="F77" s="134"/>
      <c r="G77" s="135">
        <v>147.80000000000001</v>
      </c>
      <c r="H77" s="137">
        <v>13.3</v>
      </c>
      <c r="I77" s="134"/>
      <c r="J77" s="137">
        <v>11.4</v>
      </c>
      <c r="K77" s="134"/>
      <c r="L77" s="136">
        <v>40</v>
      </c>
      <c r="M77" s="136"/>
      <c r="N77" s="159"/>
      <c r="O77" s="159"/>
      <c r="P77" s="136"/>
    </row>
    <row r="78" spans="1:16" ht="16.5" customHeight="1" x14ac:dyDescent="0.25">
      <c r="A78" s="156">
        <v>44341</v>
      </c>
      <c r="B78" s="136" t="s">
        <v>22</v>
      </c>
      <c r="C78" s="157" t="str">
        <f t="shared" si="2"/>
        <v>25.05.2021_BIE1</v>
      </c>
      <c r="D78" s="190">
        <f t="shared" si="3"/>
        <v>0</v>
      </c>
      <c r="E78" s="133">
        <v>7.85</v>
      </c>
      <c r="F78" s="134"/>
      <c r="G78" s="135">
        <v>150.30000000000001</v>
      </c>
      <c r="H78" s="137">
        <v>13.3</v>
      </c>
      <c r="I78" s="134"/>
      <c r="J78" s="137">
        <v>9.8000000000000007</v>
      </c>
      <c r="K78" s="134"/>
      <c r="L78" s="136">
        <v>48</v>
      </c>
      <c r="M78" s="136"/>
      <c r="N78" s="159"/>
      <c r="O78" s="159"/>
      <c r="P78" s="136"/>
    </row>
    <row r="79" spans="1:16" ht="16.5" customHeight="1" x14ac:dyDescent="0.25">
      <c r="A79" s="156">
        <v>44341</v>
      </c>
      <c r="B79" s="136" t="s">
        <v>17</v>
      </c>
      <c r="C79" s="157" t="str">
        <f t="shared" si="2"/>
        <v>25.05.2021_BRA2</v>
      </c>
      <c r="D79" s="190">
        <f t="shared" si="3"/>
        <v>0</v>
      </c>
      <c r="E79" s="133">
        <v>7.86</v>
      </c>
      <c r="F79" s="134"/>
      <c r="G79" s="135">
        <v>157.4</v>
      </c>
      <c r="H79" s="137">
        <v>8.1</v>
      </c>
      <c r="I79" s="134"/>
      <c r="J79" s="137">
        <v>9.4</v>
      </c>
      <c r="K79" s="134"/>
      <c r="L79" s="136">
        <v>35</v>
      </c>
      <c r="M79" s="136"/>
      <c r="N79" s="159"/>
      <c r="O79" s="159" t="s">
        <v>388</v>
      </c>
      <c r="P79" s="136"/>
    </row>
    <row r="80" spans="1:16" ht="16.5" customHeight="1" x14ac:dyDescent="0.25">
      <c r="A80" s="156">
        <v>44341</v>
      </c>
      <c r="B80" s="136" t="s">
        <v>25</v>
      </c>
      <c r="C80" s="157" t="str">
        <f t="shared" si="2"/>
        <v>25.05.2021_BIE2</v>
      </c>
      <c r="D80" s="190">
        <f t="shared" si="3"/>
        <v>0</v>
      </c>
      <c r="E80" s="133">
        <v>7.88</v>
      </c>
      <c r="F80" s="134"/>
      <c r="G80" s="135">
        <v>159.6</v>
      </c>
      <c r="H80" s="137">
        <v>10.5</v>
      </c>
      <c r="I80" s="134"/>
      <c r="J80" s="137">
        <v>9.9</v>
      </c>
      <c r="K80" s="134"/>
      <c r="L80" s="136">
        <v>55.000000000000007</v>
      </c>
      <c r="M80" s="136"/>
      <c r="N80" s="159"/>
      <c r="O80" s="159" t="s">
        <v>388</v>
      </c>
      <c r="P80" s="136"/>
    </row>
    <row r="81" spans="1:16" ht="16.5" customHeight="1" x14ac:dyDescent="0.25">
      <c r="A81" s="156">
        <v>44341</v>
      </c>
      <c r="B81" s="136" t="s">
        <v>14</v>
      </c>
      <c r="C81" s="157" t="str">
        <f t="shared" si="2"/>
        <v>25.05.2021_BRA1</v>
      </c>
      <c r="D81" s="190">
        <f t="shared" si="3"/>
        <v>0</v>
      </c>
      <c r="E81" s="133">
        <v>7.56</v>
      </c>
      <c r="F81" s="134"/>
      <c r="G81" s="135">
        <v>148.1</v>
      </c>
      <c r="H81" s="137">
        <v>8.6999999999999993</v>
      </c>
      <c r="I81" s="134"/>
      <c r="J81" s="137">
        <v>9.1</v>
      </c>
      <c r="K81" s="134"/>
      <c r="L81" s="136">
        <v>35</v>
      </c>
      <c r="M81" s="136"/>
      <c r="N81" s="159"/>
      <c r="O81" s="159"/>
      <c r="P81" s="136"/>
    </row>
    <row r="82" spans="1:16" ht="16.5" customHeight="1" x14ac:dyDescent="0.25">
      <c r="A82" s="156">
        <v>44341</v>
      </c>
      <c r="B82" s="136" t="s">
        <v>18</v>
      </c>
      <c r="C82" s="157" t="str">
        <f t="shared" si="2"/>
        <v>25.05.2021_ORB1</v>
      </c>
      <c r="D82" s="190">
        <f t="shared" si="3"/>
        <v>0</v>
      </c>
      <c r="E82" s="133">
        <v>7.6</v>
      </c>
      <c r="F82" s="134"/>
      <c r="G82" s="135">
        <v>122</v>
      </c>
      <c r="H82" s="137">
        <v>9.5</v>
      </c>
      <c r="I82" s="134"/>
      <c r="J82" s="137">
        <v>10.8</v>
      </c>
      <c r="K82" s="134"/>
      <c r="L82" s="136">
        <v>10</v>
      </c>
      <c r="M82" s="136"/>
      <c r="N82" s="159"/>
      <c r="O82" s="159"/>
      <c r="P82" s="136"/>
    </row>
    <row r="83" spans="1:16" ht="16.5" customHeight="1" x14ac:dyDescent="0.25">
      <c r="A83" s="156">
        <v>44341</v>
      </c>
      <c r="B83" s="136" t="s">
        <v>21</v>
      </c>
      <c r="C83" s="157" t="str">
        <f t="shared" si="2"/>
        <v>25.05.2021_ORB2</v>
      </c>
      <c r="D83" s="190">
        <f t="shared" si="3"/>
        <v>0</v>
      </c>
      <c r="E83" s="133">
        <v>7.45</v>
      </c>
      <c r="F83" s="134"/>
      <c r="G83" s="135">
        <v>142</v>
      </c>
      <c r="H83" s="137">
        <v>8.6</v>
      </c>
      <c r="I83" s="134"/>
      <c r="J83" s="137">
        <v>11.5</v>
      </c>
      <c r="K83" s="134"/>
      <c r="L83" s="136">
        <v>25</v>
      </c>
      <c r="M83" s="136"/>
      <c r="N83" s="159"/>
      <c r="O83" s="159"/>
      <c r="P83" s="136" t="s">
        <v>83</v>
      </c>
    </row>
    <row r="84" spans="1:16" ht="16.5" customHeight="1" x14ac:dyDescent="0.25">
      <c r="A84" s="156">
        <v>44355</v>
      </c>
      <c r="B84" s="136" t="s">
        <v>21</v>
      </c>
      <c r="C84" s="157" t="str">
        <f t="shared" si="2"/>
        <v>08.06.2021_ORB2</v>
      </c>
      <c r="D84" s="190">
        <f t="shared" si="3"/>
        <v>0</v>
      </c>
      <c r="E84" s="133">
        <v>7.33</v>
      </c>
      <c r="F84" s="134"/>
      <c r="G84" s="135">
        <v>140.5</v>
      </c>
      <c r="H84" s="137">
        <v>8.8000000000000007</v>
      </c>
      <c r="I84" s="134"/>
      <c r="J84" s="137">
        <v>14.1</v>
      </c>
      <c r="K84" s="134"/>
      <c r="L84" s="136">
        <v>35</v>
      </c>
      <c r="M84" s="136"/>
      <c r="N84" s="159"/>
      <c r="O84" s="159"/>
      <c r="P84" s="136"/>
    </row>
    <row r="85" spans="1:16" ht="16.5" customHeight="1" x14ac:dyDescent="0.25">
      <c r="A85" s="156">
        <v>44355</v>
      </c>
      <c r="B85" s="136" t="s">
        <v>37</v>
      </c>
      <c r="C85" s="157" t="str">
        <f t="shared" si="2"/>
        <v>08.06.2021_KRE2</v>
      </c>
      <c r="D85" s="190">
        <f t="shared" si="3"/>
        <v>0</v>
      </c>
      <c r="E85" s="133">
        <v>7.9</v>
      </c>
      <c r="F85" s="134"/>
      <c r="G85" s="135">
        <v>714</v>
      </c>
      <c r="H85" s="137">
        <v>7.4</v>
      </c>
      <c r="I85" s="134"/>
      <c r="J85" s="137">
        <v>16.7</v>
      </c>
      <c r="K85" s="134"/>
      <c r="L85" s="136">
        <v>55.000000000000007</v>
      </c>
      <c r="M85" s="136"/>
      <c r="N85" s="159"/>
      <c r="O85" s="159" t="s">
        <v>388</v>
      </c>
      <c r="P85" s="136"/>
    </row>
    <row r="86" spans="1:16" ht="16.5" customHeight="1" x14ac:dyDescent="0.25">
      <c r="A86" s="156">
        <v>44355</v>
      </c>
      <c r="B86" s="136" t="s">
        <v>18</v>
      </c>
      <c r="C86" s="157" t="str">
        <f t="shared" si="2"/>
        <v>08.06.2021_ORB1</v>
      </c>
      <c r="D86" s="190">
        <f t="shared" si="3"/>
        <v>0</v>
      </c>
      <c r="E86" s="133">
        <v>7.55</v>
      </c>
      <c r="F86" s="134"/>
      <c r="G86" s="135">
        <v>116.3</v>
      </c>
      <c r="H86" s="137">
        <v>9.1999999999999993</v>
      </c>
      <c r="I86" s="134"/>
      <c r="J86" s="137">
        <v>13.8</v>
      </c>
      <c r="K86" s="134"/>
      <c r="L86" s="136">
        <v>22</v>
      </c>
      <c r="M86" s="136"/>
      <c r="N86" s="159"/>
      <c r="O86" s="159"/>
      <c r="P86" s="136"/>
    </row>
    <row r="87" spans="1:16" ht="16.5" customHeight="1" x14ac:dyDescent="0.25">
      <c r="A87" s="156">
        <v>44355</v>
      </c>
      <c r="B87" s="136" t="s">
        <v>34</v>
      </c>
      <c r="C87" s="157" t="str">
        <f t="shared" si="2"/>
        <v>08.06.2021_KRE1</v>
      </c>
      <c r="D87" s="190">
        <f t="shared" si="3"/>
        <v>0</v>
      </c>
      <c r="E87" s="133">
        <v>8</v>
      </c>
      <c r="F87" s="134"/>
      <c r="G87" s="135">
        <v>671</v>
      </c>
      <c r="H87" s="137">
        <v>8.1999999999999993</v>
      </c>
      <c r="I87" s="134"/>
      <c r="J87" s="137">
        <v>18.3</v>
      </c>
      <c r="K87" s="134"/>
      <c r="L87" s="136">
        <v>65</v>
      </c>
      <c r="M87" s="136"/>
      <c r="N87" s="159"/>
      <c r="O87" s="159"/>
      <c r="P87" s="136" t="s">
        <v>84</v>
      </c>
    </row>
    <row r="88" spans="1:16" ht="16.5" customHeight="1" x14ac:dyDescent="0.25">
      <c r="A88" s="156">
        <v>44355</v>
      </c>
      <c r="B88" s="136" t="s">
        <v>32</v>
      </c>
      <c r="C88" s="157" t="str">
        <f t="shared" si="2"/>
        <v>08.06.2021_FAL2</v>
      </c>
      <c r="D88" s="190">
        <f t="shared" si="3"/>
        <v>0</v>
      </c>
      <c r="E88" s="133">
        <v>8.23</v>
      </c>
      <c r="F88" s="134"/>
      <c r="G88" s="135">
        <v>671</v>
      </c>
      <c r="H88" s="137">
        <v>9.1999999999999993</v>
      </c>
      <c r="I88" s="134"/>
      <c r="J88" s="137">
        <v>17.8</v>
      </c>
      <c r="K88" s="134"/>
      <c r="L88" s="136">
        <v>70</v>
      </c>
      <c r="M88" s="136"/>
      <c r="N88" s="159"/>
      <c r="O88" s="159"/>
      <c r="P88" s="136"/>
    </row>
    <row r="89" spans="1:16" ht="16.5" customHeight="1" x14ac:dyDescent="0.25">
      <c r="A89" s="156">
        <v>44355</v>
      </c>
      <c r="B89" s="136" t="s">
        <v>17</v>
      </c>
      <c r="C89" s="157" t="str">
        <f t="shared" si="2"/>
        <v>08.06.2021_BRA2</v>
      </c>
      <c r="D89" s="190">
        <f t="shared" si="3"/>
        <v>0</v>
      </c>
      <c r="E89" s="133">
        <v>7.95</v>
      </c>
      <c r="F89" s="134"/>
      <c r="G89" s="135">
        <v>198</v>
      </c>
      <c r="H89" s="137">
        <v>7.8</v>
      </c>
      <c r="I89" s="134"/>
      <c r="J89" s="137">
        <v>16.5</v>
      </c>
      <c r="K89" s="134"/>
      <c r="L89" s="136">
        <v>28.000000000000004</v>
      </c>
      <c r="M89" s="136"/>
      <c r="N89" s="159"/>
      <c r="O89" s="159"/>
      <c r="P89" s="136" t="s">
        <v>85</v>
      </c>
    </row>
    <row r="90" spans="1:16" ht="16.5" customHeight="1" x14ac:dyDescent="0.25">
      <c r="A90" s="156">
        <v>44355</v>
      </c>
      <c r="B90" s="136" t="s">
        <v>14</v>
      </c>
      <c r="C90" s="157" t="str">
        <f t="shared" si="2"/>
        <v>08.06.2021_BRA1</v>
      </c>
      <c r="D90" s="190">
        <f t="shared" si="3"/>
        <v>0</v>
      </c>
      <c r="E90" s="133">
        <v>7.9</v>
      </c>
      <c r="F90" s="134"/>
      <c r="G90" s="135">
        <v>159.80000000000001</v>
      </c>
      <c r="H90" s="137">
        <v>7.9</v>
      </c>
      <c r="I90" s="134"/>
      <c r="J90" s="137">
        <v>17.100000000000001</v>
      </c>
      <c r="K90" s="134"/>
      <c r="L90" s="136">
        <v>25</v>
      </c>
      <c r="M90" s="136"/>
      <c r="N90" s="159"/>
      <c r="O90" s="159"/>
      <c r="P90" s="136"/>
    </row>
    <row r="91" spans="1:16" ht="16.5" customHeight="1" x14ac:dyDescent="0.25">
      <c r="A91" s="156">
        <v>44355</v>
      </c>
      <c r="B91" s="136" t="s">
        <v>30</v>
      </c>
      <c r="C91" s="157" t="str">
        <f t="shared" si="2"/>
        <v>08.06.2021_FAL1</v>
      </c>
      <c r="D91" s="190">
        <f t="shared" si="3"/>
        <v>0</v>
      </c>
      <c r="E91" s="133">
        <v>8.0500000000000007</v>
      </c>
      <c r="F91" s="134"/>
      <c r="G91" s="135">
        <v>665</v>
      </c>
      <c r="H91" s="137">
        <v>9</v>
      </c>
      <c r="I91" s="134"/>
      <c r="J91" s="137">
        <v>17.600000000000001</v>
      </c>
      <c r="K91" s="134"/>
      <c r="L91" s="136">
        <v>68</v>
      </c>
      <c r="M91" s="136"/>
      <c r="N91" s="159"/>
      <c r="O91" s="159"/>
      <c r="P91" s="136" t="s">
        <v>83</v>
      </c>
    </row>
    <row r="92" spans="1:16" ht="16.5" customHeight="1" x14ac:dyDescent="0.25">
      <c r="A92" s="156">
        <v>44355</v>
      </c>
      <c r="B92" s="136" t="s">
        <v>12</v>
      </c>
      <c r="C92" s="157" t="str">
        <f t="shared" si="2"/>
        <v>08.06.2021_SAL2</v>
      </c>
      <c r="D92" s="190">
        <f t="shared" si="3"/>
        <v>0</v>
      </c>
      <c r="E92" s="133">
        <v>8.06</v>
      </c>
      <c r="F92" s="134"/>
      <c r="G92" s="135">
        <v>197</v>
      </c>
      <c r="H92" s="137">
        <v>8.1999999999999993</v>
      </c>
      <c r="I92" s="134"/>
      <c r="J92" s="137">
        <v>16.5</v>
      </c>
      <c r="K92" s="134"/>
      <c r="L92" s="136">
        <v>32</v>
      </c>
      <c r="M92" s="136"/>
      <c r="N92" s="159"/>
      <c r="O92" s="159"/>
      <c r="P92" s="136" t="s">
        <v>85</v>
      </c>
    </row>
    <row r="93" spans="1:16" ht="16.5" customHeight="1" x14ac:dyDescent="0.25">
      <c r="A93" s="156">
        <v>44355</v>
      </c>
      <c r="B93" s="136" t="s">
        <v>28</v>
      </c>
      <c r="C93" s="157" t="str">
        <f t="shared" si="2"/>
        <v>08.06.2021_GRU2</v>
      </c>
      <c r="D93" s="190">
        <f t="shared" si="3"/>
        <v>0</v>
      </c>
      <c r="E93" s="133">
        <v>7.57</v>
      </c>
      <c r="F93" s="134"/>
      <c r="G93" s="135">
        <v>157</v>
      </c>
      <c r="H93" s="137">
        <v>9.4</v>
      </c>
      <c r="I93" s="134"/>
      <c r="J93" s="137">
        <v>17.2</v>
      </c>
      <c r="K93" s="134"/>
      <c r="L93" s="136">
        <v>45</v>
      </c>
      <c r="M93" s="136"/>
      <c r="N93" s="159"/>
      <c r="O93" s="159"/>
      <c r="P93" s="136" t="s">
        <v>84</v>
      </c>
    </row>
    <row r="94" spans="1:16" ht="16.5" customHeight="1" x14ac:dyDescent="0.25">
      <c r="A94" s="156">
        <v>44355</v>
      </c>
      <c r="B94" s="136" t="s">
        <v>26</v>
      </c>
      <c r="C94" s="157" t="str">
        <f t="shared" si="2"/>
        <v>08.06.2021_GRU1</v>
      </c>
      <c r="D94" s="190">
        <f t="shared" si="3"/>
        <v>0</v>
      </c>
      <c r="E94" s="133">
        <v>7.72</v>
      </c>
      <c r="F94" s="134"/>
      <c r="G94" s="135">
        <v>140.01</v>
      </c>
      <c r="H94" s="137">
        <v>9.3000000000000007</v>
      </c>
      <c r="I94" s="134"/>
      <c r="J94" s="137">
        <v>17.3</v>
      </c>
      <c r="K94" s="134"/>
      <c r="L94" s="136">
        <v>40</v>
      </c>
      <c r="M94" s="136"/>
      <c r="N94" s="159"/>
      <c r="O94" s="159"/>
      <c r="P94" s="136" t="s">
        <v>83</v>
      </c>
    </row>
    <row r="95" spans="1:16" ht="16.5" customHeight="1" x14ac:dyDescent="0.25">
      <c r="A95" s="156">
        <v>44355</v>
      </c>
      <c r="B95" s="136" t="s">
        <v>10</v>
      </c>
      <c r="C95" s="157" t="str">
        <f t="shared" si="2"/>
        <v>08.06.2021_SAL1</v>
      </c>
      <c r="D95" s="190">
        <f t="shared" si="3"/>
        <v>0</v>
      </c>
      <c r="E95" s="133">
        <v>8.0399999999999991</v>
      </c>
      <c r="F95" s="134"/>
      <c r="G95" s="135">
        <v>182.9</v>
      </c>
      <c r="H95" s="137">
        <v>7.8</v>
      </c>
      <c r="I95" s="134"/>
      <c r="J95" s="137">
        <v>16.5</v>
      </c>
      <c r="K95" s="134"/>
      <c r="L95" s="136">
        <v>38</v>
      </c>
      <c r="M95" s="136"/>
      <c r="N95" s="159"/>
      <c r="O95" s="159"/>
      <c r="P95" s="136"/>
    </row>
    <row r="96" spans="1:16" ht="16.5" customHeight="1" x14ac:dyDescent="0.25">
      <c r="A96" s="156">
        <v>44355</v>
      </c>
      <c r="B96" s="136" t="s">
        <v>9</v>
      </c>
      <c r="C96" s="157" t="str">
        <f t="shared" si="2"/>
        <v>08.06.2021_STE2</v>
      </c>
      <c r="D96" s="190">
        <f t="shared" si="3"/>
        <v>0</v>
      </c>
      <c r="E96" s="133">
        <v>8.2899999999999991</v>
      </c>
      <c r="F96" s="134"/>
      <c r="G96" s="135">
        <v>249</v>
      </c>
      <c r="H96" s="137">
        <v>8.6999999999999993</v>
      </c>
      <c r="I96" s="134"/>
      <c r="J96" s="137">
        <v>16.7</v>
      </c>
      <c r="K96" s="134"/>
      <c r="L96" s="136">
        <v>35</v>
      </c>
      <c r="M96" s="136"/>
      <c r="N96" s="159"/>
      <c r="O96" s="159" t="s">
        <v>388</v>
      </c>
      <c r="P96" s="136"/>
    </row>
    <row r="97" spans="1:16" ht="16.5" customHeight="1" x14ac:dyDescent="0.25">
      <c r="A97" s="156">
        <v>44355</v>
      </c>
      <c r="B97" s="136" t="s">
        <v>7</v>
      </c>
      <c r="C97" s="157" t="str">
        <f t="shared" si="2"/>
        <v>08.06.2021_STE1</v>
      </c>
      <c r="D97" s="190">
        <f t="shared" si="3"/>
        <v>0</v>
      </c>
      <c r="E97" s="133">
        <v>8.2799999999999994</v>
      </c>
      <c r="F97" s="134"/>
      <c r="G97" s="135">
        <v>251</v>
      </c>
      <c r="H97" s="137">
        <v>9.1999999999999993</v>
      </c>
      <c r="I97" s="134"/>
      <c r="J97" s="137">
        <v>16.100000000000001</v>
      </c>
      <c r="K97" s="134"/>
      <c r="L97" s="136">
        <v>40</v>
      </c>
      <c r="M97" s="136"/>
      <c r="N97" s="159"/>
      <c r="O97" s="159"/>
      <c r="P97" s="136" t="s">
        <v>85</v>
      </c>
    </row>
    <row r="98" spans="1:16" ht="16.5" customHeight="1" x14ac:dyDescent="0.25">
      <c r="A98" s="156">
        <v>44355</v>
      </c>
      <c r="B98" s="136" t="s">
        <v>22</v>
      </c>
      <c r="C98" s="157" t="str">
        <f t="shared" si="2"/>
        <v>08.06.2021_BIE1</v>
      </c>
      <c r="D98" s="190">
        <f t="shared" si="3"/>
        <v>0</v>
      </c>
      <c r="E98" s="133">
        <v>8.06</v>
      </c>
      <c r="F98" s="134"/>
      <c r="G98" s="135">
        <v>168.8</v>
      </c>
      <c r="H98" s="137">
        <v>9.9</v>
      </c>
      <c r="I98" s="134"/>
      <c r="J98" s="137">
        <v>14.6</v>
      </c>
      <c r="K98" s="134"/>
      <c r="L98" s="136">
        <v>35</v>
      </c>
      <c r="M98" s="136"/>
      <c r="N98" s="159"/>
      <c r="O98" s="159"/>
      <c r="P98" s="136"/>
    </row>
    <row r="99" spans="1:16" ht="16.5" customHeight="1" x14ac:dyDescent="0.25">
      <c r="A99" s="156">
        <v>44355</v>
      </c>
      <c r="B99" s="136" t="s">
        <v>25</v>
      </c>
      <c r="C99" s="157" t="str">
        <f t="shared" si="2"/>
        <v>08.06.2021_BIE2</v>
      </c>
      <c r="D99" s="190">
        <f t="shared" si="3"/>
        <v>0</v>
      </c>
      <c r="E99" s="133">
        <v>8.0399999999999991</v>
      </c>
      <c r="F99" s="134"/>
      <c r="G99" s="135">
        <v>165</v>
      </c>
      <c r="H99" s="137">
        <v>9.6999999999999993</v>
      </c>
      <c r="I99" s="134"/>
      <c r="J99" s="137">
        <v>14.4</v>
      </c>
      <c r="K99" s="134"/>
      <c r="L99" s="136">
        <v>50</v>
      </c>
      <c r="M99" s="136"/>
      <c r="N99" s="159"/>
      <c r="O99" s="159"/>
      <c r="P99" s="136"/>
    </row>
    <row r="100" spans="1:16" ht="16.5" customHeight="1" x14ac:dyDescent="0.25">
      <c r="A100" s="156">
        <v>44355</v>
      </c>
      <c r="B100" s="136" t="s">
        <v>0</v>
      </c>
      <c r="C100" s="157" t="str">
        <f t="shared" si="2"/>
        <v>08.06.2021_KIN1</v>
      </c>
      <c r="D100" s="190">
        <f t="shared" si="3"/>
        <v>0</v>
      </c>
      <c r="E100" s="133">
        <v>8.4600000000000009</v>
      </c>
      <c r="F100" s="134"/>
      <c r="G100" s="135">
        <v>419</v>
      </c>
      <c r="H100" s="137">
        <v>7.2</v>
      </c>
      <c r="I100" s="134"/>
      <c r="J100" s="137">
        <v>16</v>
      </c>
      <c r="K100" s="134"/>
      <c r="L100" s="136">
        <v>30</v>
      </c>
      <c r="M100" s="136"/>
      <c r="N100" s="159"/>
      <c r="O100" s="159" t="s">
        <v>388</v>
      </c>
      <c r="P100" s="136"/>
    </row>
    <row r="101" spans="1:16" ht="16.5" customHeight="1" x14ac:dyDescent="0.25">
      <c r="A101" s="156">
        <v>44355</v>
      </c>
      <c r="B101" s="136" t="s">
        <v>2</v>
      </c>
      <c r="C101" s="157" t="str">
        <f t="shared" si="2"/>
        <v>08.06.2021_KIN2</v>
      </c>
      <c r="D101" s="190">
        <f t="shared" si="3"/>
        <v>0</v>
      </c>
      <c r="E101" s="133">
        <v>8.2899999999999991</v>
      </c>
      <c r="F101" s="134"/>
      <c r="G101" s="135">
        <v>483</v>
      </c>
      <c r="H101" s="137">
        <v>8.4</v>
      </c>
      <c r="I101" s="134"/>
      <c r="J101" s="137">
        <v>15.9</v>
      </c>
      <c r="K101" s="134"/>
      <c r="L101" s="136">
        <v>50</v>
      </c>
      <c r="M101" s="136"/>
      <c r="N101" s="159"/>
      <c r="O101" s="159"/>
      <c r="P101" s="136"/>
    </row>
    <row r="102" spans="1:16" ht="16.5" customHeight="1" x14ac:dyDescent="0.25">
      <c r="A102" s="156">
        <v>44355</v>
      </c>
      <c r="B102" s="136" t="s">
        <v>4</v>
      </c>
      <c r="C102" s="157" t="str">
        <f t="shared" si="2"/>
        <v>08.06.2021_KIN3</v>
      </c>
      <c r="D102" s="190">
        <f t="shared" si="3"/>
        <v>0</v>
      </c>
      <c r="E102" s="133">
        <v>8.39</v>
      </c>
      <c r="F102" s="134"/>
      <c r="G102" s="135">
        <v>437</v>
      </c>
      <c r="H102" s="137">
        <v>8</v>
      </c>
      <c r="I102" s="134"/>
      <c r="J102" s="137">
        <v>16</v>
      </c>
      <c r="K102" s="134"/>
      <c r="L102" s="136">
        <v>50</v>
      </c>
      <c r="M102" s="136"/>
      <c r="N102" s="159"/>
      <c r="O102" s="159"/>
      <c r="P102" s="136"/>
    </row>
    <row r="103" spans="1:16" ht="16.5" customHeight="1" x14ac:dyDescent="0.25">
      <c r="A103" s="156">
        <v>44355</v>
      </c>
      <c r="B103" s="136" t="s">
        <v>6</v>
      </c>
      <c r="C103" s="157" t="str">
        <f t="shared" si="2"/>
        <v>08.06.2021_KIN4</v>
      </c>
      <c r="D103" s="190">
        <f t="shared" si="3"/>
        <v>0</v>
      </c>
      <c r="E103" s="133">
        <v>8.25</v>
      </c>
      <c r="F103" s="134"/>
      <c r="G103" s="135">
        <v>474</v>
      </c>
      <c r="H103" s="158">
        <v>6.6</v>
      </c>
      <c r="I103" s="134"/>
      <c r="J103" s="137">
        <v>16.600000000000001</v>
      </c>
      <c r="K103" s="134"/>
      <c r="L103" s="136">
        <v>45</v>
      </c>
      <c r="M103" s="136"/>
      <c r="N103" s="159"/>
      <c r="O103" s="159" t="s">
        <v>388</v>
      </c>
      <c r="P103" s="136"/>
    </row>
    <row r="104" spans="1:16" ht="16.5" customHeight="1" x14ac:dyDescent="0.25">
      <c r="A104" s="156">
        <v>44369</v>
      </c>
      <c r="B104" s="136" t="s">
        <v>9</v>
      </c>
      <c r="C104" s="157" t="str">
        <f t="shared" si="2"/>
        <v>22.06.2021_STE2</v>
      </c>
      <c r="D104" s="190">
        <f t="shared" si="3"/>
        <v>0</v>
      </c>
      <c r="E104" s="133">
        <v>8.35</v>
      </c>
      <c r="F104" s="134"/>
      <c r="G104" s="135">
        <v>347</v>
      </c>
      <c r="H104" s="137">
        <v>9.4</v>
      </c>
      <c r="I104" s="134"/>
      <c r="J104" s="137">
        <v>16.2</v>
      </c>
      <c r="K104" s="134"/>
      <c r="L104" s="136">
        <v>25</v>
      </c>
      <c r="M104" s="136"/>
      <c r="N104" s="159"/>
      <c r="O104" s="159"/>
      <c r="P104" s="136"/>
    </row>
    <row r="105" spans="1:16" ht="16.5" customHeight="1" x14ac:dyDescent="0.25">
      <c r="A105" s="156">
        <v>44369</v>
      </c>
      <c r="B105" s="136" t="s">
        <v>7</v>
      </c>
      <c r="C105" s="157" t="str">
        <f t="shared" si="2"/>
        <v>22.06.2021_STE1</v>
      </c>
      <c r="D105" s="190">
        <f t="shared" si="3"/>
        <v>0</v>
      </c>
      <c r="E105" s="133">
        <v>8.24</v>
      </c>
      <c r="F105" s="134"/>
      <c r="G105" s="135">
        <v>349</v>
      </c>
      <c r="H105" s="137">
        <v>9.3000000000000007</v>
      </c>
      <c r="I105" s="134"/>
      <c r="J105" s="137">
        <v>16</v>
      </c>
      <c r="K105" s="134"/>
      <c r="L105" s="136">
        <v>32</v>
      </c>
      <c r="M105" s="136"/>
      <c r="N105" s="159"/>
      <c r="O105" s="159"/>
      <c r="P105" s="136" t="s">
        <v>83</v>
      </c>
    </row>
    <row r="106" spans="1:16" ht="16.5" customHeight="1" x14ac:dyDescent="0.25">
      <c r="A106" s="156">
        <v>44369</v>
      </c>
      <c r="B106" s="136" t="s">
        <v>10</v>
      </c>
      <c r="C106" s="157" t="str">
        <f t="shared" si="2"/>
        <v>22.06.2021_SAL1</v>
      </c>
      <c r="D106" s="190">
        <f t="shared" si="3"/>
        <v>0</v>
      </c>
      <c r="E106" s="133">
        <v>8.18</v>
      </c>
      <c r="F106" s="134"/>
      <c r="G106" s="135">
        <v>211</v>
      </c>
      <c r="H106" s="137">
        <v>8.1999999999999993</v>
      </c>
      <c r="I106" s="134"/>
      <c r="J106" s="137">
        <v>16.8</v>
      </c>
      <c r="K106" s="134"/>
      <c r="L106" s="136">
        <v>35</v>
      </c>
      <c r="M106" s="136"/>
      <c r="N106" s="159"/>
      <c r="O106" s="159"/>
      <c r="P106" s="136" t="s">
        <v>86</v>
      </c>
    </row>
    <row r="107" spans="1:16" ht="16.5" customHeight="1" x14ac:dyDescent="0.25">
      <c r="A107" s="156">
        <v>44369</v>
      </c>
      <c r="B107" s="136" t="s">
        <v>12</v>
      </c>
      <c r="C107" s="157" t="str">
        <f t="shared" si="2"/>
        <v>22.06.2021_SAL2</v>
      </c>
      <c r="D107" s="190">
        <f t="shared" si="3"/>
        <v>0</v>
      </c>
      <c r="E107" s="133">
        <v>8.2100000000000009</v>
      </c>
      <c r="F107" s="134"/>
      <c r="G107" s="135">
        <v>218</v>
      </c>
      <c r="H107" s="137">
        <v>8.1999999999999993</v>
      </c>
      <c r="I107" s="134"/>
      <c r="J107" s="137">
        <v>17.5</v>
      </c>
      <c r="K107" s="134"/>
      <c r="L107" s="136">
        <v>26</v>
      </c>
      <c r="M107" s="136"/>
      <c r="N107" s="159"/>
      <c r="O107" s="159"/>
      <c r="P107" s="136" t="s">
        <v>86</v>
      </c>
    </row>
    <row r="108" spans="1:16" ht="16.5" customHeight="1" x14ac:dyDescent="0.25">
      <c r="A108" s="156">
        <v>44369</v>
      </c>
      <c r="B108" s="136" t="s">
        <v>37</v>
      </c>
      <c r="C108" s="157" t="str">
        <f t="shared" si="2"/>
        <v>22.06.2021_KRE2</v>
      </c>
      <c r="D108" s="190">
        <f t="shared" si="3"/>
        <v>0</v>
      </c>
      <c r="E108" s="133">
        <v>7.9</v>
      </c>
      <c r="F108" s="134"/>
      <c r="G108" s="135">
        <v>603</v>
      </c>
      <c r="H108" s="137">
        <v>7.4</v>
      </c>
      <c r="I108" s="134"/>
      <c r="J108" s="137">
        <v>19.899999999999999</v>
      </c>
      <c r="K108" s="134"/>
      <c r="L108" s="136">
        <v>45</v>
      </c>
      <c r="M108" s="136"/>
      <c r="N108" s="159"/>
      <c r="O108" s="159"/>
      <c r="P108" s="136"/>
    </row>
    <row r="109" spans="1:16" ht="16.5" customHeight="1" x14ac:dyDescent="0.25">
      <c r="A109" s="156">
        <v>44369</v>
      </c>
      <c r="B109" s="136" t="s">
        <v>14</v>
      </c>
      <c r="C109" s="157" t="str">
        <f t="shared" si="2"/>
        <v>22.06.2021_BRA1</v>
      </c>
      <c r="D109" s="190">
        <f t="shared" si="3"/>
        <v>0</v>
      </c>
      <c r="E109" s="133">
        <v>8.07</v>
      </c>
      <c r="F109" s="134"/>
      <c r="G109" s="135">
        <v>187.6</v>
      </c>
      <c r="H109" s="137">
        <v>6.9</v>
      </c>
      <c r="I109" s="134"/>
      <c r="J109" s="137">
        <v>19.100000000000001</v>
      </c>
      <c r="K109" s="134"/>
      <c r="L109" s="136">
        <v>25</v>
      </c>
      <c r="M109" s="136"/>
      <c r="N109" s="159"/>
      <c r="O109" s="159"/>
      <c r="P109" s="136"/>
    </row>
    <row r="110" spans="1:16" ht="16.5" customHeight="1" x14ac:dyDescent="0.25">
      <c r="A110" s="156">
        <v>44369</v>
      </c>
      <c r="B110" s="136" t="s">
        <v>34</v>
      </c>
      <c r="C110" s="157" t="str">
        <f t="shared" si="2"/>
        <v>22.06.2021_KRE1</v>
      </c>
      <c r="D110" s="190">
        <f t="shared" si="3"/>
        <v>0</v>
      </c>
      <c r="E110" s="133">
        <v>7.85</v>
      </c>
      <c r="F110" s="134"/>
      <c r="G110" s="135">
        <v>600</v>
      </c>
      <c r="H110" s="137">
        <v>7.3</v>
      </c>
      <c r="I110" s="134"/>
      <c r="J110" s="137">
        <v>20.2</v>
      </c>
      <c r="K110" s="134"/>
      <c r="L110" s="136">
        <v>60</v>
      </c>
      <c r="M110" s="136"/>
      <c r="N110" s="159"/>
      <c r="O110" s="159"/>
      <c r="P110" s="136" t="s">
        <v>83</v>
      </c>
    </row>
    <row r="111" spans="1:16" ht="16.5" customHeight="1" x14ac:dyDescent="0.25">
      <c r="A111" s="156">
        <v>44369</v>
      </c>
      <c r="B111" s="136" t="s">
        <v>32</v>
      </c>
      <c r="C111" s="157" t="str">
        <f t="shared" si="2"/>
        <v>22.06.2021_FAL2</v>
      </c>
      <c r="D111" s="190">
        <f t="shared" si="3"/>
        <v>0</v>
      </c>
      <c r="E111" s="133">
        <v>8.06</v>
      </c>
      <c r="F111" s="134"/>
      <c r="G111" s="135">
        <v>665</v>
      </c>
      <c r="H111" s="137">
        <v>9.4</v>
      </c>
      <c r="I111" s="134"/>
      <c r="J111" s="137">
        <v>19.600000000000001</v>
      </c>
      <c r="K111" s="134"/>
      <c r="L111" s="136">
        <v>65</v>
      </c>
      <c r="M111" s="136"/>
      <c r="N111" s="159"/>
      <c r="O111" s="159"/>
      <c r="P111" s="136"/>
    </row>
    <row r="112" spans="1:16" ht="16.5" customHeight="1" x14ac:dyDescent="0.25">
      <c r="A112" s="156">
        <v>44369</v>
      </c>
      <c r="B112" s="136" t="s">
        <v>30</v>
      </c>
      <c r="C112" s="157" t="str">
        <f t="shared" si="2"/>
        <v>22.06.2021_FAL1</v>
      </c>
      <c r="D112" s="190">
        <f t="shared" si="3"/>
        <v>0</v>
      </c>
      <c r="E112" s="133">
        <v>7.92</v>
      </c>
      <c r="F112" s="134"/>
      <c r="G112" s="135">
        <v>686</v>
      </c>
      <c r="H112" s="137">
        <v>10.6</v>
      </c>
      <c r="I112" s="134"/>
      <c r="J112" s="137">
        <v>17.399999999999999</v>
      </c>
      <c r="K112" s="134"/>
      <c r="L112" s="136">
        <v>50</v>
      </c>
      <c r="M112" s="136"/>
      <c r="N112" s="159"/>
      <c r="O112" s="159"/>
      <c r="P112" s="136" t="s">
        <v>83</v>
      </c>
    </row>
    <row r="113" spans="1:16" ht="16.5" customHeight="1" x14ac:dyDescent="0.25">
      <c r="A113" s="156">
        <v>44369</v>
      </c>
      <c r="B113" s="136" t="s">
        <v>28</v>
      </c>
      <c r="C113" s="157" t="str">
        <f t="shared" si="2"/>
        <v>22.06.2021_GRU2</v>
      </c>
      <c r="D113" s="190">
        <f t="shared" si="3"/>
        <v>0</v>
      </c>
      <c r="E113" s="133">
        <v>7.41</v>
      </c>
      <c r="F113" s="134"/>
      <c r="G113" s="135">
        <v>174</v>
      </c>
      <c r="H113" s="137">
        <v>11.7</v>
      </c>
      <c r="I113" s="134"/>
      <c r="J113" s="137">
        <v>18.7</v>
      </c>
      <c r="K113" s="134"/>
      <c r="L113" s="136">
        <v>20</v>
      </c>
      <c r="M113" s="136"/>
      <c r="N113" s="159"/>
      <c r="O113" s="159"/>
      <c r="P113" s="136"/>
    </row>
    <row r="114" spans="1:16" ht="16.5" customHeight="1" x14ac:dyDescent="0.25">
      <c r="A114" s="156">
        <v>44369</v>
      </c>
      <c r="B114" s="136" t="s">
        <v>26</v>
      </c>
      <c r="C114" s="157" t="str">
        <f t="shared" si="2"/>
        <v>22.06.2021_GRU1</v>
      </c>
      <c r="D114" s="190">
        <f t="shared" si="3"/>
        <v>0</v>
      </c>
      <c r="E114" s="133">
        <v>7.44</v>
      </c>
      <c r="F114" s="134"/>
      <c r="G114" s="135">
        <v>150</v>
      </c>
      <c r="H114" s="137">
        <v>11.9</v>
      </c>
      <c r="I114" s="134"/>
      <c r="J114" s="137">
        <v>17.399999999999999</v>
      </c>
      <c r="K114" s="134"/>
      <c r="L114" s="136">
        <v>35</v>
      </c>
      <c r="M114" s="136"/>
      <c r="N114" s="159"/>
      <c r="O114" s="159"/>
      <c r="P114" s="136" t="s">
        <v>83</v>
      </c>
    </row>
    <row r="115" spans="1:16" ht="16.5" customHeight="1" x14ac:dyDescent="0.25">
      <c r="A115" s="156">
        <v>44369</v>
      </c>
      <c r="B115" s="136" t="s">
        <v>22</v>
      </c>
      <c r="C115" s="157" t="str">
        <f t="shared" si="2"/>
        <v>22.06.2021_BIE1</v>
      </c>
      <c r="D115" s="190">
        <f t="shared" si="3"/>
        <v>0</v>
      </c>
      <c r="E115" s="133">
        <v>8</v>
      </c>
      <c r="F115" s="134"/>
      <c r="G115" s="135">
        <v>173</v>
      </c>
      <c r="H115" s="137">
        <v>14.1</v>
      </c>
      <c r="I115" s="134"/>
      <c r="J115" s="137">
        <v>14.7</v>
      </c>
      <c r="K115" s="134"/>
      <c r="L115" s="136">
        <v>30</v>
      </c>
      <c r="M115" s="136"/>
      <c r="N115" s="159"/>
      <c r="O115" s="159"/>
      <c r="P115" s="136"/>
    </row>
    <row r="116" spans="1:16" ht="16.5" customHeight="1" x14ac:dyDescent="0.25">
      <c r="A116" s="156">
        <v>44369</v>
      </c>
      <c r="B116" s="136" t="s">
        <v>25</v>
      </c>
      <c r="C116" s="157" t="str">
        <f t="shared" si="2"/>
        <v>22.06.2021_BIE2</v>
      </c>
      <c r="D116" s="190">
        <f t="shared" si="3"/>
        <v>0</v>
      </c>
      <c r="E116" s="133">
        <v>7.9</v>
      </c>
      <c r="F116" s="134"/>
      <c r="G116" s="135">
        <v>179</v>
      </c>
      <c r="H116" s="137">
        <v>13.7</v>
      </c>
      <c r="I116" s="134"/>
      <c r="J116" s="137">
        <v>15.1</v>
      </c>
      <c r="K116" s="134"/>
      <c r="L116" s="136">
        <v>45</v>
      </c>
      <c r="M116" s="136"/>
      <c r="N116" s="159"/>
      <c r="O116" s="159"/>
      <c r="P116" s="162"/>
    </row>
    <row r="117" spans="1:16" ht="16.5" customHeight="1" x14ac:dyDescent="0.25">
      <c r="A117" s="156">
        <v>44369</v>
      </c>
      <c r="B117" s="136" t="s">
        <v>21</v>
      </c>
      <c r="C117" s="157" t="str">
        <f t="shared" si="2"/>
        <v>22.06.2021_ORB2</v>
      </c>
      <c r="D117" s="190">
        <f t="shared" si="3"/>
        <v>0</v>
      </c>
      <c r="E117" s="133">
        <v>7.21</v>
      </c>
      <c r="F117" s="134"/>
      <c r="G117" s="135">
        <v>146.80000000000001</v>
      </c>
      <c r="H117" s="137">
        <v>7.7</v>
      </c>
      <c r="I117" s="134"/>
      <c r="J117" s="137">
        <v>14.4</v>
      </c>
      <c r="K117" s="134"/>
      <c r="L117" s="136">
        <v>20</v>
      </c>
      <c r="M117" s="136"/>
      <c r="N117" s="159"/>
      <c r="O117" s="159" t="s">
        <v>388</v>
      </c>
      <c r="P117" s="136"/>
    </row>
    <row r="118" spans="1:16" ht="16.5" customHeight="1" x14ac:dyDescent="0.25">
      <c r="A118" s="156">
        <v>44369</v>
      </c>
      <c r="B118" s="136" t="s">
        <v>18</v>
      </c>
      <c r="C118" s="157" t="str">
        <f t="shared" si="2"/>
        <v>22.06.2021_ORB1</v>
      </c>
      <c r="D118" s="190">
        <f t="shared" si="3"/>
        <v>0</v>
      </c>
      <c r="E118" s="133">
        <v>7.67</v>
      </c>
      <c r="F118" s="134"/>
      <c r="G118" s="135">
        <v>111.2</v>
      </c>
      <c r="H118" s="137">
        <v>8</v>
      </c>
      <c r="I118" s="134"/>
      <c r="J118" s="137">
        <v>14.9</v>
      </c>
      <c r="K118" s="134"/>
      <c r="L118" s="136">
        <v>8</v>
      </c>
      <c r="M118" s="136"/>
      <c r="N118" s="159"/>
      <c r="O118" s="159"/>
      <c r="P118" s="136"/>
    </row>
    <row r="119" spans="1:16" ht="16.5" customHeight="1" x14ac:dyDescent="0.25">
      <c r="A119" s="156">
        <v>44369</v>
      </c>
      <c r="B119" s="136" t="s">
        <v>17</v>
      </c>
      <c r="C119" s="157" t="str">
        <f t="shared" si="2"/>
        <v>22.06.2021_BRA2</v>
      </c>
      <c r="D119" s="190">
        <f t="shared" si="3"/>
        <v>0</v>
      </c>
      <c r="E119" s="133">
        <v>8.27</v>
      </c>
      <c r="F119" s="134"/>
      <c r="G119" s="135">
        <v>206</v>
      </c>
      <c r="H119" s="137">
        <v>6.8</v>
      </c>
      <c r="I119" s="134"/>
      <c r="J119" s="137">
        <v>16.7</v>
      </c>
      <c r="K119" s="134"/>
      <c r="L119" s="136">
        <v>22</v>
      </c>
      <c r="M119" s="136"/>
      <c r="N119" s="159"/>
      <c r="O119" s="159"/>
      <c r="P119" s="136" t="s">
        <v>85</v>
      </c>
    </row>
    <row r="120" spans="1:16" ht="16.5" customHeight="1" x14ac:dyDescent="0.25">
      <c r="A120" s="156">
        <v>44369</v>
      </c>
      <c r="B120" s="136" t="s">
        <v>6</v>
      </c>
      <c r="C120" s="157" t="str">
        <f t="shared" si="2"/>
        <v>22.06.2021_KIN4</v>
      </c>
      <c r="D120" s="190">
        <f t="shared" si="3"/>
        <v>0</v>
      </c>
      <c r="E120" s="133">
        <v>8.33</v>
      </c>
      <c r="F120" s="134"/>
      <c r="G120" s="135">
        <v>555</v>
      </c>
      <c r="H120" s="137">
        <v>7</v>
      </c>
      <c r="I120" s="134"/>
      <c r="J120" s="137">
        <v>17</v>
      </c>
      <c r="K120" s="134"/>
      <c r="L120" s="136">
        <v>40</v>
      </c>
      <c r="M120" s="136"/>
      <c r="N120" s="159"/>
      <c r="O120" s="159"/>
      <c r="P120" s="136"/>
    </row>
    <row r="121" spans="1:16" ht="16.5" customHeight="1" x14ac:dyDescent="0.25">
      <c r="A121" s="156">
        <v>44369</v>
      </c>
      <c r="B121" s="136" t="s">
        <v>4</v>
      </c>
      <c r="C121" s="157" t="str">
        <f t="shared" si="2"/>
        <v>22.06.2021_KIN3</v>
      </c>
      <c r="D121" s="190">
        <f t="shared" si="3"/>
        <v>0</v>
      </c>
      <c r="E121" s="133">
        <v>8.4499999999999993</v>
      </c>
      <c r="F121" s="134"/>
      <c r="G121" s="135">
        <v>498</v>
      </c>
      <c r="H121" s="137">
        <v>7</v>
      </c>
      <c r="I121" s="134"/>
      <c r="J121" s="137">
        <v>17.100000000000001</v>
      </c>
      <c r="K121" s="134"/>
      <c r="L121" s="136">
        <v>45</v>
      </c>
      <c r="M121" s="136"/>
      <c r="N121" s="159"/>
      <c r="O121" s="159"/>
      <c r="P121" s="136"/>
    </row>
    <row r="122" spans="1:16" ht="16.5" customHeight="1" x14ac:dyDescent="0.25">
      <c r="A122" s="156">
        <v>44369</v>
      </c>
      <c r="B122" s="136" t="s">
        <v>2</v>
      </c>
      <c r="C122" s="157" t="str">
        <f t="shared" si="2"/>
        <v>22.06.2021_KIN2</v>
      </c>
      <c r="D122" s="190">
        <f t="shared" si="3"/>
        <v>0</v>
      </c>
      <c r="E122" s="133">
        <v>8.36</v>
      </c>
      <c r="F122" s="134"/>
      <c r="G122" s="135">
        <v>506</v>
      </c>
      <c r="H122" s="137">
        <v>9.8000000000000007</v>
      </c>
      <c r="I122" s="134"/>
      <c r="J122" s="137">
        <v>17.3</v>
      </c>
      <c r="K122" s="134"/>
      <c r="L122" s="136">
        <v>45</v>
      </c>
      <c r="M122" s="136"/>
      <c r="N122" s="159"/>
      <c r="O122" s="159" t="s">
        <v>388</v>
      </c>
      <c r="P122" s="136"/>
    </row>
    <row r="123" spans="1:16" ht="16.5" customHeight="1" x14ac:dyDescent="0.25">
      <c r="A123" s="156">
        <v>44369</v>
      </c>
      <c r="B123" s="136" t="s">
        <v>0</v>
      </c>
      <c r="C123" s="157" t="str">
        <f t="shared" si="2"/>
        <v>22.06.2021_KIN1</v>
      </c>
      <c r="D123" s="190">
        <f t="shared" si="3"/>
        <v>0</v>
      </c>
      <c r="E123" s="163">
        <v>8.52</v>
      </c>
      <c r="F123" s="164"/>
      <c r="G123" s="165">
        <v>446</v>
      </c>
      <c r="H123" s="166">
        <v>8.3000000000000007</v>
      </c>
      <c r="I123" s="164"/>
      <c r="J123" s="166">
        <v>17.600000000000001</v>
      </c>
      <c r="K123" s="164"/>
      <c r="L123" s="167">
        <v>25</v>
      </c>
      <c r="M123" s="136"/>
      <c r="N123" s="159"/>
      <c r="O123" s="159"/>
      <c r="P123" s="168"/>
    </row>
    <row r="124" spans="1:16" ht="16.5" customHeight="1" x14ac:dyDescent="0.25">
      <c r="A124" s="156">
        <v>44383</v>
      </c>
      <c r="B124" s="136" t="s">
        <v>37</v>
      </c>
      <c r="C124" s="157" t="str">
        <f t="shared" si="2"/>
        <v>06.07.2021_KRE2</v>
      </c>
      <c r="D124" s="190">
        <f t="shared" si="3"/>
        <v>0</v>
      </c>
      <c r="E124" s="163">
        <v>7.93</v>
      </c>
      <c r="F124" s="164"/>
      <c r="G124" s="165">
        <v>825</v>
      </c>
      <c r="H124" s="166">
        <v>8</v>
      </c>
      <c r="I124" s="164"/>
      <c r="J124" s="166">
        <v>17.7</v>
      </c>
      <c r="K124" s="164"/>
      <c r="L124" s="167">
        <v>45</v>
      </c>
      <c r="M124" s="136"/>
      <c r="N124" s="159"/>
      <c r="O124" s="159"/>
      <c r="P124" s="168"/>
    </row>
    <row r="125" spans="1:16" ht="16.5" customHeight="1" x14ac:dyDescent="0.25">
      <c r="A125" s="156">
        <v>44383</v>
      </c>
      <c r="B125" s="136" t="s">
        <v>21</v>
      </c>
      <c r="C125" s="157" t="str">
        <f t="shared" si="2"/>
        <v>06.07.2021_ORB2</v>
      </c>
      <c r="D125" s="190">
        <f t="shared" si="3"/>
        <v>0</v>
      </c>
      <c r="E125" s="163">
        <v>7.27</v>
      </c>
      <c r="F125" s="164"/>
      <c r="G125" s="165">
        <v>166.4</v>
      </c>
      <c r="H125" s="166">
        <v>8.5</v>
      </c>
      <c r="I125" s="164"/>
      <c r="J125" s="166">
        <v>15.2</v>
      </c>
      <c r="K125" s="164"/>
      <c r="L125" s="167">
        <v>22</v>
      </c>
      <c r="M125" s="136"/>
      <c r="N125" s="159"/>
      <c r="O125" s="159"/>
      <c r="P125" s="168"/>
    </row>
    <row r="126" spans="1:16" ht="16.5" customHeight="1" x14ac:dyDescent="0.25">
      <c r="A126" s="156">
        <v>44383</v>
      </c>
      <c r="B126" s="136" t="s">
        <v>34</v>
      </c>
      <c r="C126" s="157" t="str">
        <f t="shared" si="2"/>
        <v>06.07.2021_KRE1</v>
      </c>
      <c r="D126" s="190">
        <f t="shared" si="3"/>
        <v>0</v>
      </c>
      <c r="E126" s="163">
        <v>7.95</v>
      </c>
      <c r="F126" s="164"/>
      <c r="G126" s="165">
        <v>831</v>
      </c>
      <c r="H126" s="166">
        <v>8.6</v>
      </c>
      <c r="I126" s="164"/>
      <c r="J126" s="166">
        <v>17.600000000000001</v>
      </c>
      <c r="K126" s="164"/>
      <c r="L126" s="167">
        <v>60</v>
      </c>
      <c r="M126" s="136"/>
      <c r="N126" s="159"/>
      <c r="O126" s="159"/>
      <c r="P126" s="168" t="s">
        <v>87</v>
      </c>
    </row>
    <row r="127" spans="1:16" ht="16.5" customHeight="1" x14ac:dyDescent="0.25">
      <c r="A127" s="156">
        <v>44383</v>
      </c>
      <c r="B127" s="136" t="s">
        <v>18</v>
      </c>
      <c r="C127" s="157" t="str">
        <f t="shared" si="2"/>
        <v>06.07.2021_ORB1</v>
      </c>
      <c r="D127" s="190">
        <f t="shared" si="3"/>
        <v>0</v>
      </c>
      <c r="E127" s="163">
        <v>7.61</v>
      </c>
      <c r="F127" s="164"/>
      <c r="G127" s="165">
        <v>102.9</v>
      </c>
      <c r="H127" s="166">
        <v>7.7</v>
      </c>
      <c r="I127" s="164"/>
      <c r="J127" s="166">
        <v>16.5</v>
      </c>
      <c r="K127" s="164"/>
      <c r="L127" s="167">
        <v>10</v>
      </c>
      <c r="M127" s="136"/>
      <c r="N127" s="159"/>
      <c r="O127" s="159"/>
      <c r="P127" s="168"/>
    </row>
    <row r="128" spans="1:16" ht="16.5" customHeight="1" x14ac:dyDescent="0.25">
      <c r="A128" s="156">
        <v>44383</v>
      </c>
      <c r="B128" s="136" t="s">
        <v>32</v>
      </c>
      <c r="C128" s="157" t="str">
        <f t="shared" si="2"/>
        <v>06.07.2021_FAL2</v>
      </c>
      <c r="D128" s="190">
        <f t="shared" si="3"/>
        <v>0</v>
      </c>
      <c r="E128" s="163">
        <v>8.19</v>
      </c>
      <c r="F128" s="164"/>
      <c r="G128" s="165">
        <v>765</v>
      </c>
      <c r="H128" s="166">
        <v>9.8000000000000007</v>
      </c>
      <c r="I128" s="164"/>
      <c r="J128" s="166">
        <v>17.399999999999999</v>
      </c>
      <c r="K128" s="164"/>
      <c r="L128" s="167">
        <v>70</v>
      </c>
      <c r="M128" s="136"/>
      <c r="N128" s="159"/>
      <c r="O128" s="159"/>
      <c r="P128" s="168"/>
    </row>
    <row r="129" spans="1:16" ht="16.5" customHeight="1" x14ac:dyDescent="0.25">
      <c r="A129" s="156">
        <v>44383</v>
      </c>
      <c r="B129" s="136" t="s">
        <v>17</v>
      </c>
      <c r="C129" s="157" t="str">
        <f t="shared" si="2"/>
        <v>06.07.2021_BRA2</v>
      </c>
      <c r="D129" s="190">
        <f t="shared" si="3"/>
        <v>0</v>
      </c>
      <c r="E129" s="163">
        <v>8.0299999999999994</v>
      </c>
      <c r="F129" s="164"/>
      <c r="G129" s="165">
        <v>178</v>
      </c>
      <c r="H129" s="166">
        <v>8.4</v>
      </c>
      <c r="I129" s="164"/>
      <c r="J129" s="166">
        <v>16.399999999999999</v>
      </c>
      <c r="K129" s="164"/>
      <c r="L129" s="167">
        <v>25</v>
      </c>
      <c r="M129" s="136"/>
      <c r="N129" s="159"/>
      <c r="O129" s="159"/>
      <c r="P129" s="168" t="s">
        <v>88</v>
      </c>
    </row>
    <row r="130" spans="1:16" ht="16.5" customHeight="1" x14ac:dyDescent="0.25">
      <c r="A130" s="156">
        <v>44383</v>
      </c>
      <c r="B130" s="136" t="s">
        <v>30</v>
      </c>
      <c r="C130" s="157" t="str">
        <f t="shared" si="2"/>
        <v>06.07.2021_FAL1</v>
      </c>
      <c r="D130" s="190">
        <f t="shared" si="3"/>
        <v>0</v>
      </c>
      <c r="E130" s="163">
        <v>8.02</v>
      </c>
      <c r="F130" s="164"/>
      <c r="G130" s="165">
        <v>761</v>
      </c>
      <c r="H130" s="166">
        <v>10.1</v>
      </c>
      <c r="I130" s="164"/>
      <c r="J130" s="166">
        <v>16.600000000000001</v>
      </c>
      <c r="K130" s="164"/>
      <c r="L130" s="167">
        <v>50</v>
      </c>
      <c r="M130" s="136"/>
      <c r="N130" s="159"/>
      <c r="O130" s="159"/>
      <c r="P130" s="168"/>
    </row>
    <row r="131" spans="1:16" ht="16.5" customHeight="1" x14ac:dyDescent="0.25">
      <c r="A131" s="156">
        <v>44383</v>
      </c>
      <c r="B131" s="136" t="s">
        <v>14</v>
      </c>
      <c r="C131" s="157" t="str">
        <f t="shared" si="2"/>
        <v>06.07.2021_BRA1</v>
      </c>
      <c r="D131" s="190">
        <f t="shared" si="3"/>
        <v>0</v>
      </c>
      <c r="E131" s="163">
        <v>7.81</v>
      </c>
      <c r="F131" s="164"/>
      <c r="G131" s="165">
        <v>183.3</v>
      </c>
      <c r="H131" s="166">
        <v>7.6</v>
      </c>
      <c r="I131" s="164"/>
      <c r="J131" s="166">
        <v>16.899999999999999</v>
      </c>
      <c r="K131" s="164"/>
      <c r="L131" s="167">
        <v>28.000000000000004</v>
      </c>
      <c r="M131" s="136"/>
      <c r="N131" s="159"/>
      <c r="O131" s="159"/>
      <c r="P131" s="168"/>
    </row>
    <row r="132" spans="1:16" ht="16.5" customHeight="1" x14ac:dyDescent="0.25">
      <c r="A132" s="156">
        <v>44383</v>
      </c>
      <c r="B132" s="136" t="s">
        <v>12</v>
      </c>
      <c r="C132" s="157" t="str">
        <f t="shared" si="2"/>
        <v>06.07.2021_SAL2</v>
      </c>
      <c r="D132" s="190">
        <f t="shared" si="3"/>
        <v>0</v>
      </c>
      <c r="E132" s="163">
        <v>7.89</v>
      </c>
      <c r="F132" s="164"/>
      <c r="G132" s="165">
        <v>197.2</v>
      </c>
      <c r="H132" s="166">
        <v>8.6</v>
      </c>
      <c r="I132" s="164"/>
      <c r="J132" s="166">
        <v>16.2</v>
      </c>
      <c r="K132" s="164"/>
      <c r="L132" s="167">
        <v>40</v>
      </c>
      <c r="M132" s="136"/>
      <c r="N132" s="159"/>
      <c r="O132" s="159"/>
      <c r="P132" s="168" t="s">
        <v>88</v>
      </c>
    </row>
    <row r="133" spans="1:16" ht="16.5" customHeight="1" x14ac:dyDescent="0.25">
      <c r="A133" s="156">
        <v>44383</v>
      </c>
      <c r="B133" s="136" t="s">
        <v>28</v>
      </c>
      <c r="C133" s="157" t="str">
        <f t="shared" ref="C133:C196" si="4">CONCATENATE(TEXT(A133,"TT.MM.JJJJ"),"_",B133)</f>
        <v>06.07.2021_GRU2</v>
      </c>
      <c r="D133" s="190">
        <f t="shared" ref="D133:D196" si="5">COUNTBLANK(E133)+COUNTBLANK(G133:H133)+COUNTBLANK(J133)+COUNTBLANK(L133)</f>
        <v>0</v>
      </c>
      <c r="E133" s="163">
        <v>7.41</v>
      </c>
      <c r="F133" s="164"/>
      <c r="G133" s="165">
        <v>163</v>
      </c>
      <c r="H133" s="166">
        <v>10.1</v>
      </c>
      <c r="I133" s="164"/>
      <c r="J133" s="166">
        <v>17</v>
      </c>
      <c r="K133" s="164"/>
      <c r="L133" s="167">
        <v>45</v>
      </c>
      <c r="M133" s="136"/>
      <c r="N133" s="159"/>
      <c r="O133" s="159"/>
      <c r="P133" s="168"/>
    </row>
    <row r="134" spans="1:16" ht="16.5" customHeight="1" x14ac:dyDescent="0.25">
      <c r="A134" s="156">
        <v>44383</v>
      </c>
      <c r="B134" s="136" t="s">
        <v>10</v>
      </c>
      <c r="C134" s="157" t="str">
        <f t="shared" si="4"/>
        <v>06.07.2021_SAL1</v>
      </c>
      <c r="D134" s="190">
        <f t="shared" si="5"/>
        <v>0</v>
      </c>
      <c r="E134" s="163">
        <v>7.91</v>
      </c>
      <c r="F134" s="164"/>
      <c r="G134" s="165">
        <v>193.8</v>
      </c>
      <c r="H134" s="166">
        <v>8.1999999999999993</v>
      </c>
      <c r="I134" s="164"/>
      <c r="J134" s="166">
        <v>16.100000000000001</v>
      </c>
      <c r="K134" s="164"/>
      <c r="L134" s="167">
        <v>48</v>
      </c>
      <c r="M134" s="136"/>
      <c r="N134" s="159"/>
      <c r="O134" s="159" t="s">
        <v>388</v>
      </c>
      <c r="P134" s="168"/>
    </row>
    <row r="135" spans="1:16" ht="16.5" customHeight="1" x14ac:dyDescent="0.25">
      <c r="A135" s="156">
        <v>44383</v>
      </c>
      <c r="B135" s="136" t="s">
        <v>9</v>
      </c>
      <c r="C135" s="157" t="str">
        <f t="shared" si="4"/>
        <v>06.07.2021_STE2</v>
      </c>
      <c r="D135" s="190">
        <f t="shared" si="5"/>
        <v>0</v>
      </c>
      <c r="E135" s="163">
        <v>7.95</v>
      </c>
      <c r="F135" s="164"/>
      <c r="G135" s="165">
        <v>282</v>
      </c>
      <c r="H135" s="166">
        <v>8.3000000000000007</v>
      </c>
      <c r="I135" s="164"/>
      <c r="J135" s="166">
        <v>15.4</v>
      </c>
      <c r="K135" s="164"/>
      <c r="L135" s="167">
        <v>35</v>
      </c>
      <c r="M135" s="136"/>
      <c r="N135" s="159"/>
      <c r="O135" s="159"/>
      <c r="P135" s="168" t="s">
        <v>89</v>
      </c>
    </row>
    <row r="136" spans="1:16" ht="16.5" customHeight="1" x14ac:dyDescent="0.25">
      <c r="A136" s="156">
        <v>44383</v>
      </c>
      <c r="B136" s="136" t="s">
        <v>7</v>
      </c>
      <c r="C136" s="157" t="str">
        <f t="shared" si="4"/>
        <v>06.07.2021_STE1</v>
      </c>
      <c r="D136" s="190">
        <f t="shared" si="5"/>
        <v>0</v>
      </c>
      <c r="E136" s="163">
        <v>7.97</v>
      </c>
      <c r="F136" s="164"/>
      <c r="G136" s="165">
        <v>288</v>
      </c>
      <c r="H136" s="166">
        <v>8.6999999999999993</v>
      </c>
      <c r="I136" s="164"/>
      <c r="J136" s="166">
        <v>15.5</v>
      </c>
      <c r="K136" s="164"/>
      <c r="L136" s="167">
        <v>40</v>
      </c>
      <c r="M136" s="136"/>
      <c r="N136" s="159"/>
      <c r="O136" s="159"/>
      <c r="P136" s="168" t="s">
        <v>88</v>
      </c>
    </row>
    <row r="137" spans="1:16" ht="16.5" customHeight="1" x14ac:dyDescent="0.25">
      <c r="A137" s="156">
        <v>44383</v>
      </c>
      <c r="B137" s="136" t="s">
        <v>2</v>
      </c>
      <c r="C137" s="157" t="str">
        <f t="shared" si="4"/>
        <v>06.07.2021_KIN2</v>
      </c>
      <c r="D137" s="190">
        <f t="shared" si="5"/>
        <v>0</v>
      </c>
      <c r="E137" s="163">
        <v>8</v>
      </c>
      <c r="F137" s="164"/>
      <c r="G137" s="165">
        <v>301</v>
      </c>
      <c r="H137" s="166">
        <v>7.5</v>
      </c>
      <c r="I137" s="164"/>
      <c r="J137" s="166">
        <v>16</v>
      </c>
      <c r="K137" s="164"/>
      <c r="L137" s="167">
        <v>60</v>
      </c>
      <c r="M137" s="136"/>
      <c r="N137" s="159"/>
      <c r="O137" s="159"/>
      <c r="P137" s="168" t="s">
        <v>90</v>
      </c>
    </row>
    <row r="138" spans="1:16" ht="16.5" customHeight="1" x14ac:dyDescent="0.25">
      <c r="A138" s="156">
        <v>44383</v>
      </c>
      <c r="B138" s="136" t="s">
        <v>26</v>
      </c>
      <c r="C138" s="157" t="str">
        <f t="shared" si="4"/>
        <v>06.07.2021_GRU1</v>
      </c>
      <c r="D138" s="190">
        <f t="shared" si="5"/>
        <v>0</v>
      </c>
      <c r="E138" s="163">
        <v>7.67</v>
      </c>
      <c r="F138" s="164"/>
      <c r="G138" s="165">
        <v>145.9</v>
      </c>
      <c r="H138" s="166">
        <v>10.3</v>
      </c>
      <c r="I138" s="164"/>
      <c r="J138" s="166">
        <v>15.8</v>
      </c>
      <c r="K138" s="164"/>
      <c r="L138" s="167">
        <v>35</v>
      </c>
      <c r="M138" s="136"/>
      <c r="N138" s="159"/>
      <c r="O138" s="159"/>
      <c r="P138" s="168" t="s">
        <v>91</v>
      </c>
    </row>
    <row r="139" spans="1:16" ht="16.5" customHeight="1" x14ac:dyDescent="0.25">
      <c r="A139" s="156">
        <v>44383</v>
      </c>
      <c r="B139" s="136" t="s">
        <v>6</v>
      </c>
      <c r="C139" s="157" t="str">
        <f t="shared" si="4"/>
        <v>06.07.2021_KIN4</v>
      </c>
      <c r="D139" s="190">
        <f t="shared" si="5"/>
        <v>0</v>
      </c>
      <c r="E139" s="163">
        <v>8.0299999999999994</v>
      </c>
      <c r="F139" s="164"/>
      <c r="G139" s="165">
        <v>347</v>
      </c>
      <c r="H139" s="166">
        <v>8.1999999999999993</v>
      </c>
      <c r="I139" s="164"/>
      <c r="J139" s="166">
        <v>15.7</v>
      </c>
      <c r="K139" s="164"/>
      <c r="L139" s="167">
        <v>60</v>
      </c>
      <c r="M139" s="136"/>
      <c r="N139" s="159"/>
      <c r="O139" s="159"/>
      <c r="P139" s="168" t="s">
        <v>90</v>
      </c>
    </row>
    <row r="140" spans="1:16" ht="16.5" customHeight="1" x14ac:dyDescent="0.25">
      <c r="A140" s="156">
        <v>44383</v>
      </c>
      <c r="B140" s="136" t="s">
        <v>22</v>
      </c>
      <c r="C140" s="157" t="str">
        <f t="shared" si="4"/>
        <v>06.07.2021_BIE1</v>
      </c>
      <c r="D140" s="190">
        <f t="shared" si="5"/>
        <v>0</v>
      </c>
      <c r="E140" s="163">
        <v>7.74</v>
      </c>
      <c r="F140" s="164"/>
      <c r="G140" s="165">
        <v>182.1</v>
      </c>
      <c r="H140" s="166">
        <v>9.4</v>
      </c>
      <c r="I140" s="164"/>
      <c r="J140" s="166">
        <v>16.100000000000001</v>
      </c>
      <c r="K140" s="164"/>
      <c r="L140" s="167">
        <v>30</v>
      </c>
      <c r="M140" s="136"/>
      <c r="N140" s="159"/>
      <c r="O140" s="159"/>
      <c r="P140" s="168" t="s">
        <v>91</v>
      </c>
    </row>
    <row r="141" spans="1:16" ht="16.5" customHeight="1" x14ac:dyDescent="0.25">
      <c r="A141" s="156">
        <v>44383</v>
      </c>
      <c r="B141" s="136" t="s">
        <v>4</v>
      </c>
      <c r="C141" s="157" t="str">
        <f t="shared" si="4"/>
        <v>06.07.2021_KIN3</v>
      </c>
      <c r="D141" s="190">
        <f t="shared" si="5"/>
        <v>0</v>
      </c>
      <c r="E141" s="133">
        <v>8.1300000000000008</v>
      </c>
      <c r="F141" s="134"/>
      <c r="G141" s="135">
        <v>334</v>
      </c>
      <c r="H141" s="137">
        <v>8.1</v>
      </c>
      <c r="I141" s="134"/>
      <c r="J141" s="137">
        <v>15.8</v>
      </c>
      <c r="K141" s="134"/>
      <c r="L141" s="136">
        <v>60</v>
      </c>
      <c r="M141" s="136"/>
      <c r="N141" s="159"/>
      <c r="O141" s="159"/>
      <c r="P141" s="136" t="s">
        <v>88</v>
      </c>
    </row>
    <row r="142" spans="1:16" ht="16.5" customHeight="1" x14ac:dyDescent="0.25">
      <c r="A142" s="156">
        <v>44383</v>
      </c>
      <c r="B142" s="136" t="s">
        <v>25</v>
      </c>
      <c r="C142" s="157" t="str">
        <f t="shared" si="4"/>
        <v>06.07.2021_BIE2</v>
      </c>
      <c r="D142" s="190">
        <f t="shared" si="5"/>
        <v>0</v>
      </c>
      <c r="E142" s="133">
        <v>7.84</v>
      </c>
      <c r="F142" s="134"/>
      <c r="G142" s="135">
        <v>178.6</v>
      </c>
      <c r="H142" s="137">
        <v>9.6999999999999993</v>
      </c>
      <c r="I142" s="134"/>
      <c r="J142" s="137">
        <v>15.9</v>
      </c>
      <c r="K142" s="134"/>
      <c r="L142" s="136">
        <v>50</v>
      </c>
      <c r="M142" s="136"/>
      <c r="N142" s="159"/>
      <c r="O142" s="159"/>
      <c r="P142" s="136" t="s">
        <v>91</v>
      </c>
    </row>
    <row r="143" spans="1:16" ht="16.5" customHeight="1" x14ac:dyDescent="0.25">
      <c r="A143" s="156">
        <v>44383</v>
      </c>
      <c r="B143" s="136" t="s">
        <v>0</v>
      </c>
      <c r="C143" s="157" t="str">
        <f t="shared" si="4"/>
        <v>06.07.2021_KIN1</v>
      </c>
      <c r="D143" s="190">
        <f t="shared" si="5"/>
        <v>0</v>
      </c>
      <c r="E143" s="133">
        <v>8.19</v>
      </c>
      <c r="F143" s="134"/>
      <c r="G143" s="135">
        <v>292</v>
      </c>
      <c r="H143" s="137">
        <v>8</v>
      </c>
      <c r="I143" s="134"/>
      <c r="J143" s="137">
        <v>15.9</v>
      </c>
      <c r="K143" s="134"/>
      <c r="L143" s="136">
        <v>40</v>
      </c>
      <c r="M143" s="136"/>
      <c r="N143" s="159"/>
      <c r="O143" s="159"/>
      <c r="P143" s="136" t="s">
        <v>90</v>
      </c>
    </row>
    <row r="144" spans="1:16" ht="16.5" customHeight="1" x14ac:dyDescent="0.25">
      <c r="A144" s="156">
        <v>44397</v>
      </c>
      <c r="B144" s="136" t="s">
        <v>21</v>
      </c>
      <c r="C144" s="157" t="str">
        <f t="shared" si="4"/>
        <v>20.07.2021_ORB2</v>
      </c>
      <c r="D144" s="190">
        <f t="shared" si="5"/>
        <v>0</v>
      </c>
      <c r="E144" s="133">
        <v>7.8</v>
      </c>
      <c r="F144" s="134"/>
      <c r="G144" s="135">
        <v>139.9</v>
      </c>
      <c r="H144" s="137">
        <v>8.1</v>
      </c>
      <c r="I144" s="134"/>
      <c r="J144" s="137">
        <v>13.8</v>
      </c>
      <c r="K144" s="134"/>
      <c r="L144" s="136">
        <v>25</v>
      </c>
      <c r="M144" s="136"/>
      <c r="N144" s="159"/>
      <c r="O144" s="159"/>
      <c r="P144" s="136"/>
    </row>
    <row r="145" spans="1:16" ht="16.5" customHeight="1" x14ac:dyDescent="0.25">
      <c r="A145" s="156">
        <v>44397</v>
      </c>
      <c r="B145" s="136" t="s">
        <v>18</v>
      </c>
      <c r="C145" s="157" t="str">
        <f t="shared" si="4"/>
        <v>20.07.2021_ORB1</v>
      </c>
      <c r="D145" s="190">
        <f t="shared" si="5"/>
        <v>0</v>
      </c>
      <c r="E145" s="133">
        <v>7.66</v>
      </c>
      <c r="F145" s="134"/>
      <c r="G145" s="135">
        <v>117.4</v>
      </c>
      <c r="H145" s="137">
        <v>7.8</v>
      </c>
      <c r="I145" s="134"/>
      <c r="J145" s="137">
        <v>13.8</v>
      </c>
      <c r="K145" s="134"/>
      <c r="L145" s="136">
        <v>15</v>
      </c>
      <c r="M145" s="136"/>
      <c r="N145" s="159"/>
      <c r="O145" s="159"/>
      <c r="P145" s="136"/>
    </row>
    <row r="146" spans="1:16" ht="16.5" customHeight="1" x14ac:dyDescent="0.25">
      <c r="A146" s="156">
        <v>44397</v>
      </c>
      <c r="B146" s="136" t="s">
        <v>17</v>
      </c>
      <c r="C146" s="157" t="str">
        <f t="shared" si="4"/>
        <v>20.07.2021_BRA2</v>
      </c>
      <c r="D146" s="190">
        <f t="shared" si="5"/>
        <v>0</v>
      </c>
      <c r="E146" s="133">
        <v>8.27</v>
      </c>
      <c r="F146" s="134"/>
      <c r="G146" s="135">
        <v>207</v>
      </c>
      <c r="H146" s="137">
        <v>7.2</v>
      </c>
      <c r="I146" s="134"/>
      <c r="J146" s="137">
        <v>26.3</v>
      </c>
      <c r="K146" s="134"/>
      <c r="L146" s="136">
        <v>22</v>
      </c>
      <c r="M146" s="136"/>
      <c r="N146" s="159"/>
      <c r="O146" s="159"/>
      <c r="P146" s="136" t="s">
        <v>88</v>
      </c>
    </row>
    <row r="147" spans="1:16" ht="16.5" customHeight="1" x14ac:dyDescent="0.25">
      <c r="A147" s="156">
        <v>44397</v>
      </c>
      <c r="B147" s="136" t="s">
        <v>14</v>
      </c>
      <c r="C147" s="157" t="str">
        <f t="shared" si="4"/>
        <v>20.07.2021_BRA1</v>
      </c>
      <c r="D147" s="190">
        <f t="shared" si="5"/>
        <v>0</v>
      </c>
      <c r="E147" s="133">
        <v>7.96</v>
      </c>
      <c r="F147" s="134"/>
      <c r="G147" s="135">
        <v>176.6</v>
      </c>
      <c r="H147" s="137">
        <v>5.9</v>
      </c>
      <c r="I147" s="134"/>
      <c r="J147" s="137">
        <v>18</v>
      </c>
      <c r="K147" s="134"/>
      <c r="L147" s="136">
        <v>27</v>
      </c>
      <c r="M147" s="136"/>
      <c r="N147" s="159"/>
      <c r="O147" s="159"/>
      <c r="P147" s="136" t="s">
        <v>89</v>
      </c>
    </row>
    <row r="148" spans="1:16" ht="16.5" customHeight="1" x14ac:dyDescent="0.25">
      <c r="A148" s="156">
        <v>44397</v>
      </c>
      <c r="B148" s="136" t="s">
        <v>12</v>
      </c>
      <c r="C148" s="157" t="str">
        <f t="shared" si="4"/>
        <v>20.07.2021_SAL2</v>
      </c>
      <c r="D148" s="190">
        <f t="shared" si="5"/>
        <v>0</v>
      </c>
      <c r="E148" s="133">
        <v>8.25</v>
      </c>
      <c r="F148" s="134"/>
      <c r="G148" s="135">
        <v>211</v>
      </c>
      <c r="H148" s="137">
        <v>7.1</v>
      </c>
      <c r="I148" s="134"/>
      <c r="J148" s="137">
        <v>16.100000000000001</v>
      </c>
      <c r="K148" s="134"/>
      <c r="L148" s="136">
        <v>35</v>
      </c>
      <c r="M148" s="136"/>
      <c r="N148" s="159"/>
      <c r="O148" s="159"/>
      <c r="P148" s="136" t="s">
        <v>88</v>
      </c>
    </row>
    <row r="149" spans="1:16" ht="16.5" customHeight="1" x14ac:dyDescent="0.25">
      <c r="A149" s="156">
        <v>44397</v>
      </c>
      <c r="B149" s="136" t="s">
        <v>10</v>
      </c>
      <c r="C149" s="157" t="str">
        <f t="shared" si="4"/>
        <v>20.07.2021_SAL1</v>
      </c>
      <c r="D149" s="190">
        <f t="shared" si="5"/>
        <v>0</v>
      </c>
      <c r="E149" s="133">
        <v>8.23</v>
      </c>
      <c r="F149" s="134"/>
      <c r="G149" s="135">
        <v>196</v>
      </c>
      <c r="H149" s="137">
        <v>7.6</v>
      </c>
      <c r="I149" s="134"/>
      <c r="J149" s="137">
        <v>16.2</v>
      </c>
      <c r="K149" s="134"/>
      <c r="L149" s="136">
        <v>34</v>
      </c>
      <c r="M149" s="136"/>
      <c r="N149" s="159"/>
      <c r="O149" s="159"/>
      <c r="P149" s="136"/>
    </row>
    <row r="150" spans="1:16" ht="16.5" customHeight="1" x14ac:dyDescent="0.25">
      <c r="A150" s="156">
        <v>44397</v>
      </c>
      <c r="B150" s="136" t="s">
        <v>37</v>
      </c>
      <c r="C150" s="157" t="str">
        <f t="shared" si="4"/>
        <v>20.07.2021_KRE2</v>
      </c>
      <c r="D150" s="190">
        <f t="shared" si="5"/>
        <v>0</v>
      </c>
      <c r="E150" s="133">
        <v>8.01</v>
      </c>
      <c r="F150" s="134"/>
      <c r="G150" s="135">
        <v>886</v>
      </c>
      <c r="H150" s="137">
        <v>6.9</v>
      </c>
      <c r="I150" s="134"/>
      <c r="J150" s="137">
        <v>19.8</v>
      </c>
      <c r="K150" s="134"/>
      <c r="L150" s="136">
        <v>45</v>
      </c>
      <c r="M150" s="136"/>
      <c r="N150" s="159"/>
      <c r="O150" s="159"/>
      <c r="P150" s="159" t="s">
        <v>410</v>
      </c>
    </row>
    <row r="151" spans="1:16" ht="16.5" customHeight="1" x14ac:dyDescent="0.25">
      <c r="A151" s="156">
        <v>44397</v>
      </c>
      <c r="B151" s="136" t="s">
        <v>9</v>
      </c>
      <c r="C151" s="157" t="str">
        <f t="shared" si="4"/>
        <v>20.07.2021_STE2</v>
      </c>
      <c r="D151" s="190">
        <f t="shared" si="5"/>
        <v>0</v>
      </c>
      <c r="E151" s="133">
        <v>8.36</v>
      </c>
      <c r="F151" s="134"/>
      <c r="G151" s="135">
        <v>321</v>
      </c>
      <c r="H151" s="137">
        <v>7.8</v>
      </c>
      <c r="I151" s="134"/>
      <c r="J151" s="137">
        <v>16</v>
      </c>
      <c r="K151" s="134"/>
      <c r="L151" s="136">
        <v>28.000000000000004</v>
      </c>
      <c r="M151" s="136"/>
      <c r="N151" s="159"/>
      <c r="O151" s="159"/>
      <c r="P151" s="136"/>
    </row>
    <row r="152" spans="1:16" ht="16.5" customHeight="1" x14ac:dyDescent="0.25">
      <c r="A152" s="156">
        <v>44397</v>
      </c>
      <c r="B152" s="136" t="s">
        <v>7</v>
      </c>
      <c r="C152" s="157" t="str">
        <f t="shared" si="4"/>
        <v>20.07.2021_STE1</v>
      </c>
      <c r="D152" s="190">
        <f t="shared" si="5"/>
        <v>0</v>
      </c>
      <c r="E152" s="133">
        <v>8.43</v>
      </c>
      <c r="F152" s="134"/>
      <c r="G152" s="135">
        <v>314</v>
      </c>
      <c r="H152" s="137">
        <v>8.1999999999999993</v>
      </c>
      <c r="I152" s="134"/>
      <c r="J152" s="137">
        <v>15.6</v>
      </c>
      <c r="K152" s="134"/>
      <c r="L152" s="136">
        <v>38</v>
      </c>
      <c r="M152" s="136"/>
      <c r="N152" s="159"/>
      <c r="O152" s="159"/>
      <c r="P152" s="136" t="s">
        <v>89</v>
      </c>
    </row>
    <row r="153" spans="1:16" ht="16.5" customHeight="1" x14ac:dyDescent="0.25">
      <c r="A153" s="156">
        <v>44397</v>
      </c>
      <c r="B153" s="136" t="s">
        <v>34</v>
      </c>
      <c r="C153" s="157" t="str">
        <f t="shared" si="4"/>
        <v>20.07.2021_KRE1</v>
      </c>
      <c r="D153" s="190">
        <f t="shared" si="5"/>
        <v>0</v>
      </c>
      <c r="E153" s="133">
        <v>8.06</v>
      </c>
      <c r="F153" s="134"/>
      <c r="G153" s="135">
        <v>895</v>
      </c>
      <c r="H153" s="137">
        <v>7.9</v>
      </c>
      <c r="I153" s="134"/>
      <c r="J153" s="137">
        <v>19.100000000000001</v>
      </c>
      <c r="K153" s="134"/>
      <c r="L153" s="136">
        <v>35</v>
      </c>
      <c r="M153" s="136"/>
      <c r="N153" s="159"/>
      <c r="O153" s="159"/>
      <c r="P153" s="136" t="s">
        <v>92</v>
      </c>
    </row>
    <row r="154" spans="1:16" ht="16.5" customHeight="1" x14ac:dyDescent="0.25">
      <c r="A154" s="156">
        <v>44397</v>
      </c>
      <c r="B154" s="136" t="s">
        <v>2</v>
      </c>
      <c r="C154" s="157" t="str">
        <f t="shared" si="4"/>
        <v>20.07.2021_KIN2</v>
      </c>
      <c r="D154" s="190">
        <f t="shared" si="5"/>
        <v>0</v>
      </c>
      <c r="E154" s="133">
        <v>8.48</v>
      </c>
      <c r="F154" s="134"/>
      <c r="G154" s="135">
        <v>483</v>
      </c>
      <c r="H154" s="137">
        <v>7.7</v>
      </c>
      <c r="I154" s="134"/>
      <c r="J154" s="137">
        <v>16</v>
      </c>
      <c r="K154" s="134"/>
      <c r="L154" s="136">
        <v>50</v>
      </c>
      <c r="M154" s="136"/>
      <c r="N154" s="159"/>
      <c r="O154" s="159"/>
      <c r="P154" s="136" t="s">
        <v>93</v>
      </c>
    </row>
    <row r="155" spans="1:16" ht="16.5" customHeight="1" x14ac:dyDescent="0.25">
      <c r="A155" s="156">
        <v>44397</v>
      </c>
      <c r="B155" s="136" t="s">
        <v>32</v>
      </c>
      <c r="C155" s="157" t="str">
        <f t="shared" si="4"/>
        <v>20.07.2021_FAL2</v>
      </c>
      <c r="D155" s="190">
        <f t="shared" si="5"/>
        <v>0</v>
      </c>
      <c r="E155" s="133">
        <v>8.34</v>
      </c>
      <c r="F155" s="134"/>
      <c r="G155" s="135">
        <v>834</v>
      </c>
      <c r="H155" s="137">
        <v>8.8000000000000007</v>
      </c>
      <c r="I155" s="134"/>
      <c r="J155" s="137">
        <v>20.5</v>
      </c>
      <c r="K155" s="134"/>
      <c r="L155" s="136">
        <v>55.000000000000007</v>
      </c>
      <c r="M155" s="136"/>
      <c r="N155" s="159"/>
      <c r="O155" s="159"/>
      <c r="P155" s="136" t="s">
        <v>94</v>
      </c>
    </row>
    <row r="156" spans="1:16" ht="16.5" customHeight="1" x14ac:dyDescent="0.25">
      <c r="A156" s="156">
        <v>44397</v>
      </c>
      <c r="B156" s="136" t="s">
        <v>30</v>
      </c>
      <c r="C156" s="157" t="str">
        <f t="shared" si="4"/>
        <v>20.07.2021_FAL1</v>
      </c>
      <c r="D156" s="190">
        <f t="shared" si="5"/>
        <v>0</v>
      </c>
      <c r="E156" s="133">
        <v>8.08</v>
      </c>
      <c r="F156" s="134"/>
      <c r="G156" s="135">
        <v>849</v>
      </c>
      <c r="H156" s="137">
        <v>8.6999999999999993</v>
      </c>
      <c r="I156" s="134"/>
      <c r="J156" s="137">
        <v>17.600000000000001</v>
      </c>
      <c r="K156" s="134"/>
      <c r="L156" s="136">
        <v>60</v>
      </c>
      <c r="M156" s="136"/>
      <c r="N156" s="159"/>
      <c r="O156" s="159"/>
      <c r="P156" s="136" t="s">
        <v>95</v>
      </c>
    </row>
    <row r="157" spans="1:16" ht="16.5" customHeight="1" x14ac:dyDescent="0.25">
      <c r="A157" s="156">
        <v>44397</v>
      </c>
      <c r="B157" s="136" t="s">
        <v>0</v>
      </c>
      <c r="C157" s="157" t="str">
        <f t="shared" si="4"/>
        <v>20.07.2021_KIN1</v>
      </c>
      <c r="D157" s="190">
        <f t="shared" si="5"/>
        <v>0</v>
      </c>
      <c r="E157" s="133">
        <v>8.51</v>
      </c>
      <c r="F157" s="134"/>
      <c r="G157" s="135">
        <v>426</v>
      </c>
      <c r="H157" s="137">
        <v>7.5</v>
      </c>
      <c r="I157" s="134"/>
      <c r="J157" s="137">
        <v>14.4</v>
      </c>
      <c r="K157" s="134"/>
      <c r="L157" s="136">
        <v>40</v>
      </c>
      <c r="M157" s="136"/>
      <c r="N157" s="159"/>
      <c r="O157" s="159"/>
      <c r="P157" s="136"/>
    </row>
    <row r="158" spans="1:16" ht="16.5" customHeight="1" x14ac:dyDescent="0.25">
      <c r="A158" s="156">
        <v>44397</v>
      </c>
      <c r="B158" s="136" t="s">
        <v>22</v>
      </c>
      <c r="C158" s="157" t="str">
        <f t="shared" si="4"/>
        <v>20.07.2021_BIE1</v>
      </c>
      <c r="D158" s="190">
        <f t="shared" si="5"/>
        <v>0</v>
      </c>
      <c r="E158" s="133">
        <v>7.96</v>
      </c>
      <c r="F158" s="134"/>
      <c r="G158" s="135">
        <v>165.2</v>
      </c>
      <c r="H158" s="137">
        <v>9.9</v>
      </c>
      <c r="I158" s="134"/>
      <c r="J158" s="137">
        <v>15.3</v>
      </c>
      <c r="K158" s="134"/>
      <c r="L158" s="136">
        <v>30</v>
      </c>
      <c r="M158" s="136"/>
      <c r="N158" s="159"/>
      <c r="O158" s="159"/>
      <c r="P158" s="136"/>
    </row>
    <row r="159" spans="1:16" ht="16.5" customHeight="1" x14ac:dyDescent="0.25">
      <c r="A159" s="156">
        <v>44397</v>
      </c>
      <c r="B159" s="136" t="s">
        <v>4</v>
      </c>
      <c r="C159" s="157" t="str">
        <f t="shared" si="4"/>
        <v>20.07.2021_KIN3</v>
      </c>
      <c r="D159" s="190">
        <f t="shared" si="5"/>
        <v>0</v>
      </c>
      <c r="E159" s="133">
        <v>8.48</v>
      </c>
      <c r="F159" s="134"/>
      <c r="G159" s="135">
        <v>476</v>
      </c>
      <c r="H159" s="137">
        <v>7.8</v>
      </c>
      <c r="I159" s="134"/>
      <c r="J159" s="137">
        <v>14.7</v>
      </c>
      <c r="K159" s="134"/>
      <c r="L159" s="136">
        <v>50</v>
      </c>
      <c r="M159" s="136"/>
      <c r="N159" s="159"/>
      <c r="O159" s="159"/>
      <c r="P159" s="136" t="s">
        <v>96</v>
      </c>
    </row>
    <row r="160" spans="1:16" ht="16.5" customHeight="1" x14ac:dyDescent="0.25">
      <c r="A160" s="156">
        <v>44397</v>
      </c>
      <c r="B160" s="167" t="s">
        <v>25</v>
      </c>
      <c r="C160" s="157" t="str">
        <f t="shared" si="4"/>
        <v>20.07.2021_BIE2</v>
      </c>
      <c r="D160" s="190">
        <f t="shared" si="5"/>
        <v>0</v>
      </c>
      <c r="E160" s="169">
        <v>7.95</v>
      </c>
      <c r="F160" s="170"/>
      <c r="G160" s="171">
        <v>175.6</v>
      </c>
      <c r="H160" s="160">
        <v>10</v>
      </c>
      <c r="I160" s="170"/>
      <c r="J160" s="160">
        <v>14.9</v>
      </c>
      <c r="K160" s="170"/>
      <c r="L160" s="167">
        <v>45</v>
      </c>
      <c r="M160" s="136"/>
      <c r="N160" s="159"/>
      <c r="O160" s="159"/>
      <c r="P160" s="167"/>
    </row>
    <row r="161" spans="1:16" ht="16.5" customHeight="1" x14ac:dyDescent="0.25">
      <c r="A161" s="156">
        <v>44397</v>
      </c>
      <c r="B161" s="167" t="s">
        <v>28</v>
      </c>
      <c r="C161" s="157" t="str">
        <f t="shared" si="4"/>
        <v>20.07.2021_GRU2</v>
      </c>
      <c r="D161" s="190">
        <f t="shared" si="5"/>
        <v>0</v>
      </c>
      <c r="E161" s="169">
        <v>7.55</v>
      </c>
      <c r="F161" s="170"/>
      <c r="G161" s="171">
        <v>174.2</v>
      </c>
      <c r="H161" s="160">
        <v>9</v>
      </c>
      <c r="I161" s="170"/>
      <c r="J161" s="160">
        <v>17.399999999999999</v>
      </c>
      <c r="K161" s="170"/>
      <c r="L161" s="167">
        <v>35</v>
      </c>
      <c r="M161" s="136"/>
      <c r="N161" s="159"/>
      <c r="O161" s="159"/>
      <c r="P161" s="167"/>
    </row>
    <row r="162" spans="1:16" ht="16.5" customHeight="1" x14ac:dyDescent="0.25">
      <c r="A162" s="156">
        <v>44397</v>
      </c>
      <c r="B162" s="167" t="s">
        <v>6</v>
      </c>
      <c r="C162" s="157" t="str">
        <f t="shared" si="4"/>
        <v>20.07.2021_KIN4</v>
      </c>
      <c r="D162" s="190">
        <f t="shared" si="5"/>
        <v>0</v>
      </c>
      <c r="E162" s="169">
        <v>8.3800000000000008</v>
      </c>
      <c r="F162" s="170"/>
      <c r="G162" s="171">
        <v>515</v>
      </c>
      <c r="H162" s="160">
        <v>7</v>
      </c>
      <c r="I162" s="170"/>
      <c r="J162" s="160">
        <v>15.4</v>
      </c>
      <c r="K162" s="170"/>
      <c r="L162" s="167">
        <v>40</v>
      </c>
      <c r="M162" s="136"/>
      <c r="N162" s="159"/>
      <c r="O162" s="159"/>
      <c r="P162" s="167" t="s">
        <v>96</v>
      </c>
    </row>
    <row r="163" spans="1:16" ht="16.5" customHeight="1" x14ac:dyDescent="0.25">
      <c r="A163" s="156">
        <v>44397</v>
      </c>
      <c r="B163" s="167" t="s">
        <v>26</v>
      </c>
      <c r="C163" s="157" t="str">
        <f t="shared" si="4"/>
        <v>20.07.2021_GRU1</v>
      </c>
      <c r="D163" s="190">
        <f t="shared" si="5"/>
        <v>0</v>
      </c>
      <c r="E163" s="169">
        <v>7.62</v>
      </c>
      <c r="F163" s="170"/>
      <c r="G163" s="171">
        <v>151.80000000000001</v>
      </c>
      <c r="H163" s="160">
        <v>9.4</v>
      </c>
      <c r="I163" s="170"/>
      <c r="J163" s="160">
        <v>16.899999999999999</v>
      </c>
      <c r="K163" s="170"/>
      <c r="L163" s="167">
        <v>35</v>
      </c>
      <c r="M163" s="136"/>
      <c r="N163" s="159"/>
      <c r="O163" s="159"/>
      <c r="P163" s="167"/>
    </row>
    <row r="164" spans="1:16" ht="16.5" customHeight="1" x14ac:dyDescent="0.25">
      <c r="A164" s="156">
        <v>44411</v>
      </c>
      <c r="B164" s="167" t="s">
        <v>37</v>
      </c>
      <c r="C164" s="157" t="str">
        <f t="shared" si="4"/>
        <v>03.08.2021_KRE2</v>
      </c>
      <c r="D164" s="190">
        <f t="shared" si="5"/>
        <v>0</v>
      </c>
      <c r="E164" s="169">
        <v>7.75</v>
      </c>
      <c r="F164" s="170"/>
      <c r="G164" s="171">
        <v>681</v>
      </c>
      <c r="H164" s="160">
        <v>6.7</v>
      </c>
      <c r="I164" s="170"/>
      <c r="J164" s="160">
        <v>17.8</v>
      </c>
      <c r="K164" s="170"/>
      <c r="L164" s="167">
        <v>50</v>
      </c>
      <c r="M164" s="136"/>
      <c r="N164" s="159"/>
      <c r="O164" s="159"/>
      <c r="P164" s="167"/>
    </row>
    <row r="165" spans="1:16" ht="16.5" customHeight="1" x14ac:dyDescent="0.25">
      <c r="A165" s="156">
        <v>44411</v>
      </c>
      <c r="B165" s="167" t="s">
        <v>21</v>
      </c>
      <c r="C165" s="157" t="str">
        <f t="shared" si="4"/>
        <v>03.08.2021_ORB2</v>
      </c>
      <c r="D165" s="190">
        <f t="shared" si="5"/>
        <v>0</v>
      </c>
      <c r="E165" s="169">
        <v>7.45</v>
      </c>
      <c r="F165" s="170"/>
      <c r="G165" s="171">
        <v>147.80000000000001</v>
      </c>
      <c r="H165" s="160">
        <v>8.6999999999999993</v>
      </c>
      <c r="I165" s="170"/>
      <c r="J165" s="160">
        <v>13.7</v>
      </c>
      <c r="K165" s="170"/>
      <c r="L165" s="167">
        <v>20</v>
      </c>
      <c r="M165" s="136"/>
      <c r="N165" s="159"/>
      <c r="O165" s="159"/>
      <c r="P165" s="167"/>
    </row>
    <row r="166" spans="1:16" ht="16.5" customHeight="1" x14ac:dyDescent="0.25">
      <c r="A166" s="156">
        <v>44411</v>
      </c>
      <c r="B166" s="167" t="s">
        <v>34</v>
      </c>
      <c r="C166" s="157" t="str">
        <f t="shared" si="4"/>
        <v>03.08.2021_KRE1</v>
      </c>
      <c r="D166" s="190">
        <f t="shared" si="5"/>
        <v>0</v>
      </c>
      <c r="E166" s="169">
        <v>7.95</v>
      </c>
      <c r="F166" s="170"/>
      <c r="G166" s="171">
        <v>944</v>
      </c>
      <c r="H166" s="160">
        <v>7.8</v>
      </c>
      <c r="I166" s="170"/>
      <c r="J166" s="160">
        <v>18.100000000000001</v>
      </c>
      <c r="K166" s="170"/>
      <c r="L166" s="167">
        <v>55.000000000000007</v>
      </c>
      <c r="M166" s="136"/>
      <c r="N166" s="159"/>
      <c r="O166" s="159"/>
      <c r="P166" s="167"/>
    </row>
    <row r="167" spans="1:16" ht="16.5" customHeight="1" x14ac:dyDescent="0.25">
      <c r="A167" s="156">
        <v>44411</v>
      </c>
      <c r="B167" s="167" t="s">
        <v>18</v>
      </c>
      <c r="C167" s="157" t="str">
        <f t="shared" si="4"/>
        <v>03.08.2021_ORB1</v>
      </c>
      <c r="D167" s="190">
        <f t="shared" si="5"/>
        <v>0</v>
      </c>
      <c r="E167" s="169">
        <v>7.63</v>
      </c>
      <c r="F167" s="170"/>
      <c r="G167" s="171">
        <v>110.7</v>
      </c>
      <c r="H167" s="160">
        <v>8.5</v>
      </c>
      <c r="I167" s="170"/>
      <c r="J167" s="160">
        <v>13.5</v>
      </c>
      <c r="K167" s="170"/>
      <c r="L167" s="167">
        <v>12</v>
      </c>
      <c r="M167" s="136"/>
      <c r="N167" s="159"/>
      <c r="O167" s="159" t="s">
        <v>388</v>
      </c>
      <c r="P167" s="167"/>
    </row>
    <row r="168" spans="1:16" ht="16.5" customHeight="1" x14ac:dyDescent="0.25">
      <c r="A168" s="156">
        <v>44411</v>
      </c>
      <c r="B168" s="167" t="s">
        <v>17</v>
      </c>
      <c r="C168" s="157" t="str">
        <f t="shared" si="4"/>
        <v>03.08.2021_BRA2</v>
      </c>
      <c r="D168" s="190">
        <f t="shared" si="5"/>
        <v>0</v>
      </c>
      <c r="E168" s="169">
        <v>8.2899999999999991</v>
      </c>
      <c r="F168" s="170"/>
      <c r="G168" s="171">
        <v>206</v>
      </c>
      <c r="H168" s="160">
        <v>8.9</v>
      </c>
      <c r="I168" s="170"/>
      <c r="J168" s="160">
        <v>14.9</v>
      </c>
      <c r="K168" s="170"/>
      <c r="L168" s="167">
        <v>17</v>
      </c>
      <c r="M168" s="136"/>
      <c r="N168" s="159"/>
      <c r="O168" s="159"/>
      <c r="P168" s="167" t="s">
        <v>97</v>
      </c>
    </row>
    <row r="169" spans="1:16" ht="16.5" customHeight="1" x14ac:dyDescent="0.25">
      <c r="A169" s="156">
        <v>44411</v>
      </c>
      <c r="B169" s="167" t="s">
        <v>32</v>
      </c>
      <c r="C169" s="157" t="str">
        <f t="shared" si="4"/>
        <v>03.08.2021_FAL2</v>
      </c>
      <c r="D169" s="190">
        <f t="shared" si="5"/>
        <v>0</v>
      </c>
      <c r="E169" s="169">
        <v>8.26</v>
      </c>
      <c r="F169" s="170"/>
      <c r="G169" s="171">
        <v>800</v>
      </c>
      <c r="H169" s="160">
        <v>8.3000000000000007</v>
      </c>
      <c r="I169" s="170"/>
      <c r="J169" s="160">
        <v>17.899999999999999</v>
      </c>
      <c r="K169" s="170"/>
      <c r="L169" s="167">
        <v>70</v>
      </c>
      <c r="M169" s="136"/>
      <c r="N169" s="159"/>
      <c r="O169" s="159"/>
      <c r="P169" s="167"/>
    </row>
    <row r="170" spans="1:16" ht="16.5" customHeight="1" x14ac:dyDescent="0.25">
      <c r="A170" s="156">
        <v>44411</v>
      </c>
      <c r="B170" s="167" t="s">
        <v>14</v>
      </c>
      <c r="C170" s="157" t="str">
        <f t="shared" si="4"/>
        <v>03.08.2021_BRA1</v>
      </c>
      <c r="D170" s="190">
        <f t="shared" si="5"/>
        <v>0</v>
      </c>
      <c r="E170" s="169">
        <v>8.0500000000000007</v>
      </c>
      <c r="F170" s="170"/>
      <c r="G170" s="171">
        <v>179.5</v>
      </c>
      <c r="H170" s="160">
        <v>7.8</v>
      </c>
      <c r="I170" s="170"/>
      <c r="J170" s="160">
        <v>15.6</v>
      </c>
      <c r="K170" s="170"/>
      <c r="L170" s="167">
        <v>28.000000000000004</v>
      </c>
      <c r="M170" s="136"/>
      <c r="N170" s="159"/>
      <c r="O170" s="159"/>
      <c r="P170" s="167"/>
    </row>
    <row r="171" spans="1:16" ht="16.5" customHeight="1" x14ac:dyDescent="0.25">
      <c r="A171" s="156">
        <v>44411</v>
      </c>
      <c r="B171" s="167" t="s">
        <v>12</v>
      </c>
      <c r="C171" s="157" t="str">
        <f t="shared" si="4"/>
        <v>03.08.2021_SAL2</v>
      </c>
      <c r="D171" s="190">
        <f t="shared" si="5"/>
        <v>0</v>
      </c>
      <c r="E171" s="169">
        <v>8.2200000000000006</v>
      </c>
      <c r="F171" s="170"/>
      <c r="G171" s="171">
        <v>217</v>
      </c>
      <c r="H171" s="160">
        <v>8.8000000000000007</v>
      </c>
      <c r="I171" s="170"/>
      <c r="J171" s="160">
        <v>15.5</v>
      </c>
      <c r="K171" s="170"/>
      <c r="L171" s="167">
        <v>32</v>
      </c>
      <c r="M171" s="136"/>
      <c r="N171" s="159"/>
      <c r="O171" s="159"/>
      <c r="P171" s="167" t="s">
        <v>98</v>
      </c>
    </row>
    <row r="172" spans="1:16" ht="16.5" customHeight="1" x14ac:dyDescent="0.25">
      <c r="A172" s="156">
        <v>44411</v>
      </c>
      <c r="B172" s="167" t="s">
        <v>30</v>
      </c>
      <c r="C172" s="157" t="str">
        <f t="shared" si="4"/>
        <v>03.08.2021_FAL1</v>
      </c>
      <c r="D172" s="190">
        <f t="shared" si="5"/>
        <v>0</v>
      </c>
      <c r="E172" s="163">
        <v>7.9</v>
      </c>
      <c r="F172" s="164"/>
      <c r="G172" s="165">
        <v>714</v>
      </c>
      <c r="H172" s="166">
        <v>8</v>
      </c>
      <c r="I172" s="164"/>
      <c r="J172" s="166">
        <v>16.7</v>
      </c>
      <c r="K172" s="164"/>
      <c r="L172" s="167">
        <v>60</v>
      </c>
      <c r="M172" s="136"/>
      <c r="N172" s="159"/>
      <c r="O172" s="159"/>
      <c r="P172" s="172" t="s">
        <v>99</v>
      </c>
    </row>
    <row r="173" spans="1:16" ht="16.5" customHeight="1" x14ac:dyDescent="0.25">
      <c r="A173" s="156">
        <v>44411</v>
      </c>
      <c r="B173" s="167" t="s">
        <v>10</v>
      </c>
      <c r="C173" s="157" t="str">
        <f t="shared" si="4"/>
        <v>03.08.2021_SAL1</v>
      </c>
      <c r="D173" s="190">
        <f t="shared" si="5"/>
        <v>0</v>
      </c>
      <c r="E173" s="169">
        <v>8.0500000000000007</v>
      </c>
      <c r="F173" s="170"/>
      <c r="G173" s="171">
        <v>196.5</v>
      </c>
      <c r="H173" s="160">
        <v>7.6</v>
      </c>
      <c r="I173" s="170"/>
      <c r="J173" s="160">
        <v>15.3</v>
      </c>
      <c r="K173" s="170"/>
      <c r="L173" s="167">
        <v>38</v>
      </c>
      <c r="M173" s="136"/>
      <c r="N173" s="159"/>
      <c r="O173" s="159"/>
      <c r="P173" s="167" t="s">
        <v>100</v>
      </c>
    </row>
    <row r="174" spans="1:16" ht="16.5" customHeight="1" x14ac:dyDescent="0.25">
      <c r="A174" s="156">
        <v>44411</v>
      </c>
      <c r="B174" s="167" t="s">
        <v>28</v>
      </c>
      <c r="C174" s="157" t="str">
        <f t="shared" si="4"/>
        <v>03.08.2021_GRU2</v>
      </c>
      <c r="D174" s="190">
        <f t="shared" si="5"/>
        <v>0</v>
      </c>
      <c r="E174" s="169">
        <v>7.61</v>
      </c>
      <c r="F174" s="170"/>
      <c r="G174" s="171">
        <v>177.3</v>
      </c>
      <c r="H174" s="160">
        <v>9.8000000000000007</v>
      </c>
      <c r="I174" s="170"/>
      <c r="J174" s="160">
        <v>17.3</v>
      </c>
      <c r="K174" s="170"/>
      <c r="L174" s="167">
        <v>12</v>
      </c>
      <c r="M174" s="136"/>
      <c r="N174" s="159"/>
      <c r="O174" s="159"/>
      <c r="P174" s="167"/>
    </row>
    <row r="175" spans="1:16" ht="16.5" customHeight="1" x14ac:dyDescent="0.25">
      <c r="A175" s="156">
        <v>44411</v>
      </c>
      <c r="B175" s="167" t="s">
        <v>9</v>
      </c>
      <c r="C175" s="157" t="str">
        <f t="shared" si="4"/>
        <v>03.08.2021_STE2</v>
      </c>
      <c r="D175" s="190">
        <f t="shared" si="5"/>
        <v>0</v>
      </c>
      <c r="E175" s="169">
        <v>8.48</v>
      </c>
      <c r="F175" s="170"/>
      <c r="G175" s="171">
        <v>360</v>
      </c>
      <c r="H175" s="160">
        <v>9.1999999999999993</v>
      </c>
      <c r="I175" s="170"/>
      <c r="J175" s="160">
        <v>15.2</v>
      </c>
      <c r="K175" s="170"/>
      <c r="L175" s="167">
        <v>22</v>
      </c>
      <c r="M175" s="136"/>
      <c r="N175" s="159"/>
      <c r="O175" s="159" t="s">
        <v>388</v>
      </c>
      <c r="P175" s="167" t="s">
        <v>100</v>
      </c>
    </row>
    <row r="176" spans="1:16" ht="16.5" customHeight="1" x14ac:dyDescent="0.25">
      <c r="A176" s="156">
        <v>44411</v>
      </c>
      <c r="B176" s="167" t="s">
        <v>26</v>
      </c>
      <c r="C176" s="157" t="str">
        <f t="shared" si="4"/>
        <v>03.08.2021_GRU1</v>
      </c>
      <c r="D176" s="190">
        <f t="shared" si="5"/>
        <v>0</v>
      </c>
      <c r="E176" s="169">
        <v>7.56</v>
      </c>
      <c r="F176" s="170"/>
      <c r="G176" s="171">
        <v>144.5</v>
      </c>
      <c r="H176" s="160">
        <v>9.8000000000000007</v>
      </c>
      <c r="I176" s="170"/>
      <c r="J176" s="160">
        <v>18.899999999999999</v>
      </c>
      <c r="K176" s="170"/>
      <c r="L176" s="167">
        <v>35</v>
      </c>
      <c r="M176" s="136"/>
      <c r="N176" s="159"/>
      <c r="O176" s="159"/>
      <c r="P176" s="167"/>
    </row>
    <row r="177" spans="1:16" ht="16.5" customHeight="1" x14ac:dyDescent="0.25">
      <c r="A177" s="156">
        <v>44411</v>
      </c>
      <c r="B177" s="167" t="s">
        <v>7</v>
      </c>
      <c r="C177" s="157" t="str">
        <f t="shared" si="4"/>
        <v>03.08.2021_STE1</v>
      </c>
      <c r="D177" s="190">
        <f t="shared" si="5"/>
        <v>0</v>
      </c>
      <c r="E177" s="169">
        <v>8.34</v>
      </c>
      <c r="F177" s="170"/>
      <c r="G177" s="171">
        <v>365</v>
      </c>
      <c r="H177" s="160">
        <v>9.6</v>
      </c>
      <c r="I177" s="170"/>
      <c r="J177" s="160">
        <v>14.6</v>
      </c>
      <c r="K177" s="170"/>
      <c r="L177" s="167">
        <v>36</v>
      </c>
      <c r="M177" s="136"/>
      <c r="N177" s="159"/>
      <c r="O177" s="159"/>
      <c r="P177" s="167" t="s">
        <v>98</v>
      </c>
    </row>
    <row r="178" spans="1:16" ht="16.5" customHeight="1" x14ac:dyDescent="0.25">
      <c r="A178" s="156">
        <v>44411</v>
      </c>
      <c r="B178" s="167" t="s">
        <v>25</v>
      </c>
      <c r="C178" s="157" t="str">
        <f t="shared" si="4"/>
        <v>03.08.2021_BIE2</v>
      </c>
      <c r="D178" s="190">
        <f t="shared" si="5"/>
        <v>0</v>
      </c>
      <c r="E178" s="169">
        <v>7.98</v>
      </c>
      <c r="F178" s="170"/>
      <c r="G178" s="171">
        <v>181</v>
      </c>
      <c r="H178" s="160">
        <v>10</v>
      </c>
      <c r="I178" s="170"/>
      <c r="J178" s="160">
        <v>16.3</v>
      </c>
      <c r="K178" s="170"/>
      <c r="L178" s="167">
        <v>48</v>
      </c>
      <c r="M178" s="136"/>
      <c r="N178" s="159"/>
      <c r="O178" s="159"/>
      <c r="P178" s="167"/>
    </row>
    <row r="179" spans="1:16" ht="16.5" customHeight="1" x14ac:dyDescent="0.25">
      <c r="A179" s="156">
        <v>44411</v>
      </c>
      <c r="B179" s="136" t="s">
        <v>22</v>
      </c>
      <c r="C179" s="157" t="str">
        <f t="shared" si="4"/>
        <v>03.08.2021_BIE1</v>
      </c>
      <c r="D179" s="190">
        <f t="shared" si="5"/>
        <v>0</v>
      </c>
      <c r="E179" s="133">
        <v>8.08</v>
      </c>
      <c r="F179" s="134"/>
      <c r="G179" s="135">
        <v>173.4</v>
      </c>
      <c r="H179" s="137">
        <v>10.8</v>
      </c>
      <c r="I179" s="134"/>
      <c r="J179" s="137">
        <v>16.100000000000001</v>
      </c>
      <c r="K179" s="134"/>
      <c r="L179" s="136">
        <v>50</v>
      </c>
      <c r="M179" s="136"/>
      <c r="N179" s="159"/>
      <c r="O179" s="159"/>
      <c r="P179" s="136"/>
    </row>
    <row r="180" spans="1:16" ht="16.5" customHeight="1" x14ac:dyDescent="0.25">
      <c r="A180" s="156">
        <v>44411</v>
      </c>
      <c r="B180" s="136" t="s">
        <v>2</v>
      </c>
      <c r="C180" s="157" t="str">
        <f t="shared" si="4"/>
        <v>03.08.2021_KIN2</v>
      </c>
      <c r="D180" s="190">
        <f t="shared" si="5"/>
        <v>0</v>
      </c>
      <c r="E180" s="133">
        <v>8.44</v>
      </c>
      <c r="F180" s="134"/>
      <c r="G180" s="135">
        <v>510</v>
      </c>
      <c r="H180" s="137">
        <v>9.1</v>
      </c>
      <c r="I180" s="134"/>
      <c r="J180" s="137">
        <v>14.4</v>
      </c>
      <c r="K180" s="134"/>
      <c r="L180" s="136">
        <v>48</v>
      </c>
      <c r="M180" s="136"/>
      <c r="N180" s="159"/>
      <c r="O180" s="159"/>
      <c r="P180" s="136" t="s">
        <v>98</v>
      </c>
    </row>
    <row r="181" spans="1:16" ht="16.5" customHeight="1" x14ac:dyDescent="0.25">
      <c r="A181" s="156">
        <v>44411</v>
      </c>
      <c r="B181" s="136" t="s">
        <v>0</v>
      </c>
      <c r="C181" s="157" t="str">
        <f t="shared" si="4"/>
        <v>03.08.2021_KIN1</v>
      </c>
      <c r="D181" s="190">
        <f t="shared" si="5"/>
        <v>0</v>
      </c>
      <c r="E181" s="133">
        <v>8.59</v>
      </c>
      <c r="F181" s="134"/>
      <c r="G181" s="135">
        <v>464</v>
      </c>
      <c r="H181" s="137">
        <v>8.5</v>
      </c>
      <c r="I181" s="134"/>
      <c r="J181" s="137">
        <v>14.9</v>
      </c>
      <c r="K181" s="134"/>
      <c r="L181" s="136">
        <v>28.999999999999996</v>
      </c>
      <c r="M181" s="136"/>
      <c r="N181" s="159"/>
      <c r="O181" s="159"/>
      <c r="P181" s="136" t="s">
        <v>98</v>
      </c>
    </row>
    <row r="182" spans="1:16" ht="16.5" customHeight="1" x14ac:dyDescent="0.25">
      <c r="A182" s="156">
        <v>44411</v>
      </c>
      <c r="B182" s="136" t="s">
        <v>4</v>
      </c>
      <c r="C182" s="157" t="str">
        <f t="shared" si="4"/>
        <v>03.08.2021_KIN3</v>
      </c>
      <c r="D182" s="190">
        <f t="shared" si="5"/>
        <v>0</v>
      </c>
      <c r="E182" s="133">
        <v>8.5399999999999991</v>
      </c>
      <c r="F182" s="134"/>
      <c r="G182" s="135">
        <v>502</v>
      </c>
      <c r="H182" s="137">
        <v>8.3000000000000007</v>
      </c>
      <c r="I182" s="134"/>
      <c r="J182" s="137">
        <v>15</v>
      </c>
      <c r="K182" s="134"/>
      <c r="L182" s="136">
        <v>56.000000000000007</v>
      </c>
      <c r="M182" s="136"/>
      <c r="N182" s="159"/>
      <c r="O182" s="159"/>
      <c r="P182" s="136" t="s">
        <v>101</v>
      </c>
    </row>
    <row r="183" spans="1:16" ht="16.5" customHeight="1" x14ac:dyDescent="0.25">
      <c r="A183" s="156">
        <v>44411</v>
      </c>
      <c r="B183" s="136" t="s">
        <v>6</v>
      </c>
      <c r="C183" s="157" t="str">
        <f t="shared" si="4"/>
        <v>03.08.2021_KIN4</v>
      </c>
      <c r="D183" s="190">
        <f t="shared" si="5"/>
        <v>0</v>
      </c>
      <c r="E183" s="133">
        <v>8.4</v>
      </c>
      <c r="F183" s="134"/>
      <c r="G183" s="135">
        <v>537</v>
      </c>
      <c r="H183" s="137">
        <v>9.1999999999999993</v>
      </c>
      <c r="I183" s="134"/>
      <c r="J183" s="137">
        <v>15.6</v>
      </c>
      <c r="K183" s="134"/>
      <c r="L183" s="136">
        <v>38</v>
      </c>
      <c r="M183" s="136"/>
      <c r="N183" s="159"/>
      <c r="O183" s="159" t="s">
        <v>388</v>
      </c>
      <c r="P183" s="136"/>
    </row>
    <row r="184" spans="1:16" ht="16.5" customHeight="1" x14ac:dyDescent="0.25">
      <c r="A184" s="156">
        <v>44425</v>
      </c>
      <c r="B184" s="136" t="s">
        <v>7</v>
      </c>
      <c r="C184" s="157" t="str">
        <f t="shared" si="4"/>
        <v>17.08.2021_STE1</v>
      </c>
      <c r="D184" s="190">
        <f t="shared" si="5"/>
        <v>0</v>
      </c>
      <c r="E184" s="133">
        <v>8.34</v>
      </c>
      <c r="F184" s="134"/>
      <c r="G184" s="135">
        <v>383</v>
      </c>
      <c r="H184" s="137">
        <v>9.1999999999999993</v>
      </c>
      <c r="I184" s="134"/>
      <c r="J184" s="137">
        <v>13.3</v>
      </c>
      <c r="K184" s="134"/>
      <c r="L184" s="136">
        <v>35</v>
      </c>
      <c r="M184" s="136"/>
      <c r="N184" s="159"/>
      <c r="O184" s="159"/>
      <c r="P184" s="136" t="s">
        <v>86</v>
      </c>
    </row>
    <row r="185" spans="1:16" ht="16.5" customHeight="1" x14ac:dyDescent="0.25">
      <c r="A185" s="156">
        <v>44425</v>
      </c>
      <c r="B185" s="136" t="s">
        <v>37</v>
      </c>
      <c r="C185" s="157" t="str">
        <f t="shared" si="4"/>
        <v>17.08.2021_KRE2</v>
      </c>
      <c r="D185" s="190">
        <f t="shared" si="5"/>
        <v>0</v>
      </c>
      <c r="E185" s="133">
        <v>7.89</v>
      </c>
      <c r="F185" s="134"/>
      <c r="G185" s="135">
        <v>911</v>
      </c>
      <c r="H185" s="137">
        <v>6.7</v>
      </c>
      <c r="I185" s="134"/>
      <c r="J185" s="136">
        <v>15.9</v>
      </c>
      <c r="K185" s="134"/>
      <c r="L185" s="136">
        <v>30</v>
      </c>
      <c r="M185" s="136"/>
      <c r="N185" s="159"/>
      <c r="O185" s="159"/>
      <c r="P185" s="136"/>
    </row>
    <row r="186" spans="1:16" ht="16.5" customHeight="1" x14ac:dyDescent="0.25">
      <c r="A186" s="156">
        <v>44425</v>
      </c>
      <c r="B186" s="136" t="s">
        <v>9</v>
      </c>
      <c r="C186" s="157" t="str">
        <f t="shared" si="4"/>
        <v>17.08.2021_STE2</v>
      </c>
      <c r="D186" s="190">
        <f t="shared" si="5"/>
        <v>0</v>
      </c>
      <c r="E186" s="133">
        <v>8.43</v>
      </c>
      <c r="F186" s="134"/>
      <c r="G186" s="135">
        <v>381</v>
      </c>
      <c r="H186" s="137">
        <v>9.1</v>
      </c>
      <c r="I186" s="134"/>
      <c r="J186" s="137">
        <v>13.9</v>
      </c>
      <c r="K186" s="134"/>
      <c r="L186" s="136">
        <v>20</v>
      </c>
      <c r="M186" s="136"/>
      <c r="N186" s="159"/>
      <c r="O186" s="159"/>
      <c r="P186" s="136"/>
    </row>
    <row r="187" spans="1:16" ht="16.5" customHeight="1" x14ac:dyDescent="0.25">
      <c r="A187" s="156">
        <v>44425</v>
      </c>
      <c r="B187" s="136" t="s">
        <v>34</v>
      </c>
      <c r="C187" s="157" t="str">
        <f t="shared" si="4"/>
        <v>17.08.2021_KRE1</v>
      </c>
      <c r="D187" s="190">
        <f t="shared" si="5"/>
        <v>0</v>
      </c>
      <c r="E187" s="133">
        <v>8.06</v>
      </c>
      <c r="F187" s="134"/>
      <c r="G187" s="135">
        <v>896</v>
      </c>
      <c r="H187" s="137">
        <v>7.6</v>
      </c>
      <c r="I187" s="134"/>
      <c r="J187" s="136">
        <v>15.9</v>
      </c>
      <c r="K187" s="134"/>
      <c r="L187" s="136">
        <v>50</v>
      </c>
      <c r="M187" s="136"/>
      <c r="N187" s="159"/>
      <c r="O187" s="159"/>
      <c r="P187" s="136"/>
    </row>
    <row r="188" spans="1:16" ht="16.5" customHeight="1" x14ac:dyDescent="0.25">
      <c r="A188" s="156">
        <v>44425</v>
      </c>
      <c r="B188" s="136" t="s">
        <v>10</v>
      </c>
      <c r="C188" s="157" t="str">
        <f t="shared" si="4"/>
        <v>17.08.2021_SAL1</v>
      </c>
      <c r="D188" s="190">
        <f t="shared" si="5"/>
        <v>0</v>
      </c>
      <c r="E188" s="133">
        <v>8.25</v>
      </c>
      <c r="F188" s="134"/>
      <c r="G188" s="135">
        <v>223</v>
      </c>
      <c r="H188" s="137">
        <v>9.5</v>
      </c>
      <c r="I188" s="134"/>
      <c r="J188" s="137">
        <v>13.7</v>
      </c>
      <c r="K188" s="134"/>
      <c r="L188" s="136">
        <v>32</v>
      </c>
      <c r="M188" s="136"/>
      <c r="N188" s="159"/>
      <c r="O188" s="159"/>
      <c r="P188" s="136"/>
    </row>
    <row r="189" spans="1:16" ht="16.5" customHeight="1" x14ac:dyDescent="0.25">
      <c r="A189" s="156">
        <v>44425</v>
      </c>
      <c r="B189" s="136" t="s">
        <v>12</v>
      </c>
      <c r="C189" s="157" t="str">
        <f t="shared" si="4"/>
        <v>17.08.2021_SAL2</v>
      </c>
      <c r="D189" s="190">
        <f t="shared" si="5"/>
        <v>0</v>
      </c>
      <c r="E189" s="133">
        <v>8.31</v>
      </c>
      <c r="F189" s="134"/>
      <c r="G189" s="135">
        <v>241</v>
      </c>
      <c r="H189" s="137">
        <v>9.4</v>
      </c>
      <c r="I189" s="134"/>
      <c r="J189" s="137">
        <v>14.4</v>
      </c>
      <c r="K189" s="134"/>
      <c r="L189" s="136">
        <v>27</v>
      </c>
      <c r="M189" s="136"/>
      <c r="N189" s="159"/>
      <c r="O189" s="159"/>
      <c r="P189" s="136" t="s">
        <v>88</v>
      </c>
    </row>
    <row r="190" spans="1:16" ht="16.5" customHeight="1" x14ac:dyDescent="0.25">
      <c r="A190" s="156">
        <v>44425</v>
      </c>
      <c r="B190" s="136" t="s">
        <v>32</v>
      </c>
      <c r="C190" s="157" t="str">
        <f t="shared" si="4"/>
        <v>17.08.2021_FAL2</v>
      </c>
      <c r="D190" s="190">
        <f t="shared" si="5"/>
        <v>0</v>
      </c>
      <c r="E190" s="133">
        <v>8.18</v>
      </c>
      <c r="F190" s="134"/>
      <c r="G190" s="135">
        <v>789</v>
      </c>
      <c r="H190" s="137">
        <v>9.4</v>
      </c>
      <c r="I190" s="134"/>
      <c r="J190" s="136">
        <v>15.9</v>
      </c>
      <c r="K190" s="134"/>
      <c r="L190" s="136">
        <v>75</v>
      </c>
      <c r="M190" s="136"/>
      <c r="N190" s="159"/>
      <c r="O190" s="159"/>
      <c r="P190" s="136"/>
    </row>
    <row r="191" spans="1:16" ht="16.5" customHeight="1" x14ac:dyDescent="0.25">
      <c r="A191" s="156">
        <v>44425</v>
      </c>
      <c r="B191" s="136" t="s">
        <v>14</v>
      </c>
      <c r="C191" s="157" t="str">
        <f t="shared" si="4"/>
        <v>17.08.2021_BRA1</v>
      </c>
      <c r="D191" s="190">
        <f t="shared" si="5"/>
        <v>0</v>
      </c>
      <c r="E191" s="173">
        <v>8.07</v>
      </c>
      <c r="F191" s="174"/>
      <c r="G191" s="175">
        <v>187.4</v>
      </c>
      <c r="H191" s="176">
        <v>9.6999999999999993</v>
      </c>
      <c r="I191" s="174"/>
      <c r="J191" s="176">
        <v>15.3</v>
      </c>
      <c r="K191" s="174"/>
      <c r="L191" s="136">
        <v>25</v>
      </c>
      <c r="M191" s="136"/>
      <c r="N191" s="159"/>
      <c r="O191" s="159" t="s">
        <v>388</v>
      </c>
      <c r="P191" s="177"/>
    </row>
    <row r="192" spans="1:16" ht="16.5" customHeight="1" x14ac:dyDescent="0.25">
      <c r="A192" s="156">
        <v>44425</v>
      </c>
      <c r="B192" s="136" t="s">
        <v>30</v>
      </c>
      <c r="C192" s="157" t="str">
        <f t="shared" si="4"/>
        <v>17.08.2021_FAL1</v>
      </c>
      <c r="D192" s="190">
        <f t="shared" si="5"/>
        <v>0</v>
      </c>
      <c r="E192" s="133">
        <v>7.98</v>
      </c>
      <c r="F192" s="134"/>
      <c r="G192" s="135">
        <v>740</v>
      </c>
      <c r="H192" s="137">
        <v>9.6999999999999993</v>
      </c>
      <c r="I192" s="134"/>
      <c r="J192" s="136">
        <v>15.4</v>
      </c>
      <c r="K192" s="134"/>
      <c r="L192" s="136">
        <v>65</v>
      </c>
      <c r="M192" s="136"/>
      <c r="N192" s="159"/>
      <c r="O192" s="159"/>
      <c r="P192" s="136" t="s">
        <v>88</v>
      </c>
    </row>
    <row r="193" spans="1:16" ht="16.5" customHeight="1" x14ac:dyDescent="0.25">
      <c r="A193" s="156">
        <v>44425</v>
      </c>
      <c r="B193" s="136" t="s">
        <v>17</v>
      </c>
      <c r="C193" s="157" t="str">
        <f t="shared" si="4"/>
        <v>17.08.2021_BRA2</v>
      </c>
      <c r="D193" s="190">
        <f t="shared" si="5"/>
        <v>0</v>
      </c>
      <c r="E193" s="133">
        <v>8.27</v>
      </c>
      <c r="F193" s="134"/>
      <c r="G193" s="135">
        <v>206</v>
      </c>
      <c r="H193" s="137">
        <v>9.8000000000000007</v>
      </c>
      <c r="I193" s="134"/>
      <c r="J193" s="137">
        <v>14.8</v>
      </c>
      <c r="K193" s="134"/>
      <c r="L193" s="136">
        <v>20</v>
      </c>
      <c r="M193" s="136"/>
      <c r="N193" s="159"/>
      <c r="O193" s="159"/>
      <c r="P193" s="136" t="s">
        <v>102</v>
      </c>
    </row>
    <row r="194" spans="1:16" ht="16.5" customHeight="1" x14ac:dyDescent="0.25">
      <c r="A194" s="156">
        <v>44425</v>
      </c>
      <c r="B194" s="136" t="s">
        <v>28</v>
      </c>
      <c r="C194" s="157" t="str">
        <f t="shared" si="4"/>
        <v>17.08.2021_GRU2</v>
      </c>
      <c r="D194" s="190">
        <f t="shared" si="5"/>
        <v>0</v>
      </c>
      <c r="E194" s="133">
        <v>7.5</v>
      </c>
      <c r="F194" s="134"/>
      <c r="G194" s="135">
        <v>174.4</v>
      </c>
      <c r="H194" s="137">
        <v>9.6</v>
      </c>
      <c r="I194" s="134"/>
      <c r="J194" s="136">
        <v>15.7</v>
      </c>
      <c r="K194" s="134"/>
      <c r="L194" s="136">
        <v>40</v>
      </c>
      <c r="M194" s="136"/>
      <c r="N194" s="159"/>
      <c r="O194" s="159"/>
      <c r="P194" s="136"/>
    </row>
    <row r="195" spans="1:16" ht="16.5" customHeight="1" x14ac:dyDescent="0.25">
      <c r="A195" s="156">
        <v>44425</v>
      </c>
      <c r="B195" s="136" t="s">
        <v>18</v>
      </c>
      <c r="C195" s="157" t="str">
        <f t="shared" si="4"/>
        <v>17.08.2021_ORB1</v>
      </c>
      <c r="D195" s="190">
        <f t="shared" si="5"/>
        <v>0</v>
      </c>
      <c r="E195" s="133">
        <v>7.63</v>
      </c>
      <c r="F195" s="134"/>
      <c r="G195" s="135">
        <v>111.7</v>
      </c>
      <c r="H195" s="137">
        <v>9.8000000000000007</v>
      </c>
      <c r="I195" s="134"/>
      <c r="J195" s="137">
        <v>14.1</v>
      </c>
      <c r="K195" s="134"/>
      <c r="L195" s="136">
        <v>10</v>
      </c>
      <c r="M195" s="136"/>
      <c r="N195" s="159"/>
      <c r="O195" s="159"/>
      <c r="P195" s="136"/>
    </row>
    <row r="196" spans="1:16" ht="16.5" customHeight="1" x14ac:dyDescent="0.25">
      <c r="A196" s="156">
        <v>44425</v>
      </c>
      <c r="B196" s="136" t="s">
        <v>21</v>
      </c>
      <c r="C196" s="157" t="str">
        <f t="shared" si="4"/>
        <v>17.08.2021_ORB2</v>
      </c>
      <c r="D196" s="190">
        <f t="shared" si="5"/>
        <v>0</v>
      </c>
      <c r="E196" s="133">
        <v>7.43</v>
      </c>
      <c r="F196" s="134"/>
      <c r="G196" s="135">
        <v>158.69999999999999</v>
      </c>
      <c r="H196" s="137">
        <v>9.6</v>
      </c>
      <c r="I196" s="134"/>
      <c r="J196" s="137">
        <v>14.2</v>
      </c>
      <c r="K196" s="134"/>
      <c r="L196" s="136">
        <v>20</v>
      </c>
      <c r="M196" s="136"/>
      <c r="N196" s="159"/>
      <c r="O196" s="159"/>
      <c r="P196" s="136"/>
    </row>
    <row r="197" spans="1:16" ht="16.5" customHeight="1" x14ac:dyDescent="0.25">
      <c r="A197" s="156">
        <v>44425</v>
      </c>
      <c r="B197" s="136" t="s">
        <v>26</v>
      </c>
      <c r="C197" s="157" t="str">
        <f t="shared" ref="C197:C260" si="6">CONCATENATE(TEXT(A197,"TT.MM.JJJJ"),"_",B197)</f>
        <v>17.08.2021_GRU1</v>
      </c>
      <c r="D197" s="190">
        <f t="shared" ref="D197:D260" si="7">COUNTBLANK(E197)+COUNTBLANK(G197:H197)+COUNTBLANK(J197)+COUNTBLANK(L197)</f>
        <v>0</v>
      </c>
      <c r="E197" s="133">
        <v>7.55</v>
      </c>
      <c r="F197" s="134"/>
      <c r="G197" s="135">
        <v>150.6</v>
      </c>
      <c r="H197" s="137">
        <v>10</v>
      </c>
      <c r="I197" s="134"/>
      <c r="J197" s="136">
        <v>14.8</v>
      </c>
      <c r="K197" s="134"/>
      <c r="L197" s="136">
        <v>30</v>
      </c>
      <c r="M197" s="136"/>
      <c r="N197" s="159"/>
      <c r="O197" s="159"/>
      <c r="P197" s="136" t="s">
        <v>103</v>
      </c>
    </row>
    <row r="198" spans="1:16" ht="16.5" customHeight="1" x14ac:dyDescent="0.25">
      <c r="A198" s="156">
        <v>44425</v>
      </c>
      <c r="B198" s="136" t="s">
        <v>2</v>
      </c>
      <c r="C198" s="157" t="str">
        <f t="shared" si="6"/>
        <v>17.08.2021_KIN2</v>
      </c>
      <c r="D198" s="190">
        <f t="shared" si="7"/>
        <v>0</v>
      </c>
      <c r="E198" s="133">
        <v>8.35</v>
      </c>
      <c r="F198" s="134"/>
      <c r="G198" s="135">
        <v>511</v>
      </c>
      <c r="H198" s="137">
        <v>10.8</v>
      </c>
      <c r="I198" s="134"/>
      <c r="J198" s="137">
        <v>13.5</v>
      </c>
      <c r="K198" s="134"/>
      <c r="L198" s="136">
        <v>45</v>
      </c>
      <c r="M198" s="136"/>
      <c r="N198" s="159"/>
      <c r="O198" s="159"/>
      <c r="P198" s="136" t="s">
        <v>85</v>
      </c>
    </row>
    <row r="199" spans="1:16" ht="16.5" customHeight="1" x14ac:dyDescent="0.25">
      <c r="A199" s="156">
        <v>44425</v>
      </c>
      <c r="B199" s="136" t="s">
        <v>0</v>
      </c>
      <c r="C199" s="157" t="str">
        <f t="shared" si="6"/>
        <v>17.08.2021_KIN1</v>
      </c>
      <c r="D199" s="190">
        <f t="shared" si="7"/>
        <v>0</v>
      </c>
      <c r="E199" s="133">
        <v>8.52</v>
      </c>
      <c r="F199" s="134"/>
      <c r="G199" s="135">
        <v>457</v>
      </c>
      <c r="H199" s="137">
        <v>9.5</v>
      </c>
      <c r="I199" s="134"/>
      <c r="J199" s="137">
        <v>13.9</v>
      </c>
      <c r="K199" s="134"/>
      <c r="L199" s="136">
        <v>38</v>
      </c>
      <c r="M199" s="136"/>
      <c r="N199" s="159"/>
      <c r="O199" s="159"/>
      <c r="P199" s="136" t="s">
        <v>104</v>
      </c>
    </row>
    <row r="200" spans="1:16" ht="16.5" customHeight="1" x14ac:dyDescent="0.25">
      <c r="A200" s="156">
        <v>44425</v>
      </c>
      <c r="B200" s="136" t="s">
        <v>22</v>
      </c>
      <c r="C200" s="157" t="str">
        <f t="shared" si="6"/>
        <v>17.08.2021_BIE1</v>
      </c>
      <c r="D200" s="190">
        <f t="shared" si="7"/>
        <v>0</v>
      </c>
      <c r="E200" s="133">
        <v>7.95</v>
      </c>
      <c r="F200" s="134"/>
      <c r="G200" s="135">
        <v>181.2</v>
      </c>
      <c r="H200" s="137">
        <v>10.199999999999999</v>
      </c>
      <c r="I200" s="134"/>
      <c r="J200" s="136">
        <v>14.2</v>
      </c>
      <c r="K200" s="134"/>
      <c r="L200" s="136">
        <v>25</v>
      </c>
      <c r="M200" s="136"/>
      <c r="N200" s="159"/>
      <c r="O200" s="159"/>
      <c r="P200" s="136"/>
    </row>
    <row r="201" spans="1:16" ht="16.5" customHeight="1" x14ac:dyDescent="0.25">
      <c r="A201" s="156">
        <v>44425</v>
      </c>
      <c r="B201" s="136" t="s">
        <v>4</v>
      </c>
      <c r="C201" s="157" t="str">
        <f t="shared" si="6"/>
        <v>17.08.2021_KIN3</v>
      </c>
      <c r="D201" s="190">
        <f t="shared" si="7"/>
        <v>0</v>
      </c>
      <c r="E201" s="133">
        <v>8.41</v>
      </c>
      <c r="F201" s="134"/>
      <c r="G201" s="135">
        <v>511</v>
      </c>
      <c r="H201" s="137">
        <v>9.6</v>
      </c>
      <c r="I201" s="134"/>
      <c r="J201" s="137">
        <v>13.9</v>
      </c>
      <c r="K201" s="134"/>
      <c r="L201" s="136">
        <v>52</v>
      </c>
      <c r="M201" s="136"/>
      <c r="N201" s="159"/>
      <c r="O201" s="159"/>
      <c r="P201" s="136" t="s">
        <v>88</v>
      </c>
    </row>
    <row r="202" spans="1:16" ht="16.5" customHeight="1" x14ac:dyDescent="0.25">
      <c r="A202" s="156">
        <v>44425</v>
      </c>
      <c r="B202" s="136" t="s">
        <v>25</v>
      </c>
      <c r="C202" s="157" t="str">
        <f t="shared" si="6"/>
        <v>17.08.2021_BIE2</v>
      </c>
      <c r="D202" s="190">
        <f t="shared" si="7"/>
        <v>0</v>
      </c>
      <c r="E202" s="133">
        <v>7.83</v>
      </c>
      <c r="F202" s="134"/>
      <c r="G202" s="135">
        <v>187</v>
      </c>
      <c r="H202" s="137">
        <v>10.3</v>
      </c>
      <c r="I202" s="134"/>
      <c r="J202" s="136">
        <v>14.3</v>
      </c>
      <c r="K202" s="134"/>
      <c r="L202" s="136">
        <v>45</v>
      </c>
      <c r="M202" s="136"/>
      <c r="N202" s="159"/>
      <c r="O202" s="159"/>
      <c r="P202" s="136"/>
    </row>
    <row r="203" spans="1:16" ht="16.5" customHeight="1" x14ac:dyDescent="0.25">
      <c r="A203" s="156">
        <v>44425</v>
      </c>
      <c r="B203" s="136" t="s">
        <v>6</v>
      </c>
      <c r="C203" s="157" t="str">
        <f t="shared" si="6"/>
        <v>17.08.2021_KIN4</v>
      </c>
      <c r="D203" s="190">
        <f t="shared" si="7"/>
        <v>0</v>
      </c>
      <c r="E203" s="133">
        <v>8.33</v>
      </c>
      <c r="F203" s="134"/>
      <c r="G203" s="135">
        <v>566</v>
      </c>
      <c r="H203" s="137">
        <v>9.4</v>
      </c>
      <c r="I203" s="134"/>
      <c r="J203" s="137">
        <v>14.5</v>
      </c>
      <c r="K203" s="134"/>
      <c r="L203" s="136">
        <v>40</v>
      </c>
      <c r="M203" s="136"/>
      <c r="N203" s="159"/>
      <c r="O203" s="159"/>
      <c r="P203" s="136"/>
    </row>
    <row r="204" spans="1:16" ht="16.5" customHeight="1" x14ac:dyDescent="0.25">
      <c r="A204" s="156">
        <v>44439</v>
      </c>
      <c r="B204" s="136" t="s">
        <v>21</v>
      </c>
      <c r="C204" s="157" t="str">
        <f t="shared" si="6"/>
        <v>31.08.2021_ORB2</v>
      </c>
      <c r="D204" s="190">
        <f t="shared" si="7"/>
        <v>0</v>
      </c>
      <c r="E204" s="133">
        <v>7.55</v>
      </c>
      <c r="F204" s="134"/>
      <c r="G204" s="135">
        <v>170.3</v>
      </c>
      <c r="H204" s="137">
        <v>10.5</v>
      </c>
      <c r="I204" s="134"/>
      <c r="J204" s="137">
        <v>13.6</v>
      </c>
      <c r="K204" s="134"/>
      <c r="L204" s="136">
        <v>20</v>
      </c>
      <c r="M204" s="136"/>
      <c r="N204" s="159"/>
      <c r="O204" s="159"/>
      <c r="P204" s="136" t="s">
        <v>88</v>
      </c>
    </row>
    <row r="205" spans="1:16" ht="16.5" customHeight="1" x14ac:dyDescent="0.25">
      <c r="A205" s="156">
        <v>44439</v>
      </c>
      <c r="B205" s="136" t="s">
        <v>18</v>
      </c>
      <c r="C205" s="157" t="str">
        <f t="shared" si="6"/>
        <v>31.08.2021_ORB1</v>
      </c>
      <c r="D205" s="190">
        <f t="shared" si="7"/>
        <v>0</v>
      </c>
      <c r="E205" s="133">
        <v>7.85</v>
      </c>
      <c r="F205" s="134"/>
      <c r="G205" s="135">
        <v>125.1</v>
      </c>
      <c r="H205" s="137">
        <v>10.8</v>
      </c>
      <c r="I205" s="134"/>
      <c r="J205" s="137">
        <v>13.6</v>
      </c>
      <c r="K205" s="134"/>
      <c r="L205" s="136">
        <v>10</v>
      </c>
      <c r="M205" s="136"/>
      <c r="N205" s="159"/>
      <c r="O205" s="159"/>
      <c r="P205" s="136"/>
    </row>
    <row r="206" spans="1:16" ht="16.5" customHeight="1" x14ac:dyDescent="0.25">
      <c r="A206" s="156">
        <v>44439</v>
      </c>
      <c r="B206" s="136" t="s">
        <v>37</v>
      </c>
      <c r="C206" s="157" t="str">
        <f t="shared" si="6"/>
        <v>31.08.2021_KRE2</v>
      </c>
      <c r="D206" s="190">
        <f t="shared" si="7"/>
        <v>0</v>
      </c>
      <c r="E206" s="133">
        <v>7.91</v>
      </c>
      <c r="F206" s="134"/>
      <c r="G206" s="135">
        <v>712</v>
      </c>
      <c r="H206" s="137">
        <v>7.5</v>
      </c>
      <c r="I206" s="134"/>
      <c r="J206" s="136">
        <v>15.7</v>
      </c>
      <c r="K206" s="134"/>
      <c r="L206" s="136">
        <v>40</v>
      </c>
      <c r="M206" s="136"/>
      <c r="N206" s="159"/>
      <c r="O206" s="159"/>
      <c r="P206" s="136"/>
    </row>
    <row r="207" spans="1:16" ht="16.5" customHeight="1" x14ac:dyDescent="0.25">
      <c r="A207" s="156">
        <v>44439</v>
      </c>
      <c r="B207" s="136" t="s">
        <v>34</v>
      </c>
      <c r="C207" s="157" t="str">
        <f t="shared" si="6"/>
        <v>31.08.2021_KRE1</v>
      </c>
      <c r="D207" s="190">
        <f t="shared" si="7"/>
        <v>0</v>
      </c>
      <c r="E207" s="133">
        <v>7.99</v>
      </c>
      <c r="F207" s="134"/>
      <c r="G207" s="135">
        <v>721</v>
      </c>
      <c r="H207" s="137">
        <v>7.7</v>
      </c>
      <c r="I207" s="134"/>
      <c r="J207" s="137">
        <v>16</v>
      </c>
      <c r="K207" s="134"/>
      <c r="L207" s="136">
        <v>65</v>
      </c>
      <c r="M207" s="136"/>
      <c r="N207" s="159"/>
      <c r="O207" s="159"/>
      <c r="P207" s="136"/>
    </row>
    <row r="208" spans="1:16" ht="16.5" customHeight="1" x14ac:dyDescent="0.25">
      <c r="A208" s="156">
        <v>44439</v>
      </c>
      <c r="B208" s="136" t="s">
        <v>17</v>
      </c>
      <c r="C208" s="157" t="str">
        <f t="shared" si="6"/>
        <v>31.08.2021_BRA2</v>
      </c>
      <c r="D208" s="190">
        <f t="shared" si="7"/>
        <v>0</v>
      </c>
      <c r="E208" s="133">
        <v>8.2200000000000006</v>
      </c>
      <c r="F208" s="134"/>
      <c r="G208" s="135">
        <v>206</v>
      </c>
      <c r="H208" s="137">
        <v>9.5</v>
      </c>
      <c r="I208" s="134"/>
      <c r="J208" s="137">
        <v>14.2</v>
      </c>
      <c r="K208" s="134"/>
      <c r="L208" s="136">
        <v>23</v>
      </c>
      <c r="M208" s="136"/>
      <c r="N208" s="159"/>
      <c r="O208" s="159"/>
      <c r="P208" s="136" t="s">
        <v>88</v>
      </c>
    </row>
    <row r="209" spans="1:16" ht="16.5" customHeight="1" x14ac:dyDescent="0.25">
      <c r="A209" s="156">
        <v>44439</v>
      </c>
      <c r="B209" s="136" t="s">
        <v>32</v>
      </c>
      <c r="C209" s="157" t="str">
        <f t="shared" si="6"/>
        <v>31.08.2021_FAL2</v>
      </c>
      <c r="D209" s="190">
        <f t="shared" si="7"/>
        <v>0</v>
      </c>
      <c r="E209" s="173">
        <v>8.31</v>
      </c>
      <c r="F209" s="174"/>
      <c r="G209" s="175">
        <v>683</v>
      </c>
      <c r="H209" s="176">
        <v>8.6</v>
      </c>
      <c r="I209" s="174"/>
      <c r="J209" s="178">
        <v>16.8</v>
      </c>
      <c r="K209" s="174"/>
      <c r="L209" s="136">
        <v>80</v>
      </c>
      <c r="M209" s="136"/>
      <c r="N209" s="159"/>
      <c r="O209" s="159"/>
      <c r="P209" s="136" t="s">
        <v>105</v>
      </c>
    </row>
    <row r="210" spans="1:16" ht="16.5" customHeight="1" x14ac:dyDescent="0.25">
      <c r="A210" s="156">
        <v>44439</v>
      </c>
      <c r="B210" s="136" t="s">
        <v>14</v>
      </c>
      <c r="C210" s="157" t="str">
        <f t="shared" si="6"/>
        <v>31.08.2021_BRA1</v>
      </c>
      <c r="D210" s="190">
        <f t="shared" si="7"/>
        <v>0</v>
      </c>
      <c r="E210" s="133">
        <v>8.02</v>
      </c>
      <c r="F210" s="134"/>
      <c r="G210" s="135">
        <v>187.1</v>
      </c>
      <c r="H210" s="137">
        <v>10.199999999999999</v>
      </c>
      <c r="I210" s="134"/>
      <c r="J210" s="137">
        <v>14.6</v>
      </c>
      <c r="K210" s="134"/>
      <c r="L210" s="136">
        <v>27</v>
      </c>
      <c r="M210" s="136"/>
      <c r="N210" s="159"/>
      <c r="O210" s="159"/>
      <c r="P210" s="136" t="s">
        <v>88</v>
      </c>
    </row>
    <row r="211" spans="1:16" ht="16.5" customHeight="1" x14ac:dyDescent="0.25">
      <c r="A211" s="156">
        <v>44439</v>
      </c>
      <c r="B211" s="136" t="s">
        <v>30</v>
      </c>
      <c r="C211" s="157" t="str">
        <f t="shared" si="6"/>
        <v>31.08.2021_FAL1</v>
      </c>
      <c r="D211" s="190">
        <f t="shared" si="7"/>
        <v>0</v>
      </c>
      <c r="E211" s="133">
        <v>8.0399999999999991</v>
      </c>
      <c r="F211" s="134"/>
      <c r="G211" s="135">
        <v>724</v>
      </c>
      <c r="H211" s="137">
        <v>8.4</v>
      </c>
      <c r="I211" s="134"/>
      <c r="J211" s="136">
        <v>15.5</v>
      </c>
      <c r="K211" s="134"/>
      <c r="L211" s="136">
        <v>60</v>
      </c>
      <c r="M211" s="136"/>
      <c r="N211" s="159"/>
      <c r="O211" s="159"/>
      <c r="P211" s="136" t="s">
        <v>106</v>
      </c>
    </row>
    <row r="212" spans="1:16" ht="16.5" customHeight="1" x14ac:dyDescent="0.25">
      <c r="A212" s="156">
        <v>44439</v>
      </c>
      <c r="B212" s="136" t="s">
        <v>10</v>
      </c>
      <c r="C212" s="157" t="str">
        <f t="shared" si="6"/>
        <v>31.08.2021_SAL1</v>
      </c>
      <c r="D212" s="190">
        <f t="shared" si="7"/>
        <v>0</v>
      </c>
      <c r="E212" s="133">
        <v>8.25</v>
      </c>
      <c r="F212" s="134"/>
      <c r="G212" s="135">
        <v>218</v>
      </c>
      <c r="H212" s="137">
        <v>10.4</v>
      </c>
      <c r="I212" s="134"/>
      <c r="J212" s="137">
        <v>14.4</v>
      </c>
      <c r="K212" s="134"/>
      <c r="L212" s="136">
        <v>35</v>
      </c>
      <c r="M212" s="136"/>
      <c r="N212" s="159"/>
      <c r="O212" s="159"/>
      <c r="P212" s="136" t="s">
        <v>107</v>
      </c>
    </row>
    <row r="213" spans="1:16" ht="16.5" customHeight="1" x14ac:dyDescent="0.25">
      <c r="A213" s="156">
        <v>44439</v>
      </c>
      <c r="B213" s="136" t="s">
        <v>12</v>
      </c>
      <c r="C213" s="157" t="str">
        <f t="shared" si="6"/>
        <v>31.08.2021_SAL2</v>
      </c>
      <c r="D213" s="190">
        <f t="shared" si="7"/>
        <v>0</v>
      </c>
      <c r="E213" s="133">
        <v>8.3000000000000007</v>
      </c>
      <c r="F213" s="134"/>
      <c r="G213" s="135">
        <v>241</v>
      </c>
      <c r="H213" s="137">
        <v>10</v>
      </c>
      <c r="I213" s="134"/>
      <c r="J213" s="137">
        <v>14.6</v>
      </c>
      <c r="K213" s="134"/>
      <c r="L213" s="136">
        <v>32</v>
      </c>
      <c r="M213" s="136"/>
      <c r="N213" s="159"/>
      <c r="O213" s="159"/>
      <c r="P213" s="136" t="s">
        <v>108</v>
      </c>
    </row>
    <row r="214" spans="1:16" ht="16.5" customHeight="1" x14ac:dyDescent="0.25">
      <c r="A214" s="156">
        <v>44439</v>
      </c>
      <c r="B214" s="136" t="s">
        <v>9</v>
      </c>
      <c r="C214" s="157" t="str">
        <f t="shared" si="6"/>
        <v>31.08.2021_STE2</v>
      </c>
      <c r="D214" s="190">
        <f t="shared" si="7"/>
        <v>0</v>
      </c>
      <c r="E214" s="133">
        <v>8.4</v>
      </c>
      <c r="F214" s="134"/>
      <c r="G214" s="135">
        <v>354</v>
      </c>
      <c r="H214" s="137">
        <v>10.7</v>
      </c>
      <c r="I214" s="134"/>
      <c r="J214" s="137">
        <v>14.5</v>
      </c>
      <c r="K214" s="134"/>
      <c r="L214" s="136">
        <v>25</v>
      </c>
      <c r="M214" s="136"/>
      <c r="N214" s="159"/>
      <c r="O214" s="159"/>
      <c r="P214" s="136" t="s">
        <v>88</v>
      </c>
    </row>
    <row r="215" spans="1:16" ht="16.5" customHeight="1" x14ac:dyDescent="0.25">
      <c r="A215" s="156">
        <v>44439</v>
      </c>
      <c r="B215" s="136" t="s">
        <v>26</v>
      </c>
      <c r="C215" s="157" t="str">
        <f t="shared" si="6"/>
        <v>31.08.2021_GRU1</v>
      </c>
      <c r="D215" s="190">
        <f t="shared" si="7"/>
        <v>0</v>
      </c>
      <c r="E215" s="133">
        <v>7.7</v>
      </c>
      <c r="F215" s="134"/>
      <c r="G215" s="135">
        <v>165.4</v>
      </c>
      <c r="H215" s="137">
        <v>9.1999999999999993</v>
      </c>
      <c r="I215" s="134"/>
      <c r="J215" s="136">
        <v>14.8</v>
      </c>
      <c r="K215" s="134"/>
      <c r="L215" s="136">
        <v>30</v>
      </c>
      <c r="M215" s="136"/>
      <c r="N215" s="159"/>
      <c r="O215" s="159"/>
      <c r="P215" s="136" t="s">
        <v>109</v>
      </c>
    </row>
    <row r="216" spans="1:16" ht="16.5" customHeight="1" x14ac:dyDescent="0.25">
      <c r="A216" s="156">
        <v>44439</v>
      </c>
      <c r="B216" s="136" t="s">
        <v>28</v>
      </c>
      <c r="C216" s="157" t="str">
        <f t="shared" si="6"/>
        <v>31.08.2021_GRU2</v>
      </c>
      <c r="D216" s="190">
        <f t="shared" si="7"/>
        <v>0</v>
      </c>
      <c r="E216" s="133">
        <v>7.54</v>
      </c>
      <c r="F216" s="134"/>
      <c r="G216" s="135">
        <v>183</v>
      </c>
      <c r="H216" s="137">
        <v>9.1</v>
      </c>
      <c r="I216" s="134"/>
      <c r="J216" s="136">
        <v>15.4</v>
      </c>
      <c r="K216" s="134"/>
      <c r="L216" s="136">
        <v>35</v>
      </c>
      <c r="M216" s="136"/>
      <c r="N216" s="159"/>
      <c r="O216" s="159"/>
      <c r="P216" s="136"/>
    </row>
    <row r="217" spans="1:16" ht="16.5" customHeight="1" x14ac:dyDescent="0.25">
      <c r="A217" s="156">
        <v>44439</v>
      </c>
      <c r="B217" s="136" t="s">
        <v>7</v>
      </c>
      <c r="C217" s="157" t="str">
        <f t="shared" si="6"/>
        <v>31.08.2021_STE1</v>
      </c>
      <c r="D217" s="190">
        <f t="shared" si="7"/>
        <v>0</v>
      </c>
      <c r="E217" s="133">
        <v>8.48</v>
      </c>
      <c r="F217" s="134"/>
      <c r="G217" s="135">
        <v>354</v>
      </c>
      <c r="H217" s="137">
        <v>10.3</v>
      </c>
      <c r="I217" s="134"/>
      <c r="J217" s="137">
        <v>14.3</v>
      </c>
      <c r="K217" s="134"/>
      <c r="L217" s="136">
        <v>35</v>
      </c>
      <c r="M217" s="136"/>
      <c r="N217" s="159"/>
      <c r="O217" s="159"/>
      <c r="P217" s="136" t="s">
        <v>88</v>
      </c>
    </row>
    <row r="218" spans="1:16" ht="16.5" customHeight="1" x14ac:dyDescent="0.25">
      <c r="A218" s="156">
        <v>44439</v>
      </c>
      <c r="B218" s="136" t="s">
        <v>22</v>
      </c>
      <c r="C218" s="157" t="str">
        <f t="shared" si="6"/>
        <v>31.08.2021_BIE1</v>
      </c>
      <c r="D218" s="190">
        <f t="shared" si="7"/>
        <v>0</v>
      </c>
      <c r="E218" s="133">
        <v>7.91</v>
      </c>
      <c r="F218" s="134"/>
      <c r="G218" s="135">
        <v>187.3</v>
      </c>
      <c r="H218" s="137">
        <v>9.6</v>
      </c>
      <c r="I218" s="134"/>
      <c r="J218" s="136">
        <v>15.2</v>
      </c>
      <c r="K218" s="134"/>
      <c r="L218" s="136">
        <v>25</v>
      </c>
      <c r="M218" s="136"/>
      <c r="N218" s="159"/>
      <c r="O218" s="159"/>
      <c r="P218" s="136"/>
    </row>
    <row r="219" spans="1:16" ht="16.5" customHeight="1" x14ac:dyDescent="0.25">
      <c r="A219" s="156">
        <v>44439</v>
      </c>
      <c r="B219" s="136" t="s">
        <v>25</v>
      </c>
      <c r="C219" s="157" t="str">
        <f t="shared" si="6"/>
        <v>31.08.2021_BIE2</v>
      </c>
      <c r="D219" s="190">
        <f t="shared" si="7"/>
        <v>0</v>
      </c>
      <c r="E219" s="133">
        <v>7.83</v>
      </c>
      <c r="F219" s="134"/>
      <c r="G219" s="135">
        <v>199.4</v>
      </c>
      <c r="H219" s="137">
        <v>9.5</v>
      </c>
      <c r="I219" s="134"/>
      <c r="J219" s="136">
        <v>15.4</v>
      </c>
      <c r="K219" s="134"/>
      <c r="L219" s="136">
        <v>45</v>
      </c>
      <c r="M219" s="136"/>
      <c r="N219" s="159"/>
      <c r="O219" s="159"/>
      <c r="P219" s="136"/>
    </row>
    <row r="220" spans="1:16" ht="16.5" customHeight="1" x14ac:dyDescent="0.25">
      <c r="A220" s="156">
        <v>44439</v>
      </c>
      <c r="B220" s="136" t="s">
        <v>2</v>
      </c>
      <c r="C220" s="157" t="str">
        <f t="shared" si="6"/>
        <v>31.08.2021_KIN2</v>
      </c>
      <c r="D220" s="190">
        <f t="shared" si="7"/>
        <v>0</v>
      </c>
      <c r="E220" s="133">
        <v>8.35</v>
      </c>
      <c r="F220" s="134"/>
      <c r="G220" s="135">
        <v>501</v>
      </c>
      <c r="H220" s="137">
        <v>10.9</v>
      </c>
      <c r="I220" s="134"/>
      <c r="J220" s="137">
        <v>13</v>
      </c>
      <c r="K220" s="134"/>
      <c r="L220" s="136">
        <v>45</v>
      </c>
      <c r="M220" s="136"/>
      <c r="N220" s="159"/>
      <c r="O220" s="159"/>
      <c r="P220" s="136" t="s">
        <v>88</v>
      </c>
    </row>
    <row r="221" spans="1:16" ht="16.5" customHeight="1" x14ac:dyDescent="0.25">
      <c r="A221" s="156">
        <v>44439</v>
      </c>
      <c r="B221" s="136" t="s">
        <v>0</v>
      </c>
      <c r="C221" s="157" t="str">
        <f t="shared" si="6"/>
        <v>31.08.2021_KIN1</v>
      </c>
      <c r="D221" s="190">
        <f t="shared" si="7"/>
        <v>0</v>
      </c>
      <c r="E221" s="133">
        <v>8.49</v>
      </c>
      <c r="F221" s="134"/>
      <c r="G221" s="135">
        <v>448</v>
      </c>
      <c r="H221" s="137">
        <v>10.3</v>
      </c>
      <c r="I221" s="134"/>
      <c r="J221" s="137">
        <v>13.1</v>
      </c>
      <c r="K221" s="134"/>
      <c r="L221" s="136">
        <v>30</v>
      </c>
      <c r="M221" s="136"/>
      <c r="N221" s="159"/>
      <c r="O221" s="159"/>
      <c r="P221" s="136" t="s">
        <v>88</v>
      </c>
    </row>
    <row r="222" spans="1:16" ht="16.5" customHeight="1" x14ac:dyDescent="0.25">
      <c r="A222" s="156">
        <v>44439</v>
      </c>
      <c r="B222" s="136" t="s">
        <v>4</v>
      </c>
      <c r="C222" s="157" t="str">
        <f t="shared" si="6"/>
        <v>31.08.2021_KIN3</v>
      </c>
      <c r="D222" s="190">
        <f t="shared" si="7"/>
        <v>0</v>
      </c>
      <c r="E222" s="133">
        <v>8.4</v>
      </c>
      <c r="F222" s="134"/>
      <c r="G222" s="135">
        <v>468</v>
      </c>
      <c r="H222" s="137">
        <v>10.8</v>
      </c>
      <c r="I222" s="134"/>
      <c r="J222" s="137">
        <v>13.4</v>
      </c>
      <c r="K222" s="134"/>
      <c r="L222" s="136">
        <v>60</v>
      </c>
      <c r="M222" s="136"/>
      <c r="N222" s="159"/>
      <c r="O222" s="159"/>
      <c r="P222" s="136" t="s">
        <v>88</v>
      </c>
    </row>
    <row r="223" spans="1:16" ht="16.5" customHeight="1" x14ac:dyDescent="0.25">
      <c r="A223" s="156">
        <v>44439</v>
      </c>
      <c r="B223" s="136" t="s">
        <v>6</v>
      </c>
      <c r="C223" s="157" t="str">
        <f t="shared" si="6"/>
        <v>31.08.2021_KIN4</v>
      </c>
      <c r="D223" s="190">
        <f t="shared" si="7"/>
        <v>0</v>
      </c>
      <c r="E223" s="133">
        <v>8.33</v>
      </c>
      <c r="F223" s="134"/>
      <c r="G223" s="135">
        <v>502</v>
      </c>
      <c r="H223" s="137">
        <v>10.3</v>
      </c>
      <c r="I223" s="134"/>
      <c r="J223" s="137">
        <v>14</v>
      </c>
      <c r="K223" s="134"/>
      <c r="L223" s="136">
        <v>37</v>
      </c>
      <c r="M223" s="136"/>
      <c r="N223" s="159"/>
      <c r="O223" s="159"/>
      <c r="P223" s="136"/>
    </row>
    <row r="224" spans="1:16" ht="16.5" customHeight="1" x14ac:dyDescent="0.25">
      <c r="A224" s="156">
        <v>44453</v>
      </c>
      <c r="B224" s="136" t="s">
        <v>37</v>
      </c>
      <c r="C224" s="157" t="str">
        <f t="shared" si="6"/>
        <v>14.09.2021_KRE2</v>
      </c>
      <c r="D224" s="190">
        <f t="shared" si="7"/>
        <v>0</v>
      </c>
      <c r="E224" s="133">
        <v>7.85</v>
      </c>
      <c r="F224" s="134"/>
      <c r="G224" s="135">
        <v>682</v>
      </c>
      <c r="H224" s="137">
        <v>7</v>
      </c>
      <c r="I224" s="134"/>
      <c r="J224" s="136">
        <v>15.9</v>
      </c>
      <c r="K224" s="134"/>
      <c r="L224" s="136">
        <v>35</v>
      </c>
      <c r="M224" s="136"/>
      <c r="N224" s="159"/>
      <c r="O224" s="159"/>
      <c r="P224" s="136"/>
    </row>
    <row r="225" spans="1:16" ht="16.5" customHeight="1" x14ac:dyDescent="0.25">
      <c r="A225" s="156">
        <v>44453</v>
      </c>
      <c r="B225" s="136" t="s">
        <v>34</v>
      </c>
      <c r="C225" s="157" t="str">
        <f t="shared" si="6"/>
        <v>14.09.2021_KRE1</v>
      </c>
      <c r="D225" s="190">
        <f t="shared" si="7"/>
        <v>0</v>
      </c>
      <c r="E225" s="133">
        <v>7.91</v>
      </c>
      <c r="F225" s="134"/>
      <c r="G225" s="135">
        <v>707</v>
      </c>
      <c r="H225" s="137">
        <v>7.3</v>
      </c>
      <c r="I225" s="134"/>
      <c r="J225" s="136">
        <v>15.8</v>
      </c>
      <c r="K225" s="134"/>
      <c r="L225" s="136">
        <v>60</v>
      </c>
      <c r="M225" s="136"/>
      <c r="N225" s="159"/>
      <c r="O225" s="159"/>
      <c r="P225" s="136"/>
    </row>
    <row r="226" spans="1:16" ht="16.5" customHeight="1" x14ac:dyDescent="0.25">
      <c r="A226" s="156">
        <v>44453</v>
      </c>
      <c r="B226" s="136" t="s">
        <v>21</v>
      </c>
      <c r="C226" s="157" t="str">
        <f t="shared" si="6"/>
        <v>14.09.2021_ORB2</v>
      </c>
      <c r="D226" s="190">
        <f t="shared" si="7"/>
        <v>0</v>
      </c>
      <c r="E226" s="133">
        <v>7.83</v>
      </c>
      <c r="F226" s="134"/>
      <c r="G226" s="135">
        <v>176.7</v>
      </c>
      <c r="H226" s="137">
        <v>10.8</v>
      </c>
      <c r="I226" s="134"/>
      <c r="J226" s="137">
        <v>14</v>
      </c>
      <c r="K226" s="134"/>
      <c r="L226" s="136">
        <v>20</v>
      </c>
      <c r="M226" s="136"/>
      <c r="N226" s="159"/>
      <c r="O226" s="159"/>
      <c r="P226" s="136"/>
    </row>
    <row r="227" spans="1:16" ht="16.5" customHeight="1" x14ac:dyDescent="0.25">
      <c r="A227" s="156">
        <v>44453</v>
      </c>
      <c r="B227" s="136" t="s">
        <v>32</v>
      </c>
      <c r="C227" s="157" t="str">
        <f t="shared" si="6"/>
        <v>14.09.2021_FAL2</v>
      </c>
      <c r="D227" s="190">
        <f t="shared" si="7"/>
        <v>0</v>
      </c>
      <c r="E227" s="133">
        <v>8.27</v>
      </c>
      <c r="F227" s="134"/>
      <c r="G227" s="135">
        <v>763</v>
      </c>
      <c r="H227" s="137">
        <v>8.6</v>
      </c>
      <c r="I227" s="134"/>
      <c r="J227" s="136">
        <v>15.3</v>
      </c>
      <c r="K227" s="134"/>
      <c r="L227" s="136">
        <v>70</v>
      </c>
      <c r="M227" s="136"/>
      <c r="N227" s="159"/>
      <c r="O227" s="159"/>
      <c r="P227" s="136"/>
    </row>
    <row r="228" spans="1:16" ht="16.5" customHeight="1" x14ac:dyDescent="0.25">
      <c r="A228" s="156">
        <v>44453</v>
      </c>
      <c r="B228" s="136" t="s">
        <v>18</v>
      </c>
      <c r="C228" s="157" t="str">
        <f t="shared" si="6"/>
        <v>14.09.2021_ORB1</v>
      </c>
      <c r="D228" s="190">
        <f t="shared" si="7"/>
        <v>0</v>
      </c>
      <c r="E228" s="133">
        <v>7.84</v>
      </c>
      <c r="F228" s="134"/>
      <c r="G228" s="135">
        <v>113.4</v>
      </c>
      <c r="H228" s="137">
        <v>11.1</v>
      </c>
      <c r="I228" s="134"/>
      <c r="J228" s="137">
        <v>14</v>
      </c>
      <c r="K228" s="134"/>
      <c r="L228" s="136">
        <v>10</v>
      </c>
      <c r="M228" s="136"/>
      <c r="N228" s="159"/>
      <c r="O228" s="159"/>
      <c r="P228" s="136"/>
    </row>
    <row r="229" spans="1:16" ht="16.5" customHeight="1" x14ac:dyDescent="0.25">
      <c r="A229" s="156">
        <v>44453</v>
      </c>
      <c r="B229" s="136" t="s">
        <v>30</v>
      </c>
      <c r="C229" s="157" t="str">
        <f t="shared" si="6"/>
        <v>14.09.2021_FAL1</v>
      </c>
      <c r="D229" s="190">
        <f t="shared" si="7"/>
        <v>0</v>
      </c>
      <c r="E229" s="133">
        <v>7.94</v>
      </c>
      <c r="F229" s="134"/>
      <c r="G229" s="135">
        <v>781</v>
      </c>
      <c r="H229" s="137">
        <v>8</v>
      </c>
      <c r="I229" s="134"/>
      <c r="J229" s="136">
        <v>15.7</v>
      </c>
      <c r="K229" s="134"/>
      <c r="L229" s="136">
        <v>65</v>
      </c>
      <c r="M229" s="136"/>
      <c r="N229" s="159"/>
      <c r="O229" s="159"/>
      <c r="P229" s="136"/>
    </row>
    <row r="230" spans="1:16" ht="16.5" customHeight="1" x14ac:dyDescent="0.25">
      <c r="A230" s="156">
        <v>44453</v>
      </c>
      <c r="B230" s="136" t="s">
        <v>17</v>
      </c>
      <c r="C230" s="157" t="str">
        <f t="shared" si="6"/>
        <v>14.09.2021_BRA2</v>
      </c>
      <c r="D230" s="190">
        <f t="shared" si="7"/>
        <v>0</v>
      </c>
      <c r="E230" s="133">
        <v>8.34</v>
      </c>
      <c r="F230" s="134"/>
      <c r="G230" s="135">
        <v>216</v>
      </c>
      <c r="H230" s="137">
        <v>10.4</v>
      </c>
      <c r="I230" s="134"/>
      <c r="J230" s="137">
        <v>14.6</v>
      </c>
      <c r="K230" s="134"/>
      <c r="L230" s="136">
        <v>18</v>
      </c>
      <c r="M230" s="136"/>
      <c r="N230" s="159"/>
      <c r="O230" s="159"/>
      <c r="P230" s="136" t="s">
        <v>85</v>
      </c>
    </row>
    <row r="231" spans="1:16" ht="16.5" customHeight="1" x14ac:dyDescent="0.25">
      <c r="A231" s="156">
        <v>44453</v>
      </c>
      <c r="B231" s="136" t="s">
        <v>14</v>
      </c>
      <c r="C231" s="157" t="str">
        <f t="shared" si="6"/>
        <v>14.09.2021_BRA1</v>
      </c>
      <c r="D231" s="190">
        <f t="shared" si="7"/>
        <v>0</v>
      </c>
      <c r="E231" s="133">
        <v>8.15</v>
      </c>
      <c r="F231" s="134"/>
      <c r="G231" s="135">
        <v>192.1</v>
      </c>
      <c r="H231" s="137">
        <v>10.3</v>
      </c>
      <c r="I231" s="134"/>
      <c r="J231" s="137">
        <v>15.7</v>
      </c>
      <c r="K231" s="134"/>
      <c r="L231" s="136">
        <v>25</v>
      </c>
      <c r="M231" s="136"/>
      <c r="N231" s="159"/>
      <c r="O231" s="159"/>
      <c r="P231" s="136"/>
    </row>
    <row r="232" spans="1:16" ht="16.5" customHeight="1" x14ac:dyDescent="0.25">
      <c r="A232" s="156">
        <v>44453</v>
      </c>
      <c r="B232" s="136" t="s">
        <v>12</v>
      </c>
      <c r="C232" s="157" t="str">
        <f t="shared" si="6"/>
        <v>14.09.2021_SAL2</v>
      </c>
      <c r="D232" s="190">
        <f t="shared" si="7"/>
        <v>0</v>
      </c>
      <c r="E232" s="133">
        <v>8.24</v>
      </c>
      <c r="F232" s="134"/>
      <c r="G232" s="135">
        <v>257</v>
      </c>
      <c r="H232" s="137">
        <v>10.4</v>
      </c>
      <c r="I232" s="134"/>
      <c r="J232" s="137">
        <v>15</v>
      </c>
      <c r="K232" s="134"/>
      <c r="L232" s="136">
        <v>30</v>
      </c>
      <c r="M232" s="136"/>
      <c r="N232" s="159"/>
      <c r="O232" s="159"/>
      <c r="P232" s="136" t="s">
        <v>110</v>
      </c>
    </row>
    <row r="233" spans="1:16" ht="16.5" customHeight="1" x14ac:dyDescent="0.25">
      <c r="A233" s="156">
        <v>44453</v>
      </c>
      <c r="B233" s="136" t="s">
        <v>28</v>
      </c>
      <c r="C233" s="157" t="str">
        <f t="shared" si="6"/>
        <v>14.09.2021_GRU2</v>
      </c>
      <c r="D233" s="190">
        <f t="shared" si="7"/>
        <v>0</v>
      </c>
      <c r="E233" s="133">
        <v>7.51</v>
      </c>
      <c r="F233" s="134"/>
      <c r="G233" s="135">
        <v>179</v>
      </c>
      <c r="H233" s="137">
        <v>7.8</v>
      </c>
      <c r="I233" s="134"/>
      <c r="J233" s="136">
        <v>16.600000000000001</v>
      </c>
      <c r="K233" s="134"/>
      <c r="L233" s="136">
        <v>40</v>
      </c>
      <c r="M233" s="136"/>
      <c r="N233" s="159"/>
      <c r="O233" s="159"/>
      <c r="P233" s="136" t="s">
        <v>111</v>
      </c>
    </row>
    <row r="234" spans="1:16" ht="16.5" customHeight="1" x14ac:dyDescent="0.25">
      <c r="A234" s="156">
        <v>44453</v>
      </c>
      <c r="B234" s="136" t="s">
        <v>9</v>
      </c>
      <c r="C234" s="157" t="str">
        <f t="shared" si="6"/>
        <v>14.09.2021_STE2</v>
      </c>
      <c r="D234" s="190">
        <f t="shared" si="7"/>
        <v>0</v>
      </c>
      <c r="E234" s="133">
        <v>8.39</v>
      </c>
      <c r="F234" s="134"/>
      <c r="G234" s="135">
        <v>359</v>
      </c>
      <c r="H234" s="137">
        <v>10.3</v>
      </c>
      <c r="I234" s="134"/>
      <c r="J234" s="137">
        <v>15.1</v>
      </c>
      <c r="K234" s="134"/>
      <c r="L234" s="136">
        <v>20</v>
      </c>
      <c r="M234" s="136"/>
      <c r="N234" s="159"/>
      <c r="O234" s="159"/>
      <c r="P234" s="136" t="s">
        <v>88</v>
      </c>
    </row>
    <row r="235" spans="1:16" ht="16.5" customHeight="1" x14ac:dyDescent="0.25">
      <c r="A235" s="156">
        <v>44453</v>
      </c>
      <c r="B235" s="136" t="s">
        <v>26</v>
      </c>
      <c r="C235" s="157" t="str">
        <f t="shared" si="6"/>
        <v>14.09.2021_GRU1</v>
      </c>
      <c r="D235" s="190">
        <f t="shared" si="7"/>
        <v>0</v>
      </c>
      <c r="E235" s="133">
        <v>7.68</v>
      </c>
      <c r="F235" s="134"/>
      <c r="G235" s="135">
        <v>173</v>
      </c>
      <c r="H235" s="137">
        <v>8.6999999999999993</v>
      </c>
      <c r="I235" s="134"/>
      <c r="J235" s="136">
        <v>16.100000000000001</v>
      </c>
      <c r="K235" s="134"/>
      <c r="L235" s="136">
        <v>30</v>
      </c>
      <c r="M235" s="136"/>
      <c r="N235" s="159"/>
      <c r="O235" s="159"/>
      <c r="P235" s="136" t="s">
        <v>111</v>
      </c>
    </row>
    <row r="236" spans="1:16" ht="16.5" customHeight="1" x14ac:dyDescent="0.25">
      <c r="A236" s="156">
        <v>44453</v>
      </c>
      <c r="B236" s="136" t="s">
        <v>7</v>
      </c>
      <c r="C236" s="157" t="str">
        <f t="shared" si="6"/>
        <v>14.09.2021_STE1</v>
      </c>
      <c r="D236" s="190">
        <f t="shared" si="7"/>
        <v>0</v>
      </c>
      <c r="E236" s="133">
        <v>8.59</v>
      </c>
      <c r="F236" s="134"/>
      <c r="G236" s="135">
        <v>366</v>
      </c>
      <c r="H236" s="137">
        <v>10.199999999999999</v>
      </c>
      <c r="I236" s="134"/>
      <c r="J236" s="137">
        <v>14.9</v>
      </c>
      <c r="K236" s="134"/>
      <c r="L236" s="136">
        <v>35</v>
      </c>
      <c r="M236" s="136"/>
      <c r="N236" s="159"/>
      <c r="O236" s="159"/>
      <c r="P236" s="136" t="s">
        <v>85</v>
      </c>
    </row>
    <row r="237" spans="1:16" ht="16.5" customHeight="1" x14ac:dyDescent="0.25">
      <c r="A237" s="156">
        <v>44453</v>
      </c>
      <c r="B237" s="136" t="s">
        <v>2</v>
      </c>
      <c r="C237" s="157" t="str">
        <f t="shared" si="6"/>
        <v>14.09.2021_KIN2</v>
      </c>
      <c r="D237" s="190">
        <f t="shared" si="7"/>
        <v>0</v>
      </c>
      <c r="E237" s="133">
        <v>8.67</v>
      </c>
      <c r="F237" s="134"/>
      <c r="G237" s="135">
        <v>552</v>
      </c>
      <c r="H237" s="137">
        <v>10</v>
      </c>
      <c r="I237" s="134"/>
      <c r="J237" s="137">
        <v>15.6</v>
      </c>
      <c r="K237" s="134"/>
      <c r="L237" s="136">
        <v>40</v>
      </c>
      <c r="M237" s="136"/>
      <c r="N237" s="159"/>
      <c r="O237" s="159"/>
      <c r="P237" s="136" t="s">
        <v>85</v>
      </c>
    </row>
    <row r="238" spans="1:16" ht="16.5" customHeight="1" x14ac:dyDescent="0.25">
      <c r="A238" s="156">
        <v>44453</v>
      </c>
      <c r="B238" s="136" t="s">
        <v>22</v>
      </c>
      <c r="C238" s="157" t="str">
        <f t="shared" si="6"/>
        <v>14.09.2021_BIE1</v>
      </c>
      <c r="D238" s="190">
        <f t="shared" si="7"/>
        <v>0</v>
      </c>
      <c r="E238" s="133">
        <v>7.89</v>
      </c>
      <c r="F238" s="134"/>
      <c r="G238" s="135">
        <v>203</v>
      </c>
      <c r="H238" s="137">
        <v>8.6999999999999993</v>
      </c>
      <c r="I238" s="134"/>
      <c r="J238" s="136">
        <v>16</v>
      </c>
      <c r="K238" s="134"/>
      <c r="L238" s="136">
        <v>20</v>
      </c>
      <c r="M238" s="136"/>
      <c r="N238" s="159"/>
      <c r="O238" s="159"/>
      <c r="P238" s="136"/>
    </row>
    <row r="239" spans="1:16" ht="16.5" customHeight="1" x14ac:dyDescent="0.25">
      <c r="A239" s="156">
        <v>44453</v>
      </c>
      <c r="B239" s="136" t="s">
        <v>25</v>
      </c>
      <c r="C239" s="157" t="str">
        <f t="shared" si="6"/>
        <v>14.09.2021_BIE2</v>
      </c>
      <c r="D239" s="190">
        <f t="shared" si="7"/>
        <v>0</v>
      </c>
      <c r="E239" s="133">
        <v>7.96</v>
      </c>
      <c r="F239" s="134"/>
      <c r="G239" s="135">
        <v>198.5</v>
      </c>
      <c r="H239" s="137">
        <v>9.3000000000000007</v>
      </c>
      <c r="I239" s="134"/>
      <c r="J239" s="136">
        <v>16</v>
      </c>
      <c r="K239" s="134"/>
      <c r="L239" s="136">
        <v>45</v>
      </c>
      <c r="M239" s="136"/>
      <c r="N239" s="159"/>
      <c r="O239" s="159"/>
      <c r="P239" s="136"/>
    </row>
    <row r="240" spans="1:16" ht="16.5" customHeight="1" x14ac:dyDescent="0.25">
      <c r="A240" s="156">
        <v>44453</v>
      </c>
      <c r="B240" s="136" t="s">
        <v>0</v>
      </c>
      <c r="C240" s="157" t="str">
        <f t="shared" si="6"/>
        <v>14.09.2021_KIN1</v>
      </c>
      <c r="D240" s="190">
        <f t="shared" si="7"/>
        <v>0</v>
      </c>
      <c r="E240" s="133">
        <v>8.35</v>
      </c>
      <c r="F240" s="134"/>
      <c r="G240" s="135">
        <v>448</v>
      </c>
      <c r="H240" s="137">
        <v>10.8</v>
      </c>
      <c r="I240" s="134"/>
      <c r="J240" s="137">
        <v>15.9</v>
      </c>
      <c r="K240" s="134"/>
      <c r="L240" s="136">
        <v>20</v>
      </c>
      <c r="M240" s="136"/>
      <c r="N240" s="159"/>
      <c r="O240" s="159"/>
      <c r="P240" s="136" t="s">
        <v>112</v>
      </c>
    </row>
    <row r="241" spans="1:16" ht="16.5" customHeight="1" x14ac:dyDescent="0.25">
      <c r="A241" s="156">
        <v>44453</v>
      </c>
      <c r="B241" s="136" t="s">
        <v>4</v>
      </c>
      <c r="C241" s="157" t="str">
        <f t="shared" si="6"/>
        <v>14.09.2021_KIN3</v>
      </c>
      <c r="D241" s="190">
        <f t="shared" si="7"/>
        <v>0</v>
      </c>
      <c r="E241" s="133">
        <v>7.98</v>
      </c>
      <c r="F241" s="134"/>
      <c r="G241" s="135">
        <v>149.30000000000001</v>
      </c>
      <c r="H241" s="137">
        <v>10.6</v>
      </c>
      <c r="I241" s="134"/>
      <c r="J241" s="137">
        <v>17.5</v>
      </c>
      <c r="K241" s="134"/>
      <c r="L241" s="136">
        <v>65</v>
      </c>
      <c r="M241" s="136"/>
      <c r="N241" s="159"/>
      <c r="O241" s="159"/>
      <c r="P241" s="136" t="s">
        <v>112</v>
      </c>
    </row>
    <row r="242" spans="1:16" ht="16.5" customHeight="1" x14ac:dyDescent="0.25">
      <c r="A242" s="156">
        <v>44453</v>
      </c>
      <c r="B242" s="136" t="s">
        <v>6</v>
      </c>
      <c r="C242" s="157" t="str">
        <f t="shared" si="6"/>
        <v>14.09.2021_KIN4</v>
      </c>
      <c r="D242" s="190">
        <f t="shared" si="7"/>
        <v>0</v>
      </c>
      <c r="E242" s="133">
        <v>8.25</v>
      </c>
      <c r="F242" s="134"/>
      <c r="G242" s="135">
        <v>555</v>
      </c>
      <c r="H242" s="137">
        <v>10.1</v>
      </c>
      <c r="I242" s="134"/>
      <c r="J242" s="137">
        <v>16.100000000000001</v>
      </c>
      <c r="K242" s="134"/>
      <c r="L242" s="136">
        <v>60</v>
      </c>
      <c r="M242" s="136"/>
      <c r="N242" s="159"/>
      <c r="O242" s="159"/>
      <c r="P242" s="136" t="s">
        <v>113</v>
      </c>
    </row>
    <row r="243" spans="1:16" ht="16.5" customHeight="1" x14ac:dyDescent="0.25">
      <c r="A243" s="156">
        <v>44453</v>
      </c>
      <c r="B243" s="136" t="s">
        <v>10</v>
      </c>
      <c r="C243" s="157" t="str">
        <f t="shared" si="6"/>
        <v>14.09.2021_SAL1</v>
      </c>
      <c r="D243" s="190">
        <f t="shared" si="7"/>
        <v>0</v>
      </c>
      <c r="E243" s="133">
        <v>8.1</v>
      </c>
      <c r="F243" s="134"/>
      <c r="G243" s="135">
        <v>227</v>
      </c>
      <c r="H243" s="137">
        <v>10.7</v>
      </c>
      <c r="I243" s="134"/>
      <c r="J243" s="137">
        <v>15.9</v>
      </c>
      <c r="K243" s="134"/>
      <c r="L243" s="136">
        <v>35</v>
      </c>
      <c r="M243" s="136"/>
      <c r="N243" s="159"/>
      <c r="O243" s="159"/>
      <c r="P243" s="136"/>
    </row>
    <row r="244" spans="1:16" ht="16.5" customHeight="1" x14ac:dyDescent="0.25">
      <c r="A244" s="156">
        <v>44467</v>
      </c>
      <c r="B244" s="136" t="s">
        <v>14</v>
      </c>
      <c r="C244" s="157" t="str">
        <f t="shared" si="6"/>
        <v>28.09.2021_BRA1</v>
      </c>
      <c r="D244" s="190">
        <f t="shared" si="7"/>
        <v>0</v>
      </c>
      <c r="E244" s="133">
        <v>7.99</v>
      </c>
      <c r="F244" s="134"/>
      <c r="G244" s="135">
        <v>191.1</v>
      </c>
      <c r="H244" s="137">
        <v>9.1999999999999993</v>
      </c>
      <c r="I244" s="134"/>
      <c r="J244" s="137">
        <v>14.4</v>
      </c>
      <c r="K244" s="134"/>
      <c r="L244" s="136">
        <v>27</v>
      </c>
      <c r="M244" s="136"/>
      <c r="N244" s="159"/>
      <c r="O244" s="159"/>
      <c r="P244" s="136" t="s">
        <v>88</v>
      </c>
    </row>
    <row r="245" spans="1:16" ht="16.5" customHeight="1" x14ac:dyDescent="0.25">
      <c r="A245" s="156">
        <v>44467</v>
      </c>
      <c r="B245" s="136" t="s">
        <v>17</v>
      </c>
      <c r="C245" s="157" t="str">
        <f t="shared" si="6"/>
        <v>28.09.2021_BRA2</v>
      </c>
      <c r="D245" s="190">
        <f t="shared" si="7"/>
        <v>0</v>
      </c>
      <c r="E245" s="133">
        <v>8.09</v>
      </c>
      <c r="F245" s="134"/>
      <c r="G245" s="135">
        <v>217</v>
      </c>
      <c r="H245" s="137">
        <v>10.199999999999999</v>
      </c>
      <c r="I245" s="134"/>
      <c r="J245" s="137">
        <v>13.9</v>
      </c>
      <c r="K245" s="134"/>
      <c r="L245" s="136">
        <v>25</v>
      </c>
      <c r="M245" s="136"/>
      <c r="N245" s="159"/>
      <c r="O245" s="159"/>
      <c r="P245" s="136"/>
    </row>
    <row r="246" spans="1:16" ht="16.5" customHeight="1" x14ac:dyDescent="0.25">
      <c r="A246" s="156">
        <v>44467</v>
      </c>
      <c r="B246" s="136" t="s">
        <v>18</v>
      </c>
      <c r="C246" s="157" t="str">
        <f t="shared" si="6"/>
        <v>28.09.2021_ORB1</v>
      </c>
      <c r="D246" s="190">
        <f t="shared" si="7"/>
        <v>0</v>
      </c>
      <c r="E246" s="133">
        <v>7.56</v>
      </c>
      <c r="F246" s="134"/>
      <c r="G246" s="135">
        <v>112.7</v>
      </c>
      <c r="H246" s="137">
        <v>10.7</v>
      </c>
      <c r="I246" s="134"/>
      <c r="J246" s="137">
        <v>13.3</v>
      </c>
      <c r="K246" s="134"/>
      <c r="L246" s="136">
        <v>12</v>
      </c>
      <c r="M246" s="136"/>
      <c r="N246" s="159"/>
      <c r="O246" s="159"/>
      <c r="P246" s="136"/>
    </row>
    <row r="247" spans="1:16" ht="16.5" customHeight="1" x14ac:dyDescent="0.25">
      <c r="A247" s="156">
        <v>44467</v>
      </c>
      <c r="B247" s="136" t="s">
        <v>21</v>
      </c>
      <c r="C247" s="157" t="str">
        <f t="shared" si="6"/>
        <v>28.09.2021_ORB2</v>
      </c>
      <c r="D247" s="190">
        <f t="shared" si="7"/>
        <v>0</v>
      </c>
      <c r="E247" s="133">
        <v>7.24</v>
      </c>
      <c r="F247" s="134"/>
      <c r="G247" s="135">
        <v>164</v>
      </c>
      <c r="H247" s="137">
        <v>10.199999999999999</v>
      </c>
      <c r="I247" s="134"/>
      <c r="J247" s="137">
        <v>13.3</v>
      </c>
      <c r="K247" s="134"/>
      <c r="L247" s="136">
        <v>15</v>
      </c>
      <c r="M247" s="136"/>
      <c r="N247" s="159"/>
      <c r="O247" s="159"/>
      <c r="P247" s="136" t="s">
        <v>88</v>
      </c>
    </row>
    <row r="248" spans="1:16" ht="16.5" customHeight="1" x14ac:dyDescent="0.25">
      <c r="A248" s="156">
        <v>44467</v>
      </c>
      <c r="B248" s="136" t="s">
        <v>10</v>
      </c>
      <c r="C248" s="157" t="str">
        <f t="shared" si="6"/>
        <v>28.09.2021_SAL1</v>
      </c>
      <c r="D248" s="190">
        <f t="shared" si="7"/>
        <v>0</v>
      </c>
      <c r="E248" s="133">
        <v>8.07</v>
      </c>
      <c r="F248" s="134"/>
      <c r="G248" s="135">
        <v>222</v>
      </c>
      <c r="H248" s="137">
        <v>9.6</v>
      </c>
      <c r="I248" s="134"/>
      <c r="J248" s="137">
        <v>14.1</v>
      </c>
      <c r="K248" s="134"/>
      <c r="L248" s="136">
        <v>30</v>
      </c>
      <c r="M248" s="136"/>
      <c r="N248" s="159"/>
      <c r="O248" s="159"/>
      <c r="P248" s="136" t="s">
        <v>114</v>
      </c>
    </row>
    <row r="249" spans="1:16" ht="16.5" customHeight="1" x14ac:dyDescent="0.25">
      <c r="A249" s="156">
        <v>44467</v>
      </c>
      <c r="B249" s="136" t="s">
        <v>12</v>
      </c>
      <c r="C249" s="157" t="str">
        <f t="shared" si="6"/>
        <v>28.09.2021_SAL2</v>
      </c>
      <c r="D249" s="190">
        <f t="shared" si="7"/>
        <v>0</v>
      </c>
      <c r="E249" s="133">
        <v>8.15</v>
      </c>
      <c r="F249" s="134"/>
      <c r="G249" s="135">
        <v>236</v>
      </c>
      <c r="H249" s="137">
        <v>10.4</v>
      </c>
      <c r="I249" s="134"/>
      <c r="J249" s="137">
        <v>14.1</v>
      </c>
      <c r="K249" s="134"/>
      <c r="L249" s="136">
        <v>70</v>
      </c>
      <c r="M249" s="136"/>
      <c r="N249" s="159"/>
      <c r="O249" s="159"/>
      <c r="P249" s="136" t="s">
        <v>88</v>
      </c>
    </row>
    <row r="250" spans="1:16" ht="16.5" customHeight="1" x14ac:dyDescent="0.25">
      <c r="A250" s="156">
        <v>44467</v>
      </c>
      <c r="B250" s="136" t="s">
        <v>7</v>
      </c>
      <c r="C250" s="157" t="str">
        <f t="shared" si="6"/>
        <v>28.09.2021_STE1</v>
      </c>
      <c r="D250" s="190">
        <f t="shared" si="7"/>
        <v>0</v>
      </c>
      <c r="E250" s="133">
        <v>8.33</v>
      </c>
      <c r="F250" s="134"/>
      <c r="G250" s="135">
        <v>354</v>
      </c>
      <c r="H250" s="137">
        <v>9.6</v>
      </c>
      <c r="I250" s="134"/>
      <c r="J250" s="137">
        <v>13.6</v>
      </c>
      <c r="K250" s="134"/>
      <c r="L250" s="136">
        <v>23</v>
      </c>
      <c r="M250" s="136"/>
      <c r="N250" s="159"/>
      <c r="O250" s="159"/>
      <c r="P250" s="136"/>
    </row>
    <row r="251" spans="1:16" ht="16.5" customHeight="1" x14ac:dyDescent="0.25">
      <c r="A251" s="156">
        <v>44467</v>
      </c>
      <c r="B251" s="136" t="s">
        <v>9</v>
      </c>
      <c r="C251" s="157" t="str">
        <f t="shared" si="6"/>
        <v>28.09.2021_STE2</v>
      </c>
      <c r="D251" s="190">
        <f t="shared" si="7"/>
        <v>0</v>
      </c>
      <c r="E251" s="133">
        <v>8.25</v>
      </c>
      <c r="F251" s="134"/>
      <c r="G251" s="135">
        <v>352</v>
      </c>
      <c r="H251" s="137">
        <v>10.1</v>
      </c>
      <c r="I251" s="134"/>
      <c r="J251" s="137">
        <v>14.5</v>
      </c>
      <c r="K251" s="134"/>
      <c r="L251" s="136">
        <v>20</v>
      </c>
      <c r="M251" s="136"/>
      <c r="N251" s="159"/>
      <c r="O251" s="159"/>
      <c r="P251" s="136" t="s">
        <v>88</v>
      </c>
    </row>
    <row r="252" spans="1:16" ht="16.5" customHeight="1" x14ac:dyDescent="0.25">
      <c r="A252" s="156">
        <v>44467</v>
      </c>
      <c r="B252" s="136" t="s">
        <v>37</v>
      </c>
      <c r="C252" s="157" t="str">
        <f t="shared" si="6"/>
        <v>28.09.2021_KRE2</v>
      </c>
      <c r="D252" s="190">
        <f t="shared" si="7"/>
        <v>0</v>
      </c>
      <c r="E252" s="133">
        <v>7.96</v>
      </c>
      <c r="F252" s="134"/>
      <c r="G252" s="135">
        <v>930</v>
      </c>
      <c r="H252" s="137">
        <v>6.9</v>
      </c>
      <c r="I252" s="134"/>
      <c r="J252" s="136">
        <v>15.5</v>
      </c>
      <c r="K252" s="134"/>
      <c r="L252" s="136">
        <v>25</v>
      </c>
      <c r="M252" s="136"/>
      <c r="N252" s="159"/>
      <c r="O252" s="159"/>
      <c r="P252" s="136"/>
    </row>
    <row r="253" spans="1:16" ht="16.5" customHeight="1" x14ac:dyDescent="0.25">
      <c r="A253" s="156">
        <v>44467</v>
      </c>
      <c r="B253" s="136" t="s">
        <v>34</v>
      </c>
      <c r="C253" s="157" t="str">
        <f t="shared" si="6"/>
        <v>28.09.2021_KRE1</v>
      </c>
      <c r="D253" s="190">
        <f t="shared" si="7"/>
        <v>0</v>
      </c>
      <c r="E253" s="133">
        <v>8.01</v>
      </c>
      <c r="F253" s="134"/>
      <c r="G253" s="135">
        <v>940</v>
      </c>
      <c r="H253" s="137">
        <v>7.5</v>
      </c>
      <c r="I253" s="134"/>
      <c r="J253" s="136">
        <v>15.6</v>
      </c>
      <c r="K253" s="134"/>
      <c r="L253" s="136">
        <v>70</v>
      </c>
      <c r="M253" s="136"/>
      <c r="N253" s="159"/>
      <c r="O253" s="159"/>
      <c r="P253" s="136"/>
    </row>
    <row r="254" spans="1:16" ht="16.5" customHeight="1" x14ac:dyDescent="0.25">
      <c r="A254" s="156">
        <v>44467</v>
      </c>
      <c r="B254" s="136" t="s">
        <v>32</v>
      </c>
      <c r="C254" s="157" t="str">
        <f t="shared" si="6"/>
        <v>28.09.2021_FAL2</v>
      </c>
      <c r="D254" s="190">
        <f t="shared" si="7"/>
        <v>0</v>
      </c>
      <c r="E254" s="133">
        <v>8.32</v>
      </c>
      <c r="F254" s="134"/>
      <c r="G254" s="135">
        <v>829</v>
      </c>
      <c r="H254" s="137">
        <v>9.5</v>
      </c>
      <c r="I254" s="134"/>
      <c r="J254" s="136">
        <v>15.7</v>
      </c>
      <c r="K254" s="134"/>
      <c r="L254" s="136">
        <v>80</v>
      </c>
      <c r="M254" s="136"/>
      <c r="N254" s="159"/>
      <c r="O254" s="159"/>
      <c r="P254" s="159" t="s">
        <v>414</v>
      </c>
    </row>
    <row r="255" spans="1:16" ht="16.5" customHeight="1" x14ac:dyDescent="0.25">
      <c r="A255" s="156">
        <v>44467</v>
      </c>
      <c r="B255" s="136" t="s">
        <v>30</v>
      </c>
      <c r="C255" s="157" t="str">
        <f t="shared" si="6"/>
        <v>28.09.2021_FAL1</v>
      </c>
      <c r="D255" s="190">
        <f t="shared" si="7"/>
        <v>0</v>
      </c>
      <c r="E255" s="133">
        <v>7.91</v>
      </c>
      <c r="F255" s="134"/>
      <c r="G255" s="135">
        <v>935</v>
      </c>
      <c r="H255" s="137">
        <v>8.6</v>
      </c>
      <c r="I255" s="134"/>
      <c r="J255" s="136">
        <v>15.7</v>
      </c>
      <c r="K255" s="134"/>
      <c r="L255" s="136">
        <v>70</v>
      </c>
      <c r="M255" s="136"/>
      <c r="N255" s="159"/>
      <c r="O255" s="159"/>
      <c r="P255" s="136" t="s">
        <v>111</v>
      </c>
    </row>
    <row r="256" spans="1:16" ht="16.5" customHeight="1" x14ac:dyDescent="0.25">
      <c r="A256" s="156">
        <v>44467</v>
      </c>
      <c r="B256" s="136" t="s">
        <v>28</v>
      </c>
      <c r="C256" s="157" t="str">
        <f t="shared" si="6"/>
        <v>28.09.2021_GRU2</v>
      </c>
      <c r="D256" s="190">
        <f t="shared" si="7"/>
        <v>0</v>
      </c>
      <c r="E256" s="173">
        <v>7.38</v>
      </c>
      <c r="F256" s="174"/>
      <c r="G256" s="175">
        <v>175.9</v>
      </c>
      <c r="H256" s="176">
        <v>9</v>
      </c>
      <c r="I256" s="174"/>
      <c r="J256" s="178">
        <v>15.5</v>
      </c>
      <c r="K256" s="174"/>
      <c r="L256" s="136">
        <v>35</v>
      </c>
      <c r="M256" s="136"/>
      <c r="N256" s="159"/>
      <c r="O256" s="159"/>
      <c r="P256" s="177"/>
    </row>
    <row r="257" spans="1:16" ht="16.5" customHeight="1" x14ac:dyDescent="0.25">
      <c r="A257" s="156">
        <v>44467</v>
      </c>
      <c r="B257" s="136" t="s">
        <v>26</v>
      </c>
      <c r="C257" s="157" t="str">
        <f t="shared" si="6"/>
        <v>28.09.2021_GRU1</v>
      </c>
      <c r="D257" s="190">
        <f t="shared" si="7"/>
        <v>0</v>
      </c>
      <c r="E257" s="133">
        <v>7.54</v>
      </c>
      <c r="F257" s="134"/>
      <c r="G257" s="135">
        <v>156.1</v>
      </c>
      <c r="H257" s="137">
        <v>9.6</v>
      </c>
      <c r="I257" s="134"/>
      <c r="J257" s="136">
        <v>14.7</v>
      </c>
      <c r="K257" s="134"/>
      <c r="L257" s="136">
        <v>35</v>
      </c>
      <c r="M257" s="136"/>
      <c r="N257" s="159"/>
      <c r="O257" s="159"/>
      <c r="P257" s="136" t="s">
        <v>111</v>
      </c>
    </row>
    <row r="258" spans="1:16" ht="16.5" customHeight="1" x14ac:dyDescent="0.25">
      <c r="A258" s="156">
        <v>44467</v>
      </c>
      <c r="B258" s="136" t="s">
        <v>22</v>
      </c>
      <c r="C258" s="157" t="str">
        <f t="shared" si="6"/>
        <v>28.09.2021_BIE1</v>
      </c>
      <c r="D258" s="190">
        <f t="shared" si="7"/>
        <v>0</v>
      </c>
      <c r="E258" s="133">
        <v>7.98</v>
      </c>
      <c r="F258" s="134"/>
      <c r="G258" s="135">
        <v>191.7</v>
      </c>
      <c r="H258" s="137">
        <v>10.6</v>
      </c>
      <c r="I258" s="134"/>
      <c r="J258" s="136">
        <v>13</v>
      </c>
      <c r="K258" s="134"/>
      <c r="L258" s="136">
        <v>30</v>
      </c>
      <c r="M258" s="136"/>
      <c r="N258" s="159"/>
      <c r="O258" s="159"/>
      <c r="P258" s="136"/>
    </row>
    <row r="259" spans="1:16" ht="16.5" customHeight="1" x14ac:dyDescent="0.25">
      <c r="A259" s="156">
        <v>44467</v>
      </c>
      <c r="B259" s="136" t="s">
        <v>2</v>
      </c>
      <c r="C259" s="157" t="str">
        <f t="shared" si="6"/>
        <v>28.09.2021_KIN2</v>
      </c>
      <c r="D259" s="190">
        <f t="shared" si="7"/>
        <v>0</v>
      </c>
      <c r="E259" s="133">
        <v>8.2100000000000009</v>
      </c>
      <c r="F259" s="134"/>
      <c r="G259" s="135">
        <v>502</v>
      </c>
      <c r="H259" s="137">
        <v>10.4</v>
      </c>
      <c r="I259" s="134"/>
      <c r="J259" s="137">
        <v>12.6</v>
      </c>
      <c r="K259" s="134"/>
      <c r="L259" s="136">
        <v>56.000000000000007</v>
      </c>
      <c r="M259" s="136"/>
      <c r="N259" s="159"/>
      <c r="O259" s="159"/>
      <c r="P259" s="136" t="s">
        <v>88</v>
      </c>
    </row>
    <row r="260" spans="1:16" ht="16.5" customHeight="1" x14ac:dyDescent="0.25">
      <c r="A260" s="156">
        <v>44467</v>
      </c>
      <c r="B260" s="136" t="s">
        <v>0</v>
      </c>
      <c r="C260" s="157" t="str">
        <f t="shared" si="6"/>
        <v>28.09.2021_KIN1</v>
      </c>
      <c r="D260" s="190">
        <f t="shared" si="7"/>
        <v>0</v>
      </c>
      <c r="E260" s="133">
        <v>8.4499999999999993</v>
      </c>
      <c r="F260" s="134"/>
      <c r="G260" s="135">
        <v>450</v>
      </c>
      <c r="H260" s="137">
        <v>9.8000000000000007</v>
      </c>
      <c r="I260" s="134"/>
      <c r="J260" s="137">
        <v>12.9</v>
      </c>
      <c r="K260" s="134"/>
      <c r="L260" s="136">
        <v>35</v>
      </c>
      <c r="M260" s="136"/>
      <c r="N260" s="159"/>
      <c r="O260" s="159"/>
      <c r="P260" s="136" t="s">
        <v>88</v>
      </c>
    </row>
    <row r="261" spans="1:16" ht="16.5" customHeight="1" x14ac:dyDescent="0.25">
      <c r="A261" s="156">
        <v>44467</v>
      </c>
      <c r="B261" s="136" t="s">
        <v>25</v>
      </c>
      <c r="C261" s="157" t="str">
        <f t="shared" ref="C261:C324" si="8">CONCATENATE(TEXT(A261,"TT.MM.JJJJ"),"_",B261)</f>
        <v>28.09.2021_BIE2</v>
      </c>
      <c r="D261" s="190">
        <f t="shared" ref="D261:D324" si="9">COUNTBLANK(E261)+COUNTBLANK(G261:H261)+COUNTBLANK(J261)+COUNTBLANK(L261)</f>
        <v>0</v>
      </c>
      <c r="E261" s="133">
        <v>7.94</v>
      </c>
      <c r="F261" s="134"/>
      <c r="G261" s="135">
        <v>196.3</v>
      </c>
      <c r="H261" s="137">
        <v>10.199999999999999</v>
      </c>
      <c r="I261" s="134"/>
      <c r="J261" s="136">
        <v>13</v>
      </c>
      <c r="K261" s="134"/>
      <c r="L261" s="136">
        <v>45</v>
      </c>
      <c r="M261" s="136"/>
      <c r="N261" s="159"/>
      <c r="O261" s="159"/>
      <c r="P261" s="136"/>
    </row>
    <row r="262" spans="1:16" ht="16.5" customHeight="1" x14ac:dyDescent="0.25">
      <c r="A262" s="156">
        <v>44467</v>
      </c>
      <c r="B262" s="136" t="s">
        <v>4</v>
      </c>
      <c r="C262" s="157" t="str">
        <f t="shared" si="8"/>
        <v>28.09.2021_KIN3</v>
      </c>
      <c r="D262" s="190">
        <f t="shared" si="9"/>
        <v>0</v>
      </c>
      <c r="E262" s="133">
        <v>8.2899999999999991</v>
      </c>
      <c r="F262" s="134"/>
      <c r="G262" s="135">
        <v>506</v>
      </c>
      <c r="H262" s="137">
        <v>10.199999999999999</v>
      </c>
      <c r="I262" s="134"/>
      <c r="J262" s="137">
        <v>13.3</v>
      </c>
      <c r="K262" s="134"/>
      <c r="L262" s="136">
        <v>45</v>
      </c>
      <c r="M262" s="136"/>
      <c r="N262" s="159"/>
      <c r="O262" s="159"/>
      <c r="P262" s="136" t="s">
        <v>88</v>
      </c>
    </row>
    <row r="263" spans="1:16" ht="16.5" customHeight="1" x14ac:dyDescent="0.25">
      <c r="A263" s="156">
        <v>44467</v>
      </c>
      <c r="B263" s="136" t="s">
        <v>6</v>
      </c>
      <c r="C263" s="157" t="str">
        <f t="shared" si="8"/>
        <v>28.09.2021_KIN4</v>
      </c>
      <c r="D263" s="190">
        <f t="shared" si="9"/>
        <v>0</v>
      </c>
      <c r="E263" s="133">
        <v>8.1300000000000008</v>
      </c>
      <c r="F263" s="134"/>
      <c r="G263" s="135">
        <v>556</v>
      </c>
      <c r="H263" s="137">
        <v>9.4</v>
      </c>
      <c r="I263" s="134"/>
      <c r="J263" s="137">
        <v>13.8</v>
      </c>
      <c r="K263" s="134"/>
      <c r="L263" s="136">
        <v>60</v>
      </c>
      <c r="M263" s="136"/>
      <c r="N263" s="159"/>
      <c r="O263" s="159"/>
      <c r="P263" s="136"/>
    </row>
    <row r="264" spans="1:16" ht="16.5" customHeight="1" x14ac:dyDescent="0.25">
      <c r="A264" s="156">
        <v>44481</v>
      </c>
      <c r="B264" s="136" t="s">
        <v>21</v>
      </c>
      <c r="C264" s="157" t="str">
        <f t="shared" si="8"/>
        <v>12.10.2021_ORB2</v>
      </c>
      <c r="D264" s="190">
        <f t="shared" si="9"/>
        <v>0</v>
      </c>
      <c r="E264" s="133">
        <v>7.73</v>
      </c>
      <c r="F264" s="134"/>
      <c r="G264" s="135">
        <v>173.9</v>
      </c>
      <c r="H264" s="137">
        <v>12.1</v>
      </c>
      <c r="I264" s="134"/>
      <c r="J264" s="137">
        <v>9.8000000000000007</v>
      </c>
      <c r="K264" s="134"/>
      <c r="L264" s="136">
        <v>27</v>
      </c>
      <c r="M264" s="136"/>
      <c r="N264" s="159"/>
      <c r="O264" s="159"/>
      <c r="P264" s="136"/>
    </row>
    <row r="265" spans="1:16" ht="16.5" customHeight="1" x14ac:dyDescent="0.25">
      <c r="A265" s="156">
        <v>44481</v>
      </c>
      <c r="B265" s="136" t="s">
        <v>37</v>
      </c>
      <c r="C265" s="157" t="str">
        <f t="shared" si="8"/>
        <v>12.10.2021_KRE2</v>
      </c>
      <c r="D265" s="190">
        <f t="shared" si="9"/>
        <v>0</v>
      </c>
      <c r="E265" s="133">
        <v>7.97</v>
      </c>
      <c r="F265" s="134"/>
      <c r="G265" s="135">
        <v>874</v>
      </c>
      <c r="H265" s="137">
        <v>10.3</v>
      </c>
      <c r="I265" s="134"/>
      <c r="J265" s="137">
        <v>8.74</v>
      </c>
      <c r="K265" s="134"/>
      <c r="L265" s="136">
        <v>40</v>
      </c>
      <c r="M265" s="136"/>
      <c r="N265" s="159"/>
      <c r="O265" s="159"/>
      <c r="P265" s="136"/>
    </row>
    <row r="266" spans="1:16" ht="16.5" customHeight="1" x14ac:dyDescent="0.25">
      <c r="A266" s="156">
        <v>44481</v>
      </c>
      <c r="B266" s="136" t="s">
        <v>18</v>
      </c>
      <c r="C266" s="157" t="str">
        <f t="shared" si="8"/>
        <v>12.10.2021_ORB1</v>
      </c>
      <c r="D266" s="190">
        <f t="shared" si="9"/>
        <v>0</v>
      </c>
      <c r="E266" s="133">
        <v>7.61</v>
      </c>
      <c r="F266" s="134"/>
      <c r="G266" s="135">
        <v>114</v>
      </c>
      <c r="H266" s="137">
        <v>12.4</v>
      </c>
      <c r="I266" s="134"/>
      <c r="J266" s="137">
        <v>10</v>
      </c>
      <c r="K266" s="134"/>
      <c r="L266" s="136">
        <v>13</v>
      </c>
      <c r="M266" s="136"/>
      <c r="N266" s="159"/>
      <c r="O266" s="159"/>
      <c r="P266" s="136"/>
    </row>
    <row r="267" spans="1:16" ht="16.5" customHeight="1" x14ac:dyDescent="0.25">
      <c r="A267" s="156">
        <v>44481</v>
      </c>
      <c r="B267" s="136" t="s">
        <v>17</v>
      </c>
      <c r="C267" s="157" t="str">
        <f t="shared" si="8"/>
        <v>12.10.2021_BRA2</v>
      </c>
      <c r="D267" s="190">
        <f t="shared" si="9"/>
        <v>0</v>
      </c>
      <c r="E267" s="133">
        <v>8.0500000000000007</v>
      </c>
      <c r="F267" s="134"/>
      <c r="G267" s="135">
        <v>206</v>
      </c>
      <c r="H267" s="137">
        <v>12.8</v>
      </c>
      <c r="I267" s="134"/>
      <c r="J267" s="137">
        <v>9.4</v>
      </c>
      <c r="K267" s="134"/>
      <c r="L267" s="136">
        <v>20</v>
      </c>
      <c r="M267" s="136"/>
      <c r="N267" s="159"/>
      <c r="O267" s="159"/>
      <c r="P267" s="136" t="s">
        <v>88</v>
      </c>
    </row>
    <row r="268" spans="1:16" ht="16.5" customHeight="1" x14ac:dyDescent="0.25">
      <c r="A268" s="156">
        <v>44481</v>
      </c>
      <c r="B268" s="136" t="s">
        <v>34</v>
      </c>
      <c r="C268" s="157" t="str">
        <f t="shared" si="8"/>
        <v>12.10.2021_KRE1</v>
      </c>
      <c r="D268" s="190">
        <f t="shared" si="9"/>
        <v>0</v>
      </c>
      <c r="E268" s="133">
        <v>8.0500000000000007</v>
      </c>
      <c r="F268" s="134"/>
      <c r="G268" s="135">
        <v>866</v>
      </c>
      <c r="H268" s="137">
        <v>10.7</v>
      </c>
      <c r="I268" s="134"/>
      <c r="J268" s="137">
        <v>9.8000000000000007</v>
      </c>
      <c r="K268" s="134"/>
      <c r="L268" s="136">
        <v>75</v>
      </c>
      <c r="M268" s="136"/>
      <c r="N268" s="159"/>
      <c r="O268" s="159"/>
      <c r="P268" s="136"/>
    </row>
    <row r="269" spans="1:16" ht="16.5" customHeight="1" x14ac:dyDescent="0.25">
      <c r="A269" s="156">
        <v>44481</v>
      </c>
      <c r="B269" s="136" t="s">
        <v>14</v>
      </c>
      <c r="C269" s="157" t="str">
        <f t="shared" si="8"/>
        <v>12.10.2021_BRA1</v>
      </c>
      <c r="D269" s="190">
        <f t="shared" si="9"/>
        <v>0</v>
      </c>
      <c r="E269" s="133">
        <v>8.02</v>
      </c>
      <c r="F269" s="134"/>
      <c r="G269" s="135">
        <v>186.7</v>
      </c>
      <c r="H269" s="137">
        <v>12.4</v>
      </c>
      <c r="I269" s="134"/>
      <c r="J269" s="137">
        <v>9</v>
      </c>
      <c r="K269" s="134"/>
      <c r="L269" s="136">
        <v>25</v>
      </c>
      <c r="M269" s="136"/>
      <c r="N269" s="159"/>
      <c r="O269" s="159"/>
      <c r="P269" s="136"/>
    </row>
    <row r="270" spans="1:16" ht="16.5" customHeight="1" x14ac:dyDescent="0.25">
      <c r="A270" s="156">
        <v>44481</v>
      </c>
      <c r="B270" s="136" t="s">
        <v>32</v>
      </c>
      <c r="C270" s="157" t="str">
        <f t="shared" si="8"/>
        <v>12.10.2021_FAL2</v>
      </c>
      <c r="D270" s="190">
        <f t="shared" si="9"/>
        <v>0</v>
      </c>
      <c r="E270" s="133">
        <v>8.2200000000000006</v>
      </c>
      <c r="F270" s="134"/>
      <c r="G270" s="135">
        <v>799</v>
      </c>
      <c r="H270" s="137">
        <v>10.5</v>
      </c>
      <c r="I270" s="134"/>
      <c r="J270" s="137">
        <v>10.5</v>
      </c>
      <c r="K270" s="134"/>
      <c r="L270" s="136">
        <v>75</v>
      </c>
      <c r="M270" s="136"/>
      <c r="N270" s="159"/>
      <c r="O270" s="159"/>
      <c r="P270" s="136"/>
    </row>
    <row r="271" spans="1:16" ht="16.5" customHeight="1" x14ac:dyDescent="0.25">
      <c r="A271" s="156">
        <v>44481</v>
      </c>
      <c r="B271" s="136" t="s">
        <v>12</v>
      </c>
      <c r="C271" s="157" t="str">
        <f t="shared" si="8"/>
        <v>12.10.2021_SAL2</v>
      </c>
      <c r="D271" s="190">
        <f t="shared" si="9"/>
        <v>0</v>
      </c>
      <c r="E271" s="133">
        <v>8.17</v>
      </c>
      <c r="F271" s="134"/>
      <c r="G271" s="135">
        <v>230</v>
      </c>
      <c r="H271" s="137">
        <v>13.4</v>
      </c>
      <c r="I271" s="134"/>
      <c r="J271" s="137">
        <v>9</v>
      </c>
      <c r="K271" s="134"/>
      <c r="L271" s="136">
        <v>60</v>
      </c>
      <c r="M271" s="136"/>
      <c r="N271" s="159"/>
      <c r="O271" s="159"/>
      <c r="P271" s="136" t="s">
        <v>88</v>
      </c>
    </row>
    <row r="272" spans="1:16" ht="16.5" customHeight="1" x14ac:dyDescent="0.25">
      <c r="A272" s="156">
        <v>44481</v>
      </c>
      <c r="B272" s="136" t="s">
        <v>30</v>
      </c>
      <c r="C272" s="157" t="str">
        <f t="shared" si="8"/>
        <v>12.10.2021_FAL1</v>
      </c>
      <c r="D272" s="190">
        <f t="shared" si="9"/>
        <v>0</v>
      </c>
      <c r="E272" s="133">
        <v>7.97</v>
      </c>
      <c r="F272" s="134"/>
      <c r="G272" s="135">
        <v>833</v>
      </c>
      <c r="H272" s="137">
        <v>10.9</v>
      </c>
      <c r="I272" s="134"/>
      <c r="J272" s="137">
        <v>10.8</v>
      </c>
      <c r="K272" s="134"/>
      <c r="L272" s="136">
        <v>75</v>
      </c>
      <c r="M272" s="136"/>
      <c r="N272" s="159"/>
      <c r="O272" s="159"/>
      <c r="P272" s="136"/>
    </row>
    <row r="273" spans="1:16" ht="16.5" customHeight="1" x14ac:dyDescent="0.25">
      <c r="A273" s="156">
        <v>44481</v>
      </c>
      <c r="B273" s="136" t="s">
        <v>28</v>
      </c>
      <c r="C273" s="157" t="str">
        <f t="shared" si="8"/>
        <v>12.10.2021_GRU2</v>
      </c>
      <c r="D273" s="190">
        <f t="shared" si="9"/>
        <v>0</v>
      </c>
      <c r="E273" s="133">
        <v>7.34</v>
      </c>
      <c r="F273" s="134"/>
      <c r="G273" s="135">
        <v>191.3</v>
      </c>
      <c r="H273" s="137">
        <v>10.8</v>
      </c>
      <c r="I273" s="134"/>
      <c r="J273" s="137">
        <v>10.4</v>
      </c>
      <c r="K273" s="134"/>
      <c r="L273" s="136">
        <v>40</v>
      </c>
      <c r="M273" s="136"/>
      <c r="N273" s="159"/>
      <c r="O273" s="159"/>
      <c r="P273" s="136"/>
    </row>
    <row r="274" spans="1:16" ht="16.5" customHeight="1" x14ac:dyDescent="0.25">
      <c r="A274" s="156">
        <v>44481</v>
      </c>
      <c r="B274" s="136" t="s">
        <v>10</v>
      </c>
      <c r="C274" s="157" t="str">
        <f t="shared" si="8"/>
        <v>12.10.2021_SAL1</v>
      </c>
      <c r="D274" s="190">
        <f t="shared" si="9"/>
        <v>0</v>
      </c>
      <c r="E274" s="169">
        <v>8.08</v>
      </c>
      <c r="F274" s="170"/>
      <c r="G274" s="165">
        <v>216</v>
      </c>
      <c r="H274" s="179">
        <v>13.1</v>
      </c>
      <c r="I274" s="170"/>
      <c r="J274" s="166">
        <v>9.3000000000000007</v>
      </c>
      <c r="K274" s="170"/>
      <c r="L274" s="167">
        <v>35</v>
      </c>
      <c r="M274" s="136"/>
      <c r="N274" s="159"/>
      <c r="O274" s="159"/>
      <c r="P274" s="168"/>
    </row>
    <row r="275" spans="1:16" ht="16.5" customHeight="1" x14ac:dyDescent="0.25">
      <c r="A275" s="156">
        <v>44481</v>
      </c>
      <c r="B275" s="136" t="s">
        <v>26</v>
      </c>
      <c r="C275" s="157" t="str">
        <f t="shared" si="8"/>
        <v>12.10.2021_GRU1</v>
      </c>
      <c r="D275" s="190">
        <f t="shared" si="9"/>
        <v>0</v>
      </c>
      <c r="E275" s="133">
        <v>7.42</v>
      </c>
      <c r="F275" s="134"/>
      <c r="G275" s="135">
        <v>169</v>
      </c>
      <c r="H275" s="137">
        <v>11.8</v>
      </c>
      <c r="I275" s="134"/>
      <c r="J275" s="137">
        <v>9.8000000000000007</v>
      </c>
      <c r="K275" s="134"/>
      <c r="L275" s="136">
        <v>40</v>
      </c>
      <c r="M275" s="136"/>
      <c r="N275" s="159"/>
      <c r="O275" s="159"/>
      <c r="P275" s="136" t="s">
        <v>88</v>
      </c>
    </row>
    <row r="276" spans="1:16" ht="16.5" customHeight="1" x14ac:dyDescent="0.25">
      <c r="A276" s="156">
        <v>44481</v>
      </c>
      <c r="B276" s="136" t="s">
        <v>9</v>
      </c>
      <c r="C276" s="157" t="str">
        <f t="shared" si="8"/>
        <v>12.10.2021_STE2</v>
      </c>
      <c r="D276" s="190">
        <f t="shared" si="9"/>
        <v>0</v>
      </c>
      <c r="E276" s="133">
        <v>8.17</v>
      </c>
      <c r="F276" s="134"/>
      <c r="G276" s="135">
        <v>339</v>
      </c>
      <c r="H276" s="137">
        <v>13.1</v>
      </c>
      <c r="I276" s="134"/>
      <c r="J276" s="137">
        <v>9.1999999999999993</v>
      </c>
      <c r="K276" s="134"/>
      <c r="L276" s="136">
        <v>22</v>
      </c>
      <c r="M276" s="136"/>
      <c r="N276" s="159"/>
      <c r="O276" s="159"/>
      <c r="P276" s="136" t="s">
        <v>88</v>
      </c>
    </row>
    <row r="277" spans="1:16" ht="16.5" customHeight="1" x14ac:dyDescent="0.25">
      <c r="A277" s="156">
        <v>44481</v>
      </c>
      <c r="B277" s="136" t="s">
        <v>7</v>
      </c>
      <c r="C277" s="157" t="str">
        <f t="shared" si="8"/>
        <v>12.10.2021_STE1</v>
      </c>
      <c r="D277" s="190">
        <f t="shared" si="9"/>
        <v>0</v>
      </c>
      <c r="E277" s="133">
        <v>7.95</v>
      </c>
      <c r="F277" s="134"/>
      <c r="G277" s="135">
        <v>342</v>
      </c>
      <c r="H277" s="137">
        <v>12.5</v>
      </c>
      <c r="I277" s="134"/>
      <c r="J277" s="137">
        <v>9.1999999999999993</v>
      </c>
      <c r="K277" s="134"/>
      <c r="L277" s="136">
        <v>25</v>
      </c>
      <c r="M277" s="136"/>
      <c r="N277" s="159"/>
      <c r="O277" s="159"/>
      <c r="P277" s="136"/>
    </row>
    <row r="278" spans="1:16" ht="16.5" customHeight="1" x14ac:dyDescent="0.25">
      <c r="A278" s="156">
        <v>44481</v>
      </c>
      <c r="B278" s="136" t="s">
        <v>2</v>
      </c>
      <c r="C278" s="157" t="str">
        <f t="shared" si="8"/>
        <v>12.10.2021_KIN2</v>
      </c>
      <c r="D278" s="190">
        <f t="shared" si="9"/>
        <v>0</v>
      </c>
      <c r="E278" s="133">
        <v>8.17</v>
      </c>
      <c r="F278" s="134"/>
      <c r="G278" s="135">
        <v>467</v>
      </c>
      <c r="H278" s="137">
        <v>12.5</v>
      </c>
      <c r="I278" s="134"/>
      <c r="J278" s="137">
        <v>8.6</v>
      </c>
      <c r="K278" s="134"/>
      <c r="L278" s="136">
        <v>45</v>
      </c>
      <c r="M278" s="136"/>
      <c r="N278" s="159"/>
      <c r="O278" s="159"/>
      <c r="P278" s="136" t="s">
        <v>88</v>
      </c>
    </row>
    <row r="279" spans="1:16" ht="16.5" customHeight="1" x14ac:dyDescent="0.25">
      <c r="A279" s="156">
        <v>44481</v>
      </c>
      <c r="B279" s="136" t="s">
        <v>22</v>
      </c>
      <c r="C279" s="157" t="str">
        <f t="shared" si="8"/>
        <v>12.10.2021_BIE1</v>
      </c>
      <c r="D279" s="190">
        <f t="shared" si="9"/>
        <v>0</v>
      </c>
      <c r="E279" s="133">
        <v>8.0399999999999991</v>
      </c>
      <c r="F279" s="134"/>
      <c r="G279" s="135">
        <v>193.6</v>
      </c>
      <c r="H279" s="137">
        <v>12.9</v>
      </c>
      <c r="I279" s="134"/>
      <c r="J279" s="137">
        <v>9</v>
      </c>
      <c r="K279" s="134"/>
      <c r="L279" s="136">
        <v>30</v>
      </c>
      <c r="M279" s="136"/>
      <c r="N279" s="159"/>
      <c r="O279" s="159"/>
      <c r="P279" s="136"/>
    </row>
    <row r="280" spans="1:16" ht="16.5" customHeight="1" x14ac:dyDescent="0.25">
      <c r="A280" s="156">
        <v>44481</v>
      </c>
      <c r="B280" s="136" t="s">
        <v>25</v>
      </c>
      <c r="C280" s="157" t="str">
        <f t="shared" si="8"/>
        <v>12.10.2021_BIE2</v>
      </c>
      <c r="D280" s="190">
        <f t="shared" si="9"/>
        <v>0</v>
      </c>
      <c r="E280" s="133">
        <v>7.89</v>
      </c>
      <c r="F280" s="134"/>
      <c r="G280" s="135">
        <v>192</v>
      </c>
      <c r="H280" s="137">
        <v>12.7</v>
      </c>
      <c r="I280" s="134"/>
      <c r="J280" s="137">
        <v>9</v>
      </c>
      <c r="K280" s="134"/>
      <c r="L280" s="136">
        <v>50</v>
      </c>
      <c r="M280" s="136"/>
      <c r="N280" s="159"/>
      <c r="O280" s="159"/>
      <c r="P280" s="136"/>
    </row>
    <row r="281" spans="1:16" ht="16.5" customHeight="1" x14ac:dyDescent="0.25">
      <c r="A281" s="156">
        <v>44481</v>
      </c>
      <c r="B281" s="136" t="s">
        <v>0</v>
      </c>
      <c r="C281" s="157" t="str">
        <f t="shared" si="8"/>
        <v>12.10.2021_KIN1</v>
      </c>
      <c r="D281" s="190">
        <f t="shared" si="9"/>
        <v>0</v>
      </c>
      <c r="E281" s="133">
        <v>8.2899999999999991</v>
      </c>
      <c r="F281" s="134"/>
      <c r="G281" s="135">
        <v>424</v>
      </c>
      <c r="H281" s="137">
        <v>13</v>
      </c>
      <c r="I281" s="134"/>
      <c r="J281" s="137">
        <v>8</v>
      </c>
      <c r="K281" s="134"/>
      <c r="L281" s="136">
        <v>40</v>
      </c>
      <c r="M281" s="136"/>
      <c r="N281" s="159"/>
      <c r="O281" s="159"/>
      <c r="P281" s="136" t="s">
        <v>88</v>
      </c>
    </row>
    <row r="282" spans="1:16" ht="16.5" customHeight="1" x14ac:dyDescent="0.25">
      <c r="A282" s="156">
        <v>44481</v>
      </c>
      <c r="B282" s="136" t="s">
        <v>4</v>
      </c>
      <c r="C282" s="157" t="str">
        <f t="shared" si="8"/>
        <v>12.10.2021_KIN3</v>
      </c>
      <c r="D282" s="190">
        <f t="shared" si="9"/>
        <v>0</v>
      </c>
      <c r="E282" s="133">
        <v>8.24</v>
      </c>
      <c r="F282" s="134"/>
      <c r="G282" s="135">
        <v>453</v>
      </c>
      <c r="H282" s="137">
        <v>13.3</v>
      </c>
      <c r="I282" s="134"/>
      <c r="J282" s="137">
        <v>8.8000000000000007</v>
      </c>
      <c r="K282" s="134"/>
      <c r="L282" s="136">
        <v>55.000000000000007</v>
      </c>
      <c r="M282" s="136"/>
      <c r="N282" s="159"/>
      <c r="O282" s="159"/>
      <c r="P282" s="136" t="s">
        <v>88</v>
      </c>
    </row>
    <row r="283" spans="1:16" ht="16.5" customHeight="1" x14ac:dyDescent="0.25">
      <c r="A283" s="156">
        <v>44481</v>
      </c>
      <c r="B283" s="136" t="s">
        <v>6</v>
      </c>
      <c r="C283" s="157" t="str">
        <f t="shared" si="8"/>
        <v>12.10.2021_KIN4</v>
      </c>
      <c r="D283" s="190">
        <f t="shared" si="9"/>
        <v>0</v>
      </c>
      <c r="E283" s="133">
        <v>8.11</v>
      </c>
      <c r="F283" s="134"/>
      <c r="G283" s="135">
        <v>499</v>
      </c>
      <c r="H283" s="137">
        <v>12.7</v>
      </c>
      <c r="I283" s="134"/>
      <c r="J283" s="137">
        <v>9.6</v>
      </c>
      <c r="K283" s="134"/>
      <c r="L283" s="136">
        <v>66</v>
      </c>
      <c r="M283" s="136"/>
      <c r="N283" s="159"/>
      <c r="O283" s="159"/>
      <c r="P283" s="136"/>
    </row>
    <row r="284" spans="1:16" ht="16.5" customHeight="1" x14ac:dyDescent="0.25">
      <c r="A284" s="156">
        <v>44495</v>
      </c>
      <c r="B284" s="136" t="s">
        <v>21</v>
      </c>
      <c r="C284" s="157" t="str">
        <f t="shared" si="8"/>
        <v>26.10.2021_ORB2</v>
      </c>
      <c r="D284" s="190">
        <f t="shared" si="9"/>
        <v>0</v>
      </c>
      <c r="E284" s="133">
        <v>7.26</v>
      </c>
      <c r="F284" s="134"/>
      <c r="G284" s="135">
        <v>179.7</v>
      </c>
      <c r="H284" s="137">
        <v>11.1</v>
      </c>
      <c r="I284" s="134"/>
      <c r="J284" s="137">
        <v>8.8000000000000007</v>
      </c>
      <c r="K284" s="134"/>
      <c r="L284" s="136">
        <v>24</v>
      </c>
      <c r="M284" s="136"/>
      <c r="N284" s="159"/>
      <c r="O284" s="159"/>
      <c r="P284" s="136" t="s">
        <v>115</v>
      </c>
    </row>
    <row r="285" spans="1:16" ht="16.5" customHeight="1" x14ac:dyDescent="0.25">
      <c r="A285" s="156">
        <v>44495</v>
      </c>
      <c r="B285" s="136" t="s">
        <v>18</v>
      </c>
      <c r="C285" s="157" t="str">
        <f t="shared" si="8"/>
        <v>26.10.2021_ORB1</v>
      </c>
      <c r="D285" s="190">
        <f t="shared" si="9"/>
        <v>0</v>
      </c>
      <c r="E285" s="133">
        <v>7.34</v>
      </c>
      <c r="F285" s="134"/>
      <c r="G285" s="135">
        <v>159.30000000000001</v>
      </c>
      <c r="H285" s="137">
        <v>11.5</v>
      </c>
      <c r="I285" s="134"/>
      <c r="J285" s="137">
        <v>9.1</v>
      </c>
      <c r="K285" s="134"/>
      <c r="L285" s="136">
        <v>12</v>
      </c>
      <c r="M285" s="136"/>
      <c r="N285" s="159"/>
      <c r="O285" s="159"/>
      <c r="P285" s="136" t="s">
        <v>115</v>
      </c>
    </row>
    <row r="286" spans="1:16" ht="16.5" customHeight="1" x14ac:dyDescent="0.25">
      <c r="A286" s="156">
        <v>44495</v>
      </c>
      <c r="B286" s="136" t="s">
        <v>17</v>
      </c>
      <c r="C286" s="157" t="str">
        <f t="shared" si="8"/>
        <v>26.10.2021_BRA2</v>
      </c>
      <c r="D286" s="190">
        <f t="shared" si="9"/>
        <v>0</v>
      </c>
      <c r="E286" s="133">
        <v>7.87</v>
      </c>
      <c r="F286" s="134"/>
      <c r="G286" s="135">
        <v>220</v>
      </c>
      <c r="H286" s="137">
        <v>11.6</v>
      </c>
      <c r="I286" s="134"/>
      <c r="J286" s="137">
        <v>8.8000000000000007</v>
      </c>
      <c r="K286" s="134"/>
      <c r="L286" s="136">
        <v>25</v>
      </c>
      <c r="M286" s="136"/>
      <c r="N286" s="159"/>
      <c r="O286" s="159"/>
      <c r="P286" s="136"/>
    </row>
    <row r="287" spans="1:16" ht="16.5" customHeight="1" x14ac:dyDescent="0.25">
      <c r="A287" s="156">
        <v>44495</v>
      </c>
      <c r="B287" s="136" t="s">
        <v>14</v>
      </c>
      <c r="C287" s="157" t="str">
        <f t="shared" si="8"/>
        <v>26.10.2021_BRA1</v>
      </c>
      <c r="D287" s="190">
        <f t="shared" si="9"/>
        <v>0</v>
      </c>
      <c r="E287" s="133">
        <v>8.32</v>
      </c>
      <c r="F287" s="134"/>
      <c r="G287" s="135">
        <v>199</v>
      </c>
      <c r="H287" s="137">
        <v>12</v>
      </c>
      <c r="I287" s="134"/>
      <c r="J287" s="137">
        <v>8.4</v>
      </c>
      <c r="K287" s="134"/>
      <c r="L287" s="136">
        <v>20</v>
      </c>
      <c r="M287" s="136"/>
      <c r="N287" s="159"/>
      <c r="O287" s="159"/>
      <c r="P287" s="136"/>
    </row>
    <row r="288" spans="1:16" ht="16.5" customHeight="1" x14ac:dyDescent="0.25">
      <c r="A288" s="156">
        <v>44495</v>
      </c>
      <c r="B288" s="136" t="s">
        <v>12</v>
      </c>
      <c r="C288" s="157" t="str">
        <f t="shared" si="8"/>
        <v>26.10.2021_SAL2</v>
      </c>
      <c r="D288" s="190">
        <f t="shared" si="9"/>
        <v>0</v>
      </c>
      <c r="E288" s="133">
        <v>7.94</v>
      </c>
      <c r="F288" s="134"/>
      <c r="G288" s="135">
        <v>282</v>
      </c>
      <c r="H288" s="137">
        <v>12</v>
      </c>
      <c r="I288" s="134"/>
      <c r="J288" s="137">
        <v>7.6</v>
      </c>
      <c r="K288" s="134"/>
      <c r="L288" s="136">
        <v>18</v>
      </c>
      <c r="M288" s="136"/>
      <c r="N288" s="159"/>
      <c r="O288" s="159"/>
      <c r="P288" s="136" t="s">
        <v>159</v>
      </c>
    </row>
    <row r="289" spans="1:16" ht="16.5" customHeight="1" x14ac:dyDescent="0.25">
      <c r="A289" s="156">
        <v>44495</v>
      </c>
      <c r="B289" s="136" t="s">
        <v>10</v>
      </c>
      <c r="C289" s="157" t="str">
        <f t="shared" si="8"/>
        <v>26.10.2021_SAL1</v>
      </c>
      <c r="D289" s="190">
        <f t="shared" si="9"/>
        <v>0</v>
      </c>
      <c r="E289" s="133">
        <v>7.85</v>
      </c>
      <c r="F289" s="134"/>
      <c r="G289" s="135">
        <v>239</v>
      </c>
      <c r="H289" s="137">
        <v>11.7</v>
      </c>
      <c r="I289" s="134"/>
      <c r="J289" s="137">
        <v>7.6</v>
      </c>
      <c r="K289" s="134"/>
      <c r="L289" s="136">
        <v>40</v>
      </c>
      <c r="M289" s="136"/>
      <c r="N289" s="159"/>
      <c r="O289" s="159"/>
      <c r="P289" s="136" t="s">
        <v>115</v>
      </c>
    </row>
    <row r="290" spans="1:16" ht="16.5" customHeight="1" x14ac:dyDescent="0.25">
      <c r="A290" s="156">
        <v>44495</v>
      </c>
      <c r="B290" s="136" t="s">
        <v>37</v>
      </c>
      <c r="C290" s="157" t="str">
        <f t="shared" si="8"/>
        <v>26.10.2021_KRE2</v>
      </c>
      <c r="D290" s="190">
        <f t="shared" si="9"/>
        <v>0</v>
      </c>
      <c r="E290" s="133">
        <v>7.93</v>
      </c>
      <c r="F290" s="134"/>
      <c r="G290" s="135">
        <v>869</v>
      </c>
      <c r="H290" s="137">
        <v>8.6999999999999993</v>
      </c>
      <c r="I290" s="134"/>
      <c r="J290" s="137">
        <v>9.3000000000000007</v>
      </c>
      <c r="K290" s="134"/>
      <c r="L290" s="136">
        <v>30</v>
      </c>
      <c r="M290" s="136"/>
      <c r="N290" s="159"/>
      <c r="O290" s="159"/>
      <c r="P290" s="136"/>
    </row>
    <row r="291" spans="1:16" ht="16.5" customHeight="1" x14ac:dyDescent="0.25">
      <c r="A291" s="156">
        <v>44495</v>
      </c>
      <c r="B291" s="136" t="s">
        <v>9</v>
      </c>
      <c r="C291" s="157" t="str">
        <f t="shared" si="8"/>
        <v>26.10.2021_STE2</v>
      </c>
      <c r="D291" s="190">
        <f t="shared" si="9"/>
        <v>0</v>
      </c>
      <c r="E291" s="133">
        <v>8.2200000000000006</v>
      </c>
      <c r="F291" s="134"/>
      <c r="G291" s="135">
        <v>340</v>
      </c>
      <c r="H291" s="137">
        <v>11.7</v>
      </c>
      <c r="I291" s="134"/>
      <c r="J291" s="137">
        <v>7.8</v>
      </c>
      <c r="K291" s="134"/>
      <c r="L291" s="136">
        <v>25</v>
      </c>
      <c r="M291" s="136"/>
      <c r="N291" s="159"/>
      <c r="O291" s="159"/>
      <c r="P291" s="136" t="s">
        <v>83</v>
      </c>
    </row>
    <row r="292" spans="1:16" ht="16.5" customHeight="1" x14ac:dyDescent="0.25">
      <c r="A292" s="156">
        <v>44495</v>
      </c>
      <c r="B292" s="136" t="s">
        <v>32</v>
      </c>
      <c r="C292" s="157" t="str">
        <f t="shared" si="8"/>
        <v>26.10.2021_FAL2</v>
      </c>
      <c r="D292" s="190">
        <f t="shared" si="9"/>
        <v>0</v>
      </c>
      <c r="E292" s="133">
        <v>8.3000000000000007</v>
      </c>
      <c r="F292" s="134"/>
      <c r="G292" s="135">
        <v>830</v>
      </c>
      <c r="H292" s="137">
        <v>10.9</v>
      </c>
      <c r="I292" s="134"/>
      <c r="J292" s="137">
        <v>10</v>
      </c>
      <c r="K292" s="134"/>
      <c r="L292" s="136">
        <v>75</v>
      </c>
      <c r="M292" s="136"/>
      <c r="N292" s="159"/>
      <c r="O292" s="159"/>
      <c r="P292" s="136"/>
    </row>
    <row r="293" spans="1:16" ht="16.5" customHeight="1" x14ac:dyDescent="0.25">
      <c r="A293" s="156">
        <v>44495</v>
      </c>
      <c r="B293" s="136" t="s">
        <v>7</v>
      </c>
      <c r="C293" s="157" t="str">
        <f t="shared" si="8"/>
        <v>26.10.2021_STE1</v>
      </c>
      <c r="D293" s="190">
        <f t="shared" si="9"/>
        <v>0</v>
      </c>
      <c r="E293" s="133">
        <v>7.97</v>
      </c>
      <c r="F293" s="134"/>
      <c r="G293" s="135">
        <v>328</v>
      </c>
      <c r="H293" s="137">
        <v>11.7</v>
      </c>
      <c r="I293" s="134"/>
      <c r="J293" s="137">
        <v>8.1</v>
      </c>
      <c r="K293" s="134"/>
      <c r="L293" s="136">
        <v>35</v>
      </c>
      <c r="M293" s="136"/>
      <c r="N293" s="159"/>
      <c r="O293" s="159"/>
      <c r="P293" s="136" t="s">
        <v>83</v>
      </c>
    </row>
    <row r="294" spans="1:16" ht="16.5" customHeight="1" x14ac:dyDescent="0.25">
      <c r="A294" s="156">
        <v>44495</v>
      </c>
      <c r="B294" s="136" t="s">
        <v>30</v>
      </c>
      <c r="C294" s="157" t="str">
        <f t="shared" si="8"/>
        <v>26.10.2021_FAL1</v>
      </c>
      <c r="D294" s="190">
        <f t="shared" si="9"/>
        <v>0</v>
      </c>
      <c r="E294" s="133">
        <v>7.87</v>
      </c>
      <c r="F294" s="134"/>
      <c r="G294" s="135">
        <v>872</v>
      </c>
      <c r="H294" s="137">
        <v>9.1</v>
      </c>
      <c r="I294" s="134"/>
      <c r="J294" s="137">
        <v>10.8</v>
      </c>
      <c r="K294" s="134"/>
      <c r="L294" s="136">
        <v>75</v>
      </c>
      <c r="M294" s="136"/>
      <c r="N294" s="159"/>
      <c r="O294" s="159"/>
      <c r="P294" s="136" t="s">
        <v>116</v>
      </c>
    </row>
    <row r="295" spans="1:16" ht="16.5" customHeight="1" x14ac:dyDescent="0.25">
      <c r="A295" s="156">
        <v>44495</v>
      </c>
      <c r="B295" s="136" t="s">
        <v>28</v>
      </c>
      <c r="C295" s="157" t="str">
        <f t="shared" si="8"/>
        <v>26.10.2021_GRU2</v>
      </c>
      <c r="D295" s="190">
        <f t="shared" si="9"/>
        <v>0</v>
      </c>
      <c r="E295" s="133">
        <v>7.5</v>
      </c>
      <c r="F295" s="134"/>
      <c r="G295" s="135">
        <v>192.4</v>
      </c>
      <c r="H295" s="137">
        <v>10.1</v>
      </c>
      <c r="I295" s="134"/>
      <c r="J295" s="137">
        <v>10</v>
      </c>
      <c r="K295" s="134"/>
      <c r="L295" s="136">
        <v>45</v>
      </c>
      <c r="M295" s="136"/>
      <c r="N295" s="159"/>
      <c r="O295" s="159"/>
      <c r="P295" s="136"/>
    </row>
    <row r="296" spans="1:16" ht="16.5" customHeight="1" x14ac:dyDescent="0.25">
      <c r="A296" s="156">
        <v>44495</v>
      </c>
      <c r="B296" s="136" t="s">
        <v>6</v>
      </c>
      <c r="C296" s="157" t="str">
        <f t="shared" si="8"/>
        <v>26.10.2021_KIN4</v>
      </c>
      <c r="D296" s="190">
        <f t="shared" si="9"/>
        <v>0</v>
      </c>
      <c r="E296" s="133">
        <v>8.0399999999999991</v>
      </c>
      <c r="F296" s="134"/>
      <c r="G296" s="135">
        <v>544</v>
      </c>
      <c r="H296" s="137">
        <v>11.3</v>
      </c>
      <c r="I296" s="134"/>
      <c r="J296" s="137">
        <v>9.6999999999999993</v>
      </c>
      <c r="K296" s="134"/>
      <c r="L296" s="136">
        <v>38</v>
      </c>
      <c r="M296" s="136"/>
      <c r="N296" s="159"/>
      <c r="O296" s="159"/>
      <c r="P296" s="136" t="s">
        <v>117</v>
      </c>
    </row>
    <row r="297" spans="1:16" ht="16.5" customHeight="1" x14ac:dyDescent="0.25">
      <c r="A297" s="156">
        <v>44495</v>
      </c>
      <c r="B297" s="136" t="s">
        <v>26</v>
      </c>
      <c r="C297" s="157" t="str">
        <f t="shared" si="8"/>
        <v>26.10.2021_GRU1</v>
      </c>
      <c r="D297" s="190">
        <f t="shared" si="9"/>
        <v>0</v>
      </c>
      <c r="E297" s="133">
        <v>7.51</v>
      </c>
      <c r="F297" s="134"/>
      <c r="G297" s="135">
        <v>177.2</v>
      </c>
      <c r="H297" s="137">
        <v>11.2</v>
      </c>
      <c r="I297" s="134"/>
      <c r="J297" s="137">
        <v>9.4</v>
      </c>
      <c r="K297" s="134"/>
      <c r="L297" s="136">
        <v>50</v>
      </c>
      <c r="M297" s="136"/>
      <c r="N297" s="159"/>
      <c r="O297" s="159"/>
      <c r="P297" s="136"/>
    </row>
    <row r="298" spans="1:16" ht="16.5" customHeight="1" x14ac:dyDescent="0.25">
      <c r="A298" s="156">
        <v>44495</v>
      </c>
      <c r="B298" s="136" t="s">
        <v>4</v>
      </c>
      <c r="C298" s="157" t="str">
        <f t="shared" si="8"/>
        <v>26.10.2021_KIN3</v>
      </c>
      <c r="D298" s="190">
        <f t="shared" si="9"/>
        <v>0</v>
      </c>
      <c r="E298" s="133">
        <v>8.14</v>
      </c>
      <c r="F298" s="134"/>
      <c r="G298" s="135">
        <v>498</v>
      </c>
      <c r="H298" s="137">
        <v>12</v>
      </c>
      <c r="I298" s="134"/>
      <c r="J298" s="137">
        <v>9.4</v>
      </c>
      <c r="K298" s="134"/>
      <c r="L298" s="136">
        <v>25</v>
      </c>
      <c r="M298" s="136"/>
      <c r="N298" s="159"/>
      <c r="O298" s="159"/>
      <c r="P298" s="136" t="s">
        <v>117</v>
      </c>
    </row>
    <row r="299" spans="1:16" ht="16.5" customHeight="1" x14ac:dyDescent="0.25">
      <c r="A299" s="156">
        <v>44495</v>
      </c>
      <c r="B299" s="136" t="s">
        <v>22</v>
      </c>
      <c r="C299" s="157" t="str">
        <f t="shared" si="8"/>
        <v>26.10.2021_BIE1</v>
      </c>
      <c r="D299" s="190">
        <f t="shared" si="9"/>
        <v>0</v>
      </c>
      <c r="E299" s="133">
        <v>7.93</v>
      </c>
      <c r="F299" s="134"/>
      <c r="G299" s="135">
        <v>199</v>
      </c>
      <c r="H299" s="137">
        <v>11.2</v>
      </c>
      <c r="I299" s="134"/>
      <c r="J299" s="137">
        <v>10.5</v>
      </c>
      <c r="K299" s="134"/>
      <c r="L299" s="136">
        <v>25</v>
      </c>
      <c r="M299" s="136"/>
      <c r="N299" s="159"/>
      <c r="O299" s="159"/>
      <c r="P299" s="136"/>
    </row>
    <row r="300" spans="1:16" ht="16.5" customHeight="1" x14ac:dyDescent="0.25">
      <c r="A300" s="156">
        <v>44495</v>
      </c>
      <c r="B300" s="136" t="s">
        <v>2</v>
      </c>
      <c r="C300" s="157" t="str">
        <f t="shared" si="8"/>
        <v>26.10.2021_KIN2</v>
      </c>
      <c r="D300" s="190">
        <f t="shared" si="9"/>
        <v>0</v>
      </c>
      <c r="E300" s="133">
        <v>8.0500000000000007</v>
      </c>
      <c r="F300" s="134"/>
      <c r="G300" s="135">
        <v>528</v>
      </c>
      <c r="H300" s="137">
        <v>11.6</v>
      </c>
      <c r="I300" s="134"/>
      <c r="J300" s="137">
        <v>10</v>
      </c>
      <c r="K300" s="134"/>
      <c r="L300" s="136">
        <v>50</v>
      </c>
      <c r="M300" s="136"/>
      <c r="N300" s="159"/>
      <c r="O300" s="159"/>
      <c r="P300" s="136"/>
    </row>
    <row r="301" spans="1:16" ht="16.5" customHeight="1" x14ac:dyDescent="0.25">
      <c r="A301" s="156">
        <v>44495</v>
      </c>
      <c r="B301" s="136" t="s">
        <v>0</v>
      </c>
      <c r="C301" s="157" t="str">
        <f t="shared" si="8"/>
        <v>26.10.2021_KIN1</v>
      </c>
      <c r="D301" s="190">
        <f t="shared" si="9"/>
        <v>0</v>
      </c>
      <c r="E301" s="133">
        <v>8.24</v>
      </c>
      <c r="F301" s="134"/>
      <c r="G301" s="135">
        <v>459</v>
      </c>
      <c r="H301" s="137">
        <v>11.8</v>
      </c>
      <c r="I301" s="134"/>
      <c r="J301" s="137">
        <v>9.3000000000000007</v>
      </c>
      <c r="K301" s="134"/>
      <c r="L301" s="136">
        <v>38</v>
      </c>
      <c r="M301" s="136"/>
      <c r="N301" s="159"/>
      <c r="O301" s="159"/>
      <c r="P301" s="136" t="s">
        <v>118</v>
      </c>
    </row>
    <row r="302" spans="1:16" ht="16.5" customHeight="1" x14ac:dyDescent="0.25">
      <c r="A302" s="156">
        <v>44495</v>
      </c>
      <c r="B302" s="136" t="s">
        <v>25</v>
      </c>
      <c r="C302" s="157" t="str">
        <f t="shared" si="8"/>
        <v>26.10.2021_BIE2</v>
      </c>
      <c r="D302" s="190">
        <f t="shared" si="9"/>
        <v>0</v>
      </c>
      <c r="E302" s="133">
        <v>7.8</v>
      </c>
      <c r="F302" s="134"/>
      <c r="G302" s="135">
        <v>209</v>
      </c>
      <c r="H302" s="137">
        <v>11.1</v>
      </c>
      <c r="I302" s="134"/>
      <c r="J302" s="137">
        <v>10.4</v>
      </c>
      <c r="K302" s="134"/>
      <c r="L302" s="136">
        <v>50</v>
      </c>
      <c r="M302" s="136"/>
      <c r="N302" s="159"/>
      <c r="O302" s="159"/>
      <c r="P302" s="136"/>
    </row>
    <row r="303" spans="1:16" ht="16.5" customHeight="1" x14ac:dyDescent="0.25">
      <c r="A303" s="156">
        <v>44495</v>
      </c>
      <c r="B303" s="136" t="s">
        <v>34</v>
      </c>
      <c r="C303" s="157" t="str">
        <f t="shared" si="8"/>
        <v>26.10.2021_KRE1</v>
      </c>
      <c r="D303" s="190">
        <f t="shared" si="9"/>
        <v>0</v>
      </c>
      <c r="E303" s="133">
        <v>7.97</v>
      </c>
      <c r="F303" s="134"/>
      <c r="G303" s="135">
        <v>890</v>
      </c>
      <c r="H303" s="137">
        <v>9.1</v>
      </c>
      <c r="I303" s="134"/>
      <c r="J303" s="137">
        <v>10.7</v>
      </c>
      <c r="K303" s="134"/>
      <c r="L303" s="136">
        <v>70</v>
      </c>
      <c r="M303" s="136"/>
      <c r="N303" s="159"/>
      <c r="O303" s="159"/>
      <c r="P303" s="136"/>
    </row>
    <row r="304" spans="1:16" ht="16.5" customHeight="1" x14ac:dyDescent="0.25">
      <c r="A304" s="156">
        <v>44509</v>
      </c>
      <c r="B304" s="136" t="s">
        <v>22</v>
      </c>
      <c r="C304" s="157" t="str">
        <f t="shared" si="8"/>
        <v>09.11.2021_BIE1</v>
      </c>
      <c r="D304" s="190">
        <f t="shared" si="9"/>
        <v>0</v>
      </c>
      <c r="E304" s="136">
        <v>7.85</v>
      </c>
      <c r="F304" s="180"/>
      <c r="G304" s="136">
        <v>212</v>
      </c>
      <c r="H304" s="137">
        <v>12.6</v>
      </c>
      <c r="I304" s="180"/>
      <c r="J304" s="136">
        <v>5.7</v>
      </c>
      <c r="K304" s="180"/>
      <c r="L304" s="136">
        <v>25</v>
      </c>
      <c r="M304" s="136"/>
      <c r="N304" s="159"/>
      <c r="O304" s="159"/>
      <c r="P304" s="136"/>
    </row>
    <row r="305" spans="1:16" ht="16.5" customHeight="1" x14ac:dyDescent="0.25">
      <c r="A305" s="156">
        <v>44509</v>
      </c>
      <c r="B305" s="136" t="s">
        <v>25</v>
      </c>
      <c r="C305" s="157" t="str">
        <f t="shared" si="8"/>
        <v>09.11.2021_BIE2</v>
      </c>
      <c r="D305" s="190">
        <f t="shared" si="9"/>
        <v>0</v>
      </c>
      <c r="E305" s="136">
        <v>7.91</v>
      </c>
      <c r="F305" s="180"/>
      <c r="G305" s="136">
        <v>211</v>
      </c>
      <c r="H305" s="137">
        <v>11.4</v>
      </c>
      <c r="I305" s="180"/>
      <c r="J305" s="136">
        <v>5.3</v>
      </c>
      <c r="K305" s="180"/>
      <c r="L305" s="136">
        <v>45</v>
      </c>
      <c r="M305" s="136"/>
      <c r="N305" s="159"/>
      <c r="O305" s="159"/>
      <c r="P305" s="136"/>
    </row>
    <row r="306" spans="1:16" ht="16.5" customHeight="1" x14ac:dyDescent="0.25">
      <c r="A306" s="156">
        <v>44509</v>
      </c>
      <c r="B306" s="136" t="s">
        <v>30</v>
      </c>
      <c r="C306" s="157" t="str">
        <f t="shared" si="8"/>
        <v>09.11.2021_FAL1</v>
      </c>
      <c r="D306" s="190">
        <f t="shared" si="9"/>
        <v>0</v>
      </c>
      <c r="E306" s="136">
        <v>7.9</v>
      </c>
      <c r="F306" s="180"/>
      <c r="G306" s="136">
        <v>904</v>
      </c>
      <c r="H306" s="137">
        <v>10.6</v>
      </c>
      <c r="I306" s="180"/>
      <c r="J306" s="136">
        <v>7.6</v>
      </c>
      <c r="K306" s="180"/>
      <c r="L306" s="136">
        <v>60</v>
      </c>
      <c r="M306" s="136"/>
      <c r="N306" s="159"/>
      <c r="O306" s="159"/>
      <c r="P306" s="136"/>
    </row>
    <row r="307" spans="1:16" ht="16.5" customHeight="1" x14ac:dyDescent="0.25">
      <c r="A307" s="156">
        <v>44509</v>
      </c>
      <c r="B307" s="136" t="s">
        <v>32</v>
      </c>
      <c r="C307" s="157" t="str">
        <f t="shared" si="8"/>
        <v>09.11.2021_FAL2</v>
      </c>
      <c r="D307" s="190">
        <f t="shared" si="9"/>
        <v>0</v>
      </c>
      <c r="E307" s="133">
        <v>8.2899999999999991</v>
      </c>
      <c r="F307" s="134"/>
      <c r="G307" s="135">
        <v>872</v>
      </c>
      <c r="H307" s="137">
        <v>12.1</v>
      </c>
      <c r="I307" s="134"/>
      <c r="J307" s="137">
        <v>6.8</v>
      </c>
      <c r="K307" s="134"/>
      <c r="L307" s="136">
        <v>80</v>
      </c>
      <c r="M307" s="136"/>
      <c r="N307" s="159"/>
      <c r="O307" s="159"/>
      <c r="P307" s="136"/>
    </row>
    <row r="308" spans="1:16" ht="16.5" customHeight="1" x14ac:dyDescent="0.25">
      <c r="A308" s="156">
        <v>44509</v>
      </c>
      <c r="B308" s="136" t="s">
        <v>26</v>
      </c>
      <c r="C308" s="157" t="str">
        <f t="shared" si="8"/>
        <v>09.11.2021_GRU1</v>
      </c>
      <c r="D308" s="190">
        <f t="shared" si="9"/>
        <v>0</v>
      </c>
      <c r="E308" s="133">
        <v>7.58</v>
      </c>
      <c r="F308" s="134"/>
      <c r="G308" s="135">
        <v>174.6</v>
      </c>
      <c r="H308" s="137">
        <v>12.8</v>
      </c>
      <c r="I308" s="134"/>
      <c r="J308" s="137">
        <v>6</v>
      </c>
      <c r="K308" s="134"/>
      <c r="L308" s="136">
        <v>45</v>
      </c>
      <c r="M308" s="136"/>
      <c r="N308" s="159"/>
      <c r="O308" s="159"/>
      <c r="P308" s="136"/>
    </row>
    <row r="309" spans="1:16" ht="16.5" customHeight="1" x14ac:dyDescent="0.25">
      <c r="A309" s="156">
        <v>44509</v>
      </c>
      <c r="B309" s="136" t="s">
        <v>28</v>
      </c>
      <c r="C309" s="157" t="str">
        <f t="shared" si="8"/>
        <v>09.11.2021_GRU2</v>
      </c>
      <c r="D309" s="190">
        <f t="shared" si="9"/>
        <v>0</v>
      </c>
      <c r="E309" s="133">
        <v>7.43</v>
      </c>
      <c r="F309" s="134"/>
      <c r="G309" s="135">
        <v>192.6</v>
      </c>
      <c r="H309" s="137">
        <v>11.4</v>
      </c>
      <c r="I309" s="134"/>
      <c r="J309" s="137">
        <v>7.1</v>
      </c>
      <c r="K309" s="134"/>
      <c r="L309" s="136">
        <v>45</v>
      </c>
      <c r="M309" s="136"/>
      <c r="N309" s="159"/>
      <c r="O309" s="159"/>
      <c r="P309" s="136"/>
    </row>
    <row r="310" spans="1:16" ht="16.5" customHeight="1" x14ac:dyDescent="0.25">
      <c r="A310" s="156">
        <v>44509</v>
      </c>
      <c r="B310" s="136" t="s">
        <v>34</v>
      </c>
      <c r="C310" s="157" t="str">
        <f t="shared" si="8"/>
        <v>09.11.2021_KRE1</v>
      </c>
      <c r="D310" s="190">
        <f t="shared" si="9"/>
        <v>0</v>
      </c>
      <c r="E310" s="133">
        <v>8.0399999999999991</v>
      </c>
      <c r="F310" s="134"/>
      <c r="G310" s="135">
        <v>936</v>
      </c>
      <c r="H310" s="137">
        <v>11.3</v>
      </c>
      <c r="I310" s="134"/>
      <c r="J310" s="137">
        <v>6.4</v>
      </c>
      <c r="K310" s="134"/>
      <c r="L310" s="136">
        <v>75</v>
      </c>
      <c r="M310" s="136"/>
      <c r="N310" s="159"/>
      <c r="O310" s="159"/>
      <c r="P310" s="136"/>
    </row>
    <row r="311" spans="1:16" ht="16.5" customHeight="1" x14ac:dyDescent="0.25">
      <c r="A311" s="156">
        <v>44509</v>
      </c>
      <c r="B311" s="136" t="s">
        <v>37</v>
      </c>
      <c r="C311" s="157" t="str">
        <f t="shared" si="8"/>
        <v>09.11.2021_KRE2</v>
      </c>
      <c r="D311" s="190">
        <f t="shared" si="9"/>
        <v>0</v>
      </c>
      <c r="E311" s="133">
        <v>8</v>
      </c>
      <c r="F311" s="134"/>
      <c r="G311" s="135">
        <v>925</v>
      </c>
      <c r="H311" s="137">
        <v>11</v>
      </c>
      <c r="I311" s="134"/>
      <c r="J311" s="137">
        <v>6.5</v>
      </c>
      <c r="K311" s="134"/>
      <c r="L311" s="136">
        <v>45</v>
      </c>
      <c r="M311" s="136"/>
      <c r="N311" s="159"/>
      <c r="O311" s="159"/>
      <c r="P311" s="136"/>
    </row>
    <row r="312" spans="1:16" ht="16.5" customHeight="1" x14ac:dyDescent="0.25">
      <c r="A312" s="156">
        <v>44509</v>
      </c>
      <c r="B312" s="136" t="s">
        <v>14</v>
      </c>
      <c r="C312" s="157" t="str">
        <f t="shared" si="8"/>
        <v>09.11.2021_BRA1</v>
      </c>
      <c r="D312" s="190">
        <f t="shared" si="9"/>
        <v>0</v>
      </c>
      <c r="E312" s="133">
        <v>7.79</v>
      </c>
      <c r="F312" s="134"/>
      <c r="G312" s="135">
        <v>197.4</v>
      </c>
      <c r="H312" s="137">
        <v>10.8</v>
      </c>
      <c r="I312" s="134"/>
      <c r="J312" s="137">
        <v>7.8</v>
      </c>
      <c r="K312" s="134"/>
      <c r="L312" s="136">
        <v>30</v>
      </c>
      <c r="M312" s="136"/>
      <c r="N312" s="159"/>
      <c r="O312" s="159"/>
      <c r="P312" s="136"/>
    </row>
    <row r="313" spans="1:16" ht="16.5" customHeight="1" x14ac:dyDescent="0.25">
      <c r="A313" s="156">
        <v>44509</v>
      </c>
      <c r="B313" s="136" t="s">
        <v>17</v>
      </c>
      <c r="C313" s="157" t="str">
        <f t="shared" si="8"/>
        <v>09.11.2021_BRA2</v>
      </c>
      <c r="D313" s="190">
        <f t="shared" si="9"/>
        <v>0</v>
      </c>
      <c r="E313" s="133">
        <v>7.94</v>
      </c>
      <c r="F313" s="134"/>
      <c r="G313" s="135">
        <v>217</v>
      </c>
      <c r="H313" s="137">
        <v>11.1</v>
      </c>
      <c r="I313" s="134"/>
      <c r="J313" s="137">
        <v>7.4</v>
      </c>
      <c r="K313" s="134"/>
      <c r="L313" s="136">
        <v>30</v>
      </c>
      <c r="M313" s="136"/>
      <c r="N313" s="159"/>
      <c r="O313" s="159"/>
      <c r="P313" s="136" t="s">
        <v>115</v>
      </c>
    </row>
    <row r="314" spans="1:16" ht="16.5" customHeight="1" x14ac:dyDescent="0.25">
      <c r="A314" s="156">
        <v>44509</v>
      </c>
      <c r="B314" s="136" t="s">
        <v>0</v>
      </c>
      <c r="C314" s="157" t="str">
        <f t="shared" si="8"/>
        <v>09.11.2021_KIN1</v>
      </c>
      <c r="D314" s="190">
        <f t="shared" si="9"/>
        <v>0</v>
      </c>
      <c r="E314" s="133">
        <v>8.14</v>
      </c>
      <c r="F314" s="134"/>
      <c r="G314" s="135">
        <v>439</v>
      </c>
      <c r="H314" s="137">
        <v>10.7</v>
      </c>
      <c r="I314" s="134"/>
      <c r="J314" s="137">
        <v>6.3</v>
      </c>
      <c r="K314" s="134"/>
      <c r="L314" s="136">
        <v>30</v>
      </c>
      <c r="M314" s="136"/>
      <c r="N314" s="159"/>
      <c r="O314" s="159"/>
      <c r="P314" s="136" t="s">
        <v>158</v>
      </c>
    </row>
    <row r="315" spans="1:16" ht="16.5" customHeight="1" x14ac:dyDescent="0.25">
      <c r="A315" s="156">
        <v>44509</v>
      </c>
      <c r="B315" s="136" t="s">
        <v>2</v>
      </c>
      <c r="C315" s="157" t="str">
        <f t="shared" si="8"/>
        <v>09.11.2021_KIN2</v>
      </c>
      <c r="D315" s="190">
        <f t="shared" si="9"/>
        <v>0</v>
      </c>
      <c r="E315" s="133">
        <v>8.1</v>
      </c>
      <c r="F315" s="134"/>
      <c r="G315" s="135">
        <v>502</v>
      </c>
      <c r="H315" s="137">
        <v>10.7</v>
      </c>
      <c r="I315" s="134"/>
      <c r="J315" s="137">
        <v>7.3</v>
      </c>
      <c r="K315" s="134"/>
      <c r="L315" s="136">
        <v>50</v>
      </c>
      <c r="M315" s="136"/>
      <c r="N315" s="159"/>
      <c r="O315" s="159"/>
      <c r="P315" s="136"/>
    </row>
    <row r="316" spans="1:16" ht="16.5" customHeight="1" x14ac:dyDescent="0.25">
      <c r="A316" s="156">
        <v>44509</v>
      </c>
      <c r="B316" s="136" t="s">
        <v>4</v>
      </c>
      <c r="C316" s="157" t="str">
        <f t="shared" si="8"/>
        <v>09.11.2021_KIN3</v>
      </c>
      <c r="D316" s="190">
        <f t="shared" si="9"/>
        <v>0</v>
      </c>
      <c r="E316" s="133">
        <v>8.09</v>
      </c>
      <c r="F316" s="134"/>
      <c r="G316" s="135">
        <v>458</v>
      </c>
      <c r="H316" s="137">
        <v>11.2</v>
      </c>
      <c r="I316" s="134"/>
      <c r="J316" s="137">
        <v>6.4</v>
      </c>
      <c r="K316" s="134"/>
      <c r="L316" s="136">
        <v>65</v>
      </c>
      <c r="M316" s="136"/>
      <c r="N316" s="159"/>
      <c r="O316" s="159"/>
      <c r="P316" s="136" t="s">
        <v>158</v>
      </c>
    </row>
    <row r="317" spans="1:16" ht="16.5" customHeight="1" x14ac:dyDescent="0.25">
      <c r="A317" s="156">
        <v>44509</v>
      </c>
      <c r="B317" s="136" t="s">
        <v>6</v>
      </c>
      <c r="C317" s="157" t="str">
        <f t="shared" si="8"/>
        <v>09.11.2021_KIN4</v>
      </c>
      <c r="D317" s="190">
        <f t="shared" si="9"/>
        <v>0</v>
      </c>
      <c r="E317" s="133">
        <v>8</v>
      </c>
      <c r="F317" s="134"/>
      <c r="G317" s="135">
        <v>523</v>
      </c>
      <c r="H317" s="137">
        <v>10.6</v>
      </c>
      <c r="I317" s="134"/>
      <c r="J317" s="137">
        <v>6.9</v>
      </c>
      <c r="K317" s="134"/>
      <c r="L317" s="136">
        <v>35</v>
      </c>
      <c r="M317" s="136"/>
      <c r="N317" s="159"/>
      <c r="O317" s="159"/>
      <c r="P317" s="136" t="s">
        <v>158</v>
      </c>
    </row>
    <row r="318" spans="1:16" ht="16.5" customHeight="1" x14ac:dyDescent="0.25">
      <c r="A318" s="156">
        <v>44509</v>
      </c>
      <c r="B318" s="136" t="s">
        <v>18</v>
      </c>
      <c r="C318" s="157" t="str">
        <f t="shared" si="8"/>
        <v>09.11.2021_ORB1</v>
      </c>
      <c r="D318" s="190">
        <f t="shared" si="9"/>
        <v>0</v>
      </c>
      <c r="E318" s="133">
        <v>7.43</v>
      </c>
      <c r="F318" s="134"/>
      <c r="G318" s="135">
        <v>136</v>
      </c>
      <c r="H318" s="137">
        <v>11</v>
      </c>
      <c r="I318" s="134"/>
      <c r="J318" s="137">
        <v>7.7</v>
      </c>
      <c r="K318" s="134"/>
      <c r="L318" s="136">
        <v>10</v>
      </c>
      <c r="M318" s="136"/>
      <c r="N318" s="159"/>
      <c r="O318" s="159"/>
      <c r="P318" s="136" t="s">
        <v>158</v>
      </c>
    </row>
    <row r="319" spans="1:16" ht="16.5" customHeight="1" x14ac:dyDescent="0.25">
      <c r="A319" s="156">
        <v>44509</v>
      </c>
      <c r="B319" s="136" t="s">
        <v>21</v>
      </c>
      <c r="C319" s="157" t="str">
        <f t="shared" si="8"/>
        <v>09.11.2021_ORB2</v>
      </c>
      <c r="D319" s="190">
        <f t="shared" si="9"/>
        <v>0</v>
      </c>
      <c r="E319" s="133">
        <v>7.35</v>
      </c>
      <c r="F319" s="134"/>
      <c r="G319" s="135">
        <v>222</v>
      </c>
      <c r="H319" s="137">
        <v>10.199999999999999</v>
      </c>
      <c r="I319" s="134"/>
      <c r="J319" s="137">
        <v>7.7</v>
      </c>
      <c r="K319" s="134"/>
      <c r="L319" s="136">
        <v>24</v>
      </c>
      <c r="M319" s="136"/>
      <c r="N319" s="159"/>
      <c r="O319" s="159"/>
      <c r="P319" s="136" t="s">
        <v>158</v>
      </c>
    </row>
    <row r="320" spans="1:16" ht="16.5" customHeight="1" x14ac:dyDescent="0.25">
      <c r="A320" s="156">
        <v>44509</v>
      </c>
      <c r="B320" s="136" t="s">
        <v>10</v>
      </c>
      <c r="C320" s="157" t="str">
        <f t="shared" si="8"/>
        <v>09.11.2021_SAL1</v>
      </c>
      <c r="D320" s="190">
        <f t="shared" si="9"/>
        <v>0</v>
      </c>
      <c r="E320" s="133">
        <v>7.88</v>
      </c>
      <c r="F320" s="134"/>
      <c r="G320" s="135">
        <v>211</v>
      </c>
      <c r="H320" s="137">
        <v>11.4</v>
      </c>
      <c r="I320" s="134"/>
      <c r="J320" s="137">
        <v>4.3</v>
      </c>
      <c r="K320" s="134"/>
      <c r="L320" s="136">
        <v>60</v>
      </c>
      <c r="M320" s="136"/>
      <c r="N320" s="159"/>
      <c r="O320" s="159"/>
      <c r="P320" s="136" t="s">
        <v>158</v>
      </c>
    </row>
    <row r="321" spans="1:16" ht="16.5" customHeight="1" x14ac:dyDescent="0.25">
      <c r="A321" s="156">
        <v>44509</v>
      </c>
      <c r="B321" s="136" t="s">
        <v>12</v>
      </c>
      <c r="C321" s="157" t="str">
        <f t="shared" si="8"/>
        <v>09.11.2021_SAL2</v>
      </c>
      <c r="D321" s="190">
        <f t="shared" si="9"/>
        <v>0</v>
      </c>
      <c r="E321" s="133">
        <v>8.08</v>
      </c>
      <c r="F321" s="134"/>
      <c r="G321" s="135">
        <v>232</v>
      </c>
      <c r="H321" s="137">
        <v>11.3</v>
      </c>
      <c r="I321" s="134"/>
      <c r="J321" s="137">
        <v>7.8</v>
      </c>
      <c r="K321" s="134"/>
      <c r="L321" s="136">
        <v>35</v>
      </c>
      <c r="M321" s="136"/>
      <c r="N321" s="159"/>
      <c r="O321" s="159"/>
      <c r="P321" s="136" t="s">
        <v>159</v>
      </c>
    </row>
    <row r="322" spans="1:16" ht="16.5" customHeight="1" x14ac:dyDescent="0.25">
      <c r="A322" s="156">
        <v>44509</v>
      </c>
      <c r="B322" s="136" t="s">
        <v>7</v>
      </c>
      <c r="C322" s="157" t="str">
        <f t="shared" si="8"/>
        <v>09.11.2021_STE1</v>
      </c>
      <c r="D322" s="190">
        <f t="shared" si="9"/>
        <v>0</v>
      </c>
      <c r="E322" s="133">
        <v>7.97</v>
      </c>
      <c r="F322" s="134"/>
      <c r="G322" s="135">
        <v>292</v>
      </c>
      <c r="H322" s="137">
        <v>11.4</v>
      </c>
      <c r="I322" s="134"/>
      <c r="J322" s="137">
        <v>6.1</v>
      </c>
      <c r="K322" s="134"/>
      <c r="L322" s="136">
        <v>40</v>
      </c>
      <c r="M322" s="136"/>
      <c r="N322" s="159"/>
      <c r="O322" s="159"/>
      <c r="P322" s="136"/>
    </row>
    <row r="323" spans="1:16" ht="16.5" customHeight="1" x14ac:dyDescent="0.25">
      <c r="A323" s="156">
        <v>44509</v>
      </c>
      <c r="B323" s="136" t="s">
        <v>9</v>
      </c>
      <c r="C323" s="157" t="str">
        <f t="shared" si="8"/>
        <v>09.11.2021_STE2</v>
      </c>
      <c r="D323" s="190">
        <f t="shared" si="9"/>
        <v>0</v>
      </c>
      <c r="E323" s="133">
        <v>8</v>
      </c>
      <c r="F323" s="134"/>
      <c r="G323" s="135">
        <v>286</v>
      </c>
      <c r="H323" s="137">
        <v>11.3</v>
      </c>
      <c r="I323" s="134"/>
      <c r="J323" s="137">
        <v>5.8</v>
      </c>
      <c r="K323" s="134"/>
      <c r="L323" s="136">
        <v>45</v>
      </c>
      <c r="M323" s="136"/>
      <c r="N323" s="159"/>
      <c r="O323" s="159"/>
      <c r="P323" s="136" t="s">
        <v>158</v>
      </c>
    </row>
    <row r="324" spans="1:16" ht="16.5" customHeight="1" x14ac:dyDescent="0.25">
      <c r="A324" s="156">
        <v>44523</v>
      </c>
      <c r="B324" s="136" t="s">
        <v>22</v>
      </c>
      <c r="C324" s="157" t="str">
        <f t="shared" si="8"/>
        <v>23.11.2021_BIE1</v>
      </c>
      <c r="D324" s="190">
        <f t="shared" si="9"/>
        <v>0</v>
      </c>
      <c r="E324" s="136">
        <v>7.9</v>
      </c>
      <c r="F324" s="180"/>
      <c r="G324" s="136">
        <v>199</v>
      </c>
      <c r="H324" s="137">
        <v>13.1</v>
      </c>
      <c r="I324" s="180"/>
      <c r="J324" s="136">
        <v>6.5</v>
      </c>
      <c r="K324" s="180"/>
      <c r="L324" s="136">
        <v>30</v>
      </c>
      <c r="M324" s="136"/>
      <c r="N324" s="159"/>
      <c r="O324" s="159"/>
      <c r="P324" s="136"/>
    </row>
    <row r="325" spans="1:16" ht="16.5" customHeight="1" x14ac:dyDescent="0.25">
      <c r="A325" s="156">
        <v>44523</v>
      </c>
      <c r="B325" s="136" t="s">
        <v>25</v>
      </c>
      <c r="C325" s="157" t="str">
        <f t="shared" ref="C325:C388" si="10">CONCATENATE(TEXT(A325,"TT.MM.JJJJ"),"_",B325)</f>
        <v>23.11.2021_BIE2</v>
      </c>
      <c r="D325" s="190">
        <f t="shared" ref="D325:D388" si="11">COUNTBLANK(E325)+COUNTBLANK(G325:H325)+COUNTBLANK(J325)+COUNTBLANK(L325)</f>
        <v>0</v>
      </c>
      <c r="E325" s="136">
        <v>7.72</v>
      </c>
      <c r="F325" s="180"/>
      <c r="G325" s="136">
        <v>208</v>
      </c>
      <c r="H325" s="137">
        <v>12.6</v>
      </c>
      <c r="I325" s="180"/>
      <c r="J325" s="136">
        <v>6.5</v>
      </c>
      <c r="K325" s="180"/>
      <c r="L325" s="136">
        <v>50</v>
      </c>
      <c r="M325" s="136"/>
      <c r="N325" s="159"/>
      <c r="O325" s="159"/>
      <c r="P325" s="136"/>
    </row>
    <row r="326" spans="1:16" ht="16.5" customHeight="1" x14ac:dyDescent="0.25">
      <c r="A326" s="156">
        <v>44523</v>
      </c>
      <c r="B326" s="136" t="s">
        <v>30</v>
      </c>
      <c r="C326" s="157" t="str">
        <f t="shared" si="10"/>
        <v>23.11.2021_FAL1</v>
      </c>
      <c r="D326" s="190">
        <f t="shared" si="11"/>
        <v>0</v>
      </c>
      <c r="E326" s="136">
        <v>7.86</v>
      </c>
      <c r="F326" s="180"/>
      <c r="G326" s="136">
        <v>941</v>
      </c>
      <c r="H326" s="137">
        <v>11.4</v>
      </c>
      <c r="I326" s="180"/>
      <c r="J326" s="136">
        <v>7.1</v>
      </c>
      <c r="K326" s="180"/>
      <c r="L326" s="136">
        <v>45</v>
      </c>
      <c r="M326" s="136"/>
      <c r="N326" s="159"/>
      <c r="O326" s="159"/>
      <c r="P326" s="136"/>
    </row>
    <row r="327" spans="1:16" ht="16.5" customHeight="1" x14ac:dyDescent="0.25">
      <c r="A327" s="156">
        <v>44523</v>
      </c>
      <c r="B327" s="136" t="s">
        <v>32</v>
      </c>
      <c r="C327" s="157" t="str">
        <f t="shared" si="10"/>
        <v>23.11.2021_FAL2</v>
      </c>
      <c r="D327" s="190">
        <f t="shared" si="11"/>
        <v>0</v>
      </c>
      <c r="E327" s="136">
        <v>8.27</v>
      </c>
      <c r="F327" s="180"/>
      <c r="G327" s="136">
        <v>930</v>
      </c>
      <c r="H327" s="137">
        <v>13</v>
      </c>
      <c r="I327" s="180"/>
      <c r="J327" s="136">
        <v>5.8</v>
      </c>
      <c r="K327" s="180"/>
      <c r="L327" s="136">
        <v>75</v>
      </c>
      <c r="M327" s="136"/>
      <c r="N327" s="159"/>
      <c r="O327" s="159"/>
      <c r="P327" s="136"/>
    </row>
    <row r="328" spans="1:16" ht="16.5" customHeight="1" x14ac:dyDescent="0.25">
      <c r="A328" s="156">
        <v>44523</v>
      </c>
      <c r="B328" s="136" t="s">
        <v>26</v>
      </c>
      <c r="C328" s="157" t="str">
        <f t="shared" si="10"/>
        <v>23.11.2021_GRU1</v>
      </c>
      <c r="D328" s="190">
        <f t="shared" si="11"/>
        <v>0</v>
      </c>
      <c r="E328" s="133">
        <v>7.55</v>
      </c>
      <c r="F328" s="134"/>
      <c r="G328" s="135">
        <v>163</v>
      </c>
      <c r="H328" s="137">
        <v>12.8</v>
      </c>
      <c r="I328" s="134"/>
      <c r="J328" s="137">
        <v>6.2</v>
      </c>
      <c r="K328" s="134"/>
      <c r="L328" s="136">
        <v>45</v>
      </c>
      <c r="M328" s="136"/>
      <c r="N328" s="159"/>
      <c r="O328" s="159"/>
      <c r="P328" s="136"/>
    </row>
    <row r="329" spans="1:16" ht="16.5" customHeight="1" x14ac:dyDescent="0.25">
      <c r="A329" s="156">
        <v>44523</v>
      </c>
      <c r="B329" s="136" t="s">
        <v>28</v>
      </c>
      <c r="C329" s="157" t="str">
        <f t="shared" si="10"/>
        <v>23.11.2021_GRU2</v>
      </c>
      <c r="D329" s="190">
        <f t="shared" si="11"/>
        <v>0</v>
      </c>
      <c r="E329" s="133">
        <v>7.45</v>
      </c>
      <c r="F329" s="134"/>
      <c r="G329" s="135">
        <v>185</v>
      </c>
      <c r="H329" s="137">
        <v>11.8</v>
      </c>
      <c r="I329" s="134"/>
      <c r="J329" s="137">
        <v>6.5</v>
      </c>
      <c r="K329" s="134"/>
      <c r="L329" s="136">
        <v>50</v>
      </c>
      <c r="M329" s="136"/>
      <c r="N329" s="159"/>
      <c r="O329" s="159"/>
      <c r="P329" s="136"/>
    </row>
    <row r="330" spans="1:16" ht="16.5" customHeight="1" x14ac:dyDescent="0.25">
      <c r="A330" s="156">
        <v>44523</v>
      </c>
      <c r="B330" s="136" t="s">
        <v>34</v>
      </c>
      <c r="C330" s="157" t="str">
        <f t="shared" si="10"/>
        <v>23.11.2021_KRE1</v>
      </c>
      <c r="D330" s="190">
        <f t="shared" si="11"/>
        <v>0</v>
      </c>
      <c r="E330" s="133">
        <v>7.98</v>
      </c>
      <c r="F330" s="134"/>
      <c r="G330" s="135">
        <v>961</v>
      </c>
      <c r="H330" s="137">
        <v>11.3</v>
      </c>
      <c r="I330" s="134"/>
      <c r="J330" s="137">
        <v>5.3</v>
      </c>
      <c r="K330" s="134"/>
      <c r="L330" s="136">
        <v>80</v>
      </c>
      <c r="M330" s="136"/>
      <c r="N330" s="159"/>
      <c r="O330" s="159"/>
      <c r="P330" s="136"/>
    </row>
    <row r="331" spans="1:16" ht="16.5" customHeight="1" x14ac:dyDescent="0.25">
      <c r="A331" s="156">
        <v>44523</v>
      </c>
      <c r="B331" s="136" t="s">
        <v>37</v>
      </c>
      <c r="C331" s="157" t="str">
        <f t="shared" si="10"/>
        <v>23.11.2021_KRE2</v>
      </c>
      <c r="D331" s="190">
        <f t="shared" si="11"/>
        <v>0</v>
      </c>
      <c r="E331" s="133">
        <v>8.0500000000000007</v>
      </c>
      <c r="F331" s="134"/>
      <c r="G331" s="135">
        <v>985</v>
      </c>
      <c r="H331" s="137">
        <v>10.199999999999999</v>
      </c>
      <c r="I331" s="134"/>
      <c r="J331" s="137">
        <v>5.6</v>
      </c>
      <c r="K331" s="134"/>
      <c r="L331" s="136">
        <v>45</v>
      </c>
      <c r="M331" s="136"/>
      <c r="N331" s="159"/>
      <c r="O331" s="159"/>
      <c r="P331" s="136"/>
    </row>
    <row r="332" spans="1:16" ht="16.5" customHeight="1" x14ac:dyDescent="0.25">
      <c r="A332" s="156">
        <v>44523</v>
      </c>
      <c r="B332" s="136" t="s">
        <v>14</v>
      </c>
      <c r="C332" s="157" t="str">
        <f t="shared" si="10"/>
        <v>23.11.2021_BRA1</v>
      </c>
      <c r="D332" s="190">
        <f t="shared" si="11"/>
        <v>0</v>
      </c>
      <c r="E332" s="133">
        <v>8.23</v>
      </c>
      <c r="F332" s="134"/>
      <c r="G332" s="135">
        <v>189.2</v>
      </c>
      <c r="H332" s="137">
        <v>12.2</v>
      </c>
      <c r="I332" s="134"/>
      <c r="J332" s="137">
        <v>5.6</v>
      </c>
      <c r="K332" s="134"/>
      <c r="L332" s="136">
        <v>20</v>
      </c>
      <c r="M332" s="136"/>
      <c r="N332" s="159"/>
      <c r="O332" s="159"/>
      <c r="P332" s="136" t="s">
        <v>158</v>
      </c>
    </row>
    <row r="333" spans="1:16" ht="16.5" customHeight="1" x14ac:dyDescent="0.25">
      <c r="A333" s="156">
        <v>44523</v>
      </c>
      <c r="B333" s="136" t="s">
        <v>17</v>
      </c>
      <c r="C333" s="157" t="str">
        <f t="shared" si="10"/>
        <v>23.11.2021_BRA2</v>
      </c>
      <c r="D333" s="190">
        <f t="shared" si="11"/>
        <v>0</v>
      </c>
      <c r="E333" s="133">
        <v>8.1300000000000008</v>
      </c>
      <c r="F333" s="134"/>
      <c r="G333" s="135">
        <v>203</v>
      </c>
      <c r="H333" s="137">
        <v>12.4</v>
      </c>
      <c r="I333" s="134"/>
      <c r="J333" s="137">
        <v>4.4000000000000004</v>
      </c>
      <c r="K333" s="134"/>
      <c r="L333" s="136">
        <v>30</v>
      </c>
      <c r="M333" s="136"/>
      <c r="N333" s="159"/>
      <c r="O333" s="159"/>
      <c r="P333" s="136" t="s">
        <v>158</v>
      </c>
    </row>
    <row r="334" spans="1:16" ht="16.5" customHeight="1" x14ac:dyDescent="0.25">
      <c r="A334" s="156">
        <v>44523</v>
      </c>
      <c r="B334" s="136" t="s">
        <v>0</v>
      </c>
      <c r="C334" s="157" t="str">
        <f t="shared" si="10"/>
        <v>23.11.2021_KIN1</v>
      </c>
      <c r="D334" s="190">
        <f t="shared" si="11"/>
        <v>0</v>
      </c>
      <c r="E334" s="133">
        <v>8.24</v>
      </c>
      <c r="F334" s="134"/>
      <c r="G334" s="135">
        <v>449</v>
      </c>
      <c r="H334" s="137">
        <v>12.3</v>
      </c>
      <c r="I334" s="134"/>
      <c r="J334" s="137">
        <v>5.5</v>
      </c>
      <c r="K334" s="134"/>
      <c r="L334" s="136">
        <v>30</v>
      </c>
      <c r="M334" s="136"/>
      <c r="N334" s="159"/>
      <c r="O334" s="159"/>
      <c r="P334" s="136" t="s">
        <v>158</v>
      </c>
    </row>
    <row r="335" spans="1:16" ht="16.5" customHeight="1" x14ac:dyDescent="0.25">
      <c r="A335" s="156">
        <v>44523</v>
      </c>
      <c r="B335" s="136" t="s">
        <v>2</v>
      </c>
      <c r="C335" s="157" t="str">
        <f t="shared" si="10"/>
        <v>23.11.2021_KIN2</v>
      </c>
      <c r="D335" s="190">
        <f t="shared" si="11"/>
        <v>0</v>
      </c>
      <c r="E335" s="133">
        <v>8.1300000000000008</v>
      </c>
      <c r="F335" s="134"/>
      <c r="G335" s="135">
        <v>529</v>
      </c>
      <c r="H335" s="137">
        <v>12.2</v>
      </c>
      <c r="I335" s="134"/>
      <c r="J335" s="137">
        <v>6.9</v>
      </c>
      <c r="K335" s="134"/>
      <c r="L335" s="136">
        <v>40</v>
      </c>
      <c r="M335" s="136"/>
      <c r="N335" s="159"/>
      <c r="O335" s="159"/>
      <c r="P335" s="136" t="s">
        <v>158</v>
      </c>
    </row>
    <row r="336" spans="1:16" ht="16.5" customHeight="1" x14ac:dyDescent="0.25">
      <c r="A336" s="156">
        <v>44523</v>
      </c>
      <c r="B336" s="136" t="s">
        <v>4</v>
      </c>
      <c r="C336" s="157" t="str">
        <f t="shared" si="10"/>
        <v>23.11.2021_KIN3</v>
      </c>
      <c r="D336" s="190">
        <f t="shared" si="11"/>
        <v>0</v>
      </c>
      <c r="E336" s="133">
        <v>8.16</v>
      </c>
      <c r="F336" s="134"/>
      <c r="G336" s="135">
        <v>498</v>
      </c>
      <c r="H336" s="137">
        <v>12</v>
      </c>
      <c r="I336" s="134"/>
      <c r="J336" s="137">
        <v>6.1</v>
      </c>
      <c r="K336" s="134"/>
      <c r="L336" s="136">
        <v>60</v>
      </c>
      <c r="M336" s="136"/>
      <c r="N336" s="159"/>
      <c r="O336" s="159"/>
      <c r="P336" s="136" t="s">
        <v>158</v>
      </c>
    </row>
    <row r="337" spans="1:16" ht="16.5" customHeight="1" x14ac:dyDescent="0.25">
      <c r="A337" s="156">
        <v>44523</v>
      </c>
      <c r="B337" s="136" t="s">
        <v>6</v>
      </c>
      <c r="C337" s="157" t="str">
        <f t="shared" si="10"/>
        <v>23.11.2021_KIN4</v>
      </c>
      <c r="D337" s="190">
        <f t="shared" si="11"/>
        <v>0</v>
      </c>
      <c r="E337" s="133">
        <v>8</v>
      </c>
      <c r="F337" s="134"/>
      <c r="G337" s="135">
        <v>556</v>
      </c>
      <c r="H337" s="137">
        <v>11.3</v>
      </c>
      <c r="I337" s="134"/>
      <c r="J337" s="137">
        <v>6.3</v>
      </c>
      <c r="K337" s="134"/>
      <c r="L337" s="136">
        <v>60</v>
      </c>
      <c r="M337" s="136"/>
      <c r="N337" s="159"/>
      <c r="O337" s="159"/>
      <c r="P337" s="136" t="s">
        <v>158</v>
      </c>
    </row>
    <row r="338" spans="1:16" ht="16.5" customHeight="1" x14ac:dyDescent="0.25">
      <c r="A338" s="156">
        <v>44523</v>
      </c>
      <c r="B338" s="136" t="s">
        <v>18</v>
      </c>
      <c r="C338" s="157" t="str">
        <f t="shared" si="10"/>
        <v>23.11.2021_ORB1</v>
      </c>
      <c r="D338" s="190">
        <f t="shared" si="11"/>
        <v>0</v>
      </c>
      <c r="E338" s="133">
        <v>7.77</v>
      </c>
      <c r="F338" s="134"/>
      <c r="G338" s="135">
        <v>121</v>
      </c>
      <c r="H338" s="137">
        <v>12.2</v>
      </c>
      <c r="I338" s="134"/>
      <c r="J338" s="137">
        <v>4.0999999999999996</v>
      </c>
      <c r="K338" s="134"/>
      <c r="L338" s="136">
        <v>10</v>
      </c>
      <c r="M338" s="136"/>
      <c r="N338" s="159"/>
      <c r="O338" s="159"/>
      <c r="P338" s="136" t="s">
        <v>158</v>
      </c>
    </row>
    <row r="339" spans="1:16" ht="16.5" customHeight="1" x14ac:dyDescent="0.25">
      <c r="A339" s="156">
        <v>44523</v>
      </c>
      <c r="B339" s="136" t="s">
        <v>21</v>
      </c>
      <c r="C339" s="157" t="str">
        <f t="shared" si="10"/>
        <v>23.11.2021_ORB2</v>
      </c>
      <c r="D339" s="190">
        <f t="shared" si="11"/>
        <v>0</v>
      </c>
      <c r="E339" s="133">
        <v>7.46</v>
      </c>
      <c r="F339" s="134"/>
      <c r="G339" s="135">
        <v>192</v>
      </c>
      <c r="H339" s="137">
        <v>11.6</v>
      </c>
      <c r="I339" s="134"/>
      <c r="J339" s="137">
        <v>3.3</v>
      </c>
      <c r="K339" s="134"/>
      <c r="L339" s="136">
        <v>23</v>
      </c>
      <c r="M339" s="136"/>
      <c r="N339" s="159"/>
      <c r="O339" s="159"/>
      <c r="P339" s="136"/>
    </row>
    <row r="340" spans="1:16" ht="16.5" customHeight="1" x14ac:dyDescent="0.25">
      <c r="A340" s="156">
        <v>44523</v>
      </c>
      <c r="B340" s="136" t="s">
        <v>10</v>
      </c>
      <c r="C340" s="157" t="str">
        <f t="shared" si="10"/>
        <v>23.11.2021_SAL1</v>
      </c>
      <c r="D340" s="190">
        <f t="shared" si="11"/>
        <v>0</v>
      </c>
      <c r="E340" s="133">
        <v>8.26</v>
      </c>
      <c r="F340" s="134"/>
      <c r="G340" s="135">
        <v>594</v>
      </c>
      <c r="H340" s="137">
        <v>12.8</v>
      </c>
      <c r="I340" s="134"/>
      <c r="J340" s="137">
        <v>4.3</v>
      </c>
      <c r="K340" s="134"/>
      <c r="L340" s="136">
        <v>45</v>
      </c>
      <c r="M340" s="136"/>
      <c r="N340" s="159"/>
      <c r="O340" s="159"/>
      <c r="P340" s="136" t="s">
        <v>158</v>
      </c>
    </row>
    <row r="341" spans="1:16" ht="16.5" customHeight="1" x14ac:dyDescent="0.25">
      <c r="A341" s="156">
        <v>44523</v>
      </c>
      <c r="B341" s="136" t="s">
        <v>12</v>
      </c>
      <c r="C341" s="157" t="str">
        <f t="shared" si="10"/>
        <v>23.11.2021_SAL2</v>
      </c>
      <c r="D341" s="190">
        <f t="shared" si="11"/>
        <v>0</v>
      </c>
      <c r="E341" s="133">
        <v>8.25</v>
      </c>
      <c r="F341" s="134"/>
      <c r="G341" s="135">
        <v>220</v>
      </c>
      <c r="H341" s="137">
        <v>13.2</v>
      </c>
      <c r="I341" s="134"/>
      <c r="J341" s="137">
        <v>4.4000000000000004</v>
      </c>
      <c r="K341" s="134"/>
      <c r="L341" s="136">
        <v>44</v>
      </c>
      <c r="M341" s="136"/>
      <c r="N341" s="159"/>
      <c r="O341" s="159"/>
      <c r="P341" s="136" t="s">
        <v>158</v>
      </c>
    </row>
    <row r="342" spans="1:16" ht="16.5" customHeight="1" x14ac:dyDescent="0.25">
      <c r="A342" s="156">
        <v>44523</v>
      </c>
      <c r="B342" s="136" t="s">
        <v>7</v>
      </c>
      <c r="C342" s="157" t="str">
        <f t="shared" si="10"/>
        <v>23.11.2021_STE1</v>
      </c>
      <c r="D342" s="190">
        <f t="shared" si="11"/>
        <v>0</v>
      </c>
      <c r="E342" s="133">
        <v>7.99</v>
      </c>
      <c r="F342" s="134"/>
      <c r="G342" s="135">
        <v>320</v>
      </c>
      <c r="H342" s="137">
        <v>12.1</v>
      </c>
      <c r="I342" s="134"/>
      <c r="J342" s="137">
        <v>5.7</v>
      </c>
      <c r="K342" s="134"/>
      <c r="L342" s="136">
        <v>35</v>
      </c>
      <c r="M342" s="136"/>
      <c r="N342" s="159"/>
      <c r="O342" s="159"/>
      <c r="P342" s="136"/>
    </row>
    <row r="343" spans="1:16" ht="16.5" customHeight="1" x14ac:dyDescent="0.25">
      <c r="A343" s="156">
        <v>44523</v>
      </c>
      <c r="B343" s="136" t="s">
        <v>9</v>
      </c>
      <c r="C343" s="157" t="str">
        <f t="shared" si="10"/>
        <v>23.11.2021_STE2</v>
      </c>
      <c r="D343" s="190">
        <f t="shared" si="11"/>
        <v>0</v>
      </c>
      <c r="E343" s="133">
        <v>8.08</v>
      </c>
      <c r="F343" s="134"/>
      <c r="G343" s="135">
        <v>331</v>
      </c>
      <c r="H343" s="137">
        <v>11.9</v>
      </c>
      <c r="I343" s="134"/>
      <c r="J343" s="137">
        <v>5</v>
      </c>
      <c r="K343" s="134"/>
      <c r="L343" s="136">
        <v>40</v>
      </c>
      <c r="M343" s="136"/>
      <c r="N343" s="159"/>
      <c r="O343" s="159"/>
      <c r="P343" s="136" t="s">
        <v>158</v>
      </c>
    </row>
    <row r="344" spans="1:16" ht="16.5" customHeight="1" x14ac:dyDescent="0.25">
      <c r="A344" s="156">
        <v>44537</v>
      </c>
      <c r="B344" s="136" t="s">
        <v>22</v>
      </c>
      <c r="C344" s="157" t="str">
        <f t="shared" si="10"/>
        <v>07.12.2021_BIE1</v>
      </c>
      <c r="D344" s="190">
        <f t="shared" si="11"/>
        <v>0</v>
      </c>
      <c r="E344" s="133">
        <v>7.91</v>
      </c>
      <c r="F344" s="134"/>
      <c r="G344" s="135">
        <v>199.8</v>
      </c>
      <c r="H344" s="137">
        <v>12.2</v>
      </c>
      <c r="I344" s="134"/>
      <c r="J344" s="137">
        <v>5.3</v>
      </c>
      <c r="K344" s="134"/>
      <c r="L344" s="136">
        <v>33</v>
      </c>
      <c r="M344" s="136"/>
      <c r="N344" s="159"/>
      <c r="O344" s="159"/>
      <c r="P344" s="136"/>
    </row>
    <row r="345" spans="1:16" ht="16.5" customHeight="1" x14ac:dyDescent="0.25">
      <c r="A345" s="156">
        <v>44537</v>
      </c>
      <c r="B345" s="136" t="s">
        <v>25</v>
      </c>
      <c r="C345" s="157" t="str">
        <f t="shared" si="10"/>
        <v>07.12.2021_BIE2</v>
      </c>
      <c r="D345" s="190">
        <f t="shared" si="11"/>
        <v>0</v>
      </c>
      <c r="E345" s="133">
        <v>7.87</v>
      </c>
      <c r="F345" s="134"/>
      <c r="G345" s="135">
        <v>197</v>
      </c>
      <c r="H345" s="137">
        <v>12.6</v>
      </c>
      <c r="I345" s="134"/>
      <c r="J345" s="137">
        <v>5.0999999999999996</v>
      </c>
      <c r="K345" s="134"/>
      <c r="L345" s="136">
        <v>55.000000000000007</v>
      </c>
      <c r="M345" s="136"/>
      <c r="N345" s="159"/>
      <c r="O345" s="159"/>
      <c r="P345" s="136"/>
    </row>
    <row r="346" spans="1:16" ht="16.5" customHeight="1" x14ac:dyDescent="0.25">
      <c r="A346" s="156">
        <v>44537</v>
      </c>
      <c r="B346" s="136" t="s">
        <v>30</v>
      </c>
      <c r="C346" s="157" t="str">
        <f t="shared" si="10"/>
        <v>07.12.2021_FAL1</v>
      </c>
      <c r="D346" s="190">
        <f t="shared" si="11"/>
        <v>0</v>
      </c>
      <c r="E346" s="133">
        <v>8.07</v>
      </c>
      <c r="F346" s="134"/>
      <c r="G346" s="135">
        <v>892</v>
      </c>
      <c r="H346" s="137">
        <v>12.1</v>
      </c>
      <c r="I346" s="134"/>
      <c r="J346" s="137">
        <v>7.1</v>
      </c>
      <c r="K346" s="134"/>
      <c r="L346" s="136">
        <v>86</v>
      </c>
      <c r="M346" s="136"/>
      <c r="N346" s="159"/>
      <c r="O346" s="159"/>
      <c r="P346" s="136"/>
    </row>
    <row r="347" spans="1:16" ht="16.5" customHeight="1" x14ac:dyDescent="0.25">
      <c r="A347" s="156">
        <v>44537</v>
      </c>
      <c r="B347" s="136" t="s">
        <v>32</v>
      </c>
      <c r="C347" s="157" t="str">
        <f t="shared" si="10"/>
        <v>07.12.2021_FAL2</v>
      </c>
      <c r="D347" s="190">
        <f t="shared" si="11"/>
        <v>0</v>
      </c>
      <c r="E347" s="133">
        <v>8.3800000000000008</v>
      </c>
      <c r="F347" s="134"/>
      <c r="G347" s="135">
        <v>847</v>
      </c>
      <c r="H347" s="137">
        <v>12.4</v>
      </c>
      <c r="I347" s="134"/>
      <c r="J347" s="137">
        <v>5.3</v>
      </c>
      <c r="K347" s="134"/>
      <c r="L347" s="136">
        <v>98</v>
      </c>
      <c r="M347" s="136"/>
      <c r="N347" s="159"/>
      <c r="O347" s="159"/>
      <c r="P347" s="159" t="s">
        <v>416</v>
      </c>
    </row>
    <row r="348" spans="1:16" ht="16.5" customHeight="1" x14ac:dyDescent="0.25">
      <c r="A348" s="156">
        <v>44537</v>
      </c>
      <c r="B348" s="136" t="s">
        <v>26</v>
      </c>
      <c r="C348" s="157" t="str">
        <f t="shared" si="10"/>
        <v>07.12.2021_GRU1</v>
      </c>
      <c r="D348" s="190">
        <f t="shared" si="11"/>
        <v>0</v>
      </c>
      <c r="E348" s="133">
        <v>7.78</v>
      </c>
      <c r="F348" s="134"/>
      <c r="G348" s="135">
        <v>182.4</v>
      </c>
      <c r="H348" s="137">
        <v>12.6</v>
      </c>
      <c r="I348" s="134"/>
      <c r="J348" s="137">
        <v>3.8</v>
      </c>
      <c r="K348" s="134"/>
      <c r="L348" s="136">
        <v>50</v>
      </c>
      <c r="M348" s="136"/>
      <c r="N348" s="159"/>
      <c r="O348" s="159"/>
      <c r="P348" s="136"/>
    </row>
    <row r="349" spans="1:16" ht="16.5" customHeight="1" x14ac:dyDescent="0.25">
      <c r="A349" s="156">
        <v>44537</v>
      </c>
      <c r="B349" s="136" t="s">
        <v>28</v>
      </c>
      <c r="C349" s="157" t="str">
        <f t="shared" si="10"/>
        <v>07.12.2021_GRU2</v>
      </c>
      <c r="D349" s="190">
        <f t="shared" si="11"/>
        <v>0</v>
      </c>
      <c r="E349" s="133">
        <v>7.73</v>
      </c>
      <c r="F349" s="134"/>
      <c r="G349" s="135">
        <v>194.1</v>
      </c>
      <c r="H349" s="137">
        <v>12.5</v>
      </c>
      <c r="I349" s="134"/>
      <c r="J349" s="137">
        <v>4.0999999999999996</v>
      </c>
      <c r="K349" s="134"/>
      <c r="L349" s="136">
        <v>52</v>
      </c>
      <c r="M349" s="136"/>
      <c r="N349" s="159"/>
      <c r="O349" s="159"/>
      <c r="P349" s="136"/>
    </row>
    <row r="350" spans="1:16" ht="16.5" customHeight="1" x14ac:dyDescent="0.25">
      <c r="A350" s="156">
        <v>44537</v>
      </c>
      <c r="B350" s="136" t="s">
        <v>34</v>
      </c>
      <c r="C350" s="157" t="str">
        <f t="shared" si="10"/>
        <v>07.12.2021_KRE1</v>
      </c>
      <c r="D350" s="190">
        <f t="shared" si="11"/>
        <v>0</v>
      </c>
      <c r="E350" s="133">
        <v>8.16</v>
      </c>
      <c r="F350" s="134"/>
      <c r="G350" s="135">
        <v>832</v>
      </c>
      <c r="H350" s="137">
        <v>11</v>
      </c>
      <c r="I350" s="134"/>
      <c r="J350" s="137">
        <v>4.7</v>
      </c>
      <c r="K350" s="134"/>
      <c r="L350" s="136">
        <v>76</v>
      </c>
      <c r="M350" s="136"/>
      <c r="N350" s="159"/>
      <c r="O350" s="159"/>
      <c r="P350" s="136" t="s">
        <v>158</v>
      </c>
    </row>
    <row r="351" spans="1:16" ht="16.5" customHeight="1" x14ac:dyDescent="0.25">
      <c r="A351" s="156">
        <v>44537</v>
      </c>
      <c r="B351" s="136" t="s">
        <v>37</v>
      </c>
      <c r="C351" s="157" t="str">
        <f t="shared" si="10"/>
        <v>07.12.2021_KRE2</v>
      </c>
      <c r="D351" s="190">
        <f t="shared" si="11"/>
        <v>0</v>
      </c>
      <c r="E351" s="133">
        <v>8.2100000000000009</v>
      </c>
      <c r="F351" s="134"/>
      <c r="G351" s="135">
        <v>848</v>
      </c>
      <c r="H351" s="137">
        <v>11.4</v>
      </c>
      <c r="I351" s="134"/>
      <c r="J351" s="137">
        <v>4.4000000000000004</v>
      </c>
      <c r="K351" s="134"/>
      <c r="L351" s="136">
        <v>55.000000000000007</v>
      </c>
      <c r="M351" s="136"/>
      <c r="N351" s="159"/>
      <c r="O351" s="159"/>
      <c r="P351" s="136"/>
    </row>
    <row r="352" spans="1:16" ht="16.5" customHeight="1" x14ac:dyDescent="0.25">
      <c r="A352" s="156">
        <v>44537</v>
      </c>
      <c r="B352" s="136" t="s">
        <v>14</v>
      </c>
      <c r="C352" s="157" t="str">
        <f t="shared" si="10"/>
        <v>07.12.2021_BRA1</v>
      </c>
      <c r="D352" s="190">
        <f t="shared" si="11"/>
        <v>0</v>
      </c>
      <c r="E352" s="133">
        <v>7.6</v>
      </c>
      <c r="F352" s="134"/>
      <c r="G352" s="135">
        <v>163.1</v>
      </c>
      <c r="H352" s="137">
        <v>10.199999999999999</v>
      </c>
      <c r="I352" s="134"/>
      <c r="J352" s="137">
        <v>3.9</v>
      </c>
      <c r="K352" s="134"/>
      <c r="L352" s="136">
        <v>35</v>
      </c>
      <c r="M352" s="136"/>
      <c r="N352" s="159"/>
      <c r="O352" s="159"/>
      <c r="P352" s="136" t="s">
        <v>158</v>
      </c>
    </row>
    <row r="353" spans="1:16" ht="16.5" customHeight="1" x14ac:dyDescent="0.25">
      <c r="A353" s="156">
        <v>44537</v>
      </c>
      <c r="B353" s="136" t="s">
        <v>17</v>
      </c>
      <c r="C353" s="157" t="str">
        <f t="shared" si="10"/>
        <v>07.12.2021_BRA2</v>
      </c>
      <c r="D353" s="190">
        <f t="shared" si="11"/>
        <v>0</v>
      </c>
      <c r="E353" s="133">
        <v>7.78</v>
      </c>
      <c r="F353" s="134"/>
      <c r="G353" s="135">
        <v>199</v>
      </c>
      <c r="H353" s="137">
        <v>10.1</v>
      </c>
      <c r="I353" s="134"/>
      <c r="J353" s="137">
        <v>3.5</v>
      </c>
      <c r="K353" s="134"/>
      <c r="L353" s="136">
        <v>30</v>
      </c>
      <c r="M353" s="136"/>
      <c r="N353" s="159"/>
      <c r="O353" s="159"/>
      <c r="P353" s="136" t="s">
        <v>158</v>
      </c>
    </row>
    <row r="354" spans="1:16" ht="16.5" customHeight="1" x14ac:dyDescent="0.25">
      <c r="A354" s="156">
        <v>44537</v>
      </c>
      <c r="B354" s="136" t="s">
        <v>0</v>
      </c>
      <c r="C354" s="157" t="str">
        <f t="shared" si="10"/>
        <v>07.12.2021_KIN1</v>
      </c>
      <c r="D354" s="190">
        <f t="shared" si="11"/>
        <v>0</v>
      </c>
      <c r="E354" s="133">
        <v>8.17</v>
      </c>
      <c r="F354" s="134"/>
      <c r="G354" s="135">
        <v>370</v>
      </c>
      <c r="H354" s="137">
        <v>10.199999999999999</v>
      </c>
      <c r="I354" s="134"/>
      <c r="J354" s="137">
        <v>4</v>
      </c>
      <c r="K354" s="134"/>
      <c r="L354" s="136">
        <v>34</v>
      </c>
      <c r="M354" s="136"/>
      <c r="N354" s="159"/>
      <c r="O354" s="159"/>
      <c r="P354" s="136" t="s">
        <v>158</v>
      </c>
    </row>
    <row r="355" spans="1:16" ht="16.5" customHeight="1" x14ac:dyDescent="0.25">
      <c r="A355" s="156">
        <v>44537</v>
      </c>
      <c r="B355" s="136" t="s">
        <v>2</v>
      </c>
      <c r="C355" s="157" t="str">
        <f t="shared" si="10"/>
        <v>07.12.2021_KIN2</v>
      </c>
      <c r="D355" s="190">
        <f t="shared" si="11"/>
        <v>0</v>
      </c>
      <c r="E355" s="133">
        <v>8.1199999999999992</v>
      </c>
      <c r="F355" s="134"/>
      <c r="G355" s="135">
        <v>411</v>
      </c>
      <c r="H355" s="137">
        <v>10</v>
      </c>
      <c r="I355" s="134"/>
      <c r="J355" s="137">
        <v>4.4000000000000004</v>
      </c>
      <c r="K355" s="134"/>
      <c r="L355" s="136">
        <v>42</v>
      </c>
      <c r="M355" s="136"/>
      <c r="N355" s="159"/>
      <c r="O355" s="159"/>
      <c r="P355" s="136" t="s">
        <v>158</v>
      </c>
    </row>
    <row r="356" spans="1:16" ht="16.5" customHeight="1" x14ac:dyDescent="0.25">
      <c r="A356" s="156">
        <v>44537</v>
      </c>
      <c r="B356" s="136" t="s">
        <v>4</v>
      </c>
      <c r="C356" s="157" t="str">
        <f t="shared" si="10"/>
        <v>07.12.2021_KIN3</v>
      </c>
      <c r="D356" s="190">
        <f t="shared" si="11"/>
        <v>0</v>
      </c>
      <c r="E356" s="133">
        <v>8.2200000000000006</v>
      </c>
      <c r="F356" s="134"/>
      <c r="G356" s="135">
        <v>397</v>
      </c>
      <c r="H356" s="137">
        <v>10.199999999999999</v>
      </c>
      <c r="I356" s="134"/>
      <c r="J356" s="137">
        <v>4.2</v>
      </c>
      <c r="K356" s="134"/>
      <c r="L356" s="136">
        <v>76</v>
      </c>
      <c r="M356" s="136"/>
      <c r="N356" s="159"/>
      <c r="O356" s="159"/>
      <c r="P356" s="136" t="s">
        <v>158</v>
      </c>
    </row>
    <row r="357" spans="1:16" ht="16.5" customHeight="1" x14ac:dyDescent="0.25">
      <c r="A357" s="156">
        <v>44537</v>
      </c>
      <c r="B357" s="136" t="s">
        <v>6</v>
      </c>
      <c r="C357" s="157" t="str">
        <f t="shared" si="10"/>
        <v>07.12.2021_KIN4</v>
      </c>
      <c r="D357" s="190">
        <f t="shared" si="11"/>
        <v>0</v>
      </c>
      <c r="E357" s="133">
        <v>8.18</v>
      </c>
      <c r="F357" s="134"/>
      <c r="G357" s="135">
        <v>442</v>
      </c>
      <c r="H357" s="137">
        <v>10</v>
      </c>
      <c r="I357" s="134"/>
      <c r="J357" s="137">
        <v>4.5</v>
      </c>
      <c r="K357" s="134"/>
      <c r="L357" s="136">
        <v>60</v>
      </c>
      <c r="M357" s="136"/>
      <c r="N357" s="159"/>
      <c r="O357" s="159"/>
      <c r="P357" s="136" t="s">
        <v>158</v>
      </c>
    </row>
    <row r="358" spans="1:16" ht="16.5" customHeight="1" x14ac:dyDescent="0.25">
      <c r="A358" s="156">
        <v>44537</v>
      </c>
      <c r="B358" s="136" t="s">
        <v>18</v>
      </c>
      <c r="C358" s="157" t="str">
        <f t="shared" si="10"/>
        <v>07.12.2021_ORB1</v>
      </c>
      <c r="D358" s="190">
        <f t="shared" si="11"/>
        <v>0</v>
      </c>
      <c r="E358" s="133">
        <v>7.68</v>
      </c>
      <c r="F358" s="134"/>
      <c r="G358" s="135">
        <v>146</v>
      </c>
      <c r="H358" s="137">
        <v>10.8</v>
      </c>
      <c r="I358" s="134"/>
      <c r="J358" s="137">
        <v>5.4</v>
      </c>
      <c r="K358" s="134"/>
      <c r="L358" s="136">
        <v>23</v>
      </c>
      <c r="M358" s="136"/>
      <c r="N358" s="159"/>
      <c r="O358" s="159"/>
      <c r="P358" s="136" t="s">
        <v>158</v>
      </c>
    </row>
    <row r="359" spans="1:16" ht="16.5" customHeight="1" x14ac:dyDescent="0.25">
      <c r="A359" s="156">
        <v>44537</v>
      </c>
      <c r="B359" s="136" t="s">
        <v>21</v>
      </c>
      <c r="C359" s="157" t="str">
        <f t="shared" si="10"/>
        <v>07.12.2021_ORB2</v>
      </c>
      <c r="D359" s="190">
        <f t="shared" si="11"/>
        <v>0</v>
      </c>
      <c r="E359" s="133">
        <v>7.44</v>
      </c>
      <c r="F359" s="134"/>
      <c r="G359" s="135">
        <v>168.2</v>
      </c>
      <c r="H359" s="137">
        <v>10</v>
      </c>
      <c r="I359" s="134"/>
      <c r="J359" s="137">
        <v>5.4</v>
      </c>
      <c r="K359" s="134"/>
      <c r="L359" s="136">
        <v>25</v>
      </c>
      <c r="M359" s="136"/>
      <c r="N359" s="159"/>
      <c r="O359" s="159"/>
      <c r="P359" s="136" t="s">
        <v>158</v>
      </c>
    </row>
    <row r="360" spans="1:16" ht="16.5" customHeight="1" x14ac:dyDescent="0.25">
      <c r="A360" s="156">
        <v>44537</v>
      </c>
      <c r="B360" s="136" t="s">
        <v>10</v>
      </c>
      <c r="C360" s="157" t="str">
        <f t="shared" si="10"/>
        <v>07.12.2021_SAL1</v>
      </c>
      <c r="D360" s="190">
        <f t="shared" si="11"/>
        <v>0</v>
      </c>
      <c r="E360" s="133">
        <v>7.93</v>
      </c>
      <c r="F360" s="134"/>
      <c r="G360" s="135">
        <v>170.3</v>
      </c>
      <c r="H360" s="137">
        <v>10.5</v>
      </c>
      <c r="I360" s="134"/>
      <c r="J360" s="137">
        <v>3.9</v>
      </c>
      <c r="K360" s="134"/>
      <c r="L360" s="136">
        <v>73</v>
      </c>
      <c r="M360" s="136"/>
      <c r="N360" s="159"/>
      <c r="O360" s="159"/>
      <c r="P360" s="136" t="s">
        <v>158</v>
      </c>
    </row>
    <row r="361" spans="1:16" ht="16.5" customHeight="1" x14ac:dyDescent="0.25">
      <c r="A361" s="156">
        <v>44537</v>
      </c>
      <c r="B361" s="136" t="s">
        <v>12</v>
      </c>
      <c r="C361" s="157" t="str">
        <f t="shared" si="10"/>
        <v>07.12.2021_SAL2</v>
      </c>
      <c r="D361" s="190">
        <f t="shared" si="11"/>
        <v>0</v>
      </c>
      <c r="E361" s="133">
        <v>8.19</v>
      </c>
      <c r="F361" s="134"/>
      <c r="G361" s="135">
        <v>170.7</v>
      </c>
      <c r="H361" s="137">
        <v>10.9</v>
      </c>
      <c r="I361" s="134"/>
      <c r="J361" s="137">
        <v>4.2</v>
      </c>
      <c r="K361" s="134"/>
      <c r="L361" s="136">
        <v>56.000000000000007</v>
      </c>
      <c r="M361" s="136"/>
      <c r="N361" s="159"/>
      <c r="O361" s="159"/>
      <c r="P361" s="136" t="s">
        <v>158</v>
      </c>
    </row>
    <row r="362" spans="1:16" ht="16.5" customHeight="1" x14ac:dyDescent="0.25">
      <c r="A362" s="156">
        <v>44537</v>
      </c>
      <c r="B362" s="136" t="s">
        <v>7</v>
      </c>
      <c r="C362" s="157" t="str">
        <f t="shared" si="10"/>
        <v>07.12.2021_STE1</v>
      </c>
      <c r="D362" s="190">
        <f t="shared" si="11"/>
        <v>0</v>
      </c>
      <c r="E362" s="133">
        <v>8.02</v>
      </c>
      <c r="F362" s="134"/>
      <c r="G362" s="135">
        <v>202</v>
      </c>
      <c r="H362" s="137">
        <v>10.3</v>
      </c>
      <c r="I362" s="134"/>
      <c r="J362" s="137">
        <v>5.3</v>
      </c>
      <c r="K362" s="134"/>
      <c r="L362" s="136">
        <v>50</v>
      </c>
      <c r="M362" s="136"/>
      <c r="N362" s="159"/>
      <c r="O362" s="159"/>
      <c r="P362" s="136" t="s">
        <v>158</v>
      </c>
    </row>
    <row r="363" spans="1:16" ht="16.5" customHeight="1" x14ac:dyDescent="0.25">
      <c r="A363" s="156">
        <v>44537</v>
      </c>
      <c r="B363" s="136" t="s">
        <v>9</v>
      </c>
      <c r="C363" s="157" t="str">
        <f t="shared" si="10"/>
        <v>07.12.2021_STE2</v>
      </c>
      <c r="D363" s="190">
        <f t="shared" si="11"/>
        <v>0</v>
      </c>
      <c r="E363" s="133">
        <v>8.31</v>
      </c>
      <c r="F363" s="134"/>
      <c r="G363" s="135">
        <v>247</v>
      </c>
      <c r="H363" s="137">
        <v>10.5</v>
      </c>
      <c r="I363" s="134"/>
      <c r="J363" s="137">
        <v>5.2</v>
      </c>
      <c r="K363" s="134"/>
      <c r="L363" s="136">
        <v>60</v>
      </c>
      <c r="M363" s="136"/>
      <c r="N363" s="159"/>
      <c r="O363" s="159"/>
      <c r="P363" s="136" t="s">
        <v>158</v>
      </c>
    </row>
    <row r="364" spans="1:16" ht="16.5" customHeight="1" x14ac:dyDescent="0.25">
      <c r="A364" s="156">
        <v>44551</v>
      </c>
      <c r="B364" s="136" t="s">
        <v>22</v>
      </c>
      <c r="C364" s="157" t="str">
        <f t="shared" si="10"/>
        <v>21.12.2021_BIE1</v>
      </c>
      <c r="D364" s="190">
        <f t="shared" si="11"/>
        <v>0</v>
      </c>
      <c r="E364" s="133">
        <v>7.73</v>
      </c>
      <c r="F364" s="134"/>
      <c r="G364" s="135">
        <v>194.8</v>
      </c>
      <c r="H364" s="137">
        <v>13.9</v>
      </c>
      <c r="I364" s="134"/>
      <c r="J364" s="137">
        <v>0.5</v>
      </c>
      <c r="K364" s="134"/>
      <c r="L364" s="136">
        <v>25</v>
      </c>
      <c r="M364" s="136"/>
      <c r="N364" s="159"/>
      <c r="O364" s="159"/>
      <c r="P364" s="136"/>
    </row>
    <row r="365" spans="1:16" ht="16.5" customHeight="1" x14ac:dyDescent="0.25">
      <c r="A365" s="156">
        <v>44551</v>
      </c>
      <c r="B365" s="136" t="s">
        <v>25</v>
      </c>
      <c r="C365" s="157" t="str">
        <f t="shared" si="10"/>
        <v>21.12.2021_BIE2</v>
      </c>
      <c r="D365" s="190">
        <f t="shared" si="11"/>
        <v>0</v>
      </c>
      <c r="E365" s="133">
        <v>7.7</v>
      </c>
      <c r="F365" s="134"/>
      <c r="G365" s="135">
        <v>194.9</v>
      </c>
      <c r="H365" s="137">
        <v>13.6</v>
      </c>
      <c r="I365" s="134"/>
      <c r="J365" s="137">
        <v>0.4</v>
      </c>
      <c r="K365" s="134"/>
      <c r="L365" s="136">
        <v>50</v>
      </c>
      <c r="M365" s="136"/>
      <c r="N365" s="159"/>
      <c r="O365" s="159"/>
      <c r="P365" s="136"/>
    </row>
    <row r="366" spans="1:16" ht="16.5" customHeight="1" x14ac:dyDescent="0.25">
      <c r="A366" s="156">
        <v>44551</v>
      </c>
      <c r="B366" s="136" t="s">
        <v>30</v>
      </c>
      <c r="C366" s="157" t="str">
        <f t="shared" si="10"/>
        <v>21.12.2021_FAL1</v>
      </c>
      <c r="D366" s="190">
        <f t="shared" si="11"/>
        <v>0</v>
      </c>
      <c r="E366" s="133">
        <v>7.93</v>
      </c>
      <c r="F366" s="134"/>
      <c r="G366" s="135">
        <v>886</v>
      </c>
      <c r="H366" s="137">
        <v>11.4</v>
      </c>
      <c r="I366" s="134"/>
      <c r="J366" s="137">
        <v>4</v>
      </c>
      <c r="K366" s="134"/>
      <c r="L366" s="136">
        <v>50</v>
      </c>
      <c r="M366" s="136"/>
      <c r="N366" s="159"/>
      <c r="O366" s="159"/>
      <c r="P366" s="136"/>
    </row>
    <row r="367" spans="1:16" ht="16.5" customHeight="1" x14ac:dyDescent="0.25">
      <c r="A367" s="156">
        <v>44551</v>
      </c>
      <c r="B367" s="136" t="s">
        <v>32</v>
      </c>
      <c r="C367" s="157" t="str">
        <f t="shared" si="10"/>
        <v>21.12.2021_FAL2</v>
      </c>
      <c r="D367" s="190">
        <f t="shared" si="11"/>
        <v>0</v>
      </c>
      <c r="E367" s="133">
        <v>8.42</v>
      </c>
      <c r="F367" s="134"/>
      <c r="G367" s="135">
        <v>906</v>
      </c>
      <c r="H367" s="137">
        <v>13.1</v>
      </c>
      <c r="I367" s="134"/>
      <c r="J367" s="137">
        <v>2.9</v>
      </c>
      <c r="K367" s="134"/>
      <c r="L367" s="136">
        <v>80</v>
      </c>
      <c r="M367" s="136"/>
      <c r="N367" s="159"/>
      <c r="O367" s="159"/>
      <c r="P367" s="136"/>
    </row>
    <row r="368" spans="1:16" ht="16.5" customHeight="1" x14ac:dyDescent="0.25">
      <c r="A368" s="156">
        <v>44551</v>
      </c>
      <c r="B368" s="136" t="s">
        <v>26</v>
      </c>
      <c r="C368" s="157" t="str">
        <f t="shared" si="10"/>
        <v>21.12.2021_GRU1</v>
      </c>
      <c r="D368" s="190">
        <f t="shared" si="11"/>
        <v>0</v>
      </c>
      <c r="E368" s="133">
        <v>7.69</v>
      </c>
      <c r="F368" s="134"/>
      <c r="G368" s="135">
        <v>179.1</v>
      </c>
      <c r="H368" s="137">
        <v>13.7</v>
      </c>
      <c r="I368" s="134"/>
      <c r="J368" s="137">
        <v>0.7</v>
      </c>
      <c r="K368" s="134"/>
      <c r="L368" s="136">
        <v>40</v>
      </c>
      <c r="M368" s="136"/>
      <c r="N368" s="159"/>
      <c r="O368" s="159"/>
      <c r="P368" s="136"/>
    </row>
    <row r="369" spans="1:16" ht="16.5" customHeight="1" x14ac:dyDescent="0.25">
      <c r="A369" s="156">
        <v>44551</v>
      </c>
      <c r="B369" s="136" t="s">
        <v>28</v>
      </c>
      <c r="C369" s="157" t="str">
        <f t="shared" si="10"/>
        <v>21.12.2021_GRU2</v>
      </c>
      <c r="D369" s="190">
        <f t="shared" si="11"/>
        <v>0</v>
      </c>
      <c r="E369" s="133">
        <v>7.73</v>
      </c>
      <c r="F369" s="134"/>
      <c r="G369" s="135">
        <v>187.6</v>
      </c>
      <c r="H369" s="137">
        <v>12.4</v>
      </c>
      <c r="I369" s="134"/>
      <c r="J369" s="137">
        <v>1.6</v>
      </c>
      <c r="K369" s="134"/>
      <c r="L369" s="136">
        <v>40</v>
      </c>
      <c r="M369" s="136"/>
      <c r="N369" s="159"/>
      <c r="O369" s="159"/>
      <c r="P369" s="136"/>
    </row>
    <row r="370" spans="1:16" ht="16.5" customHeight="1" x14ac:dyDescent="0.25">
      <c r="A370" s="156">
        <v>44551</v>
      </c>
      <c r="B370" s="136" t="s">
        <v>34</v>
      </c>
      <c r="C370" s="157" t="str">
        <f t="shared" si="10"/>
        <v>21.12.2021_KRE1</v>
      </c>
      <c r="D370" s="190">
        <f t="shared" si="11"/>
        <v>0</v>
      </c>
      <c r="E370" s="133">
        <v>8.26</v>
      </c>
      <c r="F370" s="134"/>
      <c r="G370" s="135">
        <v>948</v>
      </c>
      <c r="H370" s="137">
        <v>12.4</v>
      </c>
      <c r="I370" s="134"/>
      <c r="J370" s="137">
        <v>2.6</v>
      </c>
      <c r="K370" s="134"/>
      <c r="L370" s="136">
        <v>75</v>
      </c>
      <c r="M370" s="136"/>
      <c r="N370" s="159"/>
      <c r="O370" s="159"/>
      <c r="P370" s="136"/>
    </row>
    <row r="371" spans="1:16" ht="16.5" customHeight="1" x14ac:dyDescent="0.25">
      <c r="A371" s="156">
        <v>44551</v>
      </c>
      <c r="B371" s="136" t="s">
        <v>37</v>
      </c>
      <c r="C371" s="157" t="str">
        <f t="shared" si="10"/>
        <v>21.12.2021_KRE2</v>
      </c>
      <c r="D371" s="190">
        <f t="shared" si="11"/>
        <v>0</v>
      </c>
      <c r="E371" s="133">
        <v>8.3800000000000008</v>
      </c>
      <c r="F371" s="134"/>
      <c r="G371" s="135">
        <v>975</v>
      </c>
      <c r="H371" s="137">
        <v>12.6</v>
      </c>
      <c r="I371" s="134"/>
      <c r="J371" s="137">
        <v>3</v>
      </c>
      <c r="K371" s="134"/>
      <c r="L371" s="136">
        <v>45</v>
      </c>
      <c r="M371" s="136"/>
      <c r="N371" s="159"/>
      <c r="O371" s="159"/>
      <c r="P371" s="136"/>
    </row>
    <row r="372" spans="1:16" ht="16.5" customHeight="1" x14ac:dyDescent="0.25">
      <c r="A372" s="156">
        <v>44551</v>
      </c>
      <c r="B372" s="136" t="s">
        <v>14</v>
      </c>
      <c r="C372" s="157" t="str">
        <f t="shared" si="10"/>
        <v>21.12.2021_BRA1</v>
      </c>
      <c r="D372" s="190">
        <f t="shared" si="11"/>
        <v>0</v>
      </c>
      <c r="E372" s="133">
        <v>8.0399999999999991</v>
      </c>
      <c r="F372" s="134"/>
      <c r="G372" s="135">
        <v>165.3</v>
      </c>
      <c r="H372" s="137">
        <v>13.6</v>
      </c>
      <c r="I372" s="134"/>
      <c r="J372" s="137">
        <v>2.4</v>
      </c>
      <c r="K372" s="134"/>
      <c r="L372" s="136">
        <v>30</v>
      </c>
      <c r="M372" s="136"/>
      <c r="N372" s="159"/>
      <c r="O372" s="159"/>
      <c r="P372" s="136" t="s">
        <v>158</v>
      </c>
    </row>
    <row r="373" spans="1:16" ht="16.5" customHeight="1" x14ac:dyDescent="0.25">
      <c r="A373" s="156">
        <v>44551</v>
      </c>
      <c r="B373" s="136" t="s">
        <v>17</v>
      </c>
      <c r="C373" s="157" t="str">
        <f t="shared" si="10"/>
        <v>21.12.2021_BRA2</v>
      </c>
      <c r="D373" s="190">
        <f t="shared" si="11"/>
        <v>0</v>
      </c>
      <c r="E373" s="133">
        <v>8.24</v>
      </c>
      <c r="F373" s="134"/>
      <c r="G373" s="135">
        <v>186.1</v>
      </c>
      <c r="H373" s="137">
        <v>14.2</v>
      </c>
      <c r="I373" s="134"/>
      <c r="J373" s="137">
        <v>1.9</v>
      </c>
      <c r="K373" s="134"/>
      <c r="L373" s="136">
        <v>46</v>
      </c>
      <c r="M373" s="136"/>
      <c r="N373" s="159"/>
      <c r="O373" s="159"/>
      <c r="P373" s="136" t="s">
        <v>158</v>
      </c>
    </row>
    <row r="374" spans="1:16" ht="16.5" customHeight="1" x14ac:dyDescent="0.25">
      <c r="A374" s="156">
        <v>44551</v>
      </c>
      <c r="B374" s="136" t="s">
        <v>0</v>
      </c>
      <c r="C374" s="157" t="str">
        <f t="shared" si="10"/>
        <v>21.12.2021_KIN1</v>
      </c>
      <c r="D374" s="190">
        <f t="shared" si="11"/>
        <v>0</v>
      </c>
      <c r="E374" s="133">
        <v>8.5399999999999991</v>
      </c>
      <c r="F374" s="134"/>
      <c r="G374" s="135">
        <v>380</v>
      </c>
      <c r="H374" s="137">
        <v>14.5</v>
      </c>
      <c r="I374" s="134"/>
      <c r="J374" s="137">
        <v>0.5</v>
      </c>
      <c r="K374" s="134"/>
      <c r="L374" s="136">
        <v>30</v>
      </c>
      <c r="M374" s="136"/>
      <c r="N374" s="159"/>
      <c r="O374" s="159"/>
      <c r="P374" s="136" t="s">
        <v>158</v>
      </c>
    </row>
    <row r="375" spans="1:16" ht="16.5" customHeight="1" x14ac:dyDescent="0.25">
      <c r="A375" s="156">
        <v>44551</v>
      </c>
      <c r="B375" s="136" t="s">
        <v>2</v>
      </c>
      <c r="C375" s="157" t="str">
        <f t="shared" si="10"/>
        <v>21.12.2021_KIN2</v>
      </c>
      <c r="D375" s="190">
        <f t="shared" si="11"/>
        <v>0</v>
      </c>
      <c r="E375" s="133">
        <v>8.1</v>
      </c>
      <c r="F375" s="134"/>
      <c r="G375" s="135">
        <v>477</v>
      </c>
      <c r="H375" s="137">
        <v>14.2</v>
      </c>
      <c r="I375" s="134"/>
      <c r="J375" s="137">
        <v>0.9</v>
      </c>
      <c r="K375" s="134"/>
      <c r="L375" s="136">
        <v>35</v>
      </c>
      <c r="M375" s="136"/>
      <c r="N375" s="159"/>
      <c r="O375" s="159"/>
      <c r="P375" s="136" t="s">
        <v>158</v>
      </c>
    </row>
    <row r="376" spans="1:16" ht="16.5" customHeight="1" x14ac:dyDescent="0.25">
      <c r="A376" s="156">
        <v>44551</v>
      </c>
      <c r="B376" s="136" t="s">
        <v>4</v>
      </c>
      <c r="C376" s="157" t="str">
        <f t="shared" si="10"/>
        <v>21.12.2021_KIN3</v>
      </c>
      <c r="D376" s="190">
        <f t="shared" si="11"/>
        <v>0</v>
      </c>
      <c r="E376" s="133">
        <v>8.3000000000000007</v>
      </c>
      <c r="F376" s="134"/>
      <c r="G376" s="135">
        <v>419</v>
      </c>
      <c r="H376" s="137">
        <v>14.5</v>
      </c>
      <c r="I376" s="134"/>
      <c r="J376" s="137">
        <v>0.3</v>
      </c>
      <c r="K376" s="134"/>
      <c r="L376" s="136">
        <v>70</v>
      </c>
      <c r="M376" s="136"/>
      <c r="N376" s="159"/>
      <c r="O376" s="159"/>
      <c r="P376" s="136" t="s">
        <v>158</v>
      </c>
    </row>
    <row r="377" spans="1:16" ht="16.5" customHeight="1" x14ac:dyDescent="0.25">
      <c r="A377" s="156">
        <v>44551</v>
      </c>
      <c r="B377" s="136" t="s">
        <v>6</v>
      </c>
      <c r="C377" s="157" t="str">
        <f t="shared" si="10"/>
        <v>21.12.2021_KIN4</v>
      </c>
      <c r="D377" s="190">
        <f t="shared" si="11"/>
        <v>0</v>
      </c>
      <c r="E377" s="133">
        <v>8.2200000000000006</v>
      </c>
      <c r="F377" s="134"/>
      <c r="G377" s="135">
        <v>467</v>
      </c>
      <c r="H377" s="137">
        <v>13.6</v>
      </c>
      <c r="I377" s="134"/>
      <c r="J377" s="137">
        <v>0.8</v>
      </c>
      <c r="K377" s="134"/>
      <c r="L377" s="136">
        <v>65</v>
      </c>
      <c r="M377" s="136"/>
      <c r="N377" s="159"/>
      <c r="O377" s="159"/>
      <c r="P377" s="136" t="s">
        <v>158</v>
      </c>
    </row>
    <row r="378" spans="1:16" ht="16.5" customHeight="1" x14ac:dyDescent="0.25">
      <c r="A378" s="156">
        <v>44551</v>
      </c>
      <c r="B378" s="136" t="s">
        <v>18</v>
      </c>
      <c r="C378" s="157" t="str">
        <f t="shared" si="10"/>
        <v>21.12.2021_ORB1</v>
      </c>
      <c r="D378" s="190">
        <f t="shared" si="11"/>
        <v>0</v>
      </c>
      <c r="E378" s="133">
        <v>7.67</v>
      </c>
      <c r="F378" s="134"/>
      <c r="G378" s="135">
        <v>129.69999999999999</v>
      </c>
      <c r="H378" s="137">
        <v>13.4</v>
      </c>
      <c r="I378" s="134"/>
      <c r="J378" s="137">
        <v>2.5</v>
      </c>
      <c r="K378" s="134"/>
      <c r="L378" s="136">
        <v>20</v>
      </c>
      <c r="M378" s="136"/>
      <c r="N378" s="159"/>
      <c r="O378" s="159"/>
      <c r="P378" s="136" t="s">
        <v>158</v>
      </c>
    </row>
    <row r="379" spans="1:16" ht="16.5" customHeight="1" x14ac:dyDescent="0.25">
      <c r="A379" s="156">
        <v>44551</v>
      </c>
      <c r="B379" s="136" t="s">
        <v>21</v>
      </c>
      <c r="C379" s="157" t="str">
        <f t="shared" si="10"/>
        <v>21.12.2021_ORB2</v>
      </c>
      <c r="D379" s="190">
        <f t="shared" si="11"/>
        <v>0</v>
      </c>
      <c r="E379" s="133">
        <v>7.48</v>
      </c>
      <c r="F379" s="134"/>
      <c r="G379" s="135">
        <v>177.6</v>
      </c>
      <c r="H379" s="137">
        <v>13.7</v>
      </c>
      <c r="I379" s="134"/>
      <c r="J379" s="137">
        <v>2.1</v>
      </c>
      <c r="K379" s="134"/>
      <c r="L379" s="136">
        <v>11</v>
      </c>
      <c r="M379" s="136"/>
      <c r="N379" s="159"/>
      <c r="O379" s="159"/>
      <c r="P379" s="136" t="s">
        <v>158</v>
      </c>
    </row>
    <row r="380" spans="1:16" ht="16.5" customHeight="1" x14ac:dyDescent="0.25">
      <c r="A380" s="156">
        <v>44551</v>
      </c>
      <c r="B380" s="136" t="s">
        <v>10</v>
      </c>
      <c r="C380" s="157" t="str">
        <f t="shared" si="10"/>
        <v>21.12.2021_SAL1</v>
      </c>
      <c r="D380" s="190">
        <f t="shared" si="11"/>
        <v>0</v>
      </c>
      <c r="E380" s="133">
        <v>7.95</v>
      </c>
      <c r="F380" s="134"/>
      <c r="G380" s="135">
        <v>188.5</v>
      </c>
      <c r="H380" s="137">
        <v>14.4</v>
      </c>
      <c r="I380" s="134"/>
      <c r="J380" s="137">
        <v>1.4</v>
      </c>
      <c r="K380" s="134"/>
      <c r="L380" s="136">
        <v>55.000000000000007</v>
      </c>
      <c r="M380" s="136"/>
      <c r="N380" s="159"/>
      <c r="O380" s="159"/>
      <c r="P380" s="136" t="s">
        <v>158</v>
      </c>
    </row>
    <row r="381" spans="1:16" ht="16.5" customHeight="1" x14ac:dyDescent="0.25">
      <c r="A381" s="156">
        <v>44551</v>
      </c>
      <c r="B381" s="136" t="s">
        <v>12</v>
      </c>
      <c r="C381" s="157" t="str">
        <f t="shared" si="10"/>
        <v>21.12.2021_SAL2</v>
      </c>
      <c r="D381" s="190">
        <f t="shared" si="11"/>
        <v>0</v>
      </c>
      <c r="E381" s="133">
        <v>7.93</v>
      </c>
      <c r="F381" s="134"/>
      <c r="G381" s="135">
        <v>187.3</v>
      </c>
      <c r="H381" s="137">
        <v>14.8</v>
      </c>
      <c r="I381" s="134"/>
      <c r="J381" s="137">
        <v>1.5</v>
      </c>
      <c r="K381" s="134"/>
      <c r="L381" s="136">
        <v>55.000000000000007</v>
      </c>
      <c r="M381" s="136"/>
      <c r="N381" s="159"/>
      <c r="O381" s="159"/>
      <c r="P381" s="136" t="s">
        <v>158</v>
      </c>
    </row>
    <row r="382" spans="1:16" ht="16.5" customHeight="1" x14ac:dyDescent="0.25">
      <c r="A382" s="156">
        <v>44551</v>
      </c>
      <c r="B382" s="136" t="s">
        <v>7</v>
      </c>
      <c r="C382" s="157" t="str">
        <f t="shared" si="10"/>
        <v>21.12.2021_STE1</v>
      </c>
      <c r="D382" s="190">
        <f t="shared" si="11"/>
        <v>0</v>
      </c>
      <c r="E382" s="133">
        <v>7.99</v>
      </c>
      <c r="F382" s="134"/>
      <c r="G382" s="135">
        <v>236</v>
      </c>
      <c r="H382" s="137">
        <v>14</v>
      </c>
      <c r="I382" s="134"/>
      <c r="J382" s="137">
        <v>2.4</v>
      </c>
      <c r="K382" s="134"/>
      <c r="L382" s="136">
        <v>25</v>
      </c>
      <c r="M382" s="136"/>
      <c r="N382" s="159"/>
      <c r="O382" s="159"/>
      <c r="P382" s="136" t="s">
        <v>158</v>
      </c>
    </row>
    <row r="383" spans="1:16" ht="16.5" customHeight="1" x14ac:dyDescent="0.25">
      <c r="A383" s="156">
        <v>44551</v>
      </c>
      <c r="B383" s="136" t="s">
        <v>9</v>
      </c>
      <c r="C383" s="157" t="str">
        <f t="shared" si="10"/>
        <v>21.12.2021_STE2</v>
      </c>
      <c r="D383" s="190">
        <f t="shared" si="11"/>
        <v>0</v>
      </c>
      <c r="E383" s="133">
        <v>8.3699999999999992</v>
      </c>
      <c r="F383" s="134"/>
      <c r="G383" s="135">
        <v>242</v>
      </c>
      <c r="H383" s="137">
        <v>14</v>
      </c>
      <c r="I383" s="134"/>
      <c r="J383" s="137">
        <v>2.8</v>
      </c>
      <c r="K383" s="134"/>
      <c r="L383" s="136">
        <v>45</v>
      </c>
      <c r="M383" s="136"/>
      <c r="N383" s="159"/>
      <c r="O383" s="159"/>
      <c r="P383" s="136" t="s">
        <v>158</v>
      </c>
    </row>
    <row r="384" spans="1:16" ht="16.5" customHeight="1" x14ac:dyDescent="0.25">
      <c r="A384" s="156">
        <v>44566</v>
      </c>
      <c r="B384" s="136" t="s">
        <v>22</v>
      </c>
      <c r="C384" s="157" t="str">
        <f t="shared" si="10"/>
        <v>05.01.2022_BIE1</v>
      </c>
      <c r="D384" s="190">
        <f t="shared" si="11"/>
        <v>0</v>
      </c>
      <c r="E384" s="133">
        <v>7.49</v>
      </c>
      <c r="F384" s="134"/>
      <c r="G384" s="135">
        <v>133.80000000000001</v>
      </c>
      <c r="H384" s="137">
        <v>12.6</v>
      </c>
      <c r="I384" s="134"/>
      <c r="J384" s="137">
        <v>7.4</v>
      </c>
      <c r="K384" s="134"/>
      <c r="L384" s="136">
        <v>50</v>
      </c>
      <c r="M384" s="136"/>
      <c r="N384" s="159"/>
      <c r="O384" s="159"/>
      <c r="P384" s="136"/>
    </row>
    <row r="385" spans="1:16" ht="16.5" customHeight="1" x14ac:dyDescent="0.25">
      <c r="A385" s="156">
        <v>44566</v>
      </c>
      <c r="B385" s="136" t="s">
        <v>25</v>
      </c>
      <c r="C385" s="157" t="str">
        <f t="shared" si="10"/>
        <v>05.01.2022_BIE2</v>
      </c>
      <c r="D385" s="190">
        <f t="shared" si="11"/>
        <v>0</v>
      </c>
      <c r="E385" s="133">
        <v>7.42</v>
      </c>
      <c r="F385" s="134"/>
      <c r="G385" s="135">
        <v>137.4</v>
      </c>
      <c r="H385" s="137">
        <v>12.2</v>
      </c>
      <c r="I385" s="134"/>
      <c r="J385" s="137">
        <v>7.5</v>
      </c>
      <c r="K385" s="134"/>
      <c r="L385" s="136">
        <v>80</v>
      </c>
      <c r="M385" s="136"/>
      <c r="N385" s="159"/>
      <c r="O385" s="159"/>
      <c r="P385" s="136"/>
    </row>
    <row r="386" spans="1:16" ht="16.5" customHeight="1" x14ac:dyDescent="0.25">
      <c r="A386" s="156">
        <v>44566</v>
      </c>
      <c r="B386" s="136" t="s">
        <v>30</v>
      </c>
      <c r="C386" s="157" t="str">
        <f t="shared" si="10"/>
        <v>05.01.2022_FAL1</v>
      </c>
      <c r="D386" s="190">
        <f t="shared" si="11"/>
        <v>0</v>
      </c>
      <c r="E386" s="133">
        <v>7.97</v>
      </c>
      <c r="F386" s="134"/>
      <c r="G386" s="135">
        <v>479</v>
      </c>
      <c r="H386" s="137">
        <v>12</v>
      </c>
      <c r="I386" s="134"/>
      <c r="J386" s="137">
        <v>7.3</v>
      </c>
      <c r="K386" s="134"/>
      <c r="L386" s="136">
        <v>90</v>
      </c>
      <c r="M386" s="136"/>
      <c r="N386" s="159"/>
      <c r="O386" s="159"/>
      <c r="P386" s="136"/>
    </row>
    <row r="387" spans="1:16" ht="16.5" customHeight="1" x14ac:dyDescent="0.25">
      <c r="A387" s="156">
        <v>44566</v>
      </c>
      <c r="B387" s="136" t="s">
        <v>32</v>
      </c>
      <c r="C387" s="157" t="str">
        <f t="shared" si="10"/>
        <v>05.01.2022_FAL2</v>
      </c>
      <c r="D387" s="190">
        <f t="shared" si="11"/>
        <v>0</v>
      </c>
      <c r="E387" s="133">
        <v>8.0399999999999991</v>
      </c>
      <c r="F387" s="134"/>
      <c r="G387" s="135">
        <v>427</v>
      </c>
      <c r="H387" s="137">
        <v>11.5</v>
      </c>
      <c r="I387" s="134"/>
      <c r="J387" s="137">
        <v>7</v>
      </c>
      <c r="K387" s="134"/>
      <c r="L387" s="136">
        <v>110.00000000000001</v>
      </c>
      <c r="M387" s="136"/>
      <c r="N387" s="159"/>
      <c r="O387" s="159"/>
      <c r="P387" s="136"/>
    </row>
    <row r="388" spans="1:16" ht="16.5" customHeight="1" x14ac:dyDescent="0.25">
      <c r="A388" s="156">
        <v>44566</v>
      </c>
      <c r="B388" s="136" t="s">
        <v>26</v>
      </c>
      <c r="C388" s="157" t="str">
        <f t="shared" si="10"/>
        <v>05.01.2022_GRU1</v>
      </c>
      <c r="D388" s="190">
        <f t="shared" si="11"/>
        <v>0</v>
      </c>
      <c r="E388" s="133">
        <v>7.83</v>
      </c>
      <c r="F388" s="134"/>
      <c r="G388" s="135">
        <v>128.30000000000001</v>
      </c>
      <c r="H388" s="137">
        <v>12.6</v>
      </c>
      <c r="I388" s="134"/>
      <c r="J388" s="137">
        <v>6.4</v>
      </c>
      <c r="K388" s="134"/>
      <c r="L388" s="136">
        <v>65</v>
      </c>
      <c r="M388" s="136"/>
      <c r="N388" s="159"/>
      <c r="O388" s="159"/>
      <c r="P388" s="136" t="s">
        <v>160</v>
      </c>
    </row>
    <row r="389" spans="1:16" ht="16.5" customHeight="1" x14ac:dyDescent="0.25">
      <c r="A389" s="156">
        <v>44566</v>
      </c>
      <c r="B389" s="136" t="s">
        <v>28</v>
      </c>
      <c r="C389" s="157" t="str">
        <f t="shared" ref="C389:C452" si="12">CONCATENATE(TEXT(A389,"TT.MM.JJJJ"),"_",B389)</f>
        <v>05.01.2022_GRU2</v>
      </c>
      <c r="D389" s="190">
        <f t="shared" ref="D389:D452" si="13">COUNTBLANK(E389)+COUNTBLANK(G389:H389)+COUNTBLANK(J389)+COUNTBLANK(L389)</f>
        <v>0</v>
      </c>
      <c r="E389" s="133">
        <v>7.66</v>
      </c>
      <c r="F389" s="134"/>
      <c r="G389" s="135">
        <v>140</v>
      </c>
      <c r="H389" s="137">
        <v>12.9</v>
      </c>
      <c r="I389" s="134"/>
      <c r="J389" s="137">
        <v>6.5</v>
      </c>
      <c r="K389" s="134"/>
      <c r="L389" s="136">
        <v>80</v>
      </c>
      <c r="M389" s="136"/>
      <c r="N389" s="159"/>
      <c r="O389" s="159"/>
      <c r="P389" s="136"/>
    </row>
    <row r="390" spans="1:16" ht="16.5" customHeight="1" x14ac:dyDescent="0.25">
      <c r="A390" s="156">
        <v>44566</v>
      </c>
      <c r="B390" s="136" t="s">
        <v>34</v>
      </c>
      <c r="C390" s="157" t="str">
        <f t="shared" si="12"/>
        <v>05.01.2022_KRE1</v>
      </c>
      <c r="D390" s="190">
        <f t="shared" si="13"/>
        <v>0</v>
      </c>
      <c r="E390" s="133">
        <v>7.74</v>
      </c>
      <c r="F390" s="134"/>
      <c r="G390" s="135">
        <v>497</v>
      </c>
      <c r="H390" s="137">
        <v>10.199999999999999</v>
      </c>
      <c r="I390" s="134"/>
      <c r="J390" s="137">
        <v>7.5</v>
      </c>
      <c r="K390" s="134"/>
      <c r="L390" s="136">
        <v>125</v>
      </c>
      <c r="M390" s="136"/>
      <c r="N390" s="159"/>
      <c r="O390" s="159"/>
      <c r="P390" s="136"/>
    </row>
    <row r="391" spans="1:16" ht="16.5" customHeight="1" x14ac:dyDescent="0.25">
      <c r="A391" s="156">
        <v>44566</v>
      </c>
      <c r="B391" s="136" t="s">
        <v>37</v>
      </c>
      <c r="C391" s="157" t="str">
        <f t="shared" si="12"/>
        <v>05.01.2022_KRE2</v>
      </c>
      <c r="D391" s="190">
        <f t="shared" si="13"/>
        <v>0</v>
      </c>
      <c r="E391" s="133">
        <v>7.86</v>
      </c>
      <c r="F391" s="134"/>
      <c r="G391" s="135">
        <v>545</v>
      </c>
      <c r="H391" s="137">
        <v>10.3</v>
      </c>
      <c r="I391" s="134"/>
      <c r="J391" s="137">
        <v>9</v>
      </c>
      <c r="K391" s="134"/>
      <c r="L391" s="136">
        <v>90</v>
      </c>
      <c r="M391" s="136"/>
      <c r="N391" s="159"/>
      <c r="O391" s="159"/>
      <c r="P391" s="136" t="s">
        <v>161</v>
      </c>
    </row>
    <row r="392" spans="1:16" ht="16.5" customHeight="1" x14ac:dyDescent="0.25">
      <c r="A392" s="156">
        <v>44566</v>
      </c>
      <c r="B392" s="136" t="s">
        <v>14</v>
      </c>
      <c r="C392" s="157" t="str">
        <f t="shared" si="12"/>
        <v>05.01.2022_BRA1</v>
      </c>
      <c r="D392" s="190">
        <f t="shared" si="13"/>
        <v>0</v>
      </c>
      <c r="E392" s="133">
        <v>7.48</v>
      </c>
      <c r="F392" s="134"/>
      <c r="G392" s="135">
        <v>124</v>
      </c>
      <c r="H392" s="137">
        <v>12.2</v>
      </c>
      <c r="I392" s="134"/>
      <c r="J392" s="137">
        <v>7.2</v>
      </c>
      <c r="K392" s="134"/>
      <c r="L392" s="136">
        <v>80</v>
      </c>
      <c r="M392" s="136"/>
      <c r="N392" s="159"/>
      <c r="O392" s="159"/>
      <c r="P392" s="136"/>
    </row>
    <row r="393" spans="1:16" ht="16.5" customHeight="1" x14ac:dyDescent="0.25">
      <c r="A393" s="156">
        <v>44566</v>
      </c>
      <c r="B393" s="136" t="s">
        <v>17</v>
      </c>
      <c r="C393" s="157" t="str">
        <f t="shared" si="12"/>
        <v>05.01.2022_BRA2</v>
      </c>
      <c r="D393" s="190">
        <f t="shared" si="13"/>
        <v>0</v>
      </c>
      <c r="E393" s="133">
        <v>7.52</v>
      </c>
      <c r="F393" s="134"/>
      <c r="G393" s="135">
        <v>131.19999999999999</v>
      </c>
      <c r="H393" s="137">
        <v>12.7</v>
      </c>
      <c r="I393" s="134"/>
      <c r="J393" s="137">
        <v>7.3</v>
      </c>
      <c r="K393" s="134"/>
      <c r="L393" s="136">
        <v>100</v>
      </c>
      <c r="M393" s="136"/>
      <c r="N393" s="159"/>
      <c r="O393" s="159"/>
      <c r="P393" s="136" t="s">
        <v>162</v>
      </c>
    </row>
    <row r="394" spans="1:16" ht="16.5" customHeight="1" x14ac:dyDescent="0.25">
      <c r="A394" s="156">
        <v>44566</v>
      </c>
      <c r="B394" s="136" t="s">
        <v>0</v>
      </c>
      <c r="C394" s="157" t="str">
        <f t="shared" si="12"/>
        <v>05.01.2022_KIN1</v>
      </c>
      <c r="D394" s="190">
        <f t="shared" si="13"/>
        <v>0</v>
      </c>
      <c r="E394" s="133">
        <v>7.74</v>
      </c>
      <c r="F394" s="134"/>
      <c r="G394" s="135">
        <v>193.6</v>
      </c>
      <c r="H394" s="137">
        <v>11.6</v>
      </c>
      <c r="I394" s="134"/>
      <c r="J394" s="137">
        <v>7.7</v>
      </c>
      <c r="K394" s="134"/>
      <c r="L394" s="136">
        <v>60</v>
      </c>
      <c r="M394" s="136"/>
      <c r="N394" s="159"/>
      <c r="O394" s="159"/>
      <c r="P394" s="136" t="s">
        <v>163</v>
      </c>
    </row>
    <row r="395" spans="1:16" ht="16.5" customHeight="1" x14ac:dyDescent="0.25">
      <c r="A395" s="156">
        <v>44566</v>
      </c>
      <c r="B395" s="136" t="s">
        <v>2</v>
      </c>
      <c r="C395" s="157" t="str">
        <f t="shared" si="12"/>
        <v>05.01.2022_KIN2</v>
      </c>
      <c r="D395" s="190">
        <f t="shared" si="13"/>
        <v>0</v>
      </c>
      <c r="E395" s="133">
        <v>7.65</v>
      </c>
      <c r="F395" s="134"/>
      <c r="G395" s="135">
        <v>216</v>
      </c>
      <c r="H395" s="137">
        <v>11.8</v>
      </c>
      <c r="I395" s="134"/>
      <c r="J395" s="137">
        <v>7.9</v>
      </c>
      <c r="K395" s="134"/>
      <c r="L395" s="279">
        <v>110</v>
      </c>
      <c r="M395" s="136"/>
      <c r="N395" s="159"/>
      <c r="O395" s="159"/>
      <c r="P395" s="192" t="s">
        <v>436</v>
      </c>
    </row>
    <row r="396" spans="1:16" ht="16.5" customHeight="1" x14ac:dyDescent="0.25">
      <c r="A396" s="156">
        <v>44566</v>
      </c>
      <c r="B396" s="136" t="s">
        <v>4</v>
      </c>
      <c r="C396" s="157" t="str">
        <f t="shared" si="12"/>
        <v>05.01.2022_KIN3</v>
      </c>
      <c r="D396" s="190">
        <f t="shared" si="13"/>
        <v>0</v>
      </c>
      <c r="E396" s="133">
        <v>7.72</v>
      </c>
      <c r="F396" s="134"/>
      <c r="G396" s="135">
        <v>202</v>
      </c>
      <c r="H396" s="137">
        <v>11.9</v>
      </c>
      <c r="I396" s="134"/>
      <c r="J396" s="137">
        <v>7.8</v>
      </c>
      <c r="K396" s="134"/>
      <c r="L396" s="279">
        <v>110</v>
      </c>
      <c r="M396" s="136"/>
      <c r="N396" s="159"/>
      <c r="O396" s="159"/>
      <c r="P396" s="192" t="s">
        <v>436</v>
      </c>
    </row>
    <row r="397" spans="1:16" ht="16.5" customHeight="1" x14ac:dyDescent="0.25">
      <c r="A397" s="156">
        <v>44566</v>
      </c>
      <c r="B397" s="136" t="s">
        <v>6</v>
      </c>
      <c r="C397" s="157" t="str">
        <f t="shared" si="12"/>
        <v>05.01.2022_KIN4</v>
      </c>
      <c r="D397" s="190">
        <f t="shared" si="13"/>
        <v>0</v>
      </c>
      <c r="E397" s="133">
        <v>7.7</v>
      </c>
      <c r="F397" s="134"/>
      <c r="G397" s="135">
        <v>208</v>
      </c>
      <c r="H397" s="137">
        <v>11.4</v>
      </c>
      <c r="I397" s="134"/>
      <c r="J397" s="137">
        <v>7.9</v>
      </c>
      <c r="K397" s="134"/>
      <c r="L397" s="279">
        <v>110</v>
      </c>
      <c r="M397" s="136"/>
      <c r="N397" s="159"/>
      <c r="O397" s="159"/>
      <c r="P397" s="192" t="s">
        <v>436</v>
      </c>
    </row>
    <row r="398" spans="1:16" ht="16.5" customHeight="1" x14ac:dyDescent="0.25">
      <c r="A398" s="156">
        <v>44566</v>
      </c>
      <c r="B398" s="136" t="s">
        <v>18</v>
      </c>
      <c r="C398" s="157" t="str">
        <f t="shared" si="12"/>
        <v>05.01.2022_ORB1</v>
      </c>
      <c r="D398" s="190">
        <f t="shared" si="13"/>
        <v>0</v>
      </c>
      <c r="E398" s="133">
        <v>7.5</v>
      </c>
      <c r="F398" s="134"/>
      <c r="G398" s="135">
        <v>128.1</v>
      </c>
      <c r="H398" s="137">
        <v>12.8</v>
      </c>
      <c r="I398" s="134"/>
      <c r="J398" s="137">
        <v>8.5</v>
      </c>
      <c r="K398" s="134"/>
      <c r="L398" s="136">
        <v>30</v>
      </c>
      <c r="M398" s="136"/>
      <c r="N398" s="159"/>
      <c r="O398" s="159"/>
      <c r="P398" s="136"/>
    </row>
    <row r="399" spans="1:16" ht="16.5" customHeight="1" x14ac:dyDescent="0.25">
      <c r="A399" s="156">
        <v>44566</v>
      </c>
      <c r="B399" s="136" t="s">
        <v>21</v>
      </c>
      <c r="C399" s="157" t="str">
        <f t="shared" si="12"/>
        <v>05.01.2022_ORB2</v>
      </c>
      <c r="D399" s="190">
        <f t="shared" si="13"/>
        <v>0</v>
      </c>
      <c r="E399" s="133">
        <v>7.39</v>
      </c>
      <c r="F399" s="134"/>
      <c r="G399" s="135">
        <v>158.19999999999999</v>
      </c>
      <c r="H399" s="137">
        <v>12.1</v>
      </c>
      <c r="I399" s="134"/>
      <c r="J399" s="137">
        <v>8.5</v>
      </c>
      <c r="K399" s="134"/>
      <c r="L399" s="136">
        <v>50</v>
      </c>
      <c r="M399" s="136"/>
      <c r="N399" s="159"/>
      <c r="O399" s="159"/>
      <c r="P399" s="136"/>
    </row>
    <row r="400" spans="1:16" ht="16.5" customHeight="1" x14ac:dyDescent="0.25">
      <c r="A400" s="156">
        <v>44566</v>
      </c>
      <c r="B400" s="136" t="s">
        <v>10</v>
      </c>
      <c r="C400" s="157" t="str">
        <f t="shared" si="12"/>
        <v>05.01.2022_SAL1</v>
      </c>
      <c r="D400" s="190">
        <f t="shared" si="13"/>
        <v>0</v>
      </c>
      <c r="E400" s="133">
        <v>7.66</v>
      </c>
      <c r="F400" s="134"/>
      <c r="G400" s="135">
        <v>121.7</v>
      </c>
      <c r="H400" s="137">
        <v>12.8</v>
      </c>
      <c r="I400" s="134"/>
      <c r="J400" s="137">
        <v>7.3</v>
      </c>
      <c r="K400" s="134"/>
      <c r="L400" s="279">
        <v>110</v>
      </c>
      <c r="M400" s="136"/>
      <c r="N400" s="159"/>
      <c r="O400" s="159"/>
      <c r="P400" s="192" t="s">
        <v>436</v>
      </c>
    </row>
    <row r="401" spans="1:16" ht="16.5" customHeight="1" x14ac:dyDescent="0.25">
      <c r="A401" s="156">
        <v>44566</v>
      </c>
      <c r="B401" s="136" t="s">
        <v>12</v>
      </c>
      <c r="C401" s="157" t="str">
        <f t="shared" si="12"/>
        <v>05.01.2022_SAL2</v>
      </c>
      <c r="D401" s="190">
        <f t="shared" si="13"/>
        <v>0</v>
      </c>
      <c r="E401" s="133">
        <v>7.65</v>
      </c>
      <c r="F401" s="134"/>
      <c r="G401" s="135">
        <v>121.8</v>
      </c>
      <c r="H401" s="137">
        <v>12.3</v>
      </c>
      <c r="I401" s="134"/>
      <c r="J401" s="137">
        <v>7.3</v>
      </c>
      <c r="K401" s="134"/>
      <c r="L401" s="279">
        <v>110</v>
      </c>
      <c r="M401" s="136"/>
      <c r="N401" s="159"/>
      <c r="O401" s="159"/>
      <c r="P401" s="192" t="s">
        <v>436</v>
      </c>
    </row>
    <row r="402" spans="1:16" ht="16.5" customHeight="1" x14ac:dyDescent="0.25">
      <c r="A402" s="156">
        <v>44566</v>
      </c>
      <c r="B402" s="136" t="s">
        <v>7</v>
      </c>
      <c r="C402" s="157" t="str">
        <f t="shared" si="12"/>
        <v>05.01.2022_STE1</v>
      </c>
      <c r="D402" s="190">
        <f t="shared" si="13"/>
        <v>0</v>
      </c>
      <c r="E402" s="133">
        <v>7.59</v>
      </c>
      <c r="F402" s="134"/>
      <c r="G402" s="135">
        <v>143.4</v>
      </c>
      <c r="H402" s="137">
        <v>12.4</v>
      </c>
      <c r="I402" s="134"/>
      <c r="J402" s="137">
        <v>8.6</v>
      </c>
      <c r="K402" s="134"/>
      <c r="L402" s="136">
        <v>100</v>
      </c>
      <c r="M402" s="136"/>
      <c r="N402" s="159"/>
      <c r="O402" s="159"/>
      <c r="P402" s="136" t="s">
        <v>184</v>
      </c>
    </row>
    <row r="403" spans="1:16" ht="16.5" customHeight="1" x14ac:dyDescent="0.25">
      <c r="A403" s="156">
        <v>44566</v>
      </c>
      <c r="B403" s="136" t="s">
        <v>9</v>
      </c>
      <c r="C403" s="157" t="str">
        <f t="shared" si="12"/>
        <v>05.01.2022_STE2</v>
      </c>
      <c r="D403" s="190">
        <f t="shared" si="13"/>
        <v>0</v>
      </c>
      <c r="E403" s="133">
        <v>7.58</v>
      </c>
      <c r="F403" s="134"/>
      <c r="G403" s="135">
        <v>154.4</v>
      </c>
      <c r="H403" s="137">
        <v>12.5</v>
      </c>
      <c r="I403" s="134"/>
      <c r="J403" s="137">
        <v>8.1999999999999993</v>
      </c>
      <c r="K403" s="134"/>
      <c r="L403" s="279">
        <v>110</v>
      </c>
      <c r="M403" s="136"/>
      <c r="N403" s="159"/>
      <c r="O403" s="159"/>
      <c r="P403" s="192" t="s">
        <v>436</v>
      </c>
    </row>
    <row r="404" spans="1:16" ht="16.5" customHeight="1" x14ac:dyDescent="0.25">
      <c r="A404" s="156">
        <v>44579</v>
      </c>
      <c r="B404" s="136" t="s">
        <v>22</v>
      </c>
      <c r="C404" s="157" t="str">
        <f t="shared" si="12"/>
        <v>18.01.2022_BIE1</v>
      </c>
      <c r="D404" s="190">
        <f t="shared" si="13"/>
        <v>0</v>
      </c>
      <c r="E404" s="133">
        <v>7.57</v>
      </c>
      <c r="F404" s="134"/>
      <c r="G404" s="135">
        <v>152.1</v>
      </c>
      <c r="H404" s="137">
        <v>13.4</v>
      </c>
      <c r="I404" s="134"/>
      <c r="J404" s="137">
        <v>6.3</v>
      </c>
      <c r="K404" s="134"/>
      <c r="L404" s="136">
        <v>40</v>
      </c>
      <c r="M404" s="136"/>
      <c r="N404" s="159"/>
      <c r="O404" s="159"/>
      <c r="P404" s="136"/>
    </row>
    <row r="405" spans="1:16" ht="16.5" customHeight="1" x14ac:dyDescent="0.25">
      <c r="A405" s="156">
        <v>44579</v>
      </c>
      <c r="B405" s="136" t="s">
        <v>25</v>
      </c>
      <c r="C405" s="157" t="str">
        <f t="shared" si="12"/>
        <v>18.01.2022_BIE2</v>
      </c>
      <c r="D405" s="190">
        <f t="shared" si="13"/>
        <v>0</v>
      </c>
      <c r="E405" s="133">
        <v>7.56</v>
      </c>
      <c r="F405" s="134"/>
      <c r="G405" s="135">
        <v>140.80000000000001</v>
      </c>
      <c r="H405" s="137">
        <v>13.5</v>
      </c>
      <c r="I405" s="134"/>
      <c r="J405" s="137">
        <v>6.4</v>
      </c>
      <c r="K405" s="134"/>
      <c r="L405" s="136">
        <v>60</v>
      </c>
      <c r="M405" s="136"/>
      <c r="N405" s="159"/>
      <c r="O405" s="159"/>
      <c r="P405" s="136"/>
    </row>
    <row r="406" spans="1:16" ht="16.5" customHeight="1" x14ac:dyDescent="0.25">
      <c r="A406" s="156">
        <v>44579</v>
      </c>
      <c r="B406" s="136" t="s">
        <v>30</v>
      </c>
      <c r="C406" s="157" t="str">
        <f t="shared" si="12"/>
        <v>18.01.2022_FAL1</v>
      </c>
      <c r="D406" s="190">
        <f t="shared" si="13"/>
        <v>0</v>
      </c>
      <c r="E406" s="133">
        <v>8.06</v>
      </c>
      <c r="F406" s="134"/>
      <c r="G406" s="135">
        <v>782</v>
      </c>
      <c r="H406" s="137">
        <v>13.1</v>
      </c>
      <c r="I406" s="134"/>
      <c r="J406" s="137">
        <v>6.4</v>
      </c>
      <c r="K406" s="134"/>
      <c r="L406" s="136">
        <v>65</v>
      </c>
      <c r="M406" s="136"/>
      <c r="N406" s="159"/>
      <c r="O406" s="159"/>
      <c r="P406" s="136"/>
    </row>
    <row r="407" spans="1:16" ht="16.5" customHeight="1" x14ac:dyDescent="0.25">
      <c r="A407" s="156">
        <v>44579</v>
      </c>
      <c r="B407" s="136" t="s">
        <v>32</v>
      </c>
      <c r="C407" s="157" t="str">
        <f t="shared" si="12"/>
        <v>18.01.2022_FAL2</v>
      </c>
      <c r="D407" s="190">
        <f t="shared" si="13"/>
        <v>0</v>
      </c>
      <c r="E407" s="133">
        <v>8.25</v>
      </c>
      <c r="F407" s="134"/>
      <c r="G407" s="135">
        <v>757</v>
      </c>
      <c r="H407" s="137">
        <v>12.9</v>
      </c>
      <c r="I407" s="134"/>
      <c r="J407" s="137">
        <v>5.8</v>
      </c>
      <c r="K407" s="134"/>
      <c r="L407" s="136">
        <v>100</v>
      </c>
      <c r="M407" s="136"/>
      <c r="N407" s="159"/>
      <c r="O407" s="159"/>
      <c r="P407" s="136" t="s">
        <v>164</v>
      </c>
    </row>
    <row r="408" spans="1:16" ht="16.5" customHeight="1" x14ac:dyDescent="0.25">
      <c r="A408" s="156">
        <v>44579</v>
      </c>
      <c r="B408" s="136" t="s">
        <v>26</v>
      </c>
      <c r="C408" s="157" t="str">
        <f t="shared" si="12"/>
        <v>18.01.2022_GRU1</v>
      </c>
      <c r="D408" s="190">
        <f t="shared" si="13"/>
        <v>0</v>
      </c>
      <c r="E408" s="133">
        <v>7.64</v>
      </c>
      <c r="F408" s="134"/>
      <c r="G408" s="135">
        <v>155.19999999999999</v>
      </c>
      <c r="H408" s="137">
        <v>14.4</v>
      </c>
      <c r="I408" s="134"/>
      <c r="J408" s="137">
        <v>4.3</v>
      </c>
      <c r="K408" s="134"/>
      <c r="L408" s="136">
        <v>40</v>
      </c>
      <c r="M408" s="136"/>
      <c r="N408" s="159"/>
      <c r="O408" s="159"/>
      <c r="P408" s="136" t="s">
        <v>165</v>
      </c>
    </row>
    <row r="409" spans="1:16" ht="16.5" customHeight="1" x14ac:dyDescent="0.25">
      <c r="A409" s="156">
        <v>44579</v>
      </c>
      <c r="B409" s="136" t="s">
        <v>28</v>
      </c>
      <c r="C409" s="157" t="str">
        <f t="shared" si="12"/>
        <v>18.01.2022_GRU2</v>
      </c>
      <c r="D409" s="190">
        <f t="shared" si="13"/>
        <v>0</v>
      </c>
      <c r="E409" s="133">
        <v>7.61</v>
      </c>
      <c r="F409" s="134"/>
      <c r="G409" s="135">
        <v>162.5</v>
      </c>
      <c r="H409" s="137">
        <v>13.7</v>
      </c>
      <c r="I409" s="134"/>
      <c r="J409" s="137">
        <v>4.5999999999999996</v>
      </c>
      <c r="K409" s="134"/>
      <c r="L409" s="136">
        <v>50</v>
      </c>
      <c r="M409" s="136"/>
      <c r="N409" s="159"/>
      <c r="O409" s="159"/>
      <c r="P409" s="136"/>
    </row>
    <row r="410" spans="1:16" ht="16.5" customHeight="1" x14ac:dyDescent="0.25">
      <c r="A410" s="156">
        <v>44579</v>
      </c>
      <c r="B410" s="136" t="s">
        <v>34</v>
      </c>
      <c r="C410" s="157" t="str">
        <f t="shared" si="12"/>
        <v>18.01.2022_KRE1</v>
      </c>
      <c r="D410" s="190">
        <f t="shared" si="13"/>
        <v>0</v>
      </c>
      <c r="E410" s="133">
        <v>8.16</v>
      </c>
      <c r="F410" s="134"/>
      <c r="G410" s="135">
        <v>867</v>
      </c>
      <c r="H410" s="137">
        <v>12.5</v>
      </c>
      <c r="I410" s="134"/>
      <c r="J410" s="137">
        <v>5.4</v>
      </c>
      <c r="K410" s="134"/>
      <c r="L410" s="136">
        <v>80</v>
      </c>
      <c r="M410" s="136"/>
      <c r="N410" s="159"/>
      <c r="O410" s="159"/>
      <c r="P410" s="136"/>
    </row>
    <row r="411" spans="1:16" ht="16.5" customHeight="1" x14ac:dyDescent="0.25">
      <c r="A411" s="156">
        <v>44579</v>
      </c>
      <c r="B411" s="136" t="s">
        <v>37</v>
      </c>
      <c r="C411" s="157" t="str">
        <f t="shared" si="12"/>
        <v>18.01.2022_KRE2</v>
      </c>
      <c r="D411" s="190">
        <f t="shared" si="13"/>
        <v>0</v>
      </c>
      <c r="E411" s="133">
        <v>8.2899999999999991</v>
      </c>
      <c r="F411" s="134"/>
      <c r="G411" s="135">
        <v>886</v>
      </c>
      <c r="H411" s="137">
        <v>11.6</v>
      </c>
      <c r="I411" s="134"/>
      <c r="J411" s="137">
        <v>5.0999999999999996</v>
      </c>
      <c r="K411" s="134"/>
      <c r="L411" s="136">
        <v>65</v>
      </c>
      <c r="M411" s="136"/>
      <c r="N411" s="159"/>
      <c r="O411" s="159"/>
      <c r="P411" s="136"/>
    </row>
    <row r="412" spans="1:16" ht="16.5" customHeight="1" x14ac:dyDescent="0.25">
      <c r="A412" s="156">
        <v>44579</v>
      </c>
      <c r="B412" s="136" t="s">
        <v>14</v>
      </c>
      <c r="C412" s="157" t="str">
        <f t="shared" si="12"/>
        <v>18.01.2022_BRA1</v>
      </c>
      <c r="D412" s="190">
        <f t="shared" si="13"/>
        <v>0</v>
      </c>
      <c r="E412" s="133">
        <v>7.59</v>
      </c>
      <c r="F412" s="134"/>
      <c r="G412" s="135">
        <v>164.5</v>
      </c>
      <c r="H412" s="137">
        <v>12.6</v>
      </c>
      <c r="I412" s="134"/>
      <c r="J412" s="137">
        <v>4.3</v>
      </c>
      <c r="K412" s="134"/>
      <c r="L412" s="136">
        <v>40</v>
      </c>
      <c r="M412" s="136"/>
      <c r="N412" s="159"/>
      <c r="O412" s="159"/>
      <c r="P412" s="136"/>
    </row>
    <row r="413" spans="1:16" ht="16.5" customHeight="1" x14ac:dyDescent="0.25">
      <c r="A413" s="156">
        <v>44579</v>
      </c>
      <c r="B413" s="136" t="s">
        <v>17</v>
      </c>
      <c r="C413" s="157" t="str">
        <f t="shared" si="12"/>
        <v>18.01.2022_BRA2</v>
      </c>
      <c r="D413" s="190">
        <f t="shared" si="13"/>
        <v>0</v>
      </c>
      <c r="E413" s="133">
        <v>7.88</v>
      </c>
      <c r="F413" s="134"/>
      <c r="G413" s="135">
        <v>176.5</v>
      </c>
      <c r="H413" s="137">
        <v>12.8</v>
      </c>
      <c r="I413" s="134"/>
      <c r="J413" s="137">
        <v>4.5</v>
      </c>
      <c r="K413" s="134"/>
      <c r="L413" s="136">
        <v>40</v>
      </c>
      <c r="M413" s="136"/>
      <c r="N413" s="159"/>
      <c r="O413" s="159"/>
      <c r="P413" s="136"/>
    </row>
    <row r="414" spans="1:16" ht="16.5" customHeight="1" x14ac:dyDescent="0.25">
      <c r="A414" s="156">
        <v>44579</v>
      </c>
      <c r="B414" s="136" t="s">
        <v>0</v>
      </c>
      <c r="C414" s="157" t="str">
        <f t="shared" si="12"/>
        <v>18.01.2022_KIN1</v>
      </c>
      <c r="D414" s="190">
        <f t="shared" si="13"/>
        <v>0</v>
      </c>
      <c r="E414" s="133">
        <v>8.4</v>
      </c>
      <c r="F414" s="134"/>
      <c r="G414" s="135">
        <v>336</v>
      </c>
      <c r="H414" s="137">
        <v>12</v>
      </c>
      <c r="I414" s="134"/>
      <c r="J414" s="137">
        <v>5.3</v>
      </c>
      <c r="K414" s="134"/>
      <c r="L414" s="136">
        <v>40</v>
      </c>
      <c r="M414" s="136"/>
      <c r="N414" s="159"/>
      <c r="O414" s="159"/>
      <c r="P414" s="136" t="s">
        <v>166</v>
      </c>
    </row>
    <row r="415" spans="1:16" ht="16.5" customHeight="1" x14ac:dyDescent="0.25">
      <c r="A415" s="156">
        <v>44579</v>
      </c>
      <c r="B415" s="136" t="s">
        <v>2</v>
      </c>
      <c r="C415" s="157" t="str">
        <f t="shared" si="12"/>
        <v>18.01.2022_KIN2</v>
      </c>
      <c r="D415" s="190">
        <f t="shared" si="13"/>
        <v>0</v>
      </c>
      <c r="E415" s="133">
        <v>8.19</v>
      </c>
      <c r="F415" s="134"/>
      <c r="G415" s="135">
        <v>388</v>
      </c>
      <c r="H415" s="137">
        <v>12</v>
      </c>
      <c r="I415" s="134"/>
      <c r="J415" s="137">
        <v>5.7</v>
      </c>
      <c r="K415" s="134"/>
      <c r="L415" s="136">
        <v>20</v>
      </c>
      <c r="M415" s="136"/>
      <c r="N415" s="159"/>
      <c r="O415" s="159"/>
      <c r="P415" s="136" t="s">
        <v>167</v>
      </c>
    </row>
    <row r="416" spans="1:16" ht="16.5" customHeight="1" x14ac:dyDescent="0.25">
      <c r="A416" s="156">
        <v>44579</v>
      </c>
      <c r="B416" s="136" t="s">
        <v>4</v>
      </c>
      <c r="C416" s="157" t="str">
        <f t="shared" si="12"/>
        <v>18.01.2022_KIN3</v>
      </c>
      <c r="D416" s="190">
        <f t="shared" si="13"/>
        <v>0</v>
      </c>
      <c r="E416" s="133">
        <v>8.25</v>
      </c>
      <c r="F416" s="134"/>
      <c r="G416" s="135">
        <v>373</v>
      </c>
      <c r="H416" s="137">
        <v>12.2</v>
      </c>
      <c r="I416" s="134"/>
      <c r="J416" s="137">
        <v>5.5</v>
      </c>
      <c r="K416" s="134"/>
      <c r="L416" s="136">
        <v>90</v>
      </c>
      <c r="M416" s="136"/>
      <c r="N416" s="159"/>
      <c r="O416" s="159"/>
      <c r="P416" s="136" t="s">
        <v>168</v>
      </c>
    </row>
    <row r="417" spans="1:16" ht="16.5" customHeight="1" x14ac:dyDescent="0.25">
      <c r="A417" s="156">
        <v>44579</v>
      </c>
      <c r="B417" s="136" t="s">
        <v>6</v>
      </c>
      <c r="C417" s="157" t="str">
        <f t="shared" si="12"/>
        <v>18.01.2022_KIN4</v>
      </c>
      <c r="D417" s="190">
        <f t="shared" si="13"/>
        <v>0</v>
      </c>
      <c r="E417" s="133">
        <v>8.1999999999999993</v>
      </c>
      <c r="F417" s="134"/>
      <c r="G417" s="135">
        <v>387</v>
      </c>
      <c r="H417" s="137">
        <v>12.8</v>
      </c>
      <c r="I417" s="134"/>
      <c r="J417" s="137">
        <v>5.4</v>
      </c>
      <c r="K417" s="134"/>
      <c r="L417" s="136">
        <v>75</v>
      </c>
      <c r="M417" s="136"/>
      <c r="N417" s="159"/>
      <c r="O417" s="159"/>
      <c r="P417" s="136" t="s">
        <v>169</v>
      </c>
    </row>
    <row r="418" spans="1:16" ht="16.5" customHeight="1" x14ac:dyDescent="0.25">
      <c r="A418" s="156">
        <v>44579</v>
      </c>
      <c r="B418" s="136" t="s">
        <v>18</v>
      </c>
      <c r="C418" s="157" t="str">
        <f t="shared" si="12"/>
        <v>18.01.2022_ORB1</v>
      </c>
      <c r="D418" s="190">
        <f t="shared" si="13"/>
        <v>0</v>
      </c>
      <c r="E418" s="133">
        <v>8.59</v>
      </c>
      <c r="F418" s="134"/>
      <c r="G418" s="135">
        <v>128.9</v>
      </c>
      <c r="H418" s="137">
        <v>12.4</v>
      </c>
      <c r="I418" s="134"/>
      <c r="J418" s="137">
        <v>7.2</v>
      </c>
      <c r="K418" s="134"/>
      <c r="L418" s="136">
        <v>20</v>
      </c>
      <c r="M418" s="136"/>
      <c r="N418" s="159"/>
      <c r="O418" s="159"/>
      <c r="P418" s="136" t="s">
        <v>170</v>
      </c>
    </row>
    <row r="419" spans="1:16" ht="16.5" customHeight="1" x14ac:dyDescent="0.25">
      <c r="A419" s="156">
        <v>44579</v>
      </c>
      <c r="B419" s="136" t="s">
        <v>21</v>
      </c>
      <c r="C419" s="157" t="str">
        <f t="shared" si="12"/>
        <v>18.01.2022_ORB2</v>
      </c>
      <c r="D419" s="190">
        <f t="shared" si="13"/>
        <v>0</v>
      </c>
      <c r="E419" s="133">
        <v>7.65</v>
      </c>
      <c r="F419" s="134"/>
      <c r="G419" s="135">
        <v>144.69999999999999</v>
      </c>
      <c r="H419" s="137">
        <v>11.9</v>
      </c>
      <c r="I419" s="134"/>
      <c r="J419" s="137">
        <v>7.4</v>
      </c>
      <c r="K419" s="134"/>
      <c r="L419" s="136">
        <v>40</v>
      </c>
      <c r="M419" s="136"/>
      <c r="N419" s="159"/>
      <c r="O419" s="159"/>
      <c r="P419" s="136"/>
    </row>
    <row r="420" spans="1:16" ht="16.5" customHeight="1" x14ac:dyDescent="0.25">
      <c r="A420" s="156">
        <v>44579</v>
      </c>
      <c r="B420" s="136" t="s">
        <v>10</v>
      </c>
      <c r="C420" s="157" t="str">
        <f t="shared" si="12"/>
        <v>18.01.2022_SAL1</v>
      </c>
      <c r="D420" s="190">
        <f t="shared" si="13"/>
        <v>0</v>
      </c>
      <c r="E420" s="133">
        <v>7.93</v>
      </c>
      <c r="F420" s="134"/>
      <c r="G420" s="135">
        <v>175.6</v>
      </c>
      <c r="H420" s="137">
        <v>13.1</v>
      </c>
      <c r="I420" s="134"/>
      <c r="J420" s="137">
        <v>4.7</v>
      </c>
      <c r="K420" s="134"/>
      <c r="L420" s="136">
        <v>70</v>
      </c>
      <c r="M420" s="136"/>
      <c r="N420" s="159"/>
      <c r="O420" s="159"/>
      <c r="P420" s="136" t="s">
        <v>171</v>
      </c>
    </row>
    <row r="421" spans="1:16" ht="16.5" customHeight="1" x14ac:dyDescent="0.25">
      <c r="A421" s="156">
        <v>44579</v>
      </c>
      <c r="B421" s="136" t="s">
        <v>12</v>
      </c>
      <c r="C421" s="157" t="str">
        <f t="shared" si="12"/>
        <v>18.01.2022_SAL2</v>
      </c>
      <c r="D421" s="190">
        <f t="shared" si="13"/>
        <v>0</v>
      </c>
      <c r="E421" s="133">
        <v>7.9</v>
      </c>
      <c r="F421" s="134"/>
      <c r="G421" s="135">
        <v>164.1</v>
      </c>
      <c r="H421" s="137">
        <v>13.2</v>
      </c>
      <c r="I421" s="134"/>
      <c r="J421" s="137">
        <v>4</v>
      </c>
      <c r="K421" s="134"/>
      <c r="L421" s="136">
        <v>55.000000000000007</v>
      </c>
      <c r="M421" s="136"/>
      <c r="N421" s="159"/>
      <c r="O421" s="159"/>
      <c r="P421" s="136" t="s">
        <v>172</v>
      </c>
    </row>
    <row r="422" spans="1:16" ht="16.5" customHeight="1" x14ac:dyDescent="0.25">
      <c r="A422" s="156">
        <v>44579</v>
      </c>
      <c r="B422" s="136" t="s">
        <v>7</v>
      </c>
      <c r="C422" s="157" t="str">
        <f t="shared" si="12"/>
        <v>18.01.2022_STE1</v>
      </c>
      <c r="D422" s="190">
        <f t="shared" si="13"/>
        <v>0</v>
      </c>
      <c r="E422" s="133">
        <v>8</v>
      </c>
      <c r="F422" s="134"/>
      <c r="G422" s="135">
        <v>235</v>
      </c>
      <c r="H422" s="137">
        <v>13</v>
      </c>
      <c r="I422" s="134"/>
      <c r="J422" s="137">
        <v>5.7</v>
      </c>
      <c r="K422" s="134"/>
      <c r="L422" s="136">
        <v>50</v>
      </c>
      <c r="M422" s="136"/>
      <c r="N422" s="159"/>
      <c r="O422" s="159"/>
      <c r="P422" s="136"/>
    </row>
    <row r="423" spans="1:16" ht="16.5" customHeight="1" x14ac:dyDescent="0.25">
      <c r="A423" s="156">
        <v>44579</v>
      </c>
      <c r="B423" s="136" t="s">
        <v>9</v>
      </c>
      <c r="C423" s="157" t="str">
        <f t="shared" si="12"/>
        <v>18.01.2022_STE2</v>
      </c>
      <c r="D423" s="190">
        <f t="shared" si="13"/>
        <v>0</v>
      </c>
      <c r="E423" s="133">
        <v>8.1</v>
      </c>
      <c r="F423" s="134"/>
      <c r="G423" s="135">
        <v>235</v>
      </c>
      <c r="H423" s="137">
        <v>12.9</v>
      </c>
      <c r="I423" s="134"/>
      <c r="J423" s="137">
        <v>5.7</v>
      </c>
      <c r="K423" s="134"/>
      <c r="L423" s="136">
        <v>50</v>
      </c>
      <c r="M423" s="136"/>
      <c r="N423" s="159"/>
      <c r="O423" s="159"/>
      <c r="P423" s="136"/>
    </row>
    <row r="424" spans="1:16" ht="16.5" customHeight="1" x14ac:dyDescent="0.25">
      <c r="A424" s="156">
        <v>44593</v>
      </c>
      <c r="B424" s="136" t="s">
        <v>22</v>
      </c>
      <c r="C424" s="157" t="str">
        <f t="shared" si="12"/>
        <v>01.02.2022_BIE1</v>
      </c>
      <c r="D424" s="190">
        <f t="shared" si="13"/>
        <v>0</v>
      </c>
      <c r="E424" s="133">
        <v>7.81</v>
      </c>
      <c r="F424" s="134"/>
      <c r="G424" s="135">
        <v>160.6</v>
      </c>
      <c r="H424" s="137">
        <v>12.6</v>
      </c>
      <c r="I424" s="134"/>
      <c r="J424" s="137">
        <v>6.1</v>
      </c>
      <c r="K424" s="134"/>
      <c r="L424" s="136">
        <v>40</v>
      </c>
      <c r="M424" s="136"/>
      <c r="N424" s="159"/>
      <c r="O424" s="159"/>
      <c r="P424" s="136"/>
    </row>
    <row r="425" spans="1:16" ht="16.5" customHeight="1" x14ac:dyDescent="0.25">
      <c r="A425" s="156">
        <v>44593</v>
      </c>
      <c r="B425" s="136" t="s">
        <v>25</v>
      </c>
      <c r="C425" s="157" t="str">
        <f t="shared" si="12"/>
        <v>01.02.2022_BIE2</v>
      </c>
      <c r="D425" s="190">
        <f t="shared" si="13"/>
        <v>0</v>
      </c>
      <c r="E425" s="133">
        <v>7.79</v>
      </c>
      <c r="F425" s="134"/>
      <c r="G425" s="135">
        <v>164.2</v>
      </c>
      <c r="H425" s="137">
        <v>12.7</v>
      </c>
      <c r="I425" s="134"/>
      <c r="J425" s="137">
        <v>6.7</v>
      </c>
      <c r="K425" s="134"/>
      <c r="L425" s="136">
        <v>60</v>
      </c>
      <c r="M425" s="136"/>
      <c r="N425" s="159"/>
      <c r="O425" s="159"/>
      <c r="P425" s="136"/>
    </row>
    <row r="426" spans="1:16" ht="16.5" customHeight="1" x14ac:dyDescent="0.25">
      <c r="A426" s="156">
        <v>44593</v>
      </c>
      <c r="B426" s="136" t="s">
        <v>30</v>
      </c>
      <c r="C426" s="157" t="str">
        <f t="shared" si="12"/>
        <v>01.02.2022_FAL1</v>
      </c>
      <c r="D426" s="190">
        <f t="shared" si="13"/>
        <v>0</v>
      </c>
      <c r="E426" s="133">
        <v>8.0299999999999994</v>
      </c>
      <c r="F426" s="134"/>
      <c r="G426" s="135">
        <v>760</v>
      </c>
      <c r="H426" s="137">
        <v>12.2</v>
      </c>
      <c r="I426" s="134"/>
      <c r="J426" s="137">
        <v>6.4</v>
      </c>
      <c r="K426" s="134"/>
      <c r="L426" s="136">
        <v>70</v>
      </c>
      <c r="M426" s="136"/>
      <c r="N426" s="159"/>
      <c r="O426" s="159"/>
      <c r="P426" s="136"/>
    </row>
    <row r="427" spans="1:16" ht="16.5" customHeight="1" x14ac:dyDescent="0.25">
      <c r="A427" s="156">
        <v>44593</v>
      </c>
      <c r="B427" s="136" t="s">
        <v>32</v>
      </c>
      <c r="C427" s="157" t="str">
        <f t="shared" si="12"/>
        <v>01.02.2022_FAL2</v>
      </c>
      <c r="D427" s="190">
        <f t="shared" si="13"/>
        <v>0</v>
      </c>
      <c r="E427" s="133">
        <v>8.25</v>
      </c>
      <c r="F427" s="134"/>
      <c r="G427" s="135">
        <v>791</v>
      </c>
      <c r="H427" s="137">
        <v>12.4</v>
      </c>
      <c r="I427" s="134"/>
      <c r="J427" s="137">
        <v>5.5</v>
      </c>
      <c r="K427" s="134"/>
      <c r="L427" s="136">
        <v>90</v>
      </c>
      <c r="M427" s="136"/>
      <c r="N427" s="159"/>
      <c r="O427" s="159"/>
      <c r="P427" s="136" t="s">
        <v>164</v>
      </c>
    </row>
    <row r="428" spans="1:16" ht="16.5" customHeight="1" x14ac:dyDescent="0.25">
      <c r="A428" s="156">
        <v>44593</v>
      </c>
      <c r="B428" s="136" t="s">
        <v>26</v>
      </c>
      <c r="C428" s="157" t="str">
        <f t="shared" si="12"/>
        <v>01.02.2022_GRU1</v>
      </c>
      <c r="D428" s="190">
        <f t="shared" si="13"/>
        <v>0</v>
      </c>
      <c r="E428" s="133">
        <v>7.87</v>
      </c>
      <c r="F428" s="134"/>
      <c r="G428" s="135">
        <v>157.9</v>
      </c>
      <c r="H428" s="137">
        <v>12.9</v>
      </c>
      <c r="I428" s="134"/>
      <c r="J428" s="137">
        <v>4.4000000000000004</v>
      </c>
      <c r="K428" s="134"/>
      <c r="L428" s="136">
        <v>40</v>
      </c>
      <c r="M428" s="136"/>
      <c r="N428" s="159"/>
      <c r="O428" s="159"/>
      <c r="P428" s="136"/>
    </row>
    <row r="429" spans="1:16" ht="16.5" customHeight="1" x14ac:dyDescent="0.25">
      <c r="A429" s="156">
        <v>44593</v>
      </c>
      <c r="B429" s="136" t="s">
        <v>28</v>
      </c>
      <c r="C429" s="157" t="str">
        <f t="shared" si="12"/>
        <v>01.02.2022_GRU2</v>
      </c>
      <c r="D429" s="190">
        <f t="shared" si="13"/>
        <v>0</v>
      </c>
      <c r="E429" s="133">
        <v>7.66</v>
      </c>
      <c r="F429" s="134"/>
      <c r="G429" s="135">
        <v>166.9</v>
      </c>
      <c r="H429" s="137">
        <v>13.4</v>
      </c>
      <c r="I429" s="134"/>
      <c r="J429" s="137">
        <v>4.7</v>
      </c>
      <c r="K429" s="134"/>
      <c r="L429" s="136">
        <v>60</v>
      </c>
      <c r="M429" s="136"/>
      <c r="N429" s="159"/>
      <c r="O429" s="159"/>
      <c r="P429" s="136"/>
    </row>
    <row r="430" spans="1:16" ht="16.5" customHeight="1" x14ac:dyDescent="0.25">
      <c r="A430" s="156">
        <v>44593</v>
      </c>
      <c r="B430" s="136" t="s">
        <v>34</v>
      </c>
      <c r="C430" s="157" t="str">
        <f t="shared" si="12"/>
        <v>01.02.2022_KRE1</v>
      </c>
      <c r="D430" s="190">
        <f t="shared" si="13"/>
        <v>0</v>
      </c>
      <c r="E430" s="133">
        <v>8.2100000000000009</v>
      </c>
      <c r="F430" s="134"/>
      <c r="G430" s="135">
        <v>875</v>
      </c>
      <c r="H430" s="137">
        <v>12.3</v>
      </c>
      <c r="I430" s="134"/>
      <c r="J430" s="137">
        <v>5</v>
      </c>
      <c r="K430" s="134"/>
      <c r="L430" s="136">
        <v>80</v>
      </c>
      <c r="M430" s="136"/>
      <c r="N430" s="159"/>
      <c r="O430" s="159"/>
      <c r="P430" s="136"/>
    </row>
    <row r="431" spans="1:16" ht="16.5" customHeight="1" x14ac:dyDescent="0.25">
      <c r="A431" s="156">
        <v>44593</v>
      </c>
      <c r="B431" s="136" t="s">
        <v>37</v>
      </c>
      <c r="C431" s="157" t="str">
        <f t="shared" si="12"/>
        <v>01.02.2022_KRE2</v>
      </c>
      <c r="D431" s="190">
        <f t="shared" si="13"/>
        <v>0</v>
      </c>
      <c r="E431" s="133">
        <v>8.18</v>
      </c>
      <c r="F431" s="134"/>
      <c r="G431" s="135">
        <v>896</v>
      </c>
      <c r="H431" s="137">
        <v>11.7</v>
      </c>
      <c r="I431" s="134"/>
      <c r="J431" s="137">
        <v>4.8</v>
      </c>
      <c r="K431" s="134"/>
      <c r="L431" s="136">
        <v>55.000000000000007</v>
      </c>
      <c r="M431" s="136"/>
      <c r="N431" s="159"/>
      <c r="O431" s="159"/>
      <c r="P431" s="136"/>
    </row>
    <row r="432" spans="1:16" ht="16.5" customHeight="1" x14ac:dyDescent="0.25">
      <c r="A432" s="156">
        <v>44593</v>
      </c>
      <c r="B432" s="136" t="s">
        <v>14</v>
      </c>
      <c r="C432" s="157" t="str">
        <f t="shared" si="12"/>
        <v>01.02.2022_BRA1</v>
      </c>
      <c r="D432" s="190">
        <f t="shared" si="13"/>
        <v>0</v>
      </c>
      <c r="E432" s="133">
        <v>7.36</v>
      </c>
      <c r="F432" s="134"/>
      <c r="G432" s="135">
        <v>182.4</v>
      </c>
      <c r="H432" s="137">
        <v>13</v>
      </c>
      <c r="I432" s="134"/>
      <c r="J432" s="137">
        <v>4.5</v>
      </c>
      <c r="K432" s="134"/>
      <c r="L432" s="136">
        <v>50</v>
      </c>
      <c r="M432" s="136"/>
      <c r="N432" s="159"/>
      <c r="O432" s="159"/>
      <c r="P432" s="136"/>
    </row>
    <row r="433" spans="1:16" ht="16.5" customHeight="1" x14ac:dyDescent="0.25">
      <c r="A433" s="156">
        <v>44593</v>
      </c>
      <c r="B433" s="136" t="s">
        <v>17</v>
      </c>
      <c r="C433" s="157" t="str">
        <f t="shared" si="12"/>
        <v>01.02.2022_BRA2</v>
      </c>
      <c r="D433" s="190">
        <f t="shared" si="13"/>
        <v>0</v>
      </c>
      <c r="E433" s="133">
        <v>7.77</v>
      </c>
      <c r="F433" s="134"/>
      <c r="G433" s="135">
        <v>186.3</v>
      </c>
      <c r="H433" s="137">
        <v>13.1</v>
      </c>
      <c r="I433" s="134"/>
      <c r="J433" s="137">
        <v>4.9000000000000004</v>
      </c>
      <c r="K433" s="134"/>
      <c r="L433" s="136">
        <v>40</v>
      </c>
      <c r="M433" s="136"/>
      <c r="N433" s="159"/>
      <c r="O433" s="159"/>
      <c r="P433" s="136"/>
    </row>
    <row r="434" spans="1:16" ht="16.5" customHeight="1" x14ac:dyDescent="0.25">
      <c r="A434" s="156">
        <v>44593</v>
      </c>
      <c r="B434" s="136" t="s">
        <v>0</v>
      </c>
      <c r="C434" s="157" t="str">
        <f t="shared" si="12"/>
        <v>01.02.2022_KIN1</v>
      </c>
      <c r="D434" s="190">
        <f t="shared" si="13"/>
        <v>0</v>
      </c>
      <c r="E434" s="133">
        <v>8.2100000000000009</v>
      </c>
      <c r="F434" s="134"/>
      <c r="G434" s="135">
        <v>316</v>
      </c>
      <c r="H434" s="137">
        <v>12.7</v>
      </c>
      <c r="I434" s="134"/>
      <c r="J434" s="137">
        <v>4</v>
      </c>
      <c r="K434" s="134"/>
      <c r="L434" s="136">
        <v>40</v>
      </c>
      <c r="M434" s="136"/>
      <c r="N434" s="159"/>
      <c r="O434" s="159"/>
      <c r="P434" s="136" t="s">
        <v>166</v>
      </c>
    </row>
    <row r="435" spans="1:16" ht="16.5" customHeight="1" x14ac:dyDescent="0.25">
      <c r="A435" s="156">
        <v>44593</v>
      </c>
      <c r="B435" s="136" t="s">
        <v>2</v>
      </c>
      <c r="C435" s="157" t="str">
        <f t="shared" si="12"/>
        <v>01.02.2022_KIN2</v>
      </c>
      <c r="D435" s="190">
        <f t="shared" si="13"/>
        <v>0</v>
      </c>
      <c r="E435" s="133">
        <v>7.98</v>
      </c>
      <c r="F435" s="134"/>
      <c r="G435" s="135">
        <v>368</v>
      </c>
      <c r="H435" s="137">
        <v>13.1</v>
      </c>
      <c r="I435" s="134"/>
      <c r="J435" s="137">
        <v>4.5999999999999996</v>
      </c>
      <c r="K435" s="134"/>
      <c r="L435" s="136">
        <v>55.000000000000007</v>
      </c>
      <c r="M435" s="136"/>
      <c r="N435" s="159"/>
      <c r="O435" s="159"/>
      <c r="P435" s="136" t="s">
        <v>173</v>
      </c>
    </row>
    <row r="436" spans="1:16" ht="16.5" customHeight="1" x14ac:dyDescent="0.25">
      <c r="A436" s="156">
        <v>44593</v>
      </c>
      <c r="B436" s="136" t="s">
        <v>4</v>
      </c>
      <c r="C436" s="157" t="str">
        <f t="shared" si="12"/>
        <v>01.02.2022_KIN3</v>
      </c>
      <c r="D436" s="190">
        <f t="shared" si="13"/>
        <v>0</v>
      </c>
      <c r="E436" s="133">
        <v>8.06</v>
      </c>
      <c r="F436" s="134"/>
      <c r="G436" s="135">
        <v>353</v>
      </c>
      <c r="H436" s="137">
        <v>13.1</v>
      </c>
      <c r="I436" s="134"/>
      <c r="J436" s="137">
        <v>4.5</v>
      </c>
      <c r="K436" s="134"/>
      <c r="L436" s="136">
        <v>100</v>
      </c>
      <c r="M436" s="136"/>
      <c r="N436" s="159"/>
      <c r="O436" s="159"/>
      <c r="P436" s="136" t="s">
        <v>160</v>
      </c>
    </row>
    <row r="437" spans="1:16" ht="16.5" customHeight="1" x14ac:dyDescent="0.25">
      <c r="A437" s="156">
        <v>44593</v>
      </c>
      <c r="B437" s="136" t="s">
        <v>6</v>
      </c>
      <c r="C437" s="157" t="str">
        <f t="shared" si="12"/>
        <v>01.02.2022_KIN4</v>
      </c>
      <c r="D437" s="190">
        <f t="shared" si="13"/>
        <v>0</v>
      </c>
      <c r="E437" s="133">
        <v>7.98</v>
      </c>
      <c r="F437" s="134"/>
      <c r="G437" s="135">
        <v>369</v>
      </c>
      <c r="H437" s="137">
        <v>13</v>
      </c>
      <c r="I437" s="134"/>
      <c r="J437" s="137">
        <v>4.4000000000000004</v>
      </c>
      <c r="K437" s="134"/>
      <c r="L437" s="136">
        <v>80</v>
      </c>
      <c r="M437" s="136"/>
      <c r="N437" s="159"/>
      <c r="O437" s="159"/>
      <c r="P437" s="136" t="s">
        <v>174</v>
      </c>
    </row>
    <row r="438" spans="1:16" ht="16.5" customHeight="1" x14ac:dyDescent="0.25">
      <c r="A438" s="156">
        <v>44593</v>
      </c>
      <c r="B438" s="136" t="s">
        <v>18</v>
      </c>
      <c r="C438" s="157" t="str">
        <f t="shared" si="12"/>
        <v>01.02.2022_ORB1</v>
      </c>
      <c r="D438" s="190">
        <f t="shared" si="13"/>
        <v>0</v>
      </c>
      <c r="E438" s="133">
        <v>7.36</v>
      </c>
      <c r="F438" s="134"/>
      <c r="G438" s="135">
        <v>147.9</v>
      </c>
      <c r="H438" s="137">
        <v>12.7</v>
      </c>
      <c r="I438" s="134"/>
      <c r="J438" s="137">
        <v>7.6</v>
      </c>
      <c r="K438" s="134"/>
      <c r="L438" s="136">
        <v>30</v>
      </c>
      <c r="M438" s="136"/>
      <c r="N438" s="159"/>
      <c r="O438" s="159"/>
      <c r="P438" s="136" t="s">
        <v>174</v>
      </c>
    </row>
    <row r="439" spans="1:16" ht="16.5" customHeight="1" x14ac:dyDescent="0.25">
      <c r="A439" s="156">
        <v>44593</v>
      </c>
      <c r="B439" s="136" t="s">
        <v>21</v>
      </c>
      <c r="C439" s="157" t="str">
        <f t="shared" si="12"/>
        <v>01.02.2022_ORB2</v>
      </c>
      <c r="D439" s="190">
        <f t="shared" si="13"/>
        <v>0</v>
      </c>
      <c r="E439" s="133">
        <v>7.24</v>
      </c>
      <c r="F439" s="134"/>
      <c r="G439" s="135">
        <v>161.30000000000001</v>
      </c>
      <c r="H439" s="137">
        <v>12.6</v>
      </c>
      <c r="I439" s="134"/>
      <c r="J439" s="137">
        <v>7.3</v>
      </c>
      <c r="K439" s="134"/>
      <c r="L439" s="136">
        <v>35</v>
      </c>
      <c r="M439" s="136"/>
      <c r="N439" s="159"/>
      <c r="O439" s="159"/>
      <c r="P439" s="136" t="s">
        <v>173</v>
      </c>
    </row>
    <row r="440" spans="1:16" ht="16.5" customHeight="1" x14ac:dyDescent="0.25">
      <c r="A440" s="156">
        <v>44593</v>
      </c>
      <c r="B440" s="136" t="s">
        <v>10</v>
      </c>
      <c r="C440" s="157" t="str">
        <f t="shared" si="12"/>
        <v>01.02.2022_SAL1</v>
      </c>
      <c r="D440" s="190">
        <f t="shared" si="13"/>
        <v>0</v>
      </c>
      <c r="E440" s="133">
        <v>7.83</v>
      </c>
      <c r="F440" s="134"/>
      <c r="G440" s="135">
        <v>167.5</v>
      </c>
      <c r="H440" s="137">
        <v>14.6</v>
      </c>
      <c r="I440" s="134"/>
      <c r="J440" s="137">
        <v>4.4000000000000004</v>
      </c>
      <c r="K440" s="134"/>
      <c r="L440" s="136">
        <v>75</v>
      </c>
      <c r="M440" s="136"/>
      <c r="N440" s="159"/>
      <c r="O440" s="159"/>
      <c r="P440" s="136" t="s">
        <v>174</v>
      </c>
    </row>
    <row r="441" spans="1:16" ht="16.5" customHeight="1" x14ac:dyDescent="0.25">
      <c r="A441" s="156">
        <v>44593</v>
      </c>
      <c r="B441" s="136" t="s">
        <v>12</v>
      </c>
      <c r="C441" s="157" t="str">
        <f t="shared" si="12"/>
        <v>01.02.2022_SAL2</v>
      </c>
      <c r="D441" s="190">
        <f t="shared" si="13"/>
        <v>0</v>
      </c>
      <c r="E441" s="133">
        <v>7.84</v>
      </c>
      <c r="F441" s="134"/>
      <c r="G441" s="135">
        <v>182.8</v>
      </c>
      <c r="H441" s="137">
        <v>14</v>
      </c>
      <c r="I441" s="134"/>
      <c r="J441" s="137">
        <v>4.4000000000000004</v>
      </c>
      <c r="K441" s="134"/>
      <c r="L441" s="136">
        <v>70</v>
      </c>
      <c r="M441" s="136"/>
      <c r="N441" s="159"/>
      <c r="O441" s="159"/>
      <c r="P441" s="136" t="s">
        <v>174</v>
      </c>
    </row>
    <row r="442" spans="1:16" ht="16.5" customHeight="1" x14ac:dyDescent="0.25">
      <c r="A442" s="156">
        <v>44593</v>
      </c>
      <c r="B442" s="136" t="s">
        <v>7</v>
      </c>
      <c r="C442" s="157" t="str">
        <f t="shared" si="12"/>
        <v>01.02.2022_STE1</v>
      </c>
      <c r="D442" s="190">
        <f t="shared" si="13"/>
        <v>0</v>
      </c>
      <c r="E442" s="133">
        <v>7.78</v>
      </c>
      <c r="F442" s="134"/>
      <c r="G442" s="135">
        <v>205</v>
      </c>
      <c r="H442" s="137">
        <v>13.3</v>
      </c>
      <c r="I442" s="134"/>
      <c r="J442" s="137">
        <v>4.5</v>
      </c>
      <c r="K442" s="134"/>
      <c r="L442" s="136">
        <v>60</v>
      </c>
      <c r="M442" s="136"/>
      <c r="N442" s="159"/>
      <c r="O442" s="159"/>
      <c r="P442" s="136"/>
    </row>
    <row r="443" spans="1:16" ht="16.5" customHeight="1" x14ac:dyDescent="0.25">
      <c r="A443" s="156">
        <v>44593</v>
      </c>
      <c r="B443" s="136" t="s">
        <v>9</v>
      </c>
      <c r="C443" s="157" t="str">
        <f t="shared" si="12"/>
        <v>01.02.2022_STE2</v>
      </c>
      <c r="D443" s="190">
        <f t="shared" si="13"/>
        <v>0</v>
      </c>
      <c r="E443" s="133">
        <v>7.87</v>
      </c>
      <c r="F443" s="134"/>
      <c r="G443" s="135">
        <v>219</v>
      </c>
      <c r="H443" s="137">
        <v>13.2</v>
      </c>
      <c r="I443" s="134"/>
      <c r="J443" s="137">
        <v>4.2</v>
      </c>
      <c r="K443" s="134"/>
      <c r="L443" s="136">
        <v>75</v>
      </c>
      <c r="M443" s="136"/>
      <c r="N443" s="159"/>
      <c r="O443" s="159"/>
      <c r="P443" s="136"/>
    </row>
    <row r="444" spans="1:16" ht="16.5" customHeight="1" x14ac:dyDescent="0.25">
      <c r="A444" s="156">
        <v>44607</v>
      </c>
      <c r="B444" s="136" t="s">
        <v>22</v>
      </c>
      <c r="C444" s="157" t="str">
        <f t="shared" si="12"/>
        <v>15.02.2022_BIE1</v>
      </c>
      <c r="D444" s="190">
        <f t="shared" si="13"/>
        <v>0</v>
      </c>
      <c r="E444" s="133">
        <v>7.77</v>
      </c>
      <c r="F444" s="134"/>
      <c r="G444" s="135">
        <v>137.30000000000001</v>
      </c>
      <c r="H444" s="137">
        <v>12.9</v>
      </c>
      <c r="I444" s="134"/>
      <c r="J444" s="137">
        <v>7.6</v>
      </c>
      <c r="K444" s="134"/>
      <c r="L444" s="136">
        <v>40</v>
      </c>
      <c r="M444" s="136"/>
      <c r="N444" s="159"/>
      <c r="O444" s="159"/>
      <c r="P444" s="136"/>
    </row>
    <row r="445" spans="1:16" ht="16.5" customHeight="1" x14ac:dyDescent="0.25">
      <c r="A445" s="156">
        <v>44607</v>
      </c>
      <c r="B445" s="136" t="s">
        <v>25</v>
      </c>
      <c r="C445" s="157" t="str">
        <f t="shared" si="12"/>
        <v>15.02.2022_BIE2</v>
      </c>
      <c r="D445" s="190">
        <f t="shared" si="13"/>
        <v>0</v>
      </c>
      <c r="E445" s="133">
        <v>7.73</v>
      </c>
      <c r="F445" s="134"/>
      <c r="G445" s="135">
        <v>138</v>
      </c>
      <c r="H445" s="137">
        <v>12.9</v>
      </c>
      <c r="I445" s="134"/>
      <c r="J445" s="137">
        <v>8</v>
      </c>
      <c r="K445" s="134"/>
      <c r="L445" s="136">
        <v>60</v>
      </c>
      <c r="M445" s="136"/>
      <c r="N445" s="159"/>
      <c r="O445" s="159"/>
      <c r="P445" s="136"/>
    </row>
    <row r="446" spans="1:16" ht="16.5" customHeight="1" x14ac:dyDescent="0.25">
      <c r="A446" s="156">
        <v>44607</v>
      </c>
      <c r="B446" s="136" t="s">
        <v>30</v>
      </c>
      <c r="C446" s="157" t="str">
        <f t="shared" si="12"/>
        <v>15.02.2022_FAL1</v>
      </c>
      <c r="D446" s="190">
        <f t="shared" si="13"/>
        <v>0</v>
      </c>
      <c r="E446" s="133">
        <v>8.11</v>
      </c>
      <c r="F446" s="134"/>
      <c r="G446" s="135">
        <v>768</v>
      </c>
      <c r="H446" s="137">
        <v>12</v>
      </c>
      <c r="I446" s="134"/>
      <c r="J446" s="137">
        <v>8.1</v>
      </c>
      <c r="K446" s="134"/>
      <c r="L446" s="136">
        <v>70</v>
      </c>
      <c r="M446" s="136"/>
      <c r="N446" s="159"/>
      <c r="O446" s="159"/>
      <c r="P446" s="136"/>
    </row>
    <row r="447" spans="1:16" ht="16.5" customHeight="1" x14ac:dyDescent="0.25">
      <c r="A447" s="156">
        <v>44607</v>
      </c>
      <c r="B447" s="136" t="s">
        <v>32</v>
      </c>
      <c r="C447" s="157" t="str">
        <f t="shared" si="12"/>
        <v>15.02.2022_FAL2</v>
      </c>
      <c r="D447" s="190">
        <f t="shared" si="13"/>
        <v>0</v>
      </c>
      <c r="E447" s="133">
        <v>8.27</v>
      </c>
      <c r="F447" s="134"/>
      <c r="G447" s="135">
        <v>783</v>
      </c>
      <c r="H447" s="137">
        <v>12.5</v>
      </c>
      <c r="I447" s="134"/>
      <c r="J447" s="137">
        <v>7.4</v>
      </c>
      <c r="K447" s="134"/>
      <c r="L447" s="136">
        <v>90</v>
      </c>
      <c r="M447" s="136"/>
      <c r="N447" s="159"/>
      <c r="O447" s="159"/>
      <c r="P447" s="136" t="s">
        <v>164</v>
      </c>
    </row>
    <row r="448" spans="1:16" ht="16.5" customHeight="1" x14ac:dyDescent="0.25">
      <c r="A448" s="156">
        <v>44607</v>
      </c>
      <c r="B448" s="136" t="s">
        <v>26</v>
      </c>
      <c r="C448" s="157" t="str">
        <f t="shared" si="12"/>
        <v>15.02.2022_GRU1</v>
      </c>
      <c r="D448" s="190">
        <f t="shared" si="13"/>
        <v>0</v>
      </c>
      <c r="E448" s="133">
        <v>7.7</v>
      </c>
      <c r="F448" s="134"/>
      <c r="G448" s="135">
        <v>147.1</v>
      </c>
      <c r="H448" s="137">
        <v>13.2</v>
      </c>
      <c r="I448" s="134"/>
      <c r="J448" s="137">
        <v>6.1</v>
      </c>
      <c r="K448" s="134"/>
      <c r="L448" s="136">
        <v>35</v>
      </c>
      <c r="M448" s="136"/>
      <c r="N448" s="159"/>
      <c r="O448" s="159"/>
      <c r="P448" s="136"/>
    </row>
    <row r="449" spans="1:16" ht="16.5" customHeight="1" x14ac:dyDescent="0.25">
      <c r="A449" s="156">
        <v>44607</v>
      </c>
      <c r="B449" s="136" t="s">
        <v>28</v>
      </c>
      <c r="C449" s="157" t="str">
        <f t="shared" si="12"/>
        <v>15.02.2022_GRU2</v>
      </c>
      <c r="D449" s="190">
        <f t="shared" si="13"/>
        <v>0</v>
      </c>
      <c r="E449" s="133">
        <v>7.66</v>
      </c>
      <c r="F449" s="134"/>
      <c r="G449" s="135">
        <v>156.5</v>
      </c>
      <c r="H449" s="137">
        <v>13.1</v>
      </c>
      <c r="I449" s="134"/>
      <c r="J449" s="137">
        <v>6.3</v>
      </c>
      <c r="K449" s="134"/>
      <c r="L449" s="136">
        <v>50</v>
      </c>
      <c r="M449" s="136"/>
      <c r="N449" s="159"/>
      <c r="O449" s="159"/>
      <c r="P449" s="136"/>
    </row>
    <row r="450" spans="1:16" ht="16.5" customHeight="1" x14ac:dyDescent="0.25">
      <c r="A450" s="156">
        <v>44607</v>
      </c>
      <c r="B450" s="136" t="s">
        <v>34</v>
      </c>
      <c r="C450" s="157" t="str">
        <f t="shared" si="12"/>
        <v>15.02.2022_KRE1</v>
      </c>
      <c r="D450" s="190">
        <f t="shared" si="13"/>
        <v>0</v>
      </c>
      <c r="E450" s="133">
        <v>8.15</v>
      </c>
      <c r="F450" s="134"/>
      <c r="G450" s="135">
        <v>842</v>
      </c>
      <c r="H450" s="137">
        <v>12.2</v>
      </c>
      <c r="I450" s="134"/>
      <c r="J450" s="137">
        <v>6.4</v>
      </c>
      <c r="K450" s="134"/>
      <c r="L450" s="136">
        <v>80</v>
      </c>
      <c r="M450" s="136"/>
      <c r="N450" s="159"/>
      <c r="O450" s="159"/>
      <c r="P450" s="136"/>
    </row>
    <row r="451" spans="1:16" ht="16.5" customHeight="1" x14ac:dyDescent="0.25">
      <c r="A451" s="156">
        <v>44607</v>
      </c>
      <c r="B451" s="136" t="s">
        <v>37</v>
      </c>
      <c r="C451" s="157" t="str">
        <f t="shared" si="12"/>
        <v>15.02.2022_KRE2</v>
      </c>
      <c r="D451" s="190">
        <f t="shared" si="13"/>
        <v>0</v>
      </c>
      <c r="E451" s="133">
        <v>8.27</v>
      </c>
      <c r="F451" s="134"/>
      <c r="G451" s="135">
        <v>854</v>
      </c>
      <c r="H451" s="137">
        <v>11.7</v>
      </c>
      <c r="I451" s="134"/>
      <c r="J451" s="137">
        <v>6.4</v>
      </c>
      <c r="K451" s="134"/>
      <c r="L451" s="136">
        <v>60</v>
      </c>
      <c r="M451" s="136"/>
      <c r="N451" s="159"/>
      <c r="O451" s="159"/>
      <c r="P451" s="136"/>
    </row>
    <row r="452" spans="1:16" ht="16.5" customHeight="1" x14ac:dyDescent="0.25">
      <c r="A452" s="156">
        <v>44607</v>
      </c>
      <c r="B452" s="136" t="s">
        <v>14</v>
      </c>
      <c r="C452" s="157" t="str">
        <f t="shared" si="12"/>
        <v>15.02.2022_BRA1</v>
      </c>
      <c r="D452" s="190">
        <f t="shared" si="13"/>
        <v>0</v>
      </c>
      <c r="E452" s="133">
        <v>7.62</v>
      </c>
      <c r="F452" s="134"/>
      <c r="G452" s="135">
        <v>154</v>
      </c>
      <c r="H452" s="137">
        <v>13</v>
      </c>
      <c r="I452" s="134"/>
      <c r="J452" s="137">
        <v>5.5</v>
      </c>
      <c r="K452" s="134"/>
      <c r="L452" s="136">
        <v>45</v>
      </c>
      <c r="M452" s="136"/>
      <c r="N452" s="159"/>
      <c r="O452" s="159"/>
      <c r="P452" s="136"/>
    </row>
    <row r="453" spans="1:16" ht="16.5" customHeight="1" x14ac:dyDescent="0.25">
      <c r="A453" s="156">
        <v>44607</v>
      </c>
      <c r="B453" s="136" t="s">
        <v>17</v>
      </c>
      <c r="C453" s="157" t="str">
        <f t="shared" ref="C453:C516" si="14">CONCATENATE(TEXT(A453,"TT.MM.JJJJ"),"_",B453)</f>
        <v>15.02.2022_BRA2</v>
      </c>
      <c r="D453" s="190">
        <f t="shared" ref="D453:D516" si="15">COUNTBLANK(E453)+COUNTBLANK(G453:H453)+COUNTBLANK(J453)+COUNTBLANK(L453)</f>
        <v>0</v>
      </c>
      <c r="E453" s="133">
        <v>7.88</v>
      </c>
      <c r="F453" s="134"/>
      <c r="G453" s="135">
        <v>163.5</v>
      </c>
      <c r="H453" s="137">
        <v>13.2</v>
      </c>
      <c r="I453" s="134"/>
      <c r="J453" s="137">
        <v>6.4</v>
      </c>
      <c r="K453" s="134"/>
      <c r="L453" s="136">
        <v>40</v>
      </c>
      <c r="M453" s="136"/>
      <c r="N453" s="159"/>
      <c r="O453" s="159"/>
      <c r="P453" s="136"/>
    </row>
    <row r="454" spans="1:16" ht="16.5" customHeight="1" x14ac:dyDescent="0.25">
      <c r="A454" s="156">
        <v>44607</v>
      </c>
      <c r="B454" s="136" t="s">
        <v>0</v>
      </c>
      <c r="C454" s="157" t="str">
        <f t="shared" si="14"/>
        <v>15.02.2022_KIN1</v>
      </c>
      <c r="D454" s="190">
        <f t="shared" si="15"/>
        <v>0</v>
      </c>
      <c r="E454" s="133">
        <v>8.32</v>
      </c>
      <c r="F454" s="134"/>
      <c r="G454" s="135">
        <v>345</v>
      </c>
      <c r="H454" s="137">
        <v>14.1</v>
      </c>
      <c r="I454" s="134"/>
      <c r="J454" s="137">
        <v>6</v>
      </c>
      <c r="K454" s="134"/>
      <c r="L454" s="136">
        <v>45</v>
      </c>
      <c r="M454" s="136"/>
      <c r="N454" s="159"/>
      <c r="O454" s="159"/>
      <c r="P454" s="136" t="s">
        <v>173</v>
      </c>
    </row>
    <row r="455" spans="1:16" ht="16.5" customHeight="1" x14ac:dyDescent="0.25">
      <c r="A455" s="156">
        <v>44607</v>
      </c>
      <c r="B455" s="136" t="s">
        <v>2</v>
      </c>
      <c r="C455" s="157" t="str">
        <f t="shared" si="14"/>
        <v>15.02.2022_KIN2</v>
      </c>
      <c r="D455" s="190">
        <f t="shared" si="15"/>
        <v>0</v>
      </c>
      <c r="E455" s="133">
        <v>8.1300000000000008</v>
      </c>
      <c r="F455" s="134"/>
      <c r="G455" s="135">
        <v>402</v>
      </c>
      <c r="H455" s="137">
        <v>14.5</v>
      </c>
      <c r="I455" s="134"/>
      <c r="J455" s="137">
        <v>6.5</v>
      </c>
      <c r="K455" s="134"/>
      <c r="L455" s="136">
        <v>45</v>
      </c>
      <c r="M455" s="136"/>
      <c r="N455" s="159"/>
      <c r="O455" s="159"/>
      <c r="P455" s="136" t="s">
        <v>173</v>
      </c>
    </row>
    <row r="456" spans="1:16" ht="16.5" customHeight="1" x14ac:dyDescent="0.25">
      <c r="A456" s="156">
        <v>44607</v>
      </c>
      <c r="B456" s="136" t="s">
        <v>4</v>
      </c>
      <c r="C456" s="157" t="str">
        <f t="shared" si="14"/>
        <v>15.02.2022_KIN3</v>
      </c>
      <c r="D456" s="190">
        <f t="shared" si="15"/>
        <v>0</v>
      </c>
      <c r="E456" s="133">
        <v>7.55</v>
      </c>
      <c r="F456" s="134"/>
      <c r="G456" s="135">
        <v>388</v>
      </c>
      <c r="H456" s="137">
        <v>14.8</v>
      </c>
      <c r="I456" s="134"/>
      <c r="J456" s="137">
        <v>6.6</v>
      </c>
      <c r="K456" s="134"/>
      <c r="L456" s="136">
        <v>90</v>
      </c>
      <c r="M456" s="136"/>
      <c r="N456" s="159"/>
      <c r="O456" s="159"/>
      <c r="P456" s="136" t="s">
        <v>160</v>
      </c>
    </row>
    <row r="457" spans="1:16" ht="16.5" customHeight="1" x14ac:dyDescent="0.25">
      <c r="A457" s="156">
        <v>44607</v>
      </c>
      <c r="B457" s="136" t="s">
        <v>6</v>
      </c>
      <c r="C457" s="157" t="str">
        <f t="shared" si="14"/>
        <v>15.02.2022_KIN4</v>
      </c>
      <c r="D457" s="190">
        <f t="shared" si="15"/>
        <v>0</v>
      </c>
      <c r="E457" s="133">
        <v>8.16</v>
      </c>
      <c r="F457" s="134"/>
      <c r="G457" s="135">
        <v>409</v>
      </c>
      <c r="H457" s="137">
        <v>14.6</v>
      </c>
      <c r="I457" s="134"/>
      <c r="J457" s="137">
        <v>6.8</v>
      </c>
      <c r="K457" s="134"/>
      <c r="L457" s="136">
        <v>70</v>
      </c>
      <c r="M457" s="136"/>
      <c r="N457" s="159"/>
      <c r="O457" s="159"/>
      <c r="P457" s="136" t="s">
        <v>174</v>
      </c>
    </row>
    <row r="458" spans="1:16" ht="16.5" customHeight="1" x14ac:dyDescent="0.25">
      <c r="A458" s="156">
        <v>44607</v>
      </c>
      <c r="B458" s="136" t="s">
        <v>18</v>
      </c>
      <c r="C458" s="157" t="str">
        <f t="shared" si="14"/>
        <v>15.02.2022_ORB1</v>
      </c>
      <c r="D458" s="190">
        <f t="shared" si="15"/>
        <v>0</v>
      </c>
      <c r="E458" s="133">
        <v>7.45</v>
      </c>
      <c r="F458" s="134"/>
      <c r="G458" s="135">
        <v>123.4</v>
      </c>
      <c r="H458" s="137">
        <v>12.6</v>
      </c>
      <c r="I458" s="134"/>
      <c r="J458" s="137">
        <v>8.3000000000000007</v>
      </c>
      <c r="K458" s="134"/>
      <c r="L458" s="136">
        <v>25</v>
      </c>
      <c r="M458" s="136"/>
      <c r="N458" s="159"/>
      <c r="O458" s="159"/>
      <c r="P458" s="136" t="s">
        <v>174</v>
      </c>
    </row>
    <row r="459" spans="1:16" ht="16.5" customHeight="1" x14ac:dyDescent="0.25">
      <c r="A459" s="156">
        <v>44607</v>
      </c>
      <c r="B459" s="136" t="s">
        <v>21</v>
      </c>
      <c r="C459" s="157" t="str">
        <f t="shared" si="14"/>
        <v>15.02.2022_ORB2</v>
      </c>
      <c r="D459" s="190">
        <f t="shared" si="15"/>
        <v>0</v>
      </c>
      <c r="E459" s="133">
        <v>7.28</v>
      </c>
      <c r="F459" s="134"/>
      <c r="G459" s="135">
        <v>130.19999999999999</v>
      </c>
      <c r="H459" s="137">
        <v>12.4</v>
      </c>
      <c r="I459" s="134"/>
      <c r="J459" s="137">
        <v>8.3000000000000007</v>
      </c>
      <c r="K459" s="134"/>
      <c r="L459" s="136">
        <v>45</v>
      </c>
      <c r="M459" s="136"/>
      <c r="N459" s="159"/>
      <c r="O459" s="159"/>
      <c r="P459" s="136" t="s">
        <v>173</v>
      </c>
    </row>
    <row r="460" spans="1:16" ht="16.5" customHeight="1" x14ac:dyDescent="0.25">
      <c r="A460" s="156">
        <v>44607</v>
      </c>
      <c r="B460" s="136" t="s">
        <v>10</v>
      </c>
      <c r="C460" s="157" t="str">
        <f t="shared" si="14"/>
        <v>15.02.2022_SAL1</v>
      </c>
      <c r="D460" s="190">
        <f t="shared" si="15"/>
        <v>0</v>
      </c>
      <c r="E460" s="133">
        <v>7.89</v>
      </c>
      <c r="F460" s="134"/>
      <c r="G460" s="135">
        <v>157.30000000000001</v>
      </c>
      <c r="H460" s="137">
        <v>12.8</v>
      </c>
      <c r="I460" s="134"/>
      <c r="J460" s="137">
        <v>5.0999999999999996</v>
      </c>
      <c r="K460" s="134"/>
      <c r="L460" s="136">
        <v>80</v>
      </c>
      <c r="M460" s="136"/>
      <c r="N460" s="159"/>
      <c r="O460" s="159"/>
      <c r="P460" s="136" t="s">
        <v>174</v>
      </c>
    </row>
    <row r="461" spans="1:16" ht="16.5" customHeight="1" x14ac:dyDescent="0.25">
      <c r="A461" s="156">
        <v>44607</v>
      </c>
      <c r="B461" s="136" t="s">
        <v>12</v>
      </c>
      <c r="C461" s="157" t="str">
        <f t="shared" si="14"/>
        <v>15.02.2022_SAL2</v>
      </c>
      <c r="D461" s="190">
        <f t="shared" si="15"/>
        <v>0</v>
      </c>
      <c r="E461" s="133">
        <v>7.97</v>
      </c>
      <c r="F461" s="134"/>
      <c r="G461" s="135">
        <v>165.1</v>
      </c>
      <c r="H461" s="137">
        <v>13.3</v>
      </c>
      <c r="I461" s="134"/>
      <c r="J461" s="137">
        <v>5.6</v>
      </c>
      <c r="K461" s="134"/>
      <c r="L461" s="136">
        <v>60</v>
      </c>
      <c r="M461" s="136"/>
      <c r="N461" s="159"/>
      <c r="O461" s="159"/>
      <c r="P461" s="136" t="s">
        <v>174</v>
      </c>
    </row>
    <row r="462" spans="1:16" ht="16.5" customHeight="1" x14ac:dyDescent="0.25">
      <c r="A462" s="156">
        <v>44607</v>
      </c>
      <c r="B462" s="136" t="s">
        <v>7</v>
      </c>
      <c r="C462" s="157" t="str">
        <f t="shared" si="14"/>
        <v>15.02.2022_STE1</v>
      </c>
      <c r="D462" s="190">
        <f t="shared" si="15"/>
        <v>0</v>
      </c>
      <c r="E462" s="133">
        <v>7.97</v>
      </c>
      <c r="F462" s="134"/>
      <c r="G462" s="135">
        <v>225</v>
      </c>
      <c r="H462" s="137">
        <v>15</v>
      </c>
      <c r="I462" s="134"/>
      <c r="J462" s="137">
        <v>6.4</v>
      </c>
      <c r="K462" s="134"/>
      <c r="L462" s="136">
        <v>50</v>
      </c>
      <c r="M462" s="136"/>
      <c r="N462" s="159"/>
      <c r="O462" s="159"/>
      <c r="P462" s="136"/>
    </row>
    <row r="463" spans="1:16" ht="16.5" customHeight="1" x14ac:dyDescent="0.25">
      <c r="A463" s="156">
        <v>44607</v>
      </c>
      <c r="B463" s="136" t="s">
        <v>9</v>
      </c>
      <c r="C463" s="157" t="str">
        <f t="shared" si="14"/>
        <v>15.02.2022_STE2</v>
      </c>
      <c r="D463" s="190">
        <f t="shared" si="15"/>
        <v>0</v>
      </c>
      <c r="E463" s="133">
        <v>8.06</v>
      </c>
      <c r="F463" s="134"/>
      <c r="G463" s="135">
        <v>233</v>
      </c>
      <c r="H463" s="137">
        <v>15.2</v>
      </c>
      <c r="I463" s="134"/>
      <c r="J463" s="137">
        <v>6.6</v>
      </c>
      <c r="K463" s="134"/>
      <c r="L463" s="136">
        <v>75</v>
      </c>
      <c r="M463" s="136"/>
      <c r="N463" s="159"/>
      <c r="O463" s="159"/>
      <c r="P463" s="136" t="s">
        <v>173</v>
      </c>
    </row>
    <row r="464" spans="1:16" ht="16.5" customHeight="1" x14ac:dyDescent="0.25">
      <c r="A464" s="156">
        <v>44621</v>
      </c>
      <c r="B464" s="136" t="s">
        <v>22</v>
      </c>
      <c r="C464" s="157" t="str">
        <f t="shared" si="14"/>
        <v>01.03.2022_BIE1</v>
      </c>
      <c r="D464" s="190">
        <f t="shared" si="15"/>
        <v>0</v>
      </c>
      <c r="E464" s="133">
        <v>7.7</v>
      </c>
      <c r="F464" s="134"/>
      <c r="G464" s="135">
        <v>142.9</v>
      </c>
      <c r="H464" s="137">
        <v>12.6</v>
      </c>
      <c r="I464" s="134"/>
      <c r="J464" s="137">
        <v>5.0999999999999996</v>
      </c>
      <c r="K464" s="134"/>
      <c r="L464" s="136">
        <v>45</v>
      </c>
      <c r="M464" s="136"/>
      <c r="N464" s="159"/>
      <c r="O464" s="159"/>
      <c r="P464" s="136"/>
    </row>
    <row r="465" spans="1:16" ht="16.5" customHeight="1" x14ac:dyDescent="0.25">
      <c r="A465" s="156">
        <v>44621</v>
      </c>
      <c r="B465" s="136" t="s">
        <v>25</v>
      </c>
      <c r="C465" s="157" t="str">
        <f t="shared" si="14"/>
        <v>01.03.2022_BIE2</v>
      </c>
      <c r="D465" s="190">
        <f t="shared" si="15"/>
        <v>0</v>
      </c>
      <c r="E465" s="133">
        <v>7.08</v>
      </c>
      <c r="F465" s="134"/>
      <c r="G465" s="135">
        <v>143.6</v>
      </c>
      <c r="H465" s="137">
        <v>13.1</v>
      </c>
      <c r="I465" s="134"/>
      <c r="J465" s="137">
        <v>5.2</v>
      </c>
      <c r="K465" s="134"/>
      <c r="L465" s="136">
        <v>60</v>
      </c>
      <c r="M465" s="136"/>
      <c r="N465" s="159"/>
      <c r="O465" s="159"/>
      <c r="P465" s="136"/>
    </row>
    <row r="466" spans="1:16" ht="16.5" customHeight="1" x14ac:dyDescent="0.25">
      <c r="A466" s="156">
        <v>44621</v>
      </c>
      <c r="B466" s="136" t="s">
        <v>30</v>
      </c>
      <c r="C466" s="157" t="str">
        <f t="shared" si="14"/>
        <v>01.03.2022_FAL1</v>
      </c>
      <c r="D466" s="190">
        <f t="shared" si="15"/>
        <v>0</v>
      </c>
      <c r="E466" s="133">
        <v>7.97</v>
      </c>
      <c r="F466" s="134"/>
      <c r="G466" s="135">
        <v>796</v>
      </c>
      <c r="H466" s="137">
        <v>12.5</v>
      </c>
      <c r="I466" s="134"/>
      <c r="J466" s="137">
        <v>5.4</v>
      </c>
      <c r="K466" s="134"/>
      <c r="L466" s="136">
        <v>70</v>
      </c>
      <c r="M466" s="136"/>
      <c r="N466" s="159" t="s">
        <v>380</v>
      </c>
      <c r="O466" s="159"/>
      <c r="P466" s="136"/>
    </row>
    <row r="467" spans="1:16" ht="16.5" customHeight="1" x14ac:dyDescent="0.25">
      <c r="A467" s="156">
        <v>44621</v>
      </c>
      <c r="B467" s="136" t="s">
        <v>32</v>
      </c>
      <c r="C467" s="157" t="str">
        <f t="shared" si="14"/>
        <v>01.03.2022_FAL2</v>
      </c>
      <c r="D467" s="190">
        <f t="shared" si="15"/>
        <v>0</v>
      </c>
      <c r="E467" s="133">
        <v>8.18</v>
      </c>
      <c r="F467" s="134"/>
      <c r="G467" s="135">
        <v>816</v>
      </c>
      <c r="H467" s="137">
        <v>13.1</v>
      </c>
      <c r="I467" s="134"/>
      <c r="J467" s="137">
        <v>5.4</v>
      </c>
      <c r="K467" s="134"/>
      <c r="L467" s="136">
        <v>90</v>
      </c>
      <c r="M467" s="136"/>
      <c r="N467" s="159"/>
      <c r="O467" s="159"/>
      <c r="P467" s="136" t="s">
        <v>164</v>
      </c>
    </row>
    <row r="468" spans="1:16" ht="16.5" customHeight="1" x14ac:dyDescent="0.25">
      <c r="A468" s="156">
        <v>44621</v>
      </c>
      <c r="B468" s="136" t="s">
        <v>26</v>
      </c>
      <c r="C468" s="157" t="str">
        <f t="shared" si="14"/>
        <v>01.03.2022_GRU1</v>
      </c>
      <c r="D468" s="190">
        <f t="shared" si="15"/>
        <v>0</v>
      </c>
      <c r="E468" s="133">
        <v>7.66</v>
      </c>
      <c r="F468" s="134"/>
      <c r="G468" s="135">
        <v>140.4</v>
      </c>
      <c r="H468" s="137">
        <v>13.1</v>
      </c>
      <c r="I468" s="134"/>
      <c r="J468" s="137">
        <v>5.5</v>
      </c>
      <c r="K468" s="134"/>
      <c r="L468" s="136">
        <v>35</v>
      </c>
      <c r="M468" s="136"/>
      <c r="N468" s="159"/>
      <c r="O468" s="159"/>
      <c r="P468" s="136"/>
    </row>
    <row r="469" spans="1:16" ht="16.5" customHeight="1" x14ac:dyDescent="0.25">
      <c r="A469" s="156">
        <v>44621</v>
      </c>
      <c r="B469" s="136" t="s">
        <v>28</v>
      </c>
      <c r="C469" s="157" t="str">
        <f t="shared" si="14"/>
        <v>01.03.2022_GRU2</v>
      </c>
      <c r="D469" s="190">
        <f t="shared" si="15"/>
        <v>0</v>
      </c>
      <c r="E469" s="133">
        <v>7.58</v>
      </c>
      <c r="F469" s="134"/>
      <c r="G469" s="135">
        <v>154.19999999999999</v>
      </c>
      <c r="H469" s="137">
        <v>13.3</v>
      </c>
      <c r="I469" s="134"/>
      <c r="J469" s="137">
        <v>4.5999999999999996</v>
      </c>
      <c r="K469" s="134"/>
      <c r="L469" s="136">
        <v>50</v>
      </c>
      <c r="M469" s="136"/>
      <c r="N469" s="159"/>
      <c r="O469" s="159"/>
      <c r="P469" s="136"/>
    </row>
    <row r="470" spans="1:16" ht="16.5" customHeight="1" x14ac:dyDescent="0.25">
      <c r="A470" s="156">
        <v>44621</v>
      </c>
      <c r="B470" s="136" t="s">
        <v>34</v>
      </c>
      <c r="C470" s="157" t="str">
        <f t="shared" si="14"/>
        <v>01.03.2022_KRE1</v>
      </c>
      <c r="D470" s="190">
        <f t="shared" si="15"/>
        <v>0</v>
      </c>
      <c r="E470" s="133">
        <v>8.23</v>
      </c>
      <c r="F470" s="134"/>
      <c r="G470" s="135">
        <v>842</v>
      </c>
      <c r="H470" s="137">
        <v>12.9</v>
      </c>
      <c r="I470" s="134"/>
      <c r="J470" s="137">
        <v>4.3</v>
      </c>
      <c r="K470" s="134"/>
      <c r="L470" s="136">
        <v>80</v>
      </c>
      <c r="M470" s="136"/>
      <c r="N470" s="159"/>
      <c r="O470" s="159"/>
      <c r="P470" s="136"/>
    </row>
    <row r="471" spans="1:16" ht="16.5" customHeight="1" x14ac:dyDescent="0.25">
      <c r="A471" s="156">
        <v>44621</v>
      </c>
      <c r="B471" s="136" t="s">
        <v>37</v>
      </c>
      <c r="C471" s="157" t="str">
        <f t="shared" si="14"/>
        <v>01.03.2022_KRE2</v>
      </c>
      <c r="D471" s="190">
        <f t="shared" si="15"/>
        <v>0</v>
      </c>
      <c r="E471" s="133">
        <v>8.19</v>
      </c>
      <c r="F471" s="134"/>
      <c r="G471" s="135">
        <v>882</v>
      </c>
      <c r="H471" s="137">
        <v>12</v>
      </c>
      <c r="I471" s="134"/>
      <c r="J471" s="137">
        <v>3.9</v>
      </c>
      <c r="K471" s="134"/>
      <c r="L471" s="136">
        <v>60</v>
      </c>
      <c r="M471" s="136"/>
      <c r="N471" s="159"/>
      <c r="O471" s="159"/>
      <c r="P471" s="136"/>
    </row>
    <row r="472" spans="1:16" ht="16.5" customHeight="1" x14ac:dyDescent="0.25">
      <c r="A472" s="156">
        <v>44621</v>
      </c>
      <c r="B472" s="136" t="s">
        <v>14</v>
      </c>
      <c r="C472" s="157" t="str">
        <f t="shared" si="14"/>
        <v>01.03.2022_BRA1</v>
      </c>
      <c r="D472" s="190">
        <f t="shared" si="15"/>
        <v>0</v>
      </c>
      <c r="E472" s="133">
        <v>7.63</v>
      </c>
      <c r="F472" s="134"/>
      <c r="G472" s="135">
        <v>149.6</v>
      </c>
      <c r="H472" s="137">
        <v>13.4</v>
      </c>
      <c r="I472" s="134"/>
      <c r="J472" s="137">
        <v>3.4</v>
      </c>
      <c r="K472" s="134"/>
      <c r="L472" s="136">
        <v>40</v>
      </c>
      <c r="M472" s="136"/>
      <c r="N472" s="159"/>
      <c r="O472" s="159"/>
      <c r="P472" s="136"/>
    </row>
    <row r="473" spans="1:16" ht="16.5" customHeight="1" x14ac:dyDescent="0.25">
      <c r="A473" s="156">
        <v>44621</v>
      </c>
      <c r="B473" s="136" t="s">
        <v>17</v>
      </c>
      <c r="C473" s="157" t="str">
        <f t="shared" si="14"/>
        <v>01.03.2022_BRA2</v>
      </c>
      <c r="D473" s="190">
        <f t="shared" si="15"/>
        <v>0</v>
      </c>
      <c r="E473" s="133">
        <v>7.77</v>
      </c>
      <c r="F473" s="134"/>
      <c r="G473" s="135">
        <v>147.80000000000001</v>
      </c>
      <c r="H473" s="137">
        <v>12.8</v>
      </c>
      <c r="I473" s="134"/>
      <c r="J473" s="137">
        <v>4.7</v>
      </c>
      <c r="K473" s="134"/>
      <c r="L473" s="136">
        <v>35</v>
      </c>
      <c r="M473" s="136"/>
      <c r="N473" s="159" t="s">
        <v>277</v>
      </c>
      <c r="O473" s="159"/>
      <c r="P473" s="136"/>
    </row>
    <row r="474" spans="1:16" ht="16.5" customHeight="1" x14ac:dyDescent="0.25">
      <c r="A474" s="156">
        <v>44621</v>
      </c>
      <c r="B474" s="136" t="s">
        <v>0</v>
      </c>
      <c r="C474" s="157" t="str">
        <f t="shared" si="14"/>
        <v>01.03.2022_KIN1</v>
      </c>
      <c r="D474" s="190">
        <f t="shared" si="15"/>
        <v>0</v>
      </c>
      <c r="E474" s="133">
        <v>8.6</v>
      </c>
      <c r="F474" s="134"/>
      <c r="G474" s="135">
        <v>376</v>
      </c>
      <c r="H474" s="137">
        <v>13</v>
      </c>
      <c r="I474" s="134"/>
      <c r="J474" s="137">
        <v>3.3</v>
      </c>
      <c r="K474" s="134"/>
      <c r="L474" s="136">
        <v>35</v>
      </c>
      <c r="M474" s="136"/>
      <c r="N474" s="159"/>
      <c r="O474" s="159"/>
      <c r="P474" s="136" t="s">
        <v>174</v>
      </c>
    </row>
    <row r="475" spans="1:16" ht="16.5" customHeight="1" x14ac:dyDescent="0.25">
      <c r="A475" s="156">
        <v>44621</v>
      </c>
      <c r="B475" s="136" t="s">
        <v>2</v>
      </c>
      <c r="C475" s="157" t="str">
        <f t="shared" si="14"/>
        <v>01.03.2022_KIN2</v>
      </c>
      <c r="D475" s="190">
        <f t="shared" si="15"/>
        <v>0</v>
      </c>
      <c r="E475" s="133">
        <v>8.33</v>
      </c>
      <c r="F475" s="134"/>
      <c r="G475" s="135">
        <v>445</v>
      </c>
      <c r="H475" s="137">
        <v>13.3</v>
      </c>
      <c r="I475" s="134"/>
      <c r="J475" s="137">
        <v>4.0999999999999996</v>
      </c>
      <c r="K475" s="134"/>
      <c r="L475" s="136">
        <v>45</v>
      </c>
      <c r="M475" s="136"/>
      <c r="N475" s="159"/>
      <c r="O475" s="159"/>
      <c r="P475" s="136" t="s">
        <v>173</v>
      </c>
    </row>
    <row r="476" spans="1:16" ht="16.5" customHeight="1" x14ac:dyDescent="0.25">
      <c r="A476" s="156">
        <v>44621</v>
      </c>
      <c r="B476" s="136" t="s">
        <v>4</v>
      </c>
      <c r="C476" s="157" t="str">
        <f t="shared" si="14"/>
        <v>01.03.2022_KIN3</v>
      </c>
      <c r="D476" s="190">
        <f t="shared" si="15"/>
        <v>0</v>
      </c>
      <c r="E476" s="133">
        <v>8.3800000000000008</v>
      </c>
      <c r="F476" s="134"/>
      <c r="G476" s="135">
        <v>434</v>
      </c>
      <c r="H476" s="137">
        <v>13.7</v>
      </c>
      <c r="I476" s="134"/>
      <c r="J476" s="137">
        <v>4.3</v>
      </c>
      <c r="K476" s="134"/>
      <c r="L476" s="136">
        <v>95</v>
      </c>
      <c r="M476" s="136"/>
      <c r="N476" s="159"/>
      <c r="O476" s="159"/>
      <c r="P476" s="136" t="s">
        <v>174</v>
      </c>
    </row>
    <row r="477" spans="1:16" ht="16.5" customHeight="1" x14ac:dyDescent="0.25">
      <c r="A477" s="156">
        <v>44621</v>
      </c>
      <c r="B477" s="136" t="s">
        <v>6</v>
      </c>
      <c r="C477" s="157" t="str">
        <f t="shared" si="14"/>
        <v>01.03.2022_KIN4</v>
      </c>
      <c r="D477" s="190">
        <f t="shared" si="15"/>
        <v>0</v>
      </c>
      <c r="E477" s="133">
        <v>8.34</v>
      </c>
      <c r="F477" s="134"/>
      <c r="G477" s="135">
        <v>429</v>
      </c>
      <c r="H477" s="137">
        <v>13.2</v>
      </c>
      <c r="I477" s="134"/>
      <c r="J477" s="137">
        <v>4.3</v>
      </c>
      <c r="K477" s="134"/>
      <c r="L477" s="136">
        <v>70</v>
      </c>
      <c r="M477" s="136"/>
      <c r="N477" s="159"/>
      <c r="O477" s="159"/>
      <c r="P477" s="136" t="s">
        <v>174</v>
      </c>
    </row>
    <row r="478" spans="1:16" ht="16.5" customHeight="1" x14ac:dyDescent="0.25">
      <c r="A478" s="156">
        <v>44621</v>
      </c>
      <c r="B478" s="136" t="s">
        <v>18</v>
      </c>
      <c r="C478" s="157" t="str">
        <f t="shared" si="14"/>
        <v>01.03.2022_ORB1</v>
      </c>
      <c r="D478" s="190">
        <f t="shared" si="15"/>
        <v>0</v>
      </c>
      <c r="E478" s="133">
        <v>7.44</v>
      </c>
      <c r="F478" s="134"/>
      <c r="G478" s="135">
        <v>126.5</v>
      </c>
      <c r="H478" s="137">
        <v>12.6</v>
      </c>
      <c r="I478" s="134"/>
      <c r="J478" s="137">
        <v>7.6</v>
      </c>
      <c r="K478" s="134"/>
      <c r="L478" s="136">
        <v>25</v>
      </c>
      <c r="M478" s="136"/>
      <c r="N478" s="159" t="s">
        <v>277</v>
      </c>
      <c r="O478" s="159"/>
      <c r="P478" s="136"/>
    </row>
    <row r="479" spans="1:16" ht="16.5" customHeight="1" x14ac:dyDescent="0.25">
      <c r="A479" s="156">
        <v>44621</v>
      </c>
      <c r="B479" s="136" t="s">
        <v>21</v>
      </c>
      <c r="C479" s="157" t="str">
        <f t="shared" si="14"/>
        <v>01.03.2022_ORB2</v>
      </c>
      <c r="D479" s="190">
        <f t="shared" si="15"/>
        <v>0</v>
      </c>
      <c r="E479" s="133">
        <v>7.27</v>
      </c>
      <c r="F479" s="134"/>
      <c r="G479" s="135">
        <v>122.9</v>
      </c>
      <c r="H479" s="137">
        <v>12</v>
      </c>
      <c r="I479" s="134"/>
      <c r="J479" s="137">
        <v>8.6</v>
      </c>
      <c r="K479" s="134"/>
      <c r="L479" s="136">
        <v>35</v>
      </c>
      <c r="M479" s="136"/>
      <c r="N479" s="159" t="s">
        <v>277</v>
      </c>
      <c r="O479" s="159"/>
      <c r="P479" s="136"/>
    </row>
    <row r="480" spans="1:16" ht="16.5" customHeight="1" x14ac:dyDescent="0.25">
      <c r="A480" s="156">
        <v>44621</v>
      </c>
      <c r="B480" s="136" t="s">
        <v>10</v>
      </c>
      <c r="C480" s="157" t="str">
        <f t="shared" si="14"/>
        <v>01.03.2022_SAL1</v>
      </c>
      <c r="D480" s="190">
        <f t="shared" si="15"/>
        <v>0</v>
      </c>
      <c r="E480" s="133">
        <v>7.86</v>
      </c>
      <c r="F480" s="134"/>
      <c r="G480" s="135">
        <v>142.1</v>
      </c>
      <c r="H480" s="137">
        <v>12.8</v>
      </c>
      <c r="I480" s="134"/>
      <c r="J480" s="137">
        <v>4.9000000000000004</v>
      </c>
      <c r="K480" s="134"/>
      <c r="L480" s="136">
        <v>55.000000000000007</v>
      </c>
      <c r="M480" s="136"/>
      <c r="N480" s="159" t="s">
        <v>277</v>
      </c>
      <c r="O480" s="159"/>
      <c r="P480" s="136"/>
    </row>
    <row r="481" spans="1:16" ht="16.5" customHeight="1" x14ac:dyDescent="0.25">
      <c r="A481" s="156">
        <v>44621</v>
      </c>
      <c r="B481" s="136" t="s">
        <v>12</v>
      </c>
      <c r="C481" s="157" t="str">
        <f t="shared" si="14"/>
        <v>01.03.2022_SAL2</v>
      </c>
      <c r="D481" s="190">
        <f t="shared" si="15"/>
        <v>0</v>
      </c>
      <c r="E481" s="133">
        <v>7.89</v>
      </c>
      <c r="F481" s="134"/>
      <c r="G481" s="135">
        <v>148.6</v>
      </c>
      <c r="H481" s="137">
        <v>12.7</v>
      </c>
      <c r="I481" s="134"/>
      <c r="J481" s="137">
        <v>4.3</v>
      </c>
      <c r="K481" s="134"/>
      <c r="L481" s="136">
        <v>75</v>
      </c>
      <c r="M481" s="136"/>
      <c r="N481" s="159" t="s">
        <v>277</v>
      </c>
      <c r="O481" s="159"/>
      <c r="P481" s="136"/>
    </row>
    <row r="482" spans="1:16" ht="16.5" customHeight="1" x14ac:dyDescent="0.25">
      <c r="A482" s="156">
        <v>44621</v>
      </c>
      <c r="B482" s="136" t="s">
        <v>7</v>
      </c>
      <c r="C482" s="157" t="str">
        <f t="shared" si="14"/>
        <v>01.03.2022_STE1</v>
      </c>
      <c r="D482" s="190">
        <f t="shared" si="15"/>
        <v>0</v>
      </c>
      <c r="E482" s="133">
        <v>8.11</v>
      </c>
      <c r="F482" s="134"/>
      <c r="G482" s="135">
        <v>251</v>
      </c>
      <c r="H482" s="137">
        <v>13.2</v>
      </c>
      <c r="I482" s="134"/>
      <c r="J482" s="137">
        <v>4.5</v>
      </c>
      <c r="K482" s="134"/>
      <c r="L482" s="136">
        <v>50</v>
      </c>
      <c r="M482" s="136"/>
      <c r="N482" s="159"/>
      <c r="O482" s="159"/>
      <c r="P482" s="136"/>
    </row>
    <row r="483" spans="1:16" ht="16.5" customHeight="1" x14ac:dyDescent="0.25">
      <c r="A483" s="156">
        <v>44621</v>
      </c>
      <c r="B483" s="136" t="s">
        <v>9</v>
      </c>
      <c r="C483" s="157" t="str">
        <f t="shared" si="14"/>
        <v>01.03.2022_STE2</v>
      </c>
      <c r="D483" s="190">
        <f t="shared" si="15"/>
        <v>0</v>
      </c>
      <c r="E483" s="133">
        <v>8.2200000000000006</v>
      </c>
      <c r="F483" s="134"/>
      <c r="G483" s="135">
        <v>259</v>
      </c>
      <c r="H483" s="137">
        <v>13.2</v>
      </c>
      <c r="I483" s="134"/>
      <c r="J483" s="137">
        <v>4.7</v>
      </c>
      <c r="K483" s="134"/>
      <c r="L483" s="136">
        <v>65</v>
      </c>
      <c r="M483" s="136"/>
      <c r="N483" s="159"/>
      <c r="O483" s="159"/>
      <c r="P483" s="136"/>
    </row>
    <row r="484" spans="1:16" ht="16.5" customHeight="1" x14ac:dyDescent="0.25">
      <c r="A484" s="156">
        <v>44642</v>
      </c>
      <c r="B484" s="136" t="s">
        <v>22</v>
      </c>
      <c r="C484" s="157" t="str">
        <f t="shared" si="14"/>
        <v>22.03.2022_BIE1</v>
      </c>
      <c r="D484" s="190">
        <f t="shared" si="15"/>
        <v>0</v>
      </c>
      <c r="E484" s="133">
        <v>8.01</v>
      </c>
      <c r="F484" s="134"/>
      <c r="G484" s="135">
        <v>162.30000000000001</v>
      </c>
      <c r="H484" s="137">
        <v>11.3</v>
      </c>
      <c r="I484" s="134"/>
      <c r="J484" s="137">
        <v>10.199999999999999</v>
      </c>
      <c r="K484" s="134"/>
      <c r="L484" s="136">
        <v>30</v>
      </c>
      <c r="M484" s="136"/>
      <c r="N484" s="159"/>
      <c r="O484" s="159"/>
      <c r="P484" s="136"/>
    </row>
    <row r="485" spans="1:16" ht="16.5" customHeight="1" x14ac:dyDescent="0.25">
      <c r="A485" s="156">
        <v>44642</v>
      </c>
      <c r="B485" s="136" t="s">
        <v>25</v>
      </c>
      <c r="C485" s="157" t="str">
        <f t="shared" si="14"/>
        <v>22.03.2022_BIE2</v>
      </c>
      <c r="D485" s="190">
        <f t="shared" si="15"/>
        <v>0</v>
      </c>
      <c r="E485" s="133">
        <v>7.97</v>
      </c>
      <c r="F485" s="134"/>
      <c r="G485" s="135">
        <v>165.4</v>
      </c>
      <c r="H485" s="137">
        <v>11.6</v>
      </c>
      <c r="I485" s="134"/>
      <c r="J485" s="137">
        <v>10.3</v>
      </c>
      <c r="K485" s="134"/>
      <c r="L485" s="136">
        <v>45</v>
      </c>
      <c r="M485" s="136"/>
      <c r="N485" s="159"/>
      <c r="O485" s="159"/>
      <c r="P485" s="136"/>
    </row>
    <row r="486" spans="1:16" ht="16.5" customHeight="1" x14ac:dyDescent="0.25">
      <c r="A486" s="156">
        <v>44642</v>
      </c>
      <c r="B486" s="136" t="s">
        <v>30</v>
      </c>
      <c r="C486" s="157" t="str">
        <f t="shared" si="14"/>
        <v>22.03.2022_FAL1</v>
      </c>
      <c r="D486" s="190">
        <f t="shared" si="15"/>
        <v>0</v>
      </c>
      <c r="E486" s="133">
        <v>8.08</v>
      </c>
      <c r="F486" s="134"/>
      <c r="G486" s="135">
        <v>842</v>
      </c>
      <c r="H486" s="137">
        <v>12.8</v>
      </c>
      <c r="I486" s="134"/>
      <c r="J486" s="137">
        <v>8.6999999999999993</v>
      </c>
      <c r="K486" s="134"/>
      <c r="L486" s="136">
        <v>60</v>
      </c>
      <c r="M486" s="136"/>
      <c r="N486" s="159"/>
      <c r="O486" s="159"/>
      <c r="P486" s="136"/>
    </row>
    <row r="487" spans="1:16" ht="16.5" customHeight="1" x14ac:dyDescent="0.25">
      <c r="A487" s="156">
        <v>44642</v>
      </c>
      <c r="B487" s="136" t="s">
        <v>32</v>
      </c>
      <c r="C487" s="157" t="str">
        <f t="shared" si="14"/>
        <v>22.03.2022_FAL2</v>
      </c>
      <c r="D487" s="190">
        <f t="shared" si="15"/>
        <v>0</v>
      </c>
      <c r="E487" s="133">
        <v>8.07</v>
      </c>
      <c r="F487" s="134"/>
      <c r="G487" s="135">
        <v>859</v>
      </c>
      <c r="H487" s="137">
        <v>12.4</v>
      </c>
      <c r="I487" s="134"/>
      <c r="J487" s="137">
        <v>9</v>
      </c>
      <c r="K487" s="134"/>
      <c r="L487" s="136">
        <v>60</v>
      </c>
      <c r="M487" s="136"/>
      <c r="N487" s="159"/>
      <c r="O487" s="159"/>
      <c r="P487" s="136"/>
    </row>
    <row r="488" spans="1:16" ht="16.5" customHeight="1" x14ac:dyDescent="0.25">
      <c r="A488" s="156">
        <v>44642</v>
      </c>
      <c r="B488" s="136" t="s">
        <v>26</v>
      </c>
      <c r="C488" s="157" t="str">
        <f t="shared" si="14"/>
        <v>22.03.2022_GRU1</v>
      </c>
      <c r="D488" s="190">
        <f t="shared" si="15"/>
        <v>0</v>
      </c>
      <c r="E488" s="133">
        <v>7.85</v>
      </c>
      <c r="F488" s="134"/>
      <c r="G488" s="135">
        <v>146.6</v>
      </c>
      <c r="H488" s="137">
        <v>12.2</v>
      </c>
      <c r="I488" s="134"/>
      <c r="J488" s="137">
        <v>8.9</v>
      </c>
      <c r="K488" s="134"/>
      <c r="L488" s="136">
        <v>30</v>
      </c>
      <c r="M488" s="136"/>
      <c r="N488" s="159"/>
      <c r="O488" s="159"/>
      <c r="P488" s="136"/>
    </row>
    <row r="489" spans="1:16" ht="16.5" customHeight="1" x14ac:dyDescent="0.25">
      <c r="A489" s="156">
        <v>44642</v>
      </c>
      <c r="B489" s="136" t="s">
        <v>28</v>
      </c>
      <c r="C489" s="157" t="str">
        <f t="shared" si="14"/>
        <v>22.03.2022_GRU2</v>
      </c>
      <c r="D489" s="190">
        <f t="shared" si="15"/>
        <v>0</v>
      </c>
      <c r="E489" s="133">
        <v>7.75</v>
      </c>
      <c r="F489" s="134"/>
      <c r="G489" s="135">
        <v>163.30000000000001</v>
      </c>
      <c r="H489" s="137">
        <v>12.3</v>
      </c>
      <c r="I489" s="134"/>
      <c r="J489" s="137">
        <v>10.3</v>
      </c>
      <c r="K489" s="134"/>
      <c r="L489" s="136">
        <v>40</v>
      </c>
      <c r="M489" s="136"/>
      <c r="N489" s="159"/>
      <c r="O489" s="159"/>
      <c r="P489" s="136"/>
    </row>
    <row r="490" spans="1:16" ht="16.5" customHeight="1" x14ac:dyDescent="0.25">
      <c r="A490" s="156">
        <v>44642</v>
      </c>
      <c r="B490" s="136" t="s">
        <v>34</v>
      </c>
      <c r="C490" s="157" t="str">
        <f t="shared" si="14"/>
        <v>22.03.2022_KRE1</v>
      </c>
      <c r="D490" s="190">
        <f t="shared" si="15"/>
        <v>0</v>
      </c>
      <c r="E490" s="133">
        <v>8.17</v>
      </c>
      <c r="F490" s="134"/>
      <c r="G490" s="135">
        <v>877</v>
      </c>
      <c r="H490" s="137">
        <v>13</v>
      </c>
      <c r="I490" s="134"/>
      <c r="J490" s="137">
        <v>7.5</v>
      </c>
      <c r="K490" s="134"/>
      <c r="L490" s="136">
        <v>80</v>
      </c>
      <c r="M490" s="136"/>
      <c r="N490" s="159"/>
      <c r="O490" s="159"/>
      <c r="P490" s="136"/>
    </row>
    <row r="491" spans="1:16" ht="16.5" customHeight="1" x14ac:dyDescent="0.25">
      <c r="A491" s="156">
        <v>44642</v>
      </c>
      <c r="B491" s="136" t="s">
        <v>37</v>
      </c>
      <c r="C491" s="157" t="str">
        <f t="shared" si="14"/>
        <v>22.03.2022_KRE2</v>
      </c>
      <c r="D491" s="190">
        <f t="shared" si="15"/>
        <v>0</v>
      </c>
      <c r="E491" s="133">
        <v>8.0399999999999991</v>
      </c>
      <c r="F491" s="134"/>
      <c r="G491" s="135">
        <v>883</v>
      </c>
      <c r="H491" s="137">
        <v>11.4</v>
      </c>
      <c r="I491" s="134"/>
      <c r="J491" s="137">
        <v>6.6</v>
      </c>
      <c r="K491" s="134"/>
      <c r="L491" s="136">
        <v>45</v>
      </c>
      <c r="M491" s="136"/>
      <c r="N491" s="159"/>
      <c r="O491" s="159"/>
      <c r="P491" s="136"/>
    </row>
    <row r="492" spans="1:16" ht="16.5" customHeight="1" x14ac:dyDescent="0.25">
      <c r="A492" s="156">
        <v>44642</v>
      </c>
      <c r="B492" s="136" t="s">
        <v>14</v>
      </c>
      <c r="C492" s="157" t="str">
        <f t="shared" si="14"/>
        <v>22.03.2022_BRA1</v>
      </c>
      <c r="D492" s="190">
        <f t="shared" si="15"/>
        <v>0</v>
      </c>
      <c r="E492" s="133">
        <v>8.08</v>
      </c>
      <c r="F492" s="134"/>
      <c r="G492" s="135">
        <v>176.5</v>
      </c>
      <c r="H492" s="137">
        <v>12.9</v>
      </c>
      <c r="I492" s="134"/>
      <c r="J492" s="137">
        <v>9.5</v>
      </c>
      <c r="K492" s="134"/>
      <c r="L492" s="136">
        <v>30</v>
      </c>
      <c r="M492" s="136"/>
      <c r="N492" s="159"/>
      <c r="O492" s="159"/>
      <c r="P492" s="136"/>
    </row>
    <row r="493" spans="1:16" ht="16.5" customHeight="1" x14ac:dyDescent="0.25">
      <c r="A493" s="156">
        <v>44642</v>
      </c>
      <c r="B493" s="136" t="s">
        <v>17</v>
      </c>
      <c r="C493" s="157" t="str">
        <f t="shared" si="14"/>
        <v>22.03.2022_BRA2</v>
      </c>
      <c r="D493" s="190">
        <f t="shared" si="15"/>
        <v>0</v>
      </c>
      <c r="E493" s="133">
        <v>8.74</v>
      </c>
      <c r="F493" s="134"/>
      <c r="G493" s="135">
        <v>196.5</v>
      </c>
      <c r="H493" s="137">
        <v>12.3</v>
      </c>
      <c r="I493" s="134"/>
      <c r="J493" s="137">
        <v>9.6999999999999993</v>
      </c>
      <c r="K493" s="134"/>
      <c r="L493" s="136">
        <v>30</v>
      </c>
      <c r="M493" s="136"/>
      <c r="N493" s="159"/>
      <c r="O493" s="159"/>
      <c r="P493" s="136"/>
    </row>
    <row r="494" spans="1:16" ht="16.5" customHeight="1" x14ac:dyDescent="0.25">
      <c r="A494" s="156">
        <v>44642</v>
      </c>
      <c r="B494" s="136" t="s">
        <v>0</v>
      </c>
      <c r="C494" s="157" t="str">
        <f t="shared" si="14"/>
        <v>22.03.2022_KIN1</v>
      </c>
      <c r="D494" s="190">
        <f t="shared" si="15"/>
        <v>0</v>
      </c>
      <c r="E494" s="133">
        <v>8.9</v>
      </c>
      <c r="F494" s="134"/>
      <c r="G494" s="135">
        <v>446</v>
      </c>
      <c r="H494" s="137">
        <v>13.2</v>
      </c>
      <c r="I494" s="134"/>
      <c r="J494" s="137">
        <v>6.4</v>
      </c>
      <c r="K494" s="134"/>
      <c r="L494" s="136">
        <v>30</v>
      </c>
      <c r="M494" s="136"/>
      <c r="N494" s="159"/>
      <c r="O494" s="159"/>
      <c r="P494" s="136" t="s">
        <v>166</v>
      </c>
    </row>
    <row r="495" spans="1:16" ht="16.5" customHeight="1" x14ac:dyDescent="0.25">
      <c r="A495" s="156">
        <v>44642</v>
      </c>
      <c r="B495" s="136" t="s">
        <v>2</v>
      </c>
      <c r="C495" s="157" t="str">
        <f t="shared" si="14"/>
        <v>22.03.2022_KIN2</v>
      </c>
      <c r="D495" s="190">
        <f t="shared" si="15"/>
        <v>0</v>
      </c>
      <c r="E495" s="133">
        <v>8.44</v>
      </c>
      <c r="F495" s="134"/>
      <c r="G495" s="135">
        <v>513</v>
      </c>
      <c r="H495" s="137">
        <v>14</v>
      </c>
      <c r="I495" s="134"/>
      <c r="J495" s="137">
        <v>7.8</v>
      </c>
      <c r="K495" s="134"/>
      <c r="L495" s="136">
        <v>40</v>
      </c>
      <c r="M495" s="136"/>
      <c r="N495" s="159"/>
      <c r="O495" s="159"/>
      <c r="P495" s="136" t="s">
        <v>173</v>
      </c>
    </row>
    <row r="496" spans="1:16" ht="16.5" customHeight="1" x14ac:dyDescent="0.25">
      <c r="A496" s="156">
        <v>44642</v>
      </c>
      <c r="B496" s="136" t="s">
        <v>4</v>
      </c>
      <c r="C496" s="157" t="str">
        <f t="shared" si="14"/>
        <v>22.03.2022_KIN3</v>
      </c>
      <c r="D496" s="190">
        <f t="shared" si="15"/>
        <v>0</v>
      </c>
      <c r="E496" s="133">
        <v>8.57</v>
      </c>
      <c r="F496" s="134"/>
      <c r="G496" s="135">
        <v>504</v>
      </c>
      <c r="H496" s="137">
        <v>13.6</v>
      </c>
      <c r="I496" s="134"/>
      <c r="J496" s="137">
        <v>7.9</v>
      </c>
      <c r="K496" s="134"/>
      <c r="L496" s="136">
        <v>80</v>
      </c>
      <c r="M496" s="136"/>
      <c r="N496" s="159"/>
      <c r="O496" s="159"/>
      <c r="P496" s="136" t="s">
        <v>174</v>
      </c>
    </row>
    <row r="497" spans="1:16" ht="16.5" customHeight="1" x14ac:dyDescent="0.25">
      <c r="A497" s="156">
        <v>44642</v>
      </c>
      <c r="B497" s="136" t="s">
        <v>6</v>
      </c>
      <c r="C497" s="157" t="str">
        <f t="shared" si="14"/>
        <v>22.03.2022_KIN4</v>
      </c>
      <c r="D497" s="190">
        <f t="shared" si="15"/>
        <v>0</v>
      </c>
      <c r="E497" s="133">
        <v>8.59</v>
      </c>
      <c r="F497" s="134"/>
      <c r="G497" s="135">
        <v>525</v>
      </c>
      <c r="H497" s="137">
        <v>14.6</v>
      </c>
      <c r="I497" s="134"/>
      <c r="J497" s="137">
        <v>7.8</v>
      </c>
      <c r="K497" s="134"/>
      <c r="L497" s="136">
        <v>55.000000000000007</v>
      </c>
      <c r="M497" s="136"/>
      <c r="N497" s="159"/>
      <c r="O497" s="159"/>
      <c r="P497" s="136" t="s">
        <v>174</v>
      </c>
    </row>
    <row r="498" spans="1:16" ht="16.5" customHeight="1" x14ac:dyDescent="0.25">
      <c r="A498" s="156">
        <v>44642</v>
      </c>
      <c r="B498" s="136" t="s">
        <v>18</v>
      </c>
      <c r="C498" s="157" t="str">
        <f t="shared" si="14"/>
        <v>22.03.2022_ORB1</v>
      </c>
      <c r="D498" s="190">
        <f t="shared" si="15"/>
        <v>0</v>
      </c>
      <c r="E498" s="133">
        <v>7.47</v>
      </c>
      <c r="F498" s="134"/>
      <c r="G498" s="135">
        <v>117</v>
      </c>
      <c r="H498" s="137">
        <v>12</v>
      </c>
      <c r="I498" s="134"/>
      <c r="J498" s="137">
        <v>10.4</v>
      </c>
      <c r="K498" s="134"/>
      <c r="L498" s="136">
        <v>20</v>
      </c>
      <c r="M498" s="136"/>
      <c r="N498" s="159"/>
      <c r="O498" s="159"/>
      <c r="P498" s="136" t="s">
        <v>174</v>
      </c>
    </row>
    <row r="499" spans="1:16" ht="16.5" customHeight="1" x14ac:dyDescent="0.25">
      <c r="A499" s="156">
        <v>44642</v>
      </c>
      <c r="B499" s="136" t="s">
        <v>21</v>
      </c>
      <c r="C499" s="157" t="str">
        <f t="shared" si="14"/>
        <v>22.03.2022_ORB2</v>
      </c>
      <c r="D499" s="190">
        <f t="shared" si="15"/>
        <v>0</v>
      </c>
      <c r="E499" s="133">
        <v>7.35</v>
      </c>
      <c r="F499" s="134"/>
      <c r="G499" s="135">
        <v>138.6</v>
      </c>
      <c r="H499" s="137">
        <v>12</v>
      </c>
      <c r="I499" s="134"/>
      <c r="J499" s="137">
        <v>10.7</v>
      </c>
      <c r="K499" s="134"/>
      <c r="L499" s="136">
        <v>30</v>
      </c>
      <c r="M499" s="136"/>
      <c r="N499" s="159"/>
      <c r="O499" s="159"/>
      <c r="P499" s="136"/>
    </row>
    <row r="500" spans="1:16" ht="16.5" customHeight="1" x14ac:dyDescent="0.25">
      <c r="A500" s="156">
        <v>44642</v>
      </c>
      <c r="B500" s="136" t="s">
        <v>10</v>
      </c>
      <c r="C500" s="157" t="str">
        <f t="shared" si="14"/>
        <v>22.03.2022_SAL1</v>
      </c>
      <c r="D500" s="190">
        <f t="shared" si="15"/>
        <v>0</v>
      </c>
      <c r="E500" s="133">
        <v>8.1999999999999993</v>
      </c>
      <c r="F500" s="134"/>
      <c r="G500" s="135">
        <v>192.5</v>
      </c>
      <c r="H500" s="137">
        <v>14.5</v>
      </c>
      <c r="I500" s="134"/>
      <c r="J500" s="137">
        <v>5.5</v>
      </c>
      <c r="K500" s="134"/>
      <c r="L500" s="136">
        <v>40</v>
      </c>
      <c r="M500" s="136"/>
      <c r="N500" s="159"/>
      <c r="O500" s="159"/>
      <c r="P500" s="136" t="s">
        <v>174</v>
      </c>
    </row>
    <row r="501" spans="1:16" ht="16.5" customHeight="1" x14ac:dyDescent="0.25">
      <c r="A501" s="156">
        <v>44642</v>
      </c>
      <c r="B501" s="136" t="s">
        <v>12</v>
      </c>
      <c r="C501" s="157" t="str">
        <f t="shared" si="14"/>
        <v>22.03.2022_SAL2</v>
      </c>
      <c r="D501" s="190">
        <f t="shared" si="15"/>
        <v>0</v>
      </c>
      <c r="E501" s="133">
        <v>8.75</v>
      </c>
      <c r="F501" s="134"/>
      <c r="G501" s="135">
        <v>212</v>
      </c>
      <c r="H501" s="137">
        <v>14.9</v>
      </c>
      <c r="I501" s="134"/>
      <c r="J501" s="137">
        <v>6.4</v>
      </c>
      <c r="K501" s="134"/>
      <c r="L501" s="136">
        <v>35</v>
      </c>
      <c r="M501" s="136"/>
      <c r="N501" s="159"/>
      <c r="O501" s="159"/>
      <c r="P501" s="136"/>
    </row>
    <row r="502" spans="1:16" ht="16.5" customHeight="1" x14ac:dyDescent="0.25">
      <c r="A502" s="156">
        <v>44642</v>
      </c>
      <c r="B502" s="136" t="s">
        <v>7</v>
      </c>
      <c r="C502" s="157" t="str">
        <f t="shared" si="14"/>
        <v>22.03.2022_STE1</v>
      </c>
      <c r="D502" s="190">
        <f t="shared" si="15"/>
        <v>0</v>
      </c>
      <c r="E502" s="133">
        <v>8.5299999999999994</v>
      </c>
      <c r="F502" s="134"/>
      <c r="G502" s="135">
        <v>355</v>
      </c>
      <c r="H502" s="137">
        <v>13.4</v>
      </c>
      <c r="I502" s="134"/>
      <c r="J502" s="137">
        <v>8.1</v>
      </c>
      <c r="K502" s="134"/>
      <c r="L502" s="136">
        <v>40</v>
      </c>
      <c r="M502" s="136"/>
      <c r="N502" s="159"/>
      <c r="O502" s="159"/>
      <c r="P502" s="136"/>
    </row>
    <row r="503" spans="1:16" ht="16.5" customHeight="1" x14ac:dyDescent="0.25">
      <c r="A503" s="156">
        <v>44642</v>
      </c>
      <c r="B503" s="136" t="s">
        <v>9</v>
      </c>
      <c r="C503" s="157" t="str">
        <f t="shared" si="14"/>
        <v>22.03.2022_STE2</v>
      </c>
      <c r="D503" s="190">
        <f t="shared" si="15"/>
        <v>0</v>
      </c>
      <c r="E503" s="133">
        <v>8.73</v>
      </c>
      <c r="F503" s="134"/>
      <c r="G503" s="135">
        <v>362</v>
      </c>
      <c r="H503" s="137">
        <v>13.5</v>
      </c>
      <c r="I503" s="134"/>
      <c r="J503" s="137">
        <v>8.9</v>
      </c>
      <c r="K503" s="134"/>
      <c r="L503" s="136">
        <v>45</v>
      </c>
      <c r="M503" s="136"/>
      <c r="N503" s="159"/>
      <c r="O503" s="159"/>
      <c r="P503" s="136"/>
    </row>
    <row r="504" spans="1:16" ht="16.5" customHeight="1" x14ac:dyDescent="0.25">
      <c r="A504" s="156">
        <v>44656</v>
      </c>
      <c r="B504" s="136" t="s">
        <v>22</v>
      </c>
      <c r="C504" s="157" t="str">
        <f t="shared" si="14"/>
        <v>05.04.2022_BIE1</v>
      </c>
      <c r="D504" s="190">
        <f t="shared" si="15"/>
        <v>0</v>
      </c>
      <c r="E504" s="133">
        <v>7.89</v>
      </c>
      <c r="F504" s="134"/>
      <c r="G504" s="135">
        <v>214</v>
      </c>
      <c r="H504" s="137">
        <v>12.4</v>
      </c>
      <c r="I504" s="134"/>
      <c r="J504" s="137">
        <v>6.7</v>
      </c>
      <c r="K504" s="134"/>
      <c r="L504" s="136">
        <v>35</v>
      </c>
      <c r="M504" s="181"/>
      <c r="N504" s="159"/>
      <c r="O504" s="159"/>
      <c r="P504" s="136"/>
    </row>
    <row r="505" spans="1:16" ht="16.5" customHeight="1" x14ac:dyDescent="0.25">
      <c r="A505" s="156">
        <v>44656</v>
      </c>
      <c r="B505" s="136" t="s">
        <v>25</v>
      </c>
      <c r="C505" s="157" t="str">
        <f t="shared" si="14"/>
        <v>05.04.2022_BIE2</v>
      </c>
      <c r="D505" s="190">
        <f t="shared" si="15"/>
        <v>0</v>
      </c>
      <c r="E505" s="133">
        <v>7.79</v>
      </c>
      <c r="F505" s="134"/>
      <c r="G505" s="135">
        <v>155</v>
      </c>
      <c r="H505" s="137">
        <v>12.5</v>
      </c>
      <c r="I505" s="134"/>
      <c r="J505" s="137">
        <v>6.3</v>
      </c>
      <c r="K505" s="134"/>
      <c r="L505" s="136">
        <v>55.000000000000007</v>
      </c>
      <c r="M505" s="181"/>
      <c r="N505" s="159"/>
      <c r="O505" s="159"/>
      <c r="P505" s="136"/>
    </row>
    <row r="506" spans="1:16" ht="16.5" customHeight="1" x14ac:dyDescent="0.25">
      <c r="A506" s="156">
        <v>44656</v>
      </c>
      <c r="B506" s="136" t="s">
        <v>30</v>
      </c>
      <c r="C506" s="157" t="str">
        <f t="shared" si="14"/>
        <v>05.04.2022_FAL1</v>
      </c>
      <c r="D506" s="190">
        <f t="shared" si="15"/>
        <v>0</v>
      </c>
      <c r="E506" s="133">
        <v>8.06</v>
      </c>
      <c r="F506" s="134"/>
      <c r="G506" s="135">
        <v>771</v>
      </c>
      <c r="H506" s="137">
        <v>12.1</v>
      </c>
      <c r="I506" s="134"/>
      <c r="J506" s="137">
        <v>7.4</v>
      </c>
      <c r="K506" s="134"/>
      <c r="L506" s="136">
        <v>65</v>
      </c>
      <c r="M506" s="181"/>
      <c r="N506" s="159"/>
      <c r="O506" s="159"/>
      <c r="P506" s="136"/>
    </row>
    <row r="507" spans="1:16" ht="16.5" customHeight="1" x14ac:dyDescent="0.25">
      <c r="A507" s="156">
        <v>44656</v>
      </c>
      <c r="B507" s="136" t="s">
        <v>32</v>
      </c>
      <c r="C507" s="157" t="str">
        <f t="shared" si="14"/>
        <v>05.04.2022_FAL2</v>
      </c>
      <c r="D507" s="190">
        <f t="shared" si="15"/>
        <v>1</v>
      </c>
      <c r="E507" s="133">
        <v>8.07</v>
      </c>
      <c r="F507" s="134"/>
      <c r="G507" s="135">
        <v>833</v>
      </c>
      <c r="H507" s="137">
        <v>12.2</v>
      </c>
      <c r="I507" s="134"/>
      <c r="J507" s="137">
        <v>8.1</v>
      </c>
      <c r="K507" s="134"/>
      <c r="L507" s="282"/>
      <c r="M507" s="181"/>
      <c r="N507" s="159"/>
      <c r="O507" s="159"/>
      <c r="P507" s="136"/>
    </row>
    <row r="508" spans="1:16" ht="16.5" customHeight="1" x14ac:dyDescent="0.25">
      <c r="A508" s="156">
        <v>44656</v>
      </c>
      <c r="B508" s="136" t="s">
        <v>26</v>
      </c>
      <c r="C508" s="157" t="str">
        <f t="shared" si="14"/>
        <v>05.04.2022_GRU1</v>
      </c>
      <c r="D508" s="190">
        <f t="shared" si="15"/>
        <v>1</v>
      </c>
      <c r="E508" s="133">
        <v>7.72</v>
      </c>
      <c r="F508" s="134"/>
      <c r="G508" s="135">
        <v>151.6</v>
      </c>
      <c r="H508" s="137">
        <v>12.2</v>
      </c>
      <c r="I508" s="134"/>
      <c r="J508" s="137">
        <v>7</v>
      </c>
      <c r="K508" s="134"/>
      <c r="L508" s="282"/>
      <c r="M508" s="181"/>
      <c r="N508" s="159"/>
      <c r="O508" s="159"/>
      <c r="P508" s="136" t="s">
        <v>204</v>
      </c>
    </row>
    <row r="509" spans="1:16" ht="16.5" customHeight="1" x14ac:dyDescent="0.25">
      <c r="A509" s="156">
        <v>44656</v>
      </c>
      <c r="B509" s="136" t="s">
        <v>28</v>
      </c>
      <c r="C509" s="157" t="str">
        <f t="shared" si="14"/>
        <v>05.04.2022_GRU2</v>
      </c>
      <c r="D509" s="190">
        <f t="shared" si="15"/>
        <v>0</v>
      </c>
      <c r="E509" s="133">
        <v>7.58</v>
      </c>
      <c r="F509" s="134"/>
      <c r="G509" s="135">
        <v>163</v>
      </c>
      <c r="H509" s="137">
        <v>12.4</v>
      </c>
      <c r="I509" s="134"/>
      <c r="J509" s="137">
        <v>7.2</v>
      </c>
      <c r="K509" s="134"/>
      <c r="L509" s="136">
        <v>45</v>
      </c>
      <c r="M509" s="181"/>
      <c r="N509" s="159"/>
      <c r="O509" s="159"/>
      <c r="P509" s="136"/>
    </row>
    <row r="510" spans="1:16" ht="16.5" customHeight="1" x14ac:dyDescent="0.25">
      <c r="A510" s="156">
        <v>44656</v>
      </c>
      <c r="B510" s="136" t="s">
        <v>34</v>
      </c>
      <c r="C510" s="157" t="str">
        <f t="shared" si="14"/>
        <v>05.04.2022_KRE1</v>
      </c>
      <c r="D510" s="190">
        <f t="shared" si="15"/>
        <v>0</v>
      </c>
      <c r="E510" s="133">
        <v>8.2799999999999994</v>
      </c>
      <c r="F510" s="134"/>
      <c r="G510" s="135">
        <v>790</v>
      </c>
      <c r="H510" s="137">
        <v>14.3</v>
      </c>
      <c r="I510" s="134"/>
      <c r="J510" s="137">
        <v>8.1</v>
      </c>
      <c r="K510" s="134"/>
      <c r="L510" s="136">
        <v>50</v>
      </c>
      <c r="M510" s="181"/>
      <c r="N510" s="159"/>
      <c r="O510" s="159"/>
      <c r="P510" s="136" t="s">
        <v>204</v>
      </c>
    </row>
    <row r="511" spans="1:16" ht="16.5" customHeight="1" x14ac:dyDescent="0.25">
      <c r="A511" s="156">
        <v>44656</v>
      </c>
      <c r="B511" s="136" t="s">
        <v>37</v>
      </c>
      <c r="C511" s="157" t="str">
        <f t="shared" si="14"/>
        <v>05.04.2022_KRE2</v>
      </c>
      <c r="D511" s="190">
        <f t="shared" si="15"/>
        <v>0</v>
      </c>
      <c r="E511" s="133">
        <v>8.3800000000000008</v>
      </c>
      <c r="F511" s="134"/>
      <c r="G511" s="135">
        <v>812</v>
      </c>
      <c r="H511" s="137">
        <v>14.8</v>
      </c>
      <c r="I511" s="134"/>
      <c r="J511" s="137">
        <v>9.1</v>
      </c>
      <c r="K511" s="134"/>
      <c r="L511" s="136">
        <v>50</v>
      </c>
      <c r="M511" s="181"/>
      <c r="N511" s="159"/>
      <c r="O511" s="159"/>
      <c r="P511" s="136"/>
    </row>
    <row r="512" spans="1:16" ht="16.5" customHeight="1" x14ac:dyDescent="0.25">
      <c r="A512" s="156">
        <v>44656</v>
      </c>
      <c r="B512" s="136" t="s">
        <v>14</v>
      </c>
      <c r="C512" s="157" t="str">
        <f t="shared" si="14"/>
        <v>05.04.2022_BRA1</v>
      </c>
      <c r="D512" s="190">
        <f t="shared" si="15"/>
        <v>0</v>
      </c>
      <c r="E512" s="133">
        <v>7.53</v>
      </c>
      <c r="F512" s="134"/>
      <c r="G512" s="135">
        <v>164.1</v>
      </c>
      <c r="H512" s="137">
        <v>11.7</v>
      </c>
      <c r="I512" s="134"/>
      <c r="J512" s="137">
        <v>7.4</v>
      </c>
      <c r="K512" s="134"/>
      <c r="L512" s="136">
        <v>35</v>
      </c>
      <c r="M512" s="181"/>
      <c r="N512" s="159"/>
      <c r="O512" s="159"/>
      <c r="P512" s="136"/>
    </row>
    <row r="513" spans="1:16" ht="16.5" customHeight="1" x14ac:dyDescent="0.25">
      <c r="A513" s="156">
        <v>44656</v>
      </c>
      <c r="B513" s="136" t="s">
        <v>17</v>
      </c>
      <c r="C513" s="157" t="str">
        <f t="shared" si="14"/>
        <v>05.04.2022_BRA2</v>
      </c>
      <c r="D513" s="190">
        <f t="shared" si="15"/>
        <v>0</v>
      </c>
      <c r="E513" s="133">
        <v>7.92</v>
      </c>
      <c r="F513" s="134"/>
      <c r="G513" s="135">
        <v>171.6</v>
      </c>
      <c r="H513" s="137">
        <v>11.5</v>
      </c>
      <c r="I513" s="134"/>
      <c r="J513" s="137">
        <v>8.1</v>
      </c>
      <c r="K513" s="134"/>
      <c r="L513" s="136">
        <v>40</v>
      </c>
      <c r="M513" s="181"/>
      <c r="N513" s="159"/>
      <c r="O513" s="159"/>
      <c r="P513" s="136"/>
    </row>
    <row r="514" spans="1:16" ht="16.5" customHeight="1" x14ac:dyDescent="0.25">
      <c r="A514" s="156">
        <v>44656</v>
      </c>
      <c r="B514" s="136" t="s">
        <v>0</v>
      </c>
      <c r="C514" s="157" t="str">
        <f t="shared" si="14"/>
        <v>05.04.2022_KIN1</v>
      </c>
      <c r="D514" s="190">
        <f t="shared" si="15"/>
        <v>0</v>
      </c>
      <c r="E514" s="133">
        <v>8.7200000000000006</v>
      </c>
      <c r="F514" s="134"/>
      <c r="G514" s="135">
        <v>406</v>
      </c>
      <c r="H514" s="137">
        <v>14.2</v>
      </c>
      <c r="I514" s="134"/>
      <c r="J514" s="137">
        <v>3.3</v>
      </c>
      <c r="K514" s="134"/>
      <c r="L514" s="136">
        <v>30</v>
      </c>
      <c r="M514" s="181"/>
      <c r="N514" s="159"/>
      <c r="O514" s="159"/>
      <c r="P514" s="136" t="s">
        <v>174</v>
      </c>
    </row>
    <row r="515" spans="1:16" ht="16.5" customHeight="1" x14ac:dyDescent="0.25">
      <c r="A515" s="156">
        <v>44656</v>
      </c>
      <c r="B515" s="136" t="s">
        <v>2</v>
      </c>
      <c r="C515" s="157" t="str">
        <f t="shared" si="14"/>
        <v>05.04.2022_KIN2</v>
      </c>
      <c r="D515" s="190">
        <f t="shared" si="15"/>
        <v>0</v>
      </c>
      <c r="E515" s="133">
        <v>8.42</v>
      </c>
      <c r="F515" s="134"/>
      <c r="G515" s="135">
        <v>487</v>
      </c>
      <c r="H515" s="137">
        <v>14.1</v>
      </c>
      <c r="I515" s="134"/>
      <c r="J515" s="137">
        <v>4.5999999999999996</v>
      </c>
      <c r="K515" s="134"/>
      <c r="L515" s="136">
        <v>35</v>
      </c>
      <c r="M515" s="181"/>
      <c r="N515" s="159"/>
      <c r="O515" s="159"/>
      <c r="P515" s="136" t="s">
        <v>173</v>
      </c>
    </row>
    <row r="516" spans="1:16" ht="16.5" customHeight="1" x14ac:dyDescent="0.25">
      <c r="A516" s="156">
        <v>44656</v>
      </c>
      <c r="B516" s="136" t="s">
        <v>4</v>
      </c>
      <c r="C516" s="157" t="str">
        <f t="shared" si="14"/>
        <v>05.04.2022_KIN3</v>
      </c>
      <c r="D516" s="190">
        <f t="shared" si="15"/>
        <v>0</v>
      </c>
      <c r="E516" s="133">
        <v>8.43</v>
      </c>
      <c r="F516" s="134"/>
      <c r="G516" s="135">
        <v>469</v>
      </c>
      <c r="H516" s="137">
        <v>13.6</v>
      </c>
      <c r="I516" s="134"/>
      <c r="J516" s="137">
        <v>4.4000000000000004</v>
      </c>
      <c r="K516" s="134"/>
      <c r="L516" s="136">
        <v>80</v>
      </c>
      <c r="M516" s="181"/>
      <c r="N516" s="159"/>
      <c r="O516" s="159"/>
      <c r="P516" s="136" t="s">
        <v>174</v>
      </c>
    </row>
    <row r="517" spans="1:16" ht="16.5" customHeight="1" x14ac:dyDescent="0.25">
      <c r="A517" s="156">
        <v>44656</v>
      </c>
      <c r="B517" s="136" t="s">
        <v>6</v>
      </c>
      <c r="C517" s="157" t="str">
        <f t="shared" ref="C517:C580" si="16">CONCATENATE(TEXT(A517,"TT.MM.JJJJ"),"_",B517)</f>
        <v>05.04.2022_KIN4</v>
      </c>
      <c r="D517" s="190">
        <f t="shared" ref="D517:D580" si="17">COUNTBLANK(E517)+COUNTBLANK(G517:H517)+COUNTBLANK(J517)+COUNTBLANK(L517)</f>
        <v>0</v>
      </c>
      <c r="E517" s="133">
        <v>8.41</v>
      </c>
      <c r="F517" s="134"/>
      <c r="G517" s="135">
        <v>495</v>
      </c>
      <c r="H517" s="137">
        <v>13.8</v>
      </c>
      <c r="I517" s="134"/>
      <c r="J517" s="137">
        <v>4.8</v>
      </c>
      <c r="K517" s="134"/>
      <c r="L517" s="136">
        <v>50</v>
      </c>
      <c r="M517" s="181"/>
      <c r="N517" s="159"/>
      <c r="O517" s="159"/>
      <c r="P517" s="136" t="s">
        <v>174</v>
      </c>
    </row>
    <row r="518" spans="1:16" ht="16.5" customHeight="1" x14ac:dyDescent="0.25">
      <c r="A518" s="156">
        <v>44656</v>
      </c>
      <c r="B518" s="136" t="s">
        <v>18</v>
      </c>
      <c r="C518" s="157" t="str">
        <f t="shared" si="16"/>
        <v>05.04.2022_ORB1</v>
      </c>
      <c r="D518" s="190">
        <f t="shared" si="17"/>
        <v>0</v>
      </c>
      <c r="E518" s="133">
        <v>7.5</v>
      </c>
      <c r="F518" s="134"/>
      <c r="G518" s="135">
        <v>127.6</v>
      </c>
      <c r="H518" s="137">
        <v>11.5</v>
      </c>
      <c r="I518" s="134"/>
      <c r="J518" s="137">
        <v>9.8000000000000007</v>
      </c>
      <c r="K518" s="134"/>
      <c r="L518" s="136">
        <v>30</v>
      </c>
      <c r="M518" s="181"/>
      <c r="N518" s="159"/>
      <c r="O518" s="159"/>
      <c r="P518" s="136" t="s">
        <v>174</v>
      </c>
    </row>
    <row r="519" spans="1:16" ht="16.5" customHeight="1" x14ac:dyDescent="0.25">
      <c r="A519" s="156">
        <v>44656</v>
      </c>
      <c r="B519" s="136" t="s">
        <v>21</v>
      </c>
      <c r="C519" s="157" t="str">
        <f t="shared" si="16"/>
        <v>05.04.2022_ORB2</v>
      </c>
      <c r="D519" s="190">
        <f t="shared" si="17"/>
        <v>0</v>
      </c>
      <c r="E519" s="133">
        <v>7.41</v>
      </c>
      <c r="F519" s="134"/>
      <c r="G519" s="135">
        <v>150.19999999999999</v>
      </c>
      <c r="H519" s="137">
        <v>11</v>
      </c>
      <c r="I519" s="134"/>
      <c r="J519" s="137">
        <v>9.9</v>
      </c>
      <c r="K519" s="134"/>
      <c r="L519" s="136">
        <v>30</v>
      </c>
      <c r="M519" s="181"/>
      <c r="N519" s="159"/>
      <c r="O519" s="159"/>
      <c r="P519" s="136"/>
    </row>
    <row r="520" spans="1:16" ht="16.5" customHeight="1" x14ac:dyDescent="0.25">
      <c r="A520" s="156">
        <v>44656</v>
      </c>
      <c r="B520" s="136" t="s">
        <v>10</v>
      </c>
      <c r="C520" s="157" t="str">
        <f t="shared" si="16"/>
        <v>05.04.2022_SAL1</v>
      </c>
      <c r="D520" s="190">
        <f t="shared" si="17"/>
        <v>0</v>
      </c>
      <c r="E520" s="133">
        <v>7.71</v>
      </c>
      <c r="F520" s="134"/>
      <c r="G520" s="135">
        <v>136.19999999999999</v>
      </c>
      <c r="H520" s="137">
        <v>12.4</v>
      </c>
      <c r="I520" s="134"/>
      <c r="J520" s="137">
        <v>7.3</v>
      </c>
      <c r="K520" s="134"/>
      <c r="L520" s="136">
        <v>70</v>
      </c>
      <c r="M520" s="181"/>
      <c r="N520" s="159"/>
      <c r="O520" s="159"/>
      <c r="P520" s="136" t="s">
        <v>174</v>
      </c>
    </row>
    <row r="521" spans="1:16" ht="16.5" customHeight="1" x14ac:dyDescent="0.25">
      <c r="A521" s="156">
        <v>44656</v>
      </c>
      <c r="B521" s="136" t="s">
        <v>12</v>
      </c>
      <c r="C521" s="157" t="str">
        <f t="shared" si="16"/>
        <v>05.04.2022_SAL2</v>
      </c>
      <c r="D521" s="190">
        <f t="shared" si="17"/>
        <v>0</v>
      </c>
      <c r="E521" s="133">
        <v>8.01</v>
      </c>
      <c r="F521" s="134"/>
      <c r="G521" s="135">
        <v>142.80000000000001</v>
      </c>
      <c r="H521" s="137">
        <v>12.1</v>
      </c>
      <c r="I521" s="134"/>
      <c r="J521" s="137">
        <v>7.4</v>
      </c>
      <c r="K521" s="134"/>
      <c r="L521" s="136">
        <v>50</v>
      </c>
      <c r="M521" s="181"/>
      <c r="N521" s="159"/>
      <c r="O521" s="159"/>
      <c r="P521" s="136" t="s">
        <v>174</v>
      </c>
    </row>
    <row r="522" spans="1:16" ht="16.5" customHeight="1" x14ac:dyDescent="0.25">
      <c r="A522" s="156">
        <v>44656</v>
      </c>
      <c r="B522" s="136" t="s">
        <v>7</v>
      </c>
      <c r="C522" s="157" t="str">
        <f t="shared" si="16"/>
        <v>05.04.2022_STE1</v>
      </c>
      <c r="D522" s="190">
        <f t="shared" si="17"/>
        <v>0</v>
      </c>
      <c r="E522" s="133">
        <v>8.44</v>
      </c>
      <c r="F522" s="134"/>
      <c r="G522" s="135">
        <v>351</v>
      </c>
      <c r="H522" s="137">
        <v>13.4</v>
      </c>
      <c r="I522" s="134"/>
      <c r="J522" s="137">
        <v>5.7</v>
      </c>
      <c r="K522" s="134"/>
      <c r="L522" s="136">
        <v>40</v>
      </c>
      <c r="M522" s="181"/>
      <c r="N522" s="159"/>
      <c r="O522" s="159"/>
      <c r="P522" s="136"/>
    </row>
    <row r="523" spans="1:16" ht="16.5" customHeight="1" x14ac:dyDescent="0.25">
      <c r="A523" s="156">
        <v>44656</v>
      </c>
      <c r="B523" s="136" t="s">
        <v>9</v>
      </c>
      <c r="C523" s="157" t="str">
        <f t="shared" si="16"/>
        <v>05.04.2022_STE2</v>
      </c>
      <c r="D523" s="190">
        <f t="shared" si="17"/>
        <v>0</v>
      </c>
      <c r="E523" s="133">
        <v>8.57</v>
      </c>
      <c r="F523" s="134"/>
      <c r="G523" s="135">
        <v>368</v>
      </c>
      <c r="H523" s="137">
        <v>13.2</v>
      </c>
      <c r="I523" s="134"/>
      <c r="J523" s="137">
        <v>5.3</v>
      </c>
      <c r="K523" s="134"/>
      <c r="L523" s="136">
        <v>40</v>
      </c>
      <c r="M523" s="181"/>
      <c r="N523" s="159"/>
      <c r="O523" s="159"/>
      <c r="P523" s="136"/>
    </row>
    <row r="524" spans="1:16" ht="16.5" customHeight="1" x14ac:dyDescent="0.25">
      <c r="A524" s="156">
        <v>44670</v>
      </c>
      <c r="B524" s="136" t="s">
        <v>22</v>
      </c>
      <c r="C524" s="157" t="str">
        <f t="shared" si="16"/>
        <v>19.04.2022_BIE1</v>
      </c>
      <c r="D524" s="190">
        <f t="shared" si="17"/>
        <v>0</v>
      </c>
      <c r="E524" s="133">
        <v>8.11</v>
      </c>
      <c r="F524" s="134"/>
      <c r="G524" s="135">
        <v>159.5</v>
      </c>
      <c r="H524" s="137">
        <v>12.1</v>
      </c>
      <c r="I524" s="134"/>
      <c r="J524" s="137">
        <v>13.3</v>
      </c>
      <c r="K524" s="134"/>
      <c r="L524" s="136">
        <v>30</v>
      </c>
      <c r="M524" s="181"/>
      <c r="N524" s="159"/>
      <c r="O524" s="159"/>
      <c r="P524" s="136"/>
    </row>
    <row r="525" spans="1:16" ht="16.5" customHeight="1" x14ac:dyDescent="0.25">
      <c r="A525" s="156">
        <v>44670</v>
      </c>
      <c r="B525" s="136" t="s">
        <v>25</v>
      </c>
      <c r="C525" s="157" t="str">
        <f t="shared" si="16"/>
        <v>19.04.2022_BIE2</v>
      </c>
      <c r="D525" s="190">
        <f t="shared" si="17"/>
        <v>0</v>
      </c>
      <c r="E525" s="133">
        <v>8.0500000000000007</v>
      </c>
      <c r="F525" s="134"/>
      <c r="G525" s="135">
        <v>163.30000000000001</v>
      </c>
      <c r="H525" s="137">
        <v>11.3</v>
      </c>
      <c r="I525" s="134"/>
      <c r="J525" s="137">
        <v>13.3</v>
      </c>
      <c r="K525" s="134"/>
      <c r="L525" s="136">
        <v>50</v>
      </c>
      <c r="M525" s="181"/>
      <c r="N525" s="159"/>
      <c r="O525" s="159"/>
      <c r="P525" s="136"/>
    </row>
    <row r="526" spans="1:16" ht="16.5" customHeight="1" x14ac:dyDescent="0.25">
      <c r="A526" s="156">
        <v>44670</v>
      </c>
      <c r="B526" s="136" t="s">
        <v>30</v>
      </c>
      <c r="C526" s="157" t="str">
        <f t="shared" si="16"/>
        <v>19.04.2022_FAL1</v>
      </c>
      <c r="D526" s="190">
        <f t="shared" si="17"/>
        <v>0</v>
      </c>
      <c r="E526" s="133">
        <v>8.08</v>
      </c>
      <c r="F526" s="134"/>
      <c r="G526" s="135">
        <v>860</v>
      </c>
      <c r="H526" s="137">
        <v>11.4</v>
      </c>
      <c r="I526" s="134"/>
      <c r="J526" s="137">
        <v>11.1</v>
      </c>
      <c r="K526" s="134"/>
      <c r="L526" s="136">
        <v>60</v>
      </c>
      <c r="M526" s="181"/>
      <c r="N526" s="159"/>
      <c r="O526" s="159"/>
      <c r="P526" s="136"/>
    </row>
    <row r="527" spans="1:16" ht="16.5" customHeight="1" x14ac:dyDescent="0.25">
      <c r="A527" s="156">
        <v>44670</v>
      </c>
      <c r="B527" s="136" t="s">
        <v>32</v>
      </c>
      <c r="C527" s="157" t="str">
        <f t="shared" si="16"/>
        <v>19.04.2022_FAL2</v>
      </c>
      <c r="D527" s="190">
        <f t="shared" si="17"/>
        <v>0</v>
      </c>
      <c r="E527" s="133">
        <v>8.23</v>
      </c>
      <c r="F527" s="134"/>
      <c r="G527" s="135">
        <v>861</v>
      </c>
      <c r="H527" s="137">
        <v>12.3</v>
      </c>
      <c r="I527" s="134"/>
      <c r="J527" s="137">
        <v>11.5</v>
      </c>
      <c r="K527" s="134"/>
      <c r="L527" s="136">
        <v>50</v>
      </c>
      <c r="M527" s="181"/>
      <c r="N527" s="159"/>
      <c r="O527" s="159"/>
      <c r="P527" s="136"/>
    </row>
    <row r="528" spans="1:16" ht="16.5" customHeight="1" x14ac:dyDescent="0.25">
      <c r="A528" s="156">
        <v>44670</v>
      </c>
      <c r="B528" s="136" t="s">
        <v>26</v>
      </c>
      <c r="C528" s="157" t="str">
        <f t="shared" si="16"/>
        <v>19.04.2022_GRU1</v>
      </c>
      <c r="D528" s="190">
        <f t="shared" si="17"/>
        <v>0</v>
      </c>
      <c r="E528" s="133">
        <v>7.81</v>
      </c>
      <c r="F528" s="134"/>
      <c r="G528" s="135">
        <v>140</v>
      </c>
      <c r="H528" s="137">
        <v>12.6</v>
      </c>
      <c r="I528" s="134"/>
      <c r="J528" s="137">
        <v>12.5</v>
      </c>
      <c r="K528" s="134"/>
      <c r="L528" s="136">
        <v>30</v>
      </c>
      <c r="M528" s="181"/>
      <c r="N528" s="159"/>
      <c r="O528" s="159"/>
      <c r="P528" s="136"/>
    </row>
    <row r="529" spans="1:16" ht="16.5" customHeight="1" x14ac:dyDescent="0.25">
      <c r="A529" s="156">
        <v>44670</v>
      </c>
      <c r="B529" s="136" t="s">
        <v>28</v>
      </c>
      <c r="C529" s="157" t="str">
        <f t="shared" si="16"/>
        <v>19.04.2022_GRU2</v>
      </c>
      <c r="D529" s="190">
        <f t="shared" si="17"/>
        <v>0</v>
      </c>
      <c r="E529" s="133">
        <v>7.74</v>
      </c>
      <c r="F529" s="134"/>
      <c r="G529" s="135">
        <v>167.6</v>
      </c>
      <c r="H529" s="137">
        <v>13.3</v>
      </c>
      <c r="I529" s="134"/>
      <c r="J529" s="137">
        <v>12</v>
      </c>
      <c r="K529" s="134"/>
      <c r="L529" s="136">
        <v>45</v>
      </c>
      <c r="M529" s="181"/>
      <c r="N529" s="159"/>
      <c r="O529" s="159"/>
      <c r="P529" s="136"/>
    </row>
    <row r="530" spans="1:16" ht="16.5" customHeight="1" x14ac:dyDescent="0.25">
      <c r="A530" s="156">
        <v>44670</v>
      </c>
      <c r="B530" s="136" t="s">
        <v>34</v>
      </c>
      <c r="C530" s="157" t="str">
        <f t="shared" si="16"/>
        <v>19.04.2022_KRE1</v>
      </c>
      <c r="D530" s="190">
        <f t="shared" si="17"/>
        <v>0</v>
      </c>
      <c r="E530" s="133">
        <v>8.1199999999999992</v>
      </c>
      <c r="F530" s="134"/>
      <c r="G530" s="135">
        <v>875</v>
      </c>
      <c r="H530" s="137">
        <v>11.9</v>
      </c>
      <c r="I530" s="134"/>
      <c r="J530" s="137">
        <v>10.9</v>
      </c>
      <c r="K530" s="134"/>
      <c r="L530" s="136">
        <v>110.00000000000001</v>
      </c>
      <c r="M530" s="181"/>
      <c r="N530" s="159"/>
      <c r="O530" s="159"/>
      <c r="P530" s="136"/>
    </row>
    <row r="531" spans="1:16" ht="16.5" customHeight="1" x14ac:dyDescent="0.25">
      <c r="A531" s="156">
        <v>44670</v>
      </c>
      <c r="B531" s="136" t="s">
        <v>37</v>
      </c>
      <c r="C531" s="157" t="str">
        <f t="shared" si="16"/>
        <v>19.04.2022_KRE2</v>
      </c>
      <c r="D531" s="190">
        <f t="shared" si="17"/>
        <v>0</v>
      </c>
      <c r="E531" s="133">
        <v>8.11</v>
      </c>
      <c r="F531" s="134"/>
      <c r="G531" s="135">
        <v>896</v>
      </c>
      <c r="H531" s="137">
        <v>10.4</v>
      </c>
      <c r="I531" s="134"/>
      <c r="J531" s="137">
        <v>9.6</v>
      </c>
      <c r="K531" s="134"/>
      <c r="L531" s="136">
        <v>50</v>
      </c>
      <c r="M531" s="181"/>
      <c r="N531" s="159"/>
      <c r="O531" s="159"/>
      <c r="P531" s="136"/>
    </row>
    <row r="532" spans="1:16" ht="16.5" customHeight="1" x14ac:dyDescent="0.25">
      <c r="A532" s="156">
        <v>44670</v>
      </c>
      <c r="B532" s="136" t="s">
        <v>14</v>
      </c>
      <c r="C532" s="157" t="str">
        <f t="shared" si="16"/>
        <v>19.04.2022_BRA1</v>
      </c>
      <c r="D532" s="190">
        <f t="shared" si="17"/>
        <v>0</v>
      </c>
      <c r="E532" s="133">
        <v>8.59</v>
      </c>
      <c r="F532" s="134"/>
      <c r="G532" s="135">
        <v>166</v>
      </c>
      <c r="H532" s="137">
        <v>13.2</v>
      </c>
      <c r="I532" s="134"/>
      <c r="J532" s="137">
        <v>11.6</v>
      </c>
      <c r="K532" s="134"/>
      <c r="L532" s="136">
        <v>25</v>
      </c>
      <c r="M532" s="181"/>
      <c r="N532" s="159"/>
      <c r="O532" s="159"/>
      <c r="P532" s="136"/>
    </row>
    <row r="533" spans="1:16" ht="16.5" customHeight="1" x14ac:dyDescent="0.25">
      <c r="A533" s="156">
        <v>44670</v>
      </c>
      <c r="B533" s="136" t="s">
        <v>17</v>
      </c>
      <c r="C533" s="157" t="str">
        <f t="shared" si="16"/>
        <v>19.04.2022_BRA2</v>
      </c>
      <c r="D533" s="190">
        <f t="shared" si="17"/>
        <v>0</v>
      </c>
      <c r="E533" s="133">
        <v>8.93</v>
      </c>
      <c r="F533" s="134"/>
      <c r="G533" s="135">
        <v>179.7</v>
      </c>
      <c r="H533" s="137">
        <v>11.6</v>
      </c>
      <c r="I533" s="134"/>
      <c r="J533" s="137">
        <v>12</v>
      </c>
      <c r="K533" s="134"/>
      <c r="L533" s="136">
        <v>30</v>
      </c>
      <c r="M533" s="181"/>
      <c r="N533" s="159"/>
      <c r="O533" s="159"/>
      <c r="P533" s="136"/>
    </row>
    <row r="534" spans="1:16" ht="16.5" customHeight="1" x14ac:dyDescent="0.25">
      <c r="A534" s="156">
        <v>44670</v>
      </c>
      <c r="B534" s="136" t="s">
        <v>0</v>
      </c>
      <c r="C534" s="157" t="str">
        <f t="shared" si="16"/>
        <v>19.04.2022_KIN1</v>
      </c>
      <c r="D534" s="190">
        <f t="shared" si="17"/>
        <v>0</v>
      </c>
      <c r="E534" s="133">
        <v>8.56</v>
      </c>
      <c r="F534" s="134"/>
      <c r="G534" s="135">
        <v>447</v>
      </c>
      <c r="H534" s="137">
        <v>13.5</v>
      </c>
      <c r="I534" s="134"/>
      <c r="J534" s="182" t="s">
        <v>219</v>
      </c>
      <c r="K534" s="134"/>
      <c r="L534" s="136">
        <v>30</v>
      </c>
      <c r="M534" s="181"/>
      <c r="N534" s="159"/>
      <c r="O534" s="159"/>
      <c r="P534" s="136" t="s">
        <v>166</v>
      </c>
    </row>
    <row r="535" spans="1:16" ht="16.5" customHeight="1" x14ac:dyDescent="0.25">
      <c r="A535" s="156">
        <v>44670</v>
      </c>
      <c r="B535" s="136" t="s">
        <v>2</v>
      </c>
      <c r="C535" s="157" t="str">
        <f t="shared" si="16"/>
        <v>19.04.2022_KIN2</v>
      </c>
      <c r="D535" s="190">
        <f t="shared" si="17"/>
        <v>0</v>
      </c>
      <c r="E535" s="133">
        <v>8.4499999999999993</v>
      </c>
      <c r="F535" s="134"/>
      <c r="G535" s="135">
        <v>497</v>
      </c>
      <c r="H535" s="137">
        <v>14.1</v>
      </c>
      <c r="I535" s="134"/>
      <c r="J535" s="137">
        <v>8.5</v>
      </c>
      <c r="K535" s="134"/>
      <c r="L535" s="136">
        <v>35</v>
      </c>
      <c r="M535" s="181"/>
      <c r="N535" s="159"/>
      <c r="O535" s="159"/>
      <c r="P535" s="136" t="s">
        <v>173</v>
      </c>
    </row>
    <row r="536" spans="1:16" ht="16.5" customHeight="1" x14ac:dyDescent="0.25">
      <c r="A536" s="156">
        <v>44670</v>
      </c>
      <c r="B536" s="136" t="s">
        <v>4</v>
      </c>
      <c r="C536" s="157" t="str">
        <f t="shared" si="16"/>
        <v>19.04.2022_KIN3</v>
      </c>
      <c r="D536" s="190">
        <f t="shared" si="17"/>
        <v>0</v>
      </c>
      <c r="E536" s="133">
        <v>8.49</v>
      </c>
      <c r="F536" s="134"/>
      <c r="G536" s="135">
        <v>483</v>
      </c>
      <c r="H536" s="137">
        <v>14</v>
      </c>
      <c r="I536" s="134"/>
      <c r="J536" s="137">
        <v>8.3000000000000007</v>
      </c>
      <c r="K536" s="134"/>
      <c r="L536" s="136">
        <v>80</v>
      </c>
      <c r="M536" s="181"/>
      <c r="N536" s="159"/>
      <c r="O536" s="159"/>
      <c r="P536" s="136" t="s">
        <v>174</v>
      </c>
    </row>
    <row r="537" spans="1:16" ht="16.5" customHeight="1" x14ac:dyDescent="0.25">
      <c r="A537" s="156">
        <v>44670</v>
      </c>
      <c r="B537" s="136" t="s">
        <v>6</v>
      </c>
      <c r="C537" s="157" t="str">
        <f t="shared" si="16"/>
        <v>19.04.2022_KIN4</v>
      </c>
      <c r="D537" s="190">
        <f t="shared" si="17"/>
        <v>0</v>
      </c>
      <c r="E537" s="133">
        <v>8.31</v>
      </c>
      <c r="F537" s="134"/>
      <c r="G537" s="135">
        <v>495</v>
      </c>
      <c r="H537" s="137">
        <v>13.7</v>
      </c>
      <c r="I537" s="134"/>
      <c r="J537" s="137">
        <v>9</v>
      </c>
      <c r="K537" s="134"/>
      <c r="L537" s="136">
        <v>55.000000000000007</v>
      </c>
      <c r="M537" s="181"/>
      <c r="N537" s="159"/>
      <c r="O537" s="159"/>
      <c r="P537" s="136"/>
    </row>
    <row r="538" spans="1:16" ht="16.5" customHeight="1" x14ac:dyDescent="0.25">
      <c r="A538" s="156">
        <v>44670</v>
      </c>
      <c r="B538" s="136" t="s">
        <v>18</v>
      </c>
      <c r="C538" s="157" t="str">
        <f t="shared" si="16"/>
        <v>19.04.2022_ORB1</v>
      </c>
      <c r="D538" s="190">
        <f t="shared" si="17"/>
        <v>0</v>
      </c>
      <c r="E538" s="133">
        <v>7.48</v>
      </c>
      <c r="F538" s="134"/>
      <c r="G538" s="135">
        <v>123.4</v>
      </c>
      <c r="H538" s="137">
        <v>10.9</v>
      </c>
      <c r="I538" s="134"/>
      <c r="J538" s="137">
        <v>12.8</v>
      </c>
      <c r="K538" s="134"/>
      <c r="L538" s="136">
        <v>30</v>
      </c>
      <c r="M538" s="181"/>
      <c r="N538" s="159"/>
      <c r="O538" s="159"/>
      <c r="P538" s="136"/>
    </row>
    <row r="539" spans="1:16" ht="16.5" customHeight="1" x14ac:dyDescent="0.25">
      <c r="A539" s="156">
        <v>44670</v>
      </c>
      <c r="B539" s="136" t="s">
        <v>21</v>
      </c>
      <c r="C539" s="157" t="str">
        <f t="shared" si="16"/>
        <v>19.04.2022_ORB2</v>
      </c>
      <c r="D539" s="190">
        <f t="shared" si="17"/>
        <v>0</v>
      </c>
      <c r="E539" s="133">
        <v>7.18</v>
      </c>
      <c r="F539" s="134"/>
      <c r="G539" s="135">
        <v>138.9</v>
      </c>
      <c r="H539" s="137">
        <v>11.2</v>
      </c>
      <c r="I539" s="134"/>
      <c r="J539" s="137">
        <v>14.7</v>
      </c>
      <c r="K539" s="134"/>
      <c r="L539" s="136">
        <v>30</v>
      </c>
      <c r="M539" s="181"/>
      <c r="N539" s="159"/>
      <c r="O539" s="159"/>
      <c r="P539" s="136"/>
    </row>
    <row r="540" spans="1:16" ht="16.5" customHeight="1" x14ac:dyDescent="0.25">
      <c r="A540" s="156">
        <v>44670</v>
      </c>
      <c r="B540" s="136" t="s">
        <v>10</v>
      </c>
      <c r="C540" s="157" t="str">
        <f t="shared" si="16"/>
        <v>19.04.2022_SAL1</v>
      </c>
      <c r="D540" s="190">
        <f t="shared" si="17"/>
        <v>0</v>
      </c>
      <c r="E540" s="133">
        <v>8.3800000000000008</v>
      </c>
      <c r="F540" s="134"/>
      <c r="G540" s="135">
        <v>184.8</v>
      </c>
      <c r="H540" s="137">
        <v>12.9</v>
      </c>
      <c r="I540" s="134"/>
      <c r="J540" s="137">
        <v>9.8000000000000007</v>
      </c>
      <c r="K540" s="134"/>
      <c r="L540" s="136">
        <v>40</v>
      </c>
      <c r="M540" s="181"/>
      <c r="N540" s="159"/>
      <c r="O540" s="159"/>
      <c r="P540" s="136" t="s">
        <v>174</v>
      </c>
    </row>
    <row r="541" spans="1:16" ht="16.5" customHeight="1" x14ac:dyDescent="0.25">
      <c r="A541" s="156">
        <v>44670</v>
      </c>
      <c r="B541" s="136" t="s">
        <v>12</v>
      </c>
      <c r="C541" s="157" t="str">
        <f t="shared" si="16"/>
        <v>19.04.2022_SAL2</v>
      </c>
      <c r="D541" s="190">
        <f t="shared" si="17"/>
        <v>0</v>
      </c>
      <c r="E541" s="133">
        <v>8.98</v>
      </c>
      <c r="F541" s="134"/>
      <c r="G541" s="135">
        <v>194.5</v>
      </c>
      <c r="H541" s="137">
        <v>13.6</v>
      </c>
      <c r="I541" s="134"/>
      <c r="J541" s="137">
        <v>10</v>
      </c>
      <c r="K541" s="134"/>
      <c r="L541" s="136">
        <v>40</v>
      </c>
      <c r="M541" s="181"/>
      <c r="N541" s="159"/>
      <c r="O541" s="159"/>
      <c r="P541" s="136" t="s">
        <v>174</v>
      </c>
    </row>
    <row r="542" spans="1:16" ht="16.5" customHeight="1" x14ac:dyDescent="0.25">
      <c r="A542" s="156">
        <v>44670</v>
      </c>
      <c r="B542" s="136" t="s">
        <v>7</v>
      </c>
      <c r="C542" s="157" t="str">
        <f t="shared" si="16"/>
        <v>19.04.2022_STE1</v>
      </c>
      <c r="D542" s="190">
        <f t="shared" si="17"/>
        <v>0</v>
      </c>
      <c r="E542" s="133">
        <v>8.36</v>
      </c>
      <c r="F542" s="134"/>
      <c r="G542" s="135">
        <v>296</v>
      </c>
      <c r="H542" s="137">
        <v>14</v>
      </c>
      <c r="I542" s="134"/>
      <c r="J542" s="137">
        <v>9</v>
      </c>
      <c r="K542" s="134"/>
      <c r="L542" s="136">
        <v>40</v>
      </c>
      <c r="M542" s="181"/>
      <c r="N542" s="159"/>
      <c r="O542" s="159"/>
      <c r="P542" s="136"/>
    </row>
    <row r="543" spans="1:16" ht="16.5" customHeight="1" x14ac:dyDescent="0.25">
      <c r="A543" s="156">
        <v>44670</v>
      </c>
      <c r="B543" s="136" t="s">
        <v>9</v>
      </c>
      <c r="C543" s="157" t="str">
        <f t="shared" si="16"/>
        <v>19.04.2022_STE2</v>
      </c>
      <c r="D543" s="190">
        <f t="shared" si="17"/>
        <v>0</v>
      </c>
      <c r="E543" s="133">
        <v>8.66</v>
      </c>
      <c r="F543" s="134"/>
      <c r="G543" s="135">
        <v>306</v>
      </c>
      <c r="H543" s="137">
        <v>13.9</v>
      </c>
      <c r="I543" s="134"/>
      <c r="J543" s="137">
        <v>9.3000000000000007</v>
      </c>
      <c r="K543" s="134"/>
      <c r="L543" s="136">
        <v>40</v>
      </c>
      <c r="M543" s="181"/>
      <c r="N543" s="159"/>
      <c r="O543" s="159"/>
      <c r="P543" s="136"/>
    </row>
    <row r="544" spans="1:16" ht="16.5" customHeight="1" x14ac:dyDescent="0.25">
      <c r="A544" s="156">
        <v>44684</v>
      </c>
      <c r="B544" s="136" t="s">
        <v>22</v>
      </c>
      <c r="C544" s="157" t="str">
        <f t="shared" si="16"/>
        <v>03.05.2022_BIE1</v>
      </c>
      <c r="D544" s="190">
        <f t="shared" si="17"/>
        <v>0</v>
      </c>
      <c r="E544" s="133">
        <v>8.16</v>
      </c>
      <c r="F544" s="134"/>
      <c r="G544" s="135">
        <v>171.3</v>
      </c>
      <c r="H544" s="137">
        <v>11.3</v>
      </c>
      <c r="I544" s="134"/>
      <c r="J544" s="137">
        <v>13.8</v>
      </c>
      <c r="K544" s="134"/>
      <c r="L544" s="136">
        <v>30</v>
      </c>
      <c r="M544" s="181"/>
      <c r="N544" s="159"/>
      <c r="O544" s="159"/>
      <c r="P544" s="136"/>
    </row>
    <row r="545" spans="1:16" ht="16.5" customHeight="1" x14ac:dyDescent="0.25">
      <c r="A545" s="156">
        <v>44684</v>
      </c>
      <c r="B545" s="136" t="s">
        <v>25</v>
      </c>
      <c r="C545" s="157" t="str">
        <f t="shared" si="16"/>
        <v>03.05.2022_BIE2</v>
      </c>
      <c r="D545" s="190">
        <f t="shared" si="17"/>
        <v>0</v>
      </c>
      <c r="E545" s="133">
        <v>8.08</v>
      </c>
      <c r="F545" s="134"/>
      <c r="G545" s="135">
        <v>169.2</v>
      </c>
      <c r="H545" s="137">
        <v>12.9</v>
      </c>
      <c r="I545" s="134"/>
      <c r="J545" s="137">
        <v>14.2</v>
      </c>
      <c r="K545" s="134"/>
      <c r="L545" s="136">
        <v>50</v>
      </c>
      <c r="M545" s="181"/>
      <c r="N545" s="159"/>
      <c r="O545" s="159"/>
      <c r="P545" s="136"/>
    </row>
    <row r="546" spans="1:16" ht="16.5" customHeight="1" x14ac:dyDescent="0.25">
      <c r="A546" s="156">
        <v>44684</v>
      </c>
      <c r="B546" s="136" t="s">
        <v>30</v>
      </c>
      <c r="C546" s="157" t="str">
        <f t="shared" si="16"/>
        <v>03.05.2022_FAL1</v>
      </c>
      <c r="D546" s="190">
        <f t="shared" si="17"/>
        <v>0</v>
      </c>
      <c r="E546" s="133">
        <v>8.1</v>
      </c>
      <c r="F546" s="134"/>
      <c r="G546" s="135">
        <v>826</v>
      </c>
      <c r="H546" s="137">
        <v>10</v>
      </c>
      <c r="I546" s="134"/>
      <c r="J546" s="137">
        <v>14</v>
      </c>
      <c r="K546" s="134"/>
      <c r="L546" s="136">
        <v>55.000000000000007</v>
      </c>
      <c r="M546" s="181"/>
      <c r="N546" s="159"/>
      <c r="O546" s="159"/>
      <c r="P546" s="136" t="s">
        <v>205</v>
      </c>
    </row>
    <row r="547" spans="1:16" ht="16.5" customHeight="1" x14ac:dyDescent="0.25">
      <c r="A547" s="156">
        <v>44684</v>
      </c>
      <c r="B547" s="136" t="s">
        <v>32</v>
      </c>
      <c r="C547" s="157" t="str">
        <f t="shared" si="16"/>
        <v>03.05.2022_FAL2</v>
      </c>
      <c r="D547" s="190">
        <f t="shared" si="17"/>
        <v>0</v>
      </c>
      <c r="E547" s="133">
        <v>8.36</v>
      </c>
      <c r="F547" s="134"/>
      <c r="G547" s="135">
        <v>808</v>
      </c>
      <c r="H547" s="137">
        <v>12.1</v>
      </c>
      <c r="I547" s="134"/>
      <c r="J547" s="137">
        <v>14.8</v>
      </c>
      <c r="K547" s="134"/>
      <c r="L547" s="136">
        <v>35</v>
      </c>
      <c r="M547" s="181"/>
      <c r="N547" s="159"/>
      <c r="O547" s="159"/>
      <c r="P547" s="136" t="s">
        <v>218</v>
      </c>
    </row>
    <row r="548" spans="1:16" ht="16.5" customHeight="1" x14ac:dyDescent="0.25">
      <c r="A548" s="156">
        <v>44684</v>
      </c>
      <c r="B548" s="136" t="s">
        <v>26</v>
      </c>
      <c r="C548" s="157" t="str">
        <f t="shared" si="16"/>
        <v>03.05.2022_GRU1</v>
      </c>
      <c r="D548" s="190">
        <f t="shared" si="17"/>
        <v>0</v>
      </c>
      <c r="E548" s="133">
        <v>7.84</v>
      </c>
      <c r="F548" s="134"/>
      <c r="G548" s="135">
        <v>158.4</v>
      </c>
      <c r="H548" s="137">
        <v>11</v>
      </c>
      <c r="I548" s="134"/>
      <c r="J548" s="137">
        <v>14.8</v>
      </c>
      <c r="K548" s="134"/>
      <c r="L548" s="136">
        <v>30</v>
      </c>
      <c r="M548" s="181"/>
      <c r="N548" s="159"/>
      <c r="O548" s="159"/>
      <c r="P548" s="136"/>
    </row>
    <row r="549" spans="1:16" ht="16.5" customHeight="1" x14ac:dyDescent="0.25">
      <c r="A549" s="156">
        <v>44684</v>
      </c>
      <c r="B549" s="136" t="s">
        <v>28</v>
      </c>
      <c r="C549" s="157" t="str">
        <f t="shared" si="16"/>
        <v>03.05.2022_GRU2</v>
      </c>
      <c r="D549" s="190">
        <f t="shared" si="17"/>
        <v>0</v>
      </c>
      <c r="E549" s="133">
        <v>7.87</v>
      </c>
      <c r="F549" s="134"/>
      <c r="G549" s="135">
        <v>175.3</v>
      </c>
      <c r="H549" s="137">
        <v>12.4</v>
      </c>
      <c r="I549" s="134"/>
      <c r="J549" s="137">
        <v>14.8</v>
      </c>
      <c r="K549" s="134"/>
      <c r="L549" s="136">
        <v>40</v>
      </c>
      <c r="M549" s="181"/>
      <c r="N549" s="159"/>
      <c r="O549" s="159"/>
      <c r="P549" s="136"/>
    </row>
    <row r="550" spans="1:16" ht="16.5" customHeight="1" x14ac:dyDescent="0.25">
      <c r="A550" s="156">
        <v>44684</v>
      </c>
      <c r="B550" s="136" t="s">
        <v>34</v>
      </c>
      <c r="C550" s="157" t="str">
        <f t="shared" si="16"/>
        <v>03.05.2022_KRE1</v>
      </c>
      <c r="D550" s="190">
        <f t="shared" si="17"/>
        <v>0</v>
      </c>
      <c r="E550" s="133">
        <v>8.15</v>
      </c>
      <c r="F550" s="134"/>
      <c r="G550" s="135">
        <v>854</v>
      </c>
      <c r="H550" s="137">
        <v>12.3</v>
      </c>
      <c r="I550" s="134"/>
      <c r="J550" s="137">
        <v>14.1</v>
      </c>
      <c r="K550" s="134"/>
      <c r="L550" s="136">
        <v>40</v>
      </c>
      <c r="M550" s="181"/>
      <c r="N550" s="159"/>
      <c r="O550" s="159"/>
      <c r="P550" s="136" t="s">
        <v>206</v>
      </c>
    </row>
    <row r="551" spans="1:16" ht="16.5" customHeight="1" x14ac:dyDescent="0.25">
      <c r="A551" s="156">
        <v>44684</v>
      </c>
      <c r="B551" s="136" t="s">
        <v>37</v>
      </c>
      <c r="C551" s="157" t="str">
        <f t="shared" si="16"/>
        <v>03.05.2022_KRE2</v>
      </c>
      <c r="D551" s="190">
        <f t="shared" si="17"/>
        <v>0</v>
      </c>
      <c r="E551" s="133">
        <v>8.0500000000000007</v>
      </c>
      <c r="F551" s="134"/>
      <c r="G551" s="135">
        <v>867</v>
      </c>
      <c r="H551" s="137">
        <v>9.6</v>
      </c>
      <c r="I551" s="134"/>
      <c r="J551" s="137">
        <v>13.2</v>
      </c>
      <c r="K551" s="134"/>
      <c r="L551" s="136">
        <v>40</v>
      </c>
      <c r="M551" s="181"/>
      <c r="N551" s="159"/>
      <c r="O551" s="159" t="s">
        <v>390</v>
      </c>
      <c r="P551" s="136"/>
    </row>
    <row r="552" spans="1:16" ht="16.5" customHeight="1" x14ac:dyDescent="0.25">
      <c r="A552" s="156">
        <v>44684</v>
      </c>
      <c r="B552" s="136" t="s">
        <v>14</v>
      </c>
      <c r="C552" s="157" t="str">
        <f t="shared" si="16"/>
        <v>03.05.2022_BRA1</v>
      </c>
      <c r="D552" s="190">
        <f t="shared" si="17"/>
        <v>0</v>
      </c>
      <c r="E552" s="133">
        <v>8.11</v>
      </c>
      <c r="F552" s="134"/>
      <c r="G552" s="135">
        <v>180.01</v>
      </c>
      <c r="H552" s="137">
        <v>12.9</v>
      </c>
      <c r="I552" s="134"/>
      <c r="J552" s="137">
        <v>14.5</v>
      </c>
      <c r="K552" s="134"/>
      <c r="L552" s="136">
        <v>25</v>
      </c>
      <c r="M552" s="181"/>
      <c r="N552" s="159"/>
      <c r="O552" s="159"/>
      <c r="P552" s="136"/>
    </row>
    <row r="553" spans="1:16" ht="16.5" customHeight="1" x14ac:dyDescent="0.25">
      <c r="A553" s="156">
        <v>44684</v>
      </c>
      <c r="B553" s="136" t="s">
        <v>17</v>
      </c>
      <c r="C553" s="157" t="str">
        <f t="shared" si="16"/>
        <v>03.05.2022_BRA2</v>
      </c>
      <c r="D553" s="190">
        <f t="shared" si="17"/>
        <v>0</v>
      </c>
      <c r="E553" s="133">
        <v>8.3800000000000008</v>
      </c>
      <c r="F553" s="134"/>
      <c r="G553" s="135">
        <v>207</v>
      </c>
      <c r="H553" s="137">
        <v>13.1</v>
      </c>
      <c r="I553" s="134"/>
      <c r="J553" s="137">
        <v>13.3</v>
      </c>
      <c r="K553" s="134"/>
      <c r="L553" s="136">
        <v>20</v>
      </c>
      <c r="M553" s="181"/>
      <c r="N553" s="159"/>
      <c r="O553" s="159"/>
      <c r="P553" s="136"/>
    </row>
    <row r="554" spans="1:16" ht="16.5" customHeight="1" x14ac:dyDescent="0.25">
      <c r="A554" s="156">
        <v>44684</v>
      </c>
      <c r="B554" s="136" t="s">
        <v>0</v>
      </c>
      <c r="C554" s="157" t="str">
        <f t="shared" si="16"/>
        <v>03.05.2022_KIN1</v>
      </c>
      <c r="D554" s="190">
        <f t="shared" si="17"/>
        <v>0</v>
      </c>
      <c r="E554" s="133">
        <v>8.6300000000000008</v>
      </c>
      <c r="F554" s="134"/>
      <c r="G554" s="135">
        <v>404</v>
      </c>
      <c r="H554" s="137">
        <v>13.3</v>
      </c>
      <c r="I554" s="134"/>
      <c r="J554" s="137">
        <v>11.1</v>
      </c>
      <c r="K554" s="134"/>
      <c r="L554" s="136">
        <v>30</v>
      </c>
      <c r="M554" s="181"/>
      <c r="N554" s="159"/>
      <c r="O554" s="159"/>
      <c r="P554" s="136" t="s">
        <v>166</v>
      </c>
    </row>
    <row r="555" spans="1:16" ht="16.5" customHeight="1" x14ac:dyDescent="0.25">
      <c r="A555" s="156">
        <v>44684</v>
      </c>
      <c r="B555" s="136" t="s">
        <v>2</v>
      </c>
      <c r="C555" s="157" t="str">
        <f t="shared" si="16"/>
        <v>03.05.2022_KIN2</v>
      </c>
      <c r="D555" s="190">
        <f t="shared" si="17"/>
        <v>0</v>
      </c>
      <c r="E555" s="133">
        <v>8.4600000000000009</v>
      </c>
      <c r="F555" s="134"/>
      <c r="G555" s="135">
        <v>465</v>
      </c>
      <c r="H555" s="137">
        <v>13</v>
      </c>
      <c r="I555" s="134"/>
      <c r="J555" s="137">
        <v>11.6</v>
      </c>
      <c r="K555" s="134"/>
      <c r="L555" s="136">
        <v>35</v>
      </c>
      <c r="M555" s="181"/>
      <c r="N555" s="159"/>
      <c r="O555" s="159"/>
      <c r="P555" s="136" t="s">
        <v>173</v>
      </c>
    </row>
    <row r="556" spans="1:16" ht="16.5" customHeight="1" x14ac:dyDescent="0.25">
      <c r="A556" s="156">
        <v>44684</v>
      </c>
      <c r="B556" s="136" t="s">
        <v>4</v>
      </c>
      <c r="C556" s="157" t="str">
        <f t="shared" si="16"/>
        <v>03.05.2022_KIN3</v>
      </c>
      <c r="D556" s="190">
        <f t="shared" si="17"/>
        <v>0</v>
      </c>
      <c r="E556" s="133">
        <v>8.6300000000000008</v>
      </c>
      <c r="F556" s="134"/>
      <c r="G556" s="135">
        <v>450</v>
      </c>
      <c r="H556" s="137">
        <v>14.1</v>
      </c>
      <c r="I556" s="134"/>
      <c r="J556" s="137">
        <v>11.5</v>
      </c>
      <c r="K556" s="134"/>
      <c r="L556" s="136">
        <v>70</v>
      </c>
      <c r="M556" s="181"/>
      <c r="N556" s="159"/>
      <c r="O556" s="159"/>
      <c r="P556" s="136" t="s">
        <v>174</v>
      </c>
    </row>
    <row r="557" spans="1:16" ht="16.5" customHeight="1" x14ac:dyDescent="0.25">
      <c r="A557" s="156">
        <v>44684</v>
      </c>
      <c r="B557" s="136" t="s">
        <v>6</v>
      </c>
      <c r="C557" s="157" t="str">
        <f t="shared" si="16"/>
        <v>03.05.2022_KIN4</v>
      </c>
      <c r="D557" s="190">
        <f t="shared" si="17"/>
        <v>0</v>
      </c>
      <c r="E557" s="133">
        <v>8.3800000000000008</v>
      </c>
      <c r="F557" s="134"/>
      <c r="G557" s="135">
        <v>470</v>
      </c>
      <c r="H557" s="137">
        <v>13.2</v>
      </c>
      <c r="I557" s="134"/>
      <c r="J557" s="137">
        <v>11.8</v>
      </c>
      <c r="K557" s="134"/>
      <c r="L557" s="136">
        <v>60</v>
      </c>
      <c r="M557" s="181"/>
      <c r="N557" s="159"/>
      <c r="O557" s="159"/>
      <c r="P557" s="136" t="s">
        <v>174</v>
      </c>
    </row>
    <row r="558" spans="1:16" ht="16.5" customHeight="1" x14ac:dyDescent="0.25">
      <c r="A558" s="156">
        <v>44684</v>
      </c>
      <c r="B558" s="136" t="s">
        <v>18</v>
      </c>
      <c r="C558" s="157" t="str">
        <f t="shared" si="16"/>
        <v>03.05.2022_ORB1</v>
      </c>
      <c r="D558" s="190">
        <f t="shared" si="17"/>
        <v>0</v>
      </c>
      <c r="E558" s="133">
        <v>8.0399999999999991</v>
      </c>
      <c r="F558" s="134"/>
      <c r="G558" s="135">
        <v>125.7</v>
      </c>
      <c r="H558" s="137">
        <v>13.7</v>
      </c>
      <c r="I558" s="134"/>
      <c r="J558" s="137">
        <v>12.1</v>
      </c>
      <c r="K558" s="134"/>
      <c r="L558" s="136">
        <v>15</v>
      </c>
      <c r="M558" s="181"/>
      <c r="N558" s="159"/>
      <c r="O558" s="159"/>
      <c r="P558" s="136" t="s">
        <v>174</v>
      </c>
    </row>
    <row r="559" spans="1:16" ht="16.5" customHeight="1" x14ac:dyDescent="0.25">
      <c r="A559" s="156">
        <v>44684</v>
      </c>
      <c r="B559" s="136" t="s">
        <v>21</v>
      </c>
      <c r="C559" s="157" t="str">
        <f t="shared" si="16"/>
        <v>03.05.2022_ORB2</v>
      </c>
      <c r="D559" s="190">
        <f t="shared" si="17"/>
        <v>0</v>
      </c>
      <c r="E559" s="133">
        <v>7.74</v>
      </c>
      <c r="F559" s="134"/>
      <c r="G559" s="135">
        <v>148.19999999999999</v>
      </c>
      <c r="H559" s="137">
        <v>12.8</v>
      </c>
      <c r="I559" s="134"/>
      <c r="J559" s="137">
        <v>14.4</v>
      </c>
      <c r="K559" s="134"/>
      <c r="L559" s="136">
        <v>30</v>
      </c>
      <c r="M559" s="181"/>
      <c r="N559" s="159"/>
      <c r="O559" s="159"/>
      <c r="P559" s="136"/>
    </row>
    <row r="560" spans="1:16" ht="16.5" customHeight="1" x14ac:dyDescent="0.25">
      <c r="A560" s="156">
        <v>44684</v>
      </c>
      <c r="B560" s="136" t="s">
        <v>10</v>
      </c>
      <c r="C560" s="157" t="str">
        <f t="shared" si="16"/>
        <v>03.05.2022_SAL1</v>
      </c>
      <c r="D560" s="190">
        <f t="shared" si="17"/>
        <v>0</v>
      </c>
      <c r="E560" s="133">
        <v>8.27</v>
      </c>
      <c r="F560" s="134"/>
      <c r="G560" s="135">
        <v>203</v>
      </c>
      <c r="H560" s="137">
        <v>13.3</v>
      </c>
      <c r="I560" s="134"/>
      <c r="J560" s="137">
        <v>11.8</v>
      </c>
      <c r="K560" s="134"/>
      <c r="L560" s="136">
        <v>35</v>
      </c>
      <c r="M560" s="181"/>
      <c r="N560" s="159"/>
      <c r="O560" s="159"/>
      <c r="P560" s="136" t="s">
        <v>174</v>
      </c>
    </row>
    <row r="561" spans="1:16" ht="16.5" customHeight="1" x14ac:dyDescent="0.25">
      <c r="A561" s="156">
        <v>44684</v>
      </c>
      <c r="B561" s="136" t="s">
        <v>12</v>
      </c>
      <c r="C561" s="157" t="str">
        <f t="shared" si="16"/>
        <v>03.05.2022_SAL2</v>
      </c>
      <c r="D561" s="190">
        <f t="shared" si="17"/>
        <v>0</v>
      </c>
      <c r="E561" s="133">
        <v>8.3699999999999992</v>
      </c>
      <c r="F561" s="134"/>
      <c r="G561" s="135">
        <v>218</v>
      </c>
      <c r="H561" s="137">
        <v>13.4</v>
      </c>
      <c r="I561" s="134"/>
      <c r="J561" s="137">
        <v>12.5</v>
      </c>
      <c r="K561" s="134"/>
      <c r="L561" s="136">
        <v>35</v>
      </c>
      <c r="M561" s="181"/>
      <c r="N561" s="159"/>
      <c r="O561" s="159"/>
      <c r="P561" s="136" t="s">
        <v>174</v>
      </c>
    </row>
    <row r="562" spans="1:16" ht="16.5" customHeight="1" x14ac:dyDescent="0.25">
      <c r="A562" s="156">
        <v>44684</v>
      </c>
      <c r="B562" s="136" t="s">
        <v>7</v>
      </c>
      <c r="C562" s="157" t="str">
        <f t="shared" si="16"/>
        <v>03.05.2022_STE1</v>
      </c>
      <c r="D562" s="190">
        <f t="shared" si="17"/>
        <v>0</v>
      </c>
      <c r="E562" s="133">
        <v>8.52</v>
      </c>
      <c r="F562" s="134"/>
      <c r="G562" s="135">
        <v>277</v>
      </c>
      <c r="H562" s="137">
        <v>13.8</v>
      </c>
      <c r="I562" s="134"/>
      <c r="J562" s="137">
        <v>11.6</v>
      </c>
      <c r="K562" s="134"/>
      <c r="L562" s="136">
        <v>40</v>
      </c>
      <c r="M562" s="181"/>
      <c r="N562" s="159"/>
      <c r="O562" s="159"/>
      <c r="P562" s="136"/>
    </row>
    <row r="563" spans="1:16" ht="16.5" customHeight="1" x14ac:dyDescent="0.25">
      <c r="A563" s="156">
        <v>44684</v>
      </c>
      <c r="B563" s="136" t="s">
        <v>9</v>
      </c>
      <c r="C563" s="157" t="str">
        <f t="shared" si="16"/>
        <v>03.05.2022_STE2</v>
      </c>
      <c r="D563" s="190">
        <f t="shared" si="17"/>
        <v>0</v>
      </c>
      <c r="E563" s="133">
        <v>8.76</v>
      </c>
      <c r="F563" s="134"/>
      <c r="G563" s="135">
        <v>284</v>
      </c>
      <c r="H563" s="137">
        <v>13.5</v>
      </c>
      <c r="I563" s="134"/>
      <c r="J563" s="137">
        <v>12.3</v>
      </c>
      <c r="K563" s="134"/>
      <c r="L563" s="136">
        <v>50</v>
      </c>
      <c r="M563" s="181"/>
      <c r="N563" s="159"/>
      <c r="O563" s="159"/>
      <c r="P563" s="136"/>
    </row>
    <row r="564" spans="1:16" ht="16.5" customHeight="1" x14ac:dyDescent="0.25">
      <c r="A564" s="156">
        <v>44698</v>
      </c>
      <c r="B564" s="136" t="s">
        <v>22</v>
      </c>
      <c r="C564" s="157" t="str">
        <f t="shared" si="16"/>
        <v>17.05.2022_BIE1</v>
      </c>
      <c r="D564" s="190">
        <f t="shared" si="17"/>
        <v>0</v>
      </c>
      <c r="E564" s="133">
        <v>7.99</v>
      </c>
      <c r="F564" s="134"/>
      <c r="G564" s="135">
        <v>175.9</v>
      </c>
      <c r="H564" s="137">
        <v>11.1</v>
      </c>
      <c r="I564" s="134"/>
      <c r="J564" s="137">
        <v>17</v>
      </c>
      <c r="K564" s="134"/>
      <c r="L564" s="136">
        <v>40</v>
      </c>
      <c r="M564" s="181"/>
      <c r="N564" s="159"/>
      <c r="O564" s="159"/>
      <c r="P564" s="136"/>
    </row>
    <row r="565" spans="1:16" ht="16.5" customHeight="1" x14ac:dyDescent="0.25">
      <c r="A565" s="156">
        <v>44698</v>
      </c>
      <c r="B565" s="136" t="s">
        <v>25</v>
      </c>
      <c r="C565" s="157" t="str">
        <f t="shared" si="16"/>
        <v>17.05.2022_BIE2</v>
      </c>
      <c r="D565" s="190">
        <f t="shared" si="17"/>
        <v>0</v>
      </c>
      <c r="E565" s="133">
        <v>7.96</v>
      </c>
      <c r="F565" s="134"/>
      <c r="G565" s="135">
        <v>180.2</v>
      </c>
      <c r="H565" s="137">
        <v>9.9</v>
      </c>
      <c r="I565" s="134"/>
      <c r="J565" s="137">
        <v>16.399999999999999</v>
      </c>
      <c r="K565" s="134"/>
      <c r="L565" s="136">
        <v>45</v>
      </c>
      <c r="M565" s="181"/>
      <c r="N565" s="159"/>
      <c r="O565" s="159"/>
      <c r="P565" s="136"/>
    </row>
    <row r="566" spans="1:16" ht="16.5" customHeight="1" x14ac:dyDescent="0.25">
      <c r="A566" s="156">
        <v>44698</v>
      </c>
      <c r="B566" s="136" t="s">
        <v>30</v>
      </c>
      <c r="C566" s="157" t="str">
        <f t="shared" si="16"/>
        <v>17.05.2022_FAL1</v>
      </c>
      <c r="D566" s="190">
        <f t="shared" si="17"/>
        <v>0</v>
      </c>
      <c r="E566" s="133">
        <v>8.06</v>
      </c>
      <c r="F566" s="134"/>
      <c r="G566" s="135">
        <v>683</v>
      </c>
      <c r="H566" s="137">
        <v>9.4</v>
      </c>
      <c r="I566" s="134"/>
      <c r="J566" s="137">
        <v>15.9</v>
      </c>
      <c r="K566" s="134"/>
      <c r="L566" s="136">
        <v>60</v>
      </c>
      <c r="M566" s="181"/>
      <c r="N566" s="159"/>
      <c r="O566" s="159"/>
      <c r="P566" s="136"/>
    </row>
    <row r="567" spans="1:16" ht="16.5" customHeight="1" x14ac:dyDescent="0.25">
      <c r="A567" s="156">
        <v>44698</v>
      </c>
      <c r="B567" s="136" t="s">
        <v>32</v>
      </c>
      <c r="C567" s="157" t="str">
        <f t="shared" si="16"/>
        <v>17.05.2022_FAL2</v>
      </c>
      <c r="D567" s="190">
        <f t="shared" si="17"/>
        <v>0</v>
      </c>
      <c r="E567" s="133">
        <v>8.0500000000000007</v>
      </c>
      <c r="F567" s="134"/>
      <c r="G567" s="135">
        <v>748</v>
      </c>
      <c r="H567" s="137">
        <v>8.5</v>
      </c>
      <c r="I567" s="134"/>
      <c r="J567" s="137">
        <v>16.899999999999999</v>
      </c>
      <c r="K567" s="134"/>
      <c r="L567" s="136">
        <v>35</v>
      </c>
      <c r="M567" s="181"/>
      <c r="N567" s="159"/>
      <c r="O567" s="159"/>
      <c r="P567" s="136"/>
    </row>
    <row r="568" spans="1:16" ht="16.5" customHeight="1" x14ac:dyDescent="0.25">
      <c r="A568" s="156">
        <v>44698</v>
      </c>
      <c r="B568" s="136" t="s">
        <v>26</v>
      </c>
      <c r="C568" s="157" t="str">
        <f t="shared" si="16"/>
        <v>17.05.2022_GRU1</v>
      </c>
      <c r="D568" s="190">
        <f t="shared" si="17"/>
        <v>0</v>
      </c>
      <c r="E568" s="133">
        <v>7.91</v>
      </c>
      <c r="F568" s="134"/>
      <c r="G568" s="135">
        <v>156.4</v>
      </c>
      <c r="H568" s="137">
        <v>9.9</v>
      </c>
      <c r="I568" s="134"/>
      <c r="J568" s="137">
        <v>17.600000000000001</v>
      </c>
      <c r="K568" s="134"/>
      <c r="L568" s="136">
        <v>30</v>
      </c>
      <c r="M568" s="181"/>
      <c r="N568" s="159"/>
      <c r="O568" s="159"/>
      <c r="P568" s="136"/>
    </row>
    <row r="569" spans="1:16" ht="16.5" customHeight="1" x14ac:dyDescent="0.25">
      <c r="A569" s="156">
        <v>44698</v>
      </c>
      <c r="B569" s="136" t="s">
        <v>28</v>
      </c>
      <c r="C569" s="157" t="str">
        <f t="shared" si="16"/>
        <v>17.05.2022_GRU2</v>
      </c>
      <c r="D569" s="190">
        <f t="shared" si="17"/>
        <v>0</v>
      </c>
      <c r="E569" s="133">
        <v>7.76</v>
      </c>
      <c r="F569" s="134"/>
      <c r="G569" s="135">
        <v>179.9</v>
      </c>
      <c r="H569" s="137">
        <v>10</v>
      </c>
      <c r="I569" s="134"/>
      <c r="J569" s="137">
        <v>17.5</v>
      </c>
      <c r="K569" s="134"/>
      <c r="L569" s="136">
        <v>40</v>
      </c>
      <c r="M569" s="181"/>
      <c r="N569" s="159"/>
      <c r="O569" s="159"/>
      <c r="P569" s="136"/>
    </row>
    <row r="570" spans="1:16" ht="16.5" customHeight="1" x14ac:dyDescent="0.25">
      <c r="A570" s="156">
        <v>44698</v>
      </c>
      <c r="B570" s="136" t="s">
        <v>34</v>
      </c>
      <c r="C570" s="157" t="str">
        <f t="shared" si="16"/>
        <v>17.05.2022_KRE1</v>
      </c>
      <c r="D570" s="190">
        <f t="shared" si="17"/>
        <v>0</v>
      </c>
      <c r="E570" s="133">
        <v>8.06</v>
      </c>
      <c r="F570" s="134"/>
      <c r="G570" s="135">
        <v>823</v>
      </c>
      <c r="H570" s="137">
        <v>8.5</v>
      </c>
      <c r="I570" s="134"/>
      <c r="J570" s="137">
        <v>16.600000000000001</v>
      </c>
      <c r="K570" s="134"/>
      <c r="L570" s="136">
        <v>55.000000000000007</v>
      </c>
      <c r="M570" s="181"/>
      <c r="N570" s="159"/>
      <c r="O570" s="159"/>
      <c r="P570" s="136"/>
    </row>
    <row r="571" spans="1:16" ht="16.5" customHeight="1" x14ac:dyDescent="0.25">
      <c r="A571" s="156">
        <v>44698</v>
      </c>
      <c r="B571" s="136" t="s">
        <v>37</v>
      </c>
      <c r="C571" s="157" t="str">
        <f t="shared" si="16"/>
        <v>17.05.2022_KRE2</v>
      </c>
      <c r="D571" s="190">
        <f t="shared" si="17"/>
        <v>0</v>
      </c>
      <c r="E571" s="133">
        <v>8.01</v>
      </c>
      <c r="F571" s="134"/>
      <c r="G571" s="135">
        <v>895</v>
      </c>
      <c r="H571" s="137">
        <v>7.6</v>
      </c>
      <c r="I571" s="134"/>
      <c r="J571" s="137">
        <v>16.399999999999999</v>
      </c>
      <c r="K571" s="134"/>
      <c r="L571" s="136">
        <v>55.000000000000007</v>
      </c>
      <c r="M571" s="181"/>
      <c r="N571" s="159"/>
      <c r="O571" s="159"/>
      <c r="P571" s="136"/>
    </row>
    <row r="572" spans="1:16" ht="16.5" customHeight="1" x14ac:dyDescent="0.25">
      <c r="A572" s="156">
        <v>44698</v>
      </c>
      <c r="B572" s="136" t="s">
        <v>14</v>
      </c>
      <c r="C572" s="157" t="str">
        <f t="shared" si="16"/>
        <v>17.05.2022_BRA1</v>
      </c>
      <c r="D572" s="190">
        <f t="shared" si="17"/>
        <v>0</v>
      </c>
      <c r="E572" s="133">
        <v>7.95</v>
      </c>
      <c r="F572" s="134"/>
      <c r="G572" s="135">
        <v>185.2</v>
      </c>
      <c r="H572" s="137">
        <v>9.9</v>
      </c>
      <c r="I572" s="134"/>
      <c r="J572" s="137">
        <v>17.899999999999999</v>
      </c>
      <c r="K572" s="134"/>
      <c r="L572" s="136">
        <v>20</v>
      </c>
      <c r="M572" s="181"/>
      <c r="N572" s="159"/>
      <c r="O572" s="159"/>
      <c r="P572" s="136" t="s">
        <v>207</v>
      </c>
    </row>
    <row r="573" spans="1:16" ht="16.5" customHeight="1" x14ac:dyDescent="0.25">
      <c r="A573" s="156">
        <v>44698</v>
      </c>
      <c r="B573" s="136" t="s">
        <v>17</v>
      </c>
      <c r="C573" s="157" t="str">
        <f t="shared" si="16"/>
        <v>17.05.2022_BRA2</v>
      </c>
      <c r="D573" s="190">
        <f t="shared" si="17"/>
        <v>0</v>
      </c>
      <c r="E573" s="133">
        <v>8.0500000000000007</v>
      </c>
      <c r="F573" s="134"/>
      <c r="G573" s="135">
        <v>211</v>
      </c>
      <c r="H573" s="137">
        <v>10.7</v>
      </c>
      <c r="I573" s="134"/>
      <c r="J573" s="137">
        <v>17.3</v>
      </c>
      <c r="K573" s="134"/>
      <c r="L573" s="136">
        <v>20</v>
      </c>
      <c r="M573" s="181"/>
      <c r="N573" s="159"/>
      <c r="O573" s="159"/>
      <c r="P573" s="136" t="s">
        <v>208</v>
      </c>
    </row>
    <row r="574" spans="1:16" ht="16.5" customHeight="1" x14ac:dyDescent="0.25">
      <c r="A574" s="156">
        <v>44698</v>
      </c>
      <c r="B574" s="136" t="s">
        <v>0</v>
      </c>
      <c r="C574" s="157" t="str">
        <f t="shared" si="16"/>
        <v>17.05.2022_KIN1</v>
      </c>
      <c r="D574" s="190">
        <f t="shared" si="17"/>
        <v>0</v>
      </c>
      <c r="E574" s="133">
        <v>8.32</v>
      </c>
      <c r="F574" s="134"/>
      <c r="G574" s="135">
        <v>459</v>
      </c>
      <c r="H574" s="137">
        <v>12.9</v>
      </c>
      <c r="I574" s="134"/>
      <c r="J574" s="137">
        <v>13.4</v>
      </c>
      <c r="K574" s="134"/>
      <c r="L574" s="136">
        <v>25</v>
      </c>
      <c r="M574" s="181"/>
      <c r="N574" s="159"/>
      <c r="O574" s="159"/>
      <c r="P574" s="136" t="s">
        <v>209</v>
      </c>
    </row>
    <row r="575" spans="1:16" ht="16.5" customHeight="1" x14ac:dyDescent="0.25">
      <c r="A575" s="156">
        <v>44698</v>
      </c>
      <c r="B575" s="136" t="s">
        <v>2</v>
      </c>
      <c r="C575" s="157" t="str">
        <f t="shared" si="16"/>
        <v>17.05.2022_KIN2</v>
      </c>
      <c r="D575" s="190">
        <f t="shared" si="17"/>
        <v>0</v>
      </c>
      <c r="E575" s="133">
        <v>8.26</v>
      </c>
      <c r="F575" s="134"/>
      <c r="G575" s="135">
        <v>520</v>
      </c>
      <c r="H575" s="137">
        <v>12.2</v>
      </c>
      <c r="I575" s="134"/>
      <c r="J575" s="137">
        <v>13.2</v>
      </c>
      <c r="K575" s="134"/>
      <c r="L575" s="136">
        <v>35</v>
      </c>
      <c r="M575" s="181"/>
      <c r="N575" s="159"/>
      <c r="O575" s="159"/>
      <c r="P575" s="136" t="s">
        <v>209</v>
      </c>
    </row>
    <row r="576" spans="1:16" ht="16.5" customHeight="1" x14ac:dyDescent="0.25">
      <c r="A576" s="156">
        <v>44698</v>
      </c>
      <c r="B576" s="136" t="s">
        <v>4</v>
      </c>
      <c r="C576" s="157" t="str">
        <f t="shared" si="16"/>
        <v>17.05.2022_KIN3</v>
      </c>
      <c r="D576" s="190">
        <f t="shared" si="17"/>
        <v>0</v>
      </c>
      <c r="E576" s="133">
        <v>8.1</v>
      </c>
      <c r="F576" s="134"/>
      <c r="G576" s="135">
        <v>490</v>
      </c>
      <c r="H576" s="137">
        <v>12.1</v>
      </c>
      <c r="I576" s="134"/>
      <c r="J576" s="137">
        <v>13.4</v>
      </c>
      <c r="K576" s="134"/>
      <c r="L576" s="136">
        <v>70</v>
      </c>
      <c r="M576" s="181"/>
      <c r="N576" s="159"/>
      <c r="O576" s="159"/>
      <c r="P576" s="136" t="s">
        <v>210</v>
      </c>
    </row>
    <row r="577" spans="1:16" ht="16.5" customHeight="1" x14ac:dyDescent="0.25">
      <c r="A577" s="156">
        <v>44698</v>
      </c>
      <c r="B577" s="136" t="s">
        <v>6</v>
      </c>
      <c r="C577" s="157" t="str">
        <f t="shared" si="16"/>
        <v>17.05.2022_KIN4</v>
      </c>
      <c r="D577" s="190">
        <f t="shared" si="17"/>
        <v>0</v>
      </c>
      <c r="E577" s="133">
        <v>8.09</v>
      </c>
      <c r="F577" s="134"/>
      <c r="G577" s="135">
        <v>539</v>
      </c>
      <c r="H577" s="137">
        <v>11.9</v>
      </c>
      <c r="I577" s="134"/>
      <c r="J577" s="137">
        <v>14.2</v>
      </c>
      <c r="K577" s="134"/>
      <c r="L577" s="136">
        <v>60</v>
      </c>
      <c r="M577" s="181"/>
      <c r="N577" s="159"/>
      <c r="O577" s="159"/>
      <c r="P577" s="136" t="s">
        <v>210</v>
      </c>
    </row>
    <row r="578" spans="1:16" ht="16.5" customHeight="1" x14ac:dyDescent="0.25">
      <c r="A578" s="156">
        <v>44698</v>
      </c>
      <c r="B578" s="136" t="s">
        <v>18</v>
      </c>
      <c r="C578" s="157" t="str">
        <f t="shared" si="16"/>
        <v>17.05.2022_ORB1</v>
      </c>
      <c r="D578" s="190">
        <f t="shared" si="17"/>
        <v>0</v>
      </c>
      <c r="E578" s="133">
        <v>8.1199999999999992</v>
      </c>
      <c r="F578" s="134"/>
      <c r="G578" s="135">
        <v>122.1</v>
      </c>
      <c r="H578" s="137">
        <v>11.5</v>
      </c>
      <c r="I578" s="134"/>
      <c r="J578" s="137">
        <v>15.5</v>
      </c>
      <c r="K578" s="134"/>
      <c r="L578" s="136">
        <v>15</v>
      </c>
      <c r="M578" s="181"/>
      <c r="N578" s="159"/>
      <c r="O578" s="159"/>
      <c r="P578" s="136" t="s">
        <v>211</v>
      </c>
    </row>
    <row r="579" spans="1:16" ht="16.5" customHeight="1" x14ac:dyDescent="0.25">
      <c r="A579" s="156">
        <v>44698</v>
      </c>
      <c r="B579" s="136" t="s">
        <v>21</v>
      </c>
      <c r="C579" s="157" t="str">
        <f t="shared" si="16"/>
        <v>17.05.2022_ORB2</v>
      </c>
      <c r="D579" s="190">
        <f t="shared" si="17"/>
        <v>0</v>
      </c>
      <c r="E579" s="133">
        <v>7.96</v>
      </c>
      <c r="F579" s="134"/>
      <c r="G579" s="135">
        <v>156.4</v>
      </c>
      <c r="H579" s="137">
        <v>11.5</v>
      </c>
      <c r="I579" s="134"/>
      <c r="J579" s="137">
        <v>15.7</v>
      </c>
      <c r="K579" s="134"/>
      <c r="L579" s="136">
        <v>20</v>
      </c>
      <c r="M579" s="181"/>
      <c r="N579" s="159"/>
      <c r="O579" s="159"/>
      <c r="P579" s="136" t="s">
        <v>212</v>
      </c>
    </row>
    <row r="580" spans="1:16" ht="16.5" customHeight="1" x14ac:dyDescent="0.25">
      <c r="A580" s="156">
        <v>44698</v>
      </c>
      <c r="B580" s="136" t="s">
        <v>10</v>
      </c>
      <c r="C580" s="157" t="str">
        <f t="shared" si="16"/>
        <v>17.05.2022_SAL1</v>
      </c>
      <c r="D580" s="190">
        <f t="shared" si="17"/>
        <v>0</v>
      </c>
      <c r="E580" s="133">
        <v>8.1199999999999992</v>
      </c>
      <c r="F580" s="134"/>
      <c r="G580" s="135">
        <v>230</v>
      </c>
      <c r="H580" s="137">
        <v>10.9</v>
      </c>
      <c r="I580" s="134"/>
      <c r="J580" s="137">
        <v>15.7</v>
      </c>
      <c r="K580" s="134"/>
      <c r="L580" s="136">
        <v>40</v>
      </c>
      <c r="M580" s="181"/>
      <c r="N580" s="159"/>
      <c r="O580" s="159"/>
      <c r="P580" s="136" t="s">
        <v>210</v>
      </c>
    </row>
    <row r="581" spans="1:16" ht="16.5" customHeight="1" x14ac:dyDescent="0.25">
      <c r="A581" s="156">
        <v>44698</v>
      </c>
      <c r="B581" s="136" t="s">
        <v>12</v>
      </c>
      <c r="C581" s="157" t="str">
        <f t="shared" ref="C581:C644" si="18">CONCATENATE(TEXT(A581,"TT.MM.JJJJ"),"_",B581)</f>
        <v>17.05.2022_SAL2</v>
      </c>
      <c r="D581" s="190">
        <f t="shared" ref="D581:D644" si="19">COUNTBLANK(E581)+COUNTBLANK(G581:H581)+COUNTBLANK(J581)+COUNTBLANK(L581)</f>
        <v>0</v>
      </c>
      <c r="E581" s="133">
        <v>8.06</v>
      </c>
      <c r="F581" s="134"/>
      <c r="G581" s="135">
        <v>251</v>
      </c>
      <c r="H581" s="137">
        <v>11.1</v>
      </c>
      <c r="I581" s="134"/>
      <c r="J581" s="137">
        <v>16.2</v>
      </c>
      <c r="K581" s="134"/>
      <c r="L581" s="136">
        <v>30</v>
      </c>
      <c r="M581" s="181"/>
      <c r="N581" s="159"/>
      <c r="O581" s="159"/>
      <c r="P581" s="136" t="s">
        <v>210</v>
      </c>
    </row>
    <row r="582" spans="1:16" ht="16.5" customHeight="1" x14ac:dyDescent="0.25">
      <c r="A582" s="156">
        <v>44698</v>
      </c>
      <c r="B582" s="136" t="s">
        <v>7</v>
      </c>
      <c r="C582" s="157" t="str">
        <f t="shared" si="18"/>
        <v>17.05.2022_STE1</v>
      </c>
      <c r="D582" s="190">
        <f t="shared" si="19"/>
        <v>0</v>
      </c>
      <c r="E582" s="133">
        <v>8.2200000000000006</v>
      </c>
      <c r="F582" s="134"/>
      <c r="G582" s="135">
        <v>382</v>
      </c>
      <c r="H582" s="137">
        <v>13.6</v>
      </c>
      <c r="I582" s="134"/>
      <c r="J582" s="137">
        <v>13.9</v>
      </c>
      <c r="K582" s="134"/>
      <c r="L582" s="136">
        <v>35</v>
      </c>
      <c r="M582" s="181"/>
      <c r="N582" s="159"/>
      <c r="O582" s="159"/>
      <c r="P582" s="136" t="s">
        <v>213</v>
      </c>
    </row>
    <row r="583" spans="1:16" ht="16.5" customHeight="1" x14ac:dyDescent="0.25">
      <c r="A583" s="156">
        <v>44698</v>
      </c>
      <c r="B583" s="136" t="s">
        <v>9</v>
      </c>
      <c r="C583" s="157" t="str">
        <f t="shared" si="18"/>
        <v>17.05.2022_STE2</v>
      </c>
      <c r="D583" s="190">
        <f t="shared" si="19"/>
        <v>0</v>
      </c>
      <c r="E583" s="133">
        <v>8.27</v>
      </c>
      <c r="F583" s="134"/>
      <c r="G583" s="135">
        <v>392</v>
      </c>
      <c r="H583" s="137">
        <v>12.2</v>
      </c>
      <c r="I583" s="134"/>
      <c r="J583" s="137">
        <v>14.3</v>
      </c>
      <c r="K583" s="134"/>
      <c r="L583" s="136">
        <v>40</v>
      </c>
      <c r="M583" s="181"/>
      <c r="N583" s="159"/>
      <c r="O583" s="159"/>
      <c r="P583" s="136" t="s">
        <v>214</v>
      </c>
    </row>
    <row r="584" spans="1:16" ht="16.5" customHeight="1" x14ac:dyDescent="0.25">
      <c r="A584" s="156">
        <v>44712</v>
      </c>
      <c r="B584" s="136" t="s">
        <v>22</v>
      </c>
      <c r="C584" s="157" t="str">
        <f t="shared" si="18"/>
        <v>31.05.2022_BIE1</v>
      </c>
      <c r="D584" s="190">
        <f t="shared" si="19"/>
        <v>0</v>
      </c>
      <c r="E584" s="133">
        <v>7.89</v>
      </c>
      <c r="F584" s="134"/>
      <c r="G584" s="135">
        <v>184.6</v>
      </c>
      <c r="H584" s="137">
        <v>10</v>
      </c>
      <c r="I584" s="134"/>
      <c r="J584" s="137">
        <v>13.9</v>
      </c>
      <c r="K584" s="134"/>
      <c r="L584" s="136">
        <v>30</v>
      </c>
      <c r="M584" s="181"/>
      <c r="N584" s="159"/>
      <c r="O584" s="159"/>
      <c r="P584" s="136"/>
    </row>
    <row r="585" spans="1:16" ht="16.5" customHeight="1" x14ac:dyDescent="0.25">
      <c r="A585" s="156">
        <v>44712</v>
      </c>
      <c r="B585" s="136" t="s">
        <v>25</v>
      </c>
      <c r="C585" s="157" t="str">
        <f t="shared" si="18"/>
        <v>31.05.2022_BIE2</v>
      </c>
      <c r="D585" s="190">
        <f t="shared" si="19"/>
        <v>0</v>
      </c>
      <c r="E585" s="133">
        <v>7.94</v>
      </c>
      <c r="F585" s="134"/>
      <c r="G585" s="135">
        <v>192.8</v>
      </c>
      <c r="H585" s="137">
        <v>10.1</v>
      </c>
      <c r="I585" s="134"/>
      <c r="J585" s="137">
        <v>13.6</v>
      </c>
      <c r="K585" s="134"/>
      <c r="L585" s="136">
        <v>50</v>
      </c>
      <c r="M585" s="181"/>
      <c r="N585" s="159"/>
      <c r="O585" s="159"/>
      <c r="P585" s="136"/>
    </row>
    <row r="586" spans="1:16" ht="16.5" customHeight="1" x14ac:dyDescent="0.25">
      <c r="A586" s="156">
        <v>44712</v>
      </c>
      <c r="B586" s="136" t="s">
        <v>30</v>
      </c>
      <c r="C586" s="157" t="str">
        <f t="shared" si="18"/>
        <v>31.05.2022_FAL1</v>
      </c>
      <c r="D586" s="190">
        <f t="shared" si="19"/>
        <v>0</v>
      </c>
      <c r="E586" s="133">
        <v>8.07</v>
      </c>
      <c r="F586" s="134"/>
      <c r="G586" s="135">
        <v>895</v>
      </c>
      <c r="H586" s="137">
        <v>9.1999999999999993</v>
      </c>
      <c r="I586" s="134"/>
      <c r="J586" s="137">
        <v>13.9</v>
      </c>
      <c r="K586" s="134"/>
      <c r="L586" s="136">
        <v>50</v>
      </c>
      <c r="M586" s="181"/>
      <c r="N586" s="159"/>
      <c r="O586" s="159"/>
      <c r="P586" s="136"/>
    </row>
    <row r="587" spans="1:16" ht="16.5" customHeight="1" x14ac:dyDescent="0.25">
      <c r="A587" s="156">
        <v>44712</v>
      </c>
      <c r="B587" s="136" t="s">
        <v>32</v>
      </c>
      <c r="C587" s="157" t="str">
        <f t="shared" si="18"/>
        <v>31.05.2022_FAL2</v>
      </c>
      <c r="D587" s="190">
        <f t="shared" si="19"/>
        <v>0</v>
      </c>
      <c r="E587" s="133">
        <v>8.24</v>
      </c>
      <c r="F587" s="134"/>
      <c r="G587" s="135">
        <v>845</v>
      </c>
      <c r="H587" s="137">
        <v>10.1</v>
      </c>
      <c r="I587" s="134"/>
      <c r="J587" s="137">
        <v>15.3</v>
      </c>
      <c r="K587" s="134"/>
      <c r="L587" s="136">
        <v>40</v>
      </c>
      <c r="M587" s="181"/>
      <c r="N587" s="159"/>
      <c r="O587" s="159"/>
      <c r="P587" s="136"/>
    </row>
    <row r="588" spans="1:16" ht="16.5" customHeight="1" x14ac:dyDescent="0.25">
      <c r="A588" s="156">
        <v>44712</v>
      </c>
      <c r="B588" s="136" t="s">
        <v>26</v>
      </c>
      <c r="C588" s="157" t="str">
        <f t="shared" si="18"/>
        <v>31.05.2022_GRU1</v>
      </c>
      <c r="D588" s="190">
        <f t="shared" si="19"/>
        <v>0</v>
      </c>
      <c r="E588" s="133">
        <v>8.0500000000000007</v>
      </c>
      <c r="F588" s="134"/>
      <c r="G588" s="135">
        <v>171.7</v>
      </c>
      <c r="H588" s="137">
        <v>10.199999999999999</v>
      </c>
      <c r="I588" s="134"/>
      <c r="J588" s="137">
        <v>14.7</v>
      </c>
      <c r="K588" s="134"/>
      <c r="L588" s="136">
        <v>25</v>
      </c>
      <c r="M588" s="181"/>
      <c r="N588" s="159" t="s">
        <v>278</v>
      </c>
      <c r="O588" s="159"/>
      <c r="P588" s="136"/>
    </row>
    <row r="589" spans="1:16" ht="16.5" customHeight="1" x14ac:dyDescent="0.25">
      <c r="A589" s="156">
        <v>44712</v>
      </c>
      <c r="B589" s="136" t="s">
        <v>28</v>
      </c>
      <c r="C589" s="157" t="str">
        <f t="shared" si="18"/>
        <v>31.05.2022_GRU2</v>
      </c>
      <c r="D589" s="190">
        <f t="shared" si="19"/>
        <v>0</v>
      </c>
      <c r="E589" s="133">
        <v>7.87</v>
      </c>
      <c r="F589" s="134"/>
      <c r="G589" s="135">
        <v>188.6</v>
      </c>
      <c r="H589" s="137">
        <v>9.3000000000000007</v>
      </c>
      <c r="I589" s="134"/>
      <c r="J589" s="137">
        <v>14.8</v>
      </c>
      <c r="K589" s="134"/>
      <c r="L589" s="136">
        <v>45</v>
      </c>
      <c r="M589" s="181"/>
      <c r="N589" s="159"/>
      <c r="O589" s="159"/>
      <c r="P589" s="136"/>
    </row>
    <row r="590" spans="1:16" ht="16.5" customHeight="1" x14ac:dyDescent="0.25">
      <c r="A590" s="156">
        <v>44712</v>
      </c>
      <c r="B590" s="136" t="s">
        <v>34</v>
      </c>
      <c r="C590" s="157" t="str">
        <f t="shared" si="18"/>
        <v>31.05.2022_KRE1</v>
      </c>
      <c r="D590" s="190">
        <f t="shared" si="19"/>
        <v>0</v>
      </c>
      <c r="E590" s="133">
        <v>8.15</v>
      </c>
      <c r="F590" s="134"/>
      <c r="G590" s="135">
        <v>936</v>
      </c>
      <c r="H590" s="137">
        <v>8.4</v>
      </c>
      <c r="I590" s="134"/>
      <c r="J590" s="137">
        <v>13.9</v>
      </c>
      <c r="K590" s="134"/>
      <c r="L590" s="136">
        <v>70</v>
      </c>
      <c r="M590" s="181"/>
      <c r="N590" s="159"/>
      <c r="O590" s="159"/>
      <c r="P590" s="136"/>
    </row>
    <row r="591" spans="1:16" ht="16.5" customHeight="1" x14ac:dyDescent="0.25">
      <c r="A591" s="156">
        <v>44712</v>
      </c>
      <c r="B591" s="136" t="s">
        <v>37</v>
      </c>
      <c r="C591" s="157" t="str">
        <f t="shared" si="18"/>
        <v>31.05.2022_KRE2</v>
      </c>
      <c r="D591" s="190">
        <f t="shared" si="19"/>
        <v>0</v>
      </c>
      <c r="E591" s="133">
        <v>8.0399999999999991</v>
      </c>
      <c r="F591" s="134"/>
      <c r="G591" s="135">
        <v>925</v>
      </c>
      <c r="H591" s="137">
        <v>7.4</v>
      </c>
      <c r="I591" s="134"/>
      <c r="J591" s="137">
        <v>13.3</v>
      </c>
      <c r="K591" s="134"/>
      <c r="L591" s="136">
        <v>45</v>
      </c>
      <c r="M591" s="181"/>
      <c r="N591" s="159"/>
      <c r="O591" s="159"/>
      <c r="P591" s="136"/>
    </row>
    <row r="592" spans="1:16" ht="16.5" customHeight="1" x14ac:dyDescent="0.25">
      <c r="A592" s="156">
        <v>44712</v>
      </c>
      <c r="B592" s="136" t="s">
        <v>14</v>
      </c>
      <c r="C592" s="157" t="str">
        <f t="shared" si="18"/>
        <v>31.05.2022_BRA1</v>
      </c>
      <c r="D592" s="190">
        <f t="shared" si="19"/>
        <v>0</v>
      </c>
      <c r="E592" s="133">
        <v>7.87</v>
      </c>
      <c r="F592" s="134"/>
      <c r="G592" s="135">
        <v>200</v>
      </c>
      <c r="H592" s="137">
        <v>10.7</v>
      </c>
      <c r="I592" s="134"/>
      <c r="J592" s="137">
        <v>13.4</v>
      </c>
      <c r="K592" s="134"/>
      <c r="L592" s="136">
        <v>20</v>
      </c>
      <c r="M592" s="181"/>
      <c r="N592" s="159"/>
      <c r="O592" s="159"/>
      <c r="P592" s="136"/>
    </row>
    <row r="593" spans="1:16" ht="16.5" customHeight="1" x14ac:dyDescent="0.25">
      <c r="A593" s="156">
        <v>44712</v>
      </c>
      <c r="B593" s="136" t="s">
        <v>17</v>
      </c>
      <c r="C593" s="157" t="str">
        <f t="shared" si="18"/>
        <v>31.05.2022_BRA2</v>
      </c>
      <c r="D593" s="190">
        <f t="shared" si="19"/>
        <v>0</v>
      </c>
      <c r="E593" s="133">
        <v>7.83</v>
      </c>
      <c r="F593" s="134"/>
      <c r="G593" s="135">
        <v>222</v>
      </c>
      <c r="H593" s="137">
        <v>11.3</v>
      </c>
      <c r="I593" s="134"/>
      <c r="J593" s="137">
        <v>12.3</v>
      </c>
      <c r="K593" s="134"/>
      <c r="L593" s="136">
        <v>20</v>
      </c>
      <c r="M593" s="181"/>
      <c r="N593" s="159"/>
      <c r="O593" s="159"/>
      <c r="P593" s="136"/>
    </row>
    <row r="594" spans="1:16" ht="16.5" customHeight="1" x14ac:dyDescent="0.25">
      <c r="A594" s="156">
        <v>44712</v>
      </c>
      <c r="B594" s="136" t="s">
        <v>0</v>
      </c>
      <c r="C594" s="157" t="str">
        <f t="shared" si="18"/>
        <v>31.05.2022_KIN1</v>
      </c>
      <c r="D594" s="190">
        <f t="shared" si="19"/>
        <v>0</v>
      </c>
      <c r="E594" s="133">
        <v>8.32</v>
      </c>
      <c r="F594" s="134"/>
      <c r="G594" s="135">
        <v>442</v>
      </c>
      <c r="H594" s="137">
        <v>13.1</v>
      </c>
      <c r="I594" s="134"/>
      <c r="J594" s="137">
        <v>10.6</v>
      </c>
      <c r="K594" s="134"/>
      <c r="L594" s="136">
        <v>30</v>
      </c>
      <c r="M594" s="181"/>
      <c r="N594" s="159"/>
      <c r="O594" s="159"/>
      <c r="P594" s="136" t="s">
        <v>215</v>
      </c>
    </row>
    <row r="595" spans="1:16" ht="16.5" customHeight="1" x14ac:dyDescent="0.25">
      <c r="A595" s="156">
        <v>44712</v>
      </c>
      <c r="B595" s="136" t="s">
        <v>2</v>
      </c>
      <c r="C595" s="157" t="str">
        <f t="shared" si="18"/>
        <v>31.05.2022_KIN2</v>
      </c>
      <c r="D595" s="190">
        <f t="shared" si="19"/>
        <v>0</v>
      </c>
      <c r="E595" s="133">
        <v>8.23</v>
      </c>
      <c r="F595" s="134"/>
      <c r="G595" s="135">
        <v>503</v>
      </c>
      <c r="H595" s="137">
        <v>13.7</v>
      </c>
      <c r="I595" s="134"/>
      <c r="J595" s="137">
        <v>11.3</v>
      </c>
      <c r="K595" s="134"/>
      <c r="L595" s="136">
        <v>30</v>
      </c>
      <c r="M595" s="181"/>
      <c r="N595" s="159"/>
      <c r="O595" s="159"/>
      <c r="P595" s="136" t="s">
        <v>173</v>
      </c>
    </row>
    <row r="596" spans="1:16" ht="16.5" customHeight="1" x14ac:dyDescent="0.25">
      <c r="A596" s="156">
        <v>44712</v>
      </c>
      <c r="B596" s="136" t="s">
        <v>4</v>
      </c>
      <c r="C596" s="157" t="str">
        <f t="shared" si="18"/>
        <v>31.05.2022_KIN3</v>
      </c>
      <c r="D596" s="190">
        <f t="shared" si="19"/>
        <v>0</v>
      </c>
      <c r="E596" s="133">
        <v>8.33</v>
      </c>
      <c r="F596" s="134"/>
      <c r="G596" s="135">
        <v>476</v>
      </c>
      <c r="H596" s="137">
        <v>13.4</v>
      </c>
      <c r="I596" s="134"/>
      <c r="J596" s="137">
        <v>11.2</v>
      </c>
      <c r="K596" s="134"/>
      <c r="L596" s="136">
        <v>80</v>
      </c>
      <c r="M596" s="181"/>
      <c r="N596" s="159"/>
      <c r="O596" s="159"/>
      <c r="P596" s="136" t="s">
        <v>174</v>
      </c>
    </row>
    <row r="597" spans="1:16" ht="16.5" customHeight="1" x14ac:dyDescent="0.25">
      <c r="A597" s="156">
        <v>44712</v>
      </c>
      <c r="B597" s="136" t="s">
        <v>6</v>
      </c>
      <c r="C597" s="157" t="str">
        <f t="shared" si="18"/>
        <v>31.05.2022_KIN4</v>
      </c>
      <c r="D597" s="190">
        <f t="shared" si="19"/>
        <v>0</v>
      </c>
      <c r="E597" s="133">
        <v>8.17</v>
      </c>
      <c r="F597" s="134"/>
      <c r="G597" s="135">
        <v>524</v>
      </c>
      <c r="H597" s="137">
        <v>12.6</v>
      </c>
      <c r="I597" s="134"/>
      <c r="J597" s="137">
        <v>11.7</v>
      </c>
      <c r="K597" s="134"/>
      <c r="L597" s="136">
        <v>50</v>
      </c>
      <c r="M597" s="181"/>
      <c r="N597" s="159"/>
      <c r="O597" s="159"/>
      <c r="P597" s="136" t="s">
        <v>174</v>
      </c>
    </row>
    <row r="598" spans="1:16" ht="16.5" customHeight="1" x14ac:dyDescent="0.25">
      <c r="A598" s="156">
        <v>44712</v>
      </c>
      <c r="B598" s="136" t="s">
        <v>18</v>
      </c>
      <c r="C598" s="157" t="str">
        <f t="shared" si="18"/>
        <v>31.05.2022_ORB1</v>
      </c>
      <c r="D598" s="190">
        <f t="shared" si="19"/>
        <v>1</v>
      </c>
      <c r="E598" s="283"/>
      <c r="F598" s="161" t="s">
        <v>270</v>
      </c>
      <c r="G598" s="135">
        <v>146.6</v>
      </c>
      <c r="H598" s="137">
        <v>11.2</v>
      </c>
      <c r="I598" s="161"/>
      <c r="J598" s="137">
        <v>13</v>
      </c>
      <c r="K598" s="161"/>
      <c r="L598" s="136">
        <v>15</v>
      </c>
      <c r="M598" s="181"/>
      <c r="N598" s="159" t="s">
        <v>279</v>
      </c>
      <c r="O598" s="159"/>
      <c r="P598" s="136" t="s">
        <v>174</v>
      </c>
    </row>
    <row r="599" spans="1:16" ht="16.5" customHeight="1" x14ac:dyDescent="0.25">
      <c r="A599" s="156">
        <v>44712</v>
      </c>
      <c r="B599" s="136" t="s">
        <v>21</v>
      </c>
      <c r="C599" s="157" t="str">
        <f t="shared" si="18"/>
        <v>31.05.2022_ORB2</v>
      </c>
      <c r="D599" s="190">
        <f t="shared" si="19"/>
        <v>0</v>
      </c>
      <c r="E599" s="133">
        <v>8.19</v>
      </c>
      <c r="F599" s="134"/>
      <c r="G599" s="135">
        <v>181.1</v>
      </c>
      <c r="H599" s="137">
        <v>11</v>
      </c>
      <c r="I599" s="134"/>
      <c r="J599" s="137">
        <v>13.2</v>
      </c>
      <c r="K599" s="134"/>
      <c r="L599" s="136">
        <v>25</v>
      </c>
      <c r="M599" s="181"/>
      <c r="N599" s="159"/>
      <c r="O599" s="159"/>
      <c r="P599" s="136"/>
    </row>
    <row r="600" spans="1:16" ht="16.5" customHeight="1" x14ac:dyDescent="0.25">
      <c r="A600" s="156">
        <v>44712</v>
      </c>
      <c r="B600" s="136" t="s">
        <v>10</v>
      </c>
      <c r="C600" s="157" t="str">
        <f t="shared" si="18"/>
        <v>31.05.2022_SAL1</v>
      </c>
      <c r="D600" s="190">
        <f t="shared" si="19"/>
        <v>0</v>
      </c>
      <c r="E600" s="133">
        <v>8.0500000000000007</v>
      </c>
      <c r="F600" s="134"/>
      <c r="G600" s="135">
        <v>232</v>
      </c>
      <c r="H600" s="137">
        <v>11.4</v>
      </c>
      <c r="I600" s="134"/>
      <c r="J600" s="137">
        <v>10.9</v>
      </c>
      <c r="K600" s="134"/>
      <c r="L600" s="136">
        <v>40</v>
      </c>
      <c r="M600" s="181"/>
      <c r="N600" s="159"/>
      <c r="O600" s="159"/>
      <c r="P600" s="136" t="s">
        <v>174</v>
      </c>
    </row>
    <row r="601" spans="1:16" ht="16.5" customHeight="1" x14ac:dyDescent="0.25">
      <c r="A601" s="156">
        <v>44712</v>
      </c>
      <c r="B601" s="136" t="s">
        <v>12</v>
      </c>
      <c r="C601" s="157" t="str">
        <f t="shared" si="18"/>
        <v>31.05.2022_SAL2</v>
      </c>
      <c r="D601" s="190">
        <f t="shared" si="19"/>
        <v>0</v>
      </c>
      <c r="E601" s="133">
        <v>7.9</v>
      </c>
      <c r="F601" s="134"/>
      <c r="G601" s="135">
        <v>248</v>
      </c>
      <c r="H601" s="137">
        <v>11.4</v>
      </c>
      <c r="I601" s="134"/>
      <c r="J601" s="137">
        <v>11.5</v>
      </c>
      <c r="K601" s="134"/>
      <c r="L601" s="136">
        <v>30</v>
      </c>
      <c r="M601" s="181"/>
      <c r="N601" s="159"/>
      <c r="O601" s="159"/>
      <c r="P601" s="136" t="s">
        <v>174</v>
      </c>
    </row>
    <row r="602" spans="1:16" ht="16.5" customHeight="1" x14ac:dyDescent="0.25">
      <c r="A602" s="156">
        <v>44712</v>
      </c>
      <c r="B602" s="136" t="s">
        <v>7</v>
      </c>
      <c r="C602" s="157" t="str">
        <f t="shared" si="18"/>
        <v>31.05.2022_STE1</v>
      </c>
      <c r="D602" s="190">
        <f t="shared" si="19"/>
        <v>0</v>
      </c>
      <c r="E602" s="133">
        <v>7.77</v>
      </c>
      <c r="F602" s="134"/>
      <c r="G602" s="135">
        <v>374</v>
      </c>
      <c r="H602" s="137">
        <v>13.3</v>
      </c>
      <c r="I602" s="134"/>
      <c r="J602" s="137">
        <v>11</v>
      </c>
      <c r="K602" s="134"/>
      <c r="L602" s="136">
        <v>35</v>
      </c>
      <c r="M602" s="181"/>
      <c r="N602" s="159"/>
      <c r="O602" s="159"/>
      <c r="P602" s="136"/>
    </row>
    <row r="603" spans="1:16" ht="16.5" customHeight="1" x14ac:dyDescent="0.25">
      <c r="A603" s="156">
        <v>44712</v>
      </c>
      <c r="B603" s="136" t="s">
        <v>9</v>
      </c>
      <c r="C603" s="157" t="str">
        <f t="shared" si="18"/>
        <v>31.05.2022_STE2</v>
      </c>
      <c r="D603" s="190">
        <f t="shared" si="19"/>
        <v>0</v>
      </c>
      <c r="E603" s="133">
        <v>8.35</v>
      </c>
      <c r="F603" s="134"/>
      <c r="G603" s="135">
        <v>386</v>
      </c>
      <c r="H603" s="137">
        <v>13.5</v>
      </c>
      <c r="I603" s="134"/>
      <c r="J603" s="137">
        <v>11.5</v>
      </c>
      <c r="K603" s="134"/>
      <c r="L603" s="136">
        <v>40</v>
      </c>
      <c r="M603" s="181"/>
      <c r="N603" s="159"/>
      <c r="O603" s="159"/>
      <c r="P603" s="136"/>
    </row>
    <row r="604" spans="1:16" ht="16.5" customHeight="1" x14ac:dyDescent="0.25">
      <c r="A604" s="156">
        <v>44726</v>
      </c>
      <c r="B604" s="136" t="s">
        <v>22</v>
      </c>
      <c r="C604" s="157" t="str">
        <f t="shared" si="18"/>
        <v>14.06.2022_BIE1</v>
      </c>
      <c r="D604" s="190">
        <f t="shared" si="19"/>
        <v>0</v>
      </c>
      <c r="E604" s="133">
        <v>7.58</v>
      </c>
      <c r="F604" s="134"/>
      <c r="G604" s="135">
        <v>184</v>
      </c>
      <c r="H604" s="137">
        <v>9.4</v>
      </c>
      <c r="I604" s="134"/>
      <c r="J604" s="137">
        <v>16.7</v>
      </c>
      <c r="K604" s="134"/>
      <c r="L604" s="136">
        <v>35</v>
      </c>
      <c r="M604" s="181"/>
      <c r="N604" s="159"/>
      <c r="O604" s="159"/>
      <c r="P604" s="136"/>
    </row>
    <row r="605" spans="1:16" ht="16.5" customHeight="1" x14ac:dyDescent="0.25">
      <c r="A605" s="156">
        <v>44726</v>
      </c>
      <c r="B605" s="136" t="s">
        <v>25</v>
      </c>
      <c r="C605" s="157" t="str">
        <f t="shared" si="18"/>
        <v>14.06.2022_BIE2</v>
      </c>
      <c r="D605" s="190">
        <f t="shared" si="19"/>
        <v>0</v>
      </c>
      <c r="E605" s="133">
        <v>7.56</v>
      </c>
      <c r="F605" s="134"/>
      <c r="G605" s="135">
        <v>188.3</v>
      </c>
      <c r="H605" s="137">
        <v>9.6999999999999993</v>
      </c>
      <c r="I605" s="134"/>
      <c r="J605" s="137">
        <v>15.7</v>
      </c>
      <c r="K605" s="134"/>
      <c r="L605" s="136">
        <v>45</v>
      </c>
      <c r="M605" s="181"/>
      <c r="N605" s="159"/>
      <c r="O605" s="159"/>
      <c r="P605" s="136"/>
    </row>
    <row r="606" spans="1:16" ht="16.5" customHeight="1" x14ac:dyDescent="0.25">
      <c r="A606" s="156">
        <v>44726</v>
      </c>
      <c r="B606" s="136" t="s">
        <v>30</v>
      </c>
      <c r="C606" s="157" t="str">
        <f t="shared" si="18"/>
        <v>14.06.2022_FAL1</v>
      </c>
      <c r="D606" s="190">
        <f t="shared" si="19"/>
        <v>0</v>
      </c>
      <c r="E606" s="133">
        <v>7.77</v>
      </c>
      <c r="F606" s="134"/>
      <c r="G606" s="135">
        <v>878</v>
      </c>
      <c r="H606" s="137">
        <v>9.1999999999999993</v>
      </c>
      <c r="I606" s="134"/>
      <c r="J606" s="137">
        <v>14.9</v>
      </c>
      <c r="K606" s="134"/>
      <c r="L606" s="136">
        <v>45</v>
      </c>
      <c r="M606" s="181"/>
      <c r="N606" s="159"/>
      <c r="O606" s="159"/>
      <c r="P606" s="136"/>
    </row>
    <row r="607" spans="1:16" ht="16.5" customHeight="1" x14ac:dyDescent="0.25">
      <c r="A607" s="156">
        <v>44726</v>
      </c>
      <c r="B607" s="136" t="s">
        <v>32</v>
      </c>
      <c r="C607" s="157" t="str">
        <f t="shared" si="18"/>
        <v>14.06.2022_FAL2</v>
      </c>
      <c r="D607" s="190">
        <f t="shared" si="19"/>
        <v>0</v>
      </c>
      <c r="E607" s="133">
        <v>8.11</v>
      </c>
      <c r="F607" s="134"/>
      <c r="G607" s="135">
        <v>875</v>
      </c>
      <c r="H607" s="137">
        <v>9.4</v>
      </c>
      <c r="I607" s="134"/>
      <c r="J607" s="137">
        <v>17.399999999999999</v>
      </c>
      <c r="K607" s="134"/>
      <c r="L607" s="136">
        <v>25</v>
      </c>
      <c r="M607" s="181"/>
      <c r="N607" s="159"/>
      <c r="O607" s="159"/>
      <c r="P607" s="136" t="s">
        <v>216</v>
      </c>
    </row>
    <row r="608" spans="1:16" ht="16.5" customHeight="1" x14ac:dyDescent="0.25">
      <c r="A608" s="156">
        <v>44726</v>
      </c>
      <c r="B608" s="136" t="s">
        <v>26</v>
      </c>
      <c r="C608" s="157" t="str">
        <f t="shared" si="18"/>
        <v>14.06.2022_GRU1</v>
      </c>
      <c r="D608" s="190">
        <f t="shared" si="19"/>
        <v>0</v>
      </c>
      <c r="E608" s="133">
        <v>7.24</v>
      </c>
      <c r="F608" s="134"/>
      <c r="G608" s="135">
        <v>159.19999999999999</v>
      </c>
      <c r="H608" s="137">
        <v>9.4</v>
      </c>
      <c r="I608" s="134"/>
      <c r="J608" s="137">
        <v>16.5</v>
      </c>
      <c r="K608" s="134"/>
      <c r="L608" s="136">
        <v>25</v>
      </c>
      <c r="M608" s="181"/>
      <c r="N608" s="159"/>
      <c r="O608" s="159"/>
      <c r="P608" s="136"/>
    </row>
    <row r="609" spans="1:16" ht="16.5" customHeight="1" x14ac:dyDescent="0.25">
      <c r="A609" s="156">
        <v>44726</v>
      </c>
      <c r="B609" s="136" t="s">
        <v>28</v>
      </c>
      <c r="C609" s="157" t="str">
        <f t="shared" si="18"/>
        <v>14.06.2022_GRU2</v>
      </c>
      <c r="D609" s="190">
        <f t="shared" si="19"/>
        <v>0</v>
      </c>
      <c r="E609" s="133">
        <v>7.43</v>
      </c>
      <c r="F609" s="134"/>
      <c r="G609" s="135">
        <v>188.4</v>
      </c>
      <c r="H609" s="137">
        <v>9.4</v>
      </c>
      <c r="I609" s="134"/>
      <c r="J609" s="137">
        <v>17</v>
      </c>
      <c r="K609" s="134"/>
      <c r="L609" s="136">
        <v>45</v>
      </c>
      <c r="M609" s="181"/>
      <c r="N609" s="159"/>
      <c r="O609" s="159"/>
      <c r="P609" s="136"/>
    </row>
    <row r="610" spans="1:16" ht="16.5" customHeight="1" x14ac:dyDescent="0.25">
      <c r="A610" s="156">
        <v>44726</v>
      </c>
      <c r="B610" s="136" t="s">
        <v>34</v>
      </c>
      <c r="C610" s="157" t="str">
        <f t="shared" si="18"/>
        <v>14.06.2022_KRE1</v>
      </c>
      <c r="D610" s="190">
        <f t="shared" si="19"/>
        <v>0</v>
      </c>
      <c r="E610" s="133">
        <v>7.76</v>
      </c>
      <c r="F610" s="134"/>
      <c r="G610" s="135">
        <v>885</v>
      </c>
      <c r="H610" s="137">
        <v>7.2</v>
      </c>
      <c r="I610" s="134"/>
      <c r="J610" s="137">
        <v>16.7</v>
      </c>
      <c r="K610" s="134"/>
      <c r="L610" s="136">
        <v>60</v>
      </c>
      <c r="M610" s="181"/>
      <c r="N610" s="159"/>
      <c r="O610" s="159" t="s">
        <v>391</v>
      </c>
      <c r="P610" s="136"/>
    </row>
    <row r="611" spans="1:16" ht="16.5" customHeight="1" x14ac:dyDescent="0.25">
      <c r="A611" s="156">
        <v>44726</v>
      </c>
      <c r="B611" s="136" t="s">
        <v>37</v>
      </c>
      <c r="C611" s="157" t="str">
        <f t="shared" si="18"/>
        <v>14.06.2022_KRE2</v>
      </c>
      <c r="D611" s="190">
        <f t="shared" si="19"/>
        <v>0</v>
      </c>
      <c r="E611" s="133">
        <v>7.72</v>
      </c>
      <c r="F611" s="134"/>
      <c r="G611" s="135">
        <v>862</v>
      </c>
      <c r="H611" s="137">
        <v>11.2</v>
      </c>
      <c r="I611" s="134"/>
      <c r="J611" s="137">
        <v>15.3</v>
      </c>
      <c r="K611" s="134"/>
      <c r="L611" s="136">
        <v>30</v>
      </c>
      <c r="M611" s="181"/>
      <c r="N611" s="159"/>
      <c r="O611" s="159"/>
      <c r="P611" s="136"/>
    </row>
    <row r="612" spans="1:16" ht="16.5" customHeight="1" x14ac:dyDescent="0.25">
      <c r="A612" s="156">
        <v>44726</v>
      </c>
      <c r="B612" s="136" t="s">
        <v>14</v>
      </c>
      <c r="C612" s="157" t="str">
        <f t="shared" si="18"/>
        <v>14.06.2022_BRA1</v>
      </c>
      <c r="D612" s="190">
        <f t="shared" si="19"/>
        <v>0</v>
      </c>
      <c r="E612" s="133">
        <v>7.38</v>
      </c>
      <c r="F612" s="134"/>
      <c r="G612" s="135">
        <v>204</v>
      </c>
      <c r="H612" s="137">
        <v>9.4</v>
      </c>
      <c r="I612" s="134"/>
      <c r="J612" s="137">
        <v>19.2</v>
      </c>
      <c r="K612" s="134"/>
      <c r="L612" s="136">
        <v>15</v>
      </c>
      <c r="M612" s="181"/>
      <c r="N612" s="159"/>
      <c r="O612" s="159"/>
      <c r="P612" s="136"/>
    </row>
    <row r="613" spans="1:16" ht="16.5" customHeight="1" x14ac:dyDescent="0.25">
      <c r="A613" s="156">
        <v>44726</v>
      </c>
      <c r="B613" s="136" t="s">
        <v>17</v>
      </c>
      <c r="C613" s="157" t="str">
        <f t="shared" si="18"/>
        <v>14.06.2022_BRA2</v>
      </c>
      <c r="D613" s="190">
        <f t="shared" si="19"/>
        <v>0</v>
      </c>
      <c r="E613" s="133">
        <v>7.41</v>
      </c>
      <c r="F613" s="134"/>
      <c r="G613" s="135">
        <v>228</v>
      </c>
      <c r="H613" s="137">
        <v>9.6999999999999993</v>
      </c>
      <c r="I613" s="134"/>
      <c r="J613" s="137">
        <v>17</v>
      </c>
      <c r="K613" s="134"/>
      <c r="L613" s="136">
        <v>30</v>
      </c>
      <c r="M613" s="181"/>
      <c r="N613" s="159"/>
      <c r="O613" s="159"/>
      <c r="P613" s="136"/>
    </row>
    <row r="614" spans="1:16" ht="16.5" customHeight="1" x14ac:dyDescent="0.25">
      <c r="A614" s="156">
        <v>44726</v>
      </c>
      <c r="B614" s="136" t="s">
        <v>0</v>
      </c>
      <c r="C614" s="157" t="str">
        <f t="shared" si="18"/>
        <v>14.06.2022_KIN1</v>
      </c>
      <c r="D614" s="190">
        <f t="shared" si="19"/>
        <v>0</v>
      </c>
      <c r="E614" s="133">
        <v>7.02</v>
      </c>
      <c r="F614" s="134"/>
      <c r="G614" s="135">
        <v>486</v>
      </c>
      <c r="H614" s="137">
        <v>12.3</v>
      </c>
      <c r="I614" s="134"/>
      <c r="J614" s="137">
        <v>13.9</v>
      </c>
      <c r="K614" s="134"/>
      <c r="L614" s="136">
        <v>25</v>
      </c>
      <c r="M614" s="181"/>
      <c r="N614" s="159"/>
      <c r="O614" s="159"/>
      <c r="P614" s="136" t="s">
        <v>215</v>
      </c>
    </row>
    <row r="615" spans="1:16" ht="16.5" customHeight="1" x14ac:dyDescent="0.25">
      <c r="A615" s="156">
        <v>44726</v>
      </c>
      <c r="B615" s="136" t="s">
        <v>2</v>
      </c>
      <c r="C615" s="157" t="str">
        <f t="shared" si="18"/>
        <v>14.06.2022_KIN2</v>
      </c>
      <c r="D615" s="190">
        <f t="shared" si="19"/>
        <v>0</v>
      </c>
      <c r="E615" s="133">
        <v>7.78</v>
      </c>
      <c r="F615" s="134"/>
      <c r="G615" s="135">
        <v>540</v>
      </c>
      <c r="H615" s="137">
        <v>12.5</v>
      </c>
      <c r="I615" s="134"/>
      <c r="J615" s="137">
        <v>14.6</v>
      </c>
      <c r="K615" s="134"/>
      <c r="L615" s="136">
        <v>35</v>
      </c>
      <c r="M615" s="181"/>
      <c r="N615" s="159"/>
      <c r="O615" s="159"/>
      <c r="P615" s="136" t="s">
        <v>173</v>
      </c>
    </row>
    <row r="616" spans="1:16" ht="16.5" customHeight="1" x14ac:dyDescent="0.25">
      <c r="A616" s="156">
        <v>44726</v>
      </c>
      <c r="B616" s="136" t="s">
        <v>4</v>
      </c>
      <c r="C616" s="157" t="str">
        <f t="shared" si="18"/>
        <v>14.06.2022_KIN3</v>
      </c>
      <c r="D616" s="190">
        <f t="shared" si="19"/>
        <v>0</v>
      </c>
      <c r="E616" s="133">
        <v>7.51</v>
      </c>
      <c r="F616" s="134"/>
      <c r="G616" s="135">
        <v>533</v>
      </c>
      <c r="H616" s="137">
        <v>12.3</v>
      </c>
      <c r="I616" s="134"/>
      <c r="J616" s="137">
        <v>14.8</v>
      </c>
      <c r="K616" s="134"/>
      <c r="L616" s="136">
        <v>70</v>
      </c>
      <c r="M616" s="181"/>
      <c r="N616" s="159"/>
      <c r="O616" s="159"/>
      <c r="P616" s="136" t="s">
        <v>174</v>
      </c>
    </row>
    <row r="617" spans="1:16" ht="16.5" customHeight="1" x14ac:dyDescent="0.25">
      <c r="A617" s="156">
        <v>44726</v>
      </c>
      <c r="B617" s="136" t="s">
        <v>6</v>
      </c>
      <c r="C617" s="157" t="str">
        <f t="shared" si="18"/>
        <v>14.06.2022_KIN4</v>
      </c>
      <c r="D617" s="190">
        <f t="shared" si="19"/>
        <v>0</v>
      </c>
      <c r="E617" s="133">
        <v>7.52</v>
      </c>
      <c r="F617" s="134"/>
      <c r="G617" s="135">
        <v>570</v>
      </c>
      <c r="H617" s="137">
        <v>11.6</v>
      </c>
      <c r="I617" s="134"/>
      <c r="J617" s="137">
        <v>15.8</v>
      </c>
      <c r="K617" s="134"/>
      <c r="L617" s="136">
        <v>50</v>
      </c>
      <c r="M617" s="181"/>
      <c r="N617" s="159"/>
      <c r="O617" s="159"/>
      <c r="P617" s="136" t="s">
        <v>174</v>
      </c>
    </row>
    <row r="618" spans="1:16" ht="16.5" customHeight="1" x14ac:dyDescent="0.25">
      <c r="A618" s="156">
        <v>44726</v>
      </c>
      <c r="B618" s="136" t="s">
        <v>18</v>
      </c>
      <c r="C618" s="157" t="str">
        <f t="shared" si="18"/>
        <v>14.06.2022_ORB1</v>
      </c>
      <c r="D618" s="190">
        <f t="shared" si="19"/>
        <v>0</v>
      </c>
      <c r="E618" s="133">
        <v>7.51</v>
      </c>
      <c r="F618" s="134"/>
      <c r="G618" s="135">
        <v>115.2</v>
      </c>
      <c r="H618" s="137">
        <v>10.8</v>
      </c>
      <c r="I618" s="134"/>
      <c r="J618" s="137">
        <v>17.5</v>
      </c>
      <c r="K618" s="134"/>
      <c r="L618" s="136">
        <v>15</v>
      </c>
      <c r="M618" s="181"/>
      <c r="N618" s="159"/>
      <c r="O618" s="159"/>
      <c r="P618" s="136" t="s">
        <v>174</v>
      </c>
    </row>
    <row r="619" spans="1:16" ht="16.5" customHeight="1" x14ac:dyDescent="0.25">
      <c r="A619" s="156">
        <v>44726</v>
      </c>
      <c r="B619" s="136" t="s">
        <v>21</v>
      </c>
      <c r="C619" s="157" t="str">
        <f t="shared" si="18"/>
        <v>14.06.2022_ORB2</v>
      </c>
      <c r="D619" s="190">
        <f t="shared" si="19"/>
        <v>0</v>
      </c>
      <c r="E619" s="133">
        <v>7.52</v>
      </c>
      <c r="F619" s="134"/>
      <c r="G619" s="135">
        <v>162.80000000000001</v>
      </c>
      <c r="H619" s="137">
        <v>10.3</v>
      </c>
      <c r="I619" s="134"/>
      <c r="J619" s="137">
        <v>17.100000000000001</v>
      </c>
      <c r="K619" s="134"/>
      <c r="L619" s="136">
        <v>25</v>
      </c>
      <c r="M619" s="181"/>
      <c r="N619" s="159"/>
      <c r="O619" s="159"/>
      <c r="P619" s="136"/>
    </row>
    <row r="620" spans="1:16" ht="16.5" customHeight="1" x14ac:dyDescent="0.25">
      <c r="A620" s="156">
        <v>44726</v>
      </c>
      <c r="B620" s="136" t="s">
        <v>10</v>
      </c>
      <c r="C620" s="157" t="str">
        <f t="shared" si="18"/>
        <v>14.06.2022_SAL1</v>
      </c>
      <c r="D620" s="190">
        <f t="shared" si="19"/>
        <v>0</v>
      </c>
      <c r="E620" s="133">
        <v>7.43</v>
      </c>
      <c r="F620" s="134"/>
      <c r="G620" s="135">
        <v>241</v>
      </c>
      <c r="H620" s="137">
        <v>10.5</v>
      </c>
      <c r="I620" s="134"/>
      <c r="J620" s="137">
        <v>15</v>
      </c>
      <c r="K620" s="134"/>
      <c r="L620" s="136">
        <v>25</v>
      </c>
      <c r="M620" s="181"/>
      <c r="N620" s="159"/>
      <c r="O620" s="159"/>
      <c r="P620" s="136" t="s">
        <v>174</v>
      </c>
    </row>
    <row r="621" spans="1:16" ht="16.5" customHeight="1" x14ac:dyDescent="0.25">
      <c r="A621" s="156">
        <v>44726</v>
      </c>
      <c r="B621" s="136" t="s">
        <v>12</v>
      </c>
      <c r="C621" s="157" t="str">
        <f t="shared" si="18"/>
        <v>14.06.2022_SAL2</v>
      </c>
      <c r="D621" s="190">
        <f t="shared" si="19"/>
        <v>0</v>
      </c>
      <c r="E621" s="133">
        <v>7.27</v>
      </c>
      <c r="F621" s="134"/>
      <c r="G621" s="135">
        <v>266</v>
      </c>
      <c r="H621" s="137">
        <v>10.6</v>
      </c>
      <c r="I621" s="134"/>
      <c r="J621" s="137">
        <v>15.2</v>
      </c>
      <c r="K621" s="134"/>
      <c r="L621" s="136">
        <v>20</v>
      </c>
      <c r="M621" s="181"/>
      <c r="N621" s="159"/>
      <c r="O621" s="159"/>
      <c r="P621" s="136" t="s">
        <v>174</v>
      </c>
    </row>
    <row r="622" spans="1:16" ht="16.5" customHeight="1" x14ac:dyDescent="0.25">
      <c r="A622" s="156">
        <v>44726</v>
      </c>
      <c r="B622" s="136" t="s">
        <v>7</v>
      </c>
      <c r="C622" s="157" t="str">
        <f t="shared" si="18"/>
        <v>14.06.2022_STE1</v>
      </c>
      <c r="D622" s="190">
        <f t="shared" si="19"/>
        <v>0</v>
      </c>
      <c r="E622" s="133">
        <v>7.24</v>
      </c>
      <c r="F622" s="134"/>
      <c r="G622" s="135">
        <v>390</v>
      </c>
      <c r="H622" s="137">
        <v>11.2</v>
      </c>
      <c r="I622" s="134"/>
      <c r="J622" s="137">
        <v>13.6</v>
      </c>
      <c r="K622" s="134"/>
      <c r="L622" s="136">
        <v>38</v>
      </c>
      <c r="M622" s="181"/>
      <c r="N622" s="159"/>
      <c r="O622" s="159"/>
      <c r="P622" s="136"/>
    </row>
    <row r="623" spans="1:16" ht="16.5" customHeight="1" x14ac:dyDescent="0.25">
      <c r="A623" s="156">
        <v>44726</v>
      </c>
      <c r="B623" s="136" t="s">
        <v>9</v>
      </c>
      <c r="C623" s="157" t="str">
        <f t="shared" si="18"/>
        <v>14.06.2022_STE2</v>
      </c>
      <c r="D623" s="190">
        <f t="shared" si="19"/>
        <v>0</v>
      </c>
      <c r="E623" s="133">
        <v>7.31</v>
      </c>
      <c r="F623" s="134"/>
      <c r="G623" s="135">
        <v>401</v>
      </c>
      <c r="H623" s="137">
        <v>10.5</v>
      </c>
      <c r="I623" s="134"/>
      <c r="J623" s="137">
        <v>14.3</v>
      </c>
      <c r="K623" s="134"/>
      <c r="L623" s="136">
        <v>35</v>
      </c>
      <c r="M623" s="181"/>
      <c r="N623" s="159"/>
      <c r="O623" s="159"/>
      <c r="P623" s="136"/>
    </row>
    <row r="624" spans="1:16" ht="16.5" customHeight="1" x14ac:dyDescent="0.25">
      <c r="A624" s="156">
        <v>44740</v>
      </c>
      <c r="B624" s="136" t="s">
        <v>22</v>
      </c>
      <c r="C624" s="157" t="str">
        <f t="shared" si="18"/>
        <v>28.06.2022_BIE1</v>
      </c>
      <c r="D624" s="190">
        <f t="shared" si="19"/>
        <v>0</v>
      </c>
      <c r="E624" s="133">
        <v>8.1199999999999992</v>
      </c>
      <c r="F624" s="134"/>
      <c r="G624" s="135">
        <v>192.2</v>
      </c>
      <c r="H624" s="137">
        <v>10.5</v>
      </c>
      <c r="I624" s="134"/>
      <c r="J624" s="137">
        <v>17.5</v>
      </c>
      <c r="K624" s="134"/>
      <c r="L624" s="136">
        <v>30</v>
      </c>
      <c r="M624" s="181"/>
      <c r="N624" s="159"/>
      <c r="O624" s="159"/>
      <c r="P624" s="136"/>
    </row>
    <row r="625" spans="1:16" ht="16.5" customHeight="1" x14ac:dyDescent="0.25">
      <c r="A625" s="156">
        <v>44740</v>
      </c>
      <c r="B625" s="136" t="s">
        <v>25</v>
      </c>
      <c r="C625" s="157" t="str">
        <f t="shared" si="18"/>
        <v>28.06.2022_BIE2</v>
      </c>
      <c r="D625" s="190">
        <f t="shared" si="19"/>
        <v>0</v>
      </c>
      <c r="E625" s="133">
        <v>8.0399999999999991</v>
      </c>
      <c r="F625" s="134"/>
      <c r="G625" s="135">
        <v>205</v>
      </c>
      <c r="H625" s="137">
        <v>10.1</v>
      </c>
      <c r="I625" s="134"/>
      <c r="J625" s="137">
        <v>17.3</v>
      </c>
      <c r="K625" s="134"/>
      <c r="L625" s="136">
        <v>45</v>
      </c>
      <c r="M625" s="181"/>
      <c r="N625" s="159"/>
      <c r="O625" s="159"/>
      <c r="P625" s="136"/>
    </row>
    <row r="626" spans="1:16" ht="16.5" customHeight="1" x14ac:dyDescent="0.25">
      <c r="A626" s="156">
        <v>44740</v>
      </c>
      <c r="B626" s="136" t="s">
        <v>30</v>
      </c>
      <c r="C626" s="157" t="str">
        <f t="shared" si="18"/>
        <v>28.06.2022_FAL1</v>
      </c>
      <c r="D626" s="190">
        <f t="shared" si="19"/>
        <v>0</v>
      </c>
      <c r="E626" s="133">
        <v>7.99</v>
      </c>
      <c r="F626" s="134"/>
      <c r="G626" s="135">
        <v>748</v>
      </c>
      <c r="H626" s="137">
        <v>9.6</v>
      </c>
      <c r="I626" s="134"/>
      <c r="J626" s="137">
        <v>18.600000000000001</v>
      </c>
      <c r="K626" s="134"/>
      <c r="L626" s="136">
        <v>40</v>
      </c>
      <c r="M626" s="181"/>
      <c r="N626" s="159"/>
      <c r="O626" s="159"/>
      <c r="P626" s="136"/>
    </row>
    <row r="627" spans="1:16" ht="16.5" customHeight="1" x14ac:dyDescent="0.25">
      <c r="A627" s="156">
        <v>44740</v>
      </c>
      <c r="B627" s="136" t="s">
        <v>32</v>
      </c>
      <c r="C627" s="157" t="str">
        <f t="shared" si="18"/>
        <v>28.06.2022_FAL2</v>
      </c>
      <c r="D627" s="190">
        <f t="shared" si="19"/>
        <v>0</v>
      </c>
      <c r="E627" s="133">
        <v>8.32</v>
      </c>
      <c r="F627" s="134"/>
      <c r="G627" s="135">
        <v>773</v>
      </c>
      <c r="H627" s="137">
        <v>9.6999999999999993</v>
      </c>
      <c r="I627" s="134"/>
      <c r="J627" s="137">
        <v>18.100000000000001</v>
      </c>
      <c r="K627" s="134"/>
      <c r="L627" s="136">
        <v>30</v>
      </c>
      <c r="M627" s="181"/>
      <c r="N627" s="159"/>
      <c r="O627" s="159"/>
      <c r="P627" s="136"/>
    </row>
    <row r="628" spans="1:16" ht="16.5" customHeight="1" x14ac:dyDescent="0.25">
      <c r="A628" s="156">
        <v>44740</v>
      </c>
      <c r="B628" s="136" t="s">
        <v>26</v>
      </c>
      <c r="C628" s="157" t="str">
        <f t="shared" si="18"/>
        <v>28.06.2022_GRU1</v>
      </c>
      <c r="D628" s="190">
        <f t="shared" si="19"/>
        <v>0</v>
      </c>
      <c r="E628" s="133">
        <v>7.73</v>
      </c>
      <c r="F628" s="134"/>
      <c r="G628" s="135">
        <v>170.9</v>
      </c>
      <c r="H628" s="137">
        <v>10.5</v>
      </c>
      <c r="I628" s="134"/>
      <c r="J628" s="137">
        <v>17.600000000000001</v>
      </c>
      <c r="K628" s="134"/>
      <c r="L628" s="136">
        <v>30</v>
      </c>
      <c r="M628" s="181"/>
      <c r="N628" s="159"/>
      <c r="O628" s="159"/>
      <c r="P628" s="136"/>
    </row>
    <row r="629" spans="1:16" ht="16.5" customHeight="1" x14ac:dyDescent="0.25">
      <c r="A629" s="156">
        <v>44740</v>
      </c>
      <c r="B629" s="136" t="s">
        <v>28</v>
      </c>
      <c r="C629" s="157" t="str">
        <f t="shared" si="18"/>
        <v>28.06.2022_GRU2</v>
      </c>
      <c r="D629" s="190">
        <f t="shared" si="19"/>
        <v>0</v>
      </c>
      <c r="E629" s="133">
        <v>7.54</v>
      </c>
      <c r="F629" s="134"/>
      <c r="G629" s="135">
        <v>189</v>
      </c>
      <c r="H629" s="137">
        <v>9.6999999999999993</v>
      </c>
      <c r="I629" s="134"/>
      <c r="J629" s="137">
        <v>17.8</v>
      </c>
      <c r="K629" s="134"/>
      <c r="L629" s="136">
        <v>40</v>
      </c>
      <c r="M629" s="181"/>
      <c r="N629" s="159"/>
      <c r="O629" s="159"/>
      <c r="P629" s="136"/>
    </row>
    <row r="630" spans="1:16" ht="16.5" customHeight="1" x14ac:dyDescent="0.25">
      <c r="A630" s="156">
        <v>44740</v>
      </c>
      <c r="B630" s="136" t="s">
        <v>34</v>
      </c>
      <c r="C630" s="157" t="str">
        <f t="shared" si="18"/>
        <v>28.06.2022_KRE1</v>
      </c>
      <c r="D630" s="190">
        <f t="shared" si="19"/>
        <v>0</v>
      </c>
      <c r="E630" s="133">
        <v>8.0299999999999994</v>
      </c>
      <c r="F630" s="134"/>
      <c r="G630" s="135">
        <v>705</v>
      </c>
      <c r="H630" s="137">
        <v>7.7</v>
      </c>
      <c r="I630" s="134"/>
      <c r="J630" s="137">
        <v>18.7</v>
      </c>
      <c r="K630" s="134"/>
      <c r="L630" s="136">
        <v>35</v>
      </c>
      <c r="M630" s="181"/>
      <c r="N630" s="159"/>
      <c r="O630" s="159"/>
      <c r="P630" s="136"/>
    </row>
    <row r="631" spans="1:16" ht="16.5" customHeight="1" x14ac:dyDescent="0.25">
      <c r="A631" s="156">
        <v>44740</v>
      </c>
      <c r="B631" s="136" t="s">
        <v>37</v>
      </c>
      <c r="C631" s="157" t="str">
        <f t="shared" si="18"/>
        <v>28.06.2022_KRE2</v>
      </c>
      <c r="D631" s="190">
        <f t="shared" si="19"/>
        <v>0</v>
      </c>
      <c r="E631" s="133">
        <v>7.99</v>
      </c>
      <c r="F631" s="134"/>
      <c r="G631" s="135">
        <v>740</v>
      </c>
      <c r="H631" s="137">
        <v>6.4</v>
      </c>
      <c r="I631" s="134"/>
      <c r="J631" s="137">
        <v>18</v>
      </c>
      <c r="K631" s="134"/>
      <c r="L631" s="136">
        <v>40</v>
      </c>
      <c r="M631" s="181"/>
      <c r="N631" s="159" t="s">
        <v>280</v>
      </c>
      <c r="O631" s="159"/>
      <c r="P631" s="136"/>
    </row>
    <row r="632" spans="1:16" ht="16.5" customHeight="1" x14ac:dyDescent="0.25">
      <c r="A632" s="156">
        <v>44740</v>
      </c>
      <c r="B632" s="136" t="s">
        <v>14</v>
      </c>
      <c r="C632" s="157" t="str">
        <f t="shared" si="18"/>
        <v>28.06.2022_BRA1</v>
      </c>
      <c r="D632" s="190">
        <f t="shared" si="19"/>
        <v>0</v>
      </c>
      <c r="E632" s="133">
        <v>8.19</v>
      </c>
      <c r="F632" s="134"/>
      <c r="G632" s="135">
        <v>197.1</v>
      </c>
      <c r="H632" s="137">
        <v>8.5</v>
      </c>
      <c r="I632" s="134"/>
      <c r="J632" s="137">
        <v>20.3</v>
      </c>
      <c r="K632" s="134"/>
      <c r="L632" s="136">
        <v>15</v>
      </c>
      <c r="M632" s="181"/>
      <c r="N632" s="159"/>
      <c r="O632" s="159"/>
      <c r="P632" s="136"/>
    </row>
    <row r="633" spans="1:16" ht="16.5" customHeight="1" x14ac:dyDescent="0.25">
      <c r="A633" s="156">
        <v>44740</v>
      </c>
      <c r="B633" s="136" t="s">
        <v>17</v>
      </c>
      <c r="C633" s="157" t="str">
        <f t="shared" si="18"/>
        <v>28.06.2022_BRA2</v>
      </c>
      <c r="D633" s="190">
        <f t="shared" si="19"/>
        <v>0</v>
      </c>
      <c r="E633" s="133">
        <v>8.3800000000000008</v>
      </c>
      <c r="F633" s="134"/>
      <c r="G633" s="135">
        <v>233</v>
      </c>
      <c r="H633" s="137">
        <v>9.1999999999999993</v>
      </c>
      <c r="I633" s="134"/>
      <c r="J633" s="137">
        <v>17.8</v>
      </c>
      <c r="K633" s="134"/>
      <c r="L633" s="136">
        <v>20</v>
      </c>
      <c r="M633" s="181"/>
      <c r="N633" s="159"/>
      <c r="O633" s="159"/>
      <c r="P633" s="136"/>
    </row>
    <row r="634" spans="1:16" ht="16.5" customHeight="1" x14ac:dyDescent="0.25">
      <c r="A634" s="156">
        <v>44740</v>
      </c>
      <c r="B634" s="136" t="s">
        <v>0</v>
      </c>
      <c r="C634" s="157" t="str">
        <f t="shared" si="18"/>
        <v>28.06.2022_KIN1</v>
      </c>
      <c r="D634" s="190">
        <f t="shared" si="19"/>
        <v>0</v>
      </c>
      <c r="E634" s="133">
        <v>8.51</v>
      </c>
      <c r="F634" s="134"/>
      <c r="G634" s="135">
        <v>500</v>
      </c>
      <c r="H634" s="137">
        <v>8.9</v>
      </c>
      <c r="I634" s="134"/>
      <c r="J634" s="137">
        <v>17.3</v>
      </c>
      <c r="K634" s="134"/>
      <c r="L634" s="136">
        <v>25</v>
      </c>
      <c r="M634" s="181"/>
      <c r="N634" s="159"/>
      <c r="O634" s="159"/>
      <c r="P634" s="136" t="s">
        <v>215</v>
      </c>
    </row>
    <row r="635" spans="1:16" ht="16.5" customHeight="1" x14ac:dyDescent="0.25">
      <c r="A635" s="156">
        <v>44740</v>
      </c>
      <c r="B635" s="136" t="s">
        <v>2</v>
      </c>
      <c r="C635" s="157" t="str">
        <f t="shared" si="18"/>
        <v>28.06.2022_KIN2</v>
      </c>
      <c r="D635" s="190">
        <f t="shared" si="19"/>
        <v>0</v>
      </c>
      <c r="E635" s="133">
        <v>8.35</v>
      </c>
      <c r="F635" s="134"/>
      <c r="G635" s="135">
        <v>548</v>
      </c>
      <c r="H635" s="137">
        <v>8.8000000000000007</v>
      </c>
      <c r="I635" s="134"/>
      <c r="J635" s="137">
        <v>16.5</v>
      </c>
      <c r="K635" s="134"/>
      <c r="L635" s="136">
        <v>35</v>
      </c>
      <c r="M635" s="181"/>
      <c r="N635" s="159"/>
      <c r="O635" s="159"/>
      <c r="P635" s="136" t="s">
        <v>215</v>
      </c>
    </row>
    <row r="636" spans="1:16" ht="16.5" customHeight="1" x14ac:dyDescent="0.25">
      <c r="A636" s="156">
        <v>44740</v>
      </c>
      <c r="B636" s="136" t="s">
        <v>4</v>
      </c>
      <c r="C636" s="157" t="str">
        <f t="shared" si="18"/>
        <v>28.06.2022_KIN3</v>
      </c>
      <c r="D636" s="190">
        <f t="shared" si="19"/>
        <v>0</v>
      </c>
      <c r="E636" s="133">
        <v>8.3800000000000008</v>
      </c>
      <c r="F636" s="134"/>
      <c r="G636" s="135">
        <v>548</v>
      </c>
      <c r="H636" s="137">
        <v>8.6</v>
      </c>
      <c r="I636" s="134"/>
      <c r="J636" s="137">
        <v>17.3</v>
      </c>
      <c r="K636" s="134"/>
      <c r="L636" s="136">
        <v>70</v>
      </c>
      <c r="M636" s="181"/>
      <c r="N636" s="159"/>
      <c r="O636" s="159"/>
      <c r="P636" s="136" t="s">
        <v>174</v>
      </c>
    </row>
    <row r="637" spans="1:16" ht="16.5" customHeight="1" x14ac:dyDescent="0.25">
      <c r="A637" s="156">
        <v>44740</v>
      </c>
      <c r="B637" s="136" t="s">
        <v>6</v>
      </c>
      <c r="C637" s="157" t="str">
        <f t="shared" si="18"/>
        <v>28.06.2022_KIN4</v>
      </c>
      <c r="D637" s="190">
        <f t="shared" si="19"/>
        <v>0</v>
      </c>
      <c r="E637" s="133">
        <v>8.2200000000000006</v>
      </c>
      <c r="F637" s="134"/>
      <c r="G637" s="135">
        <v>568</v>
      </c>
      <c r="H637" s="137">
        <v>8</v>
      </c>
      <c r="I637" s="134"/>
      <c r="J637" s="137">
        <v>17.899999999999999</v>
      </c>
      <c r="K637" s="134"/>
      <c r="L637" s="136">
        <v>45</v>
      </c>
      <c r="M637" s="181"/>
      <c r="N637" s="159"/>
      <c r="O637" s="159"/>
      <c r="P637" s="136" t="s">
        <v>174</v>
      </c>
    </row>
    <row r="638" spans="1:16" ht="16.5" customHeight="1" x14ac:dyDescent="0.25">
      <c r="A638" s="156">
        <v>44740</v>
      </c>
      <c r="B638" s="136" t="s">
        <v>18</v>
      </c>
      <c r="C638" s="157" t="str">
        <f t="shared" si="18"/>
        <v>28.06.2022_ORB1</v>
      </c>
      <c r="D638" s="190">
        <f t="shared" si="19"/>
        <v>0</v>
      </c>
      <c r="E638" s="133">
        <v>7.64</v>
      </c>
      <c r="F638" s="134"/>
      <c r="G638" s="135">
        <v>127.2</v>
      </c>
      <c r="H638" s="137">
        <v>10.4</v>
      </c>
      <c r="I638" s="134"/>
      <c r="J638" s="137">
        <v>16.8</v>
      </c>
      <c r="K638" s="134"/>
      <c r="L638" s="136">
        <v>10</v>
      </c>
      <c r="M638" s="181"/>
      <c r="N638" s="159"/>
      <c r="O638" s="159"/>
      <c r="P638" s="136" t="s">
        <v>174</v>
      </c>
    </row>
    <row r="639" spans="1:16" ht="16.5" customHeight="1" x14ac:dyDescent="0.25">
      <c r="A639" s="156">
        <v>44740</v>
      </c>
      <c r="B639" s="136" t="s">
        <v>21</v>
      </c>
      <c r="C639" s="157" t="str">
        <f t="shared" si="18"/>
        <v>28.06.2022_ORB2</v>
      </c>
      <c r="D639" s="190">
        <f t="shared" si="19"/>
        <v>0</v>
      </c>
      <c r="E639" s="133">
        <v>7.37</v>
      </c>
      <c r="F639" s="134"/>
      <c r="G639" s="135">
        <v>169.3</v>
      </c>
      <c r="H639" s="137">
        <v>9.1999999999999993</v>
      </c>
      <c r="I639" s="134"/>
      <c r="J639" s="137">
        <v>17.3</v>
      </c>
      <c r="K639" s="134"/>
      <c r="L639" s="136">
        <v>20</v>
      </c>
      <c r="M639" s="181"/>
      <c r="N639" s="159"/>
      <c r="O639" s="159"/>
      <c r="P639" s="136"/>
    </row>
    <row r="640" spans="1:16" ht="16.5" customHeight="1" x14ac:dyDescent="0.25">
      <c r="A640" s="156">
        <v>44740</v>
      </c>
      <c r="B640" s="136" t="s">
        <v>10</v>
      </c>
      <c r="C640" s="157" t="str">
        <f t="shared" si="18"/>
        <v>28.06.2022_SAL1</v>
      </c>
      <c r="D640" s="190">
        <f t="shared" si="19"/>
        <v>0</v>
      </c>
      <c r="E640" s="133">
        <v>8.4</v>
      </c>
      <c r="F640" s="134"/>
      <c r="G640" s="135">
        <v>248</v>
      </c>
      <c r="H640" s="137">
        <v>9.6</v>
      </c>
      <c r="I640" s="134"/>
      <c r="J640" s="137">
        <v>16.8</v>
      </c>
      <c r="K640" s="134"/>
      <c r="L640" s="136">
        <v>25</v>
      </c>
      <c r="M640" s="181"/>
      <c r="N640" s="159"/>
      <c r="O640" s="159"/>
      <c r="P640" s="136" t="s">
        <v>174</v>
      </c>
    </row>
    <row r="641" spans="1:16" ht="16.5" customHeight="1" x14ac:dyDescent="0.25">
      <c r="A641" s="156">
        <v>44740</v>
      </c>
      <c r="B641" s="136" t="s">
        <v>12</v>
      </c>
      <c r="C641" s="157" t="str">
        <f t="shared" si="18"/>
        <v>28.06.2022_SAL2</v>
      </c>
      <c r="D641" s="190">
        <f t="shared" si="19"/>
        <v>0</v>
      </c>
      <c r="E641" s="133">
        <v>8.43</v>
      </c>
      <c r="F641" s="134"/>
      <c r="G641" s="135">
        <v>271</v>
      </c>
      <c r="H641" s="137">
        <v>9.4</v>
      </c>
      <c r="I641" s="134"/>
      <c r="J641" s="137">
        <v>17.2</v>
      </c>
      <c r="K641" s="134"/>
      <c r="L641" s="136">
        <v>20</v>
      </c>
      <c r="M641" s="181"/>
      <c r="N641" s="159"/>
      <c r="O641" s="159"/>
      <c r="P641" s="136"/>
    </row>
    <row r="642" spans="1:16" ht="16.5" customHeight="1" x14ac:dyDescent="0.25">
      <c r="A642" s="156">
        <v>44740</v>
      </c>
      <c r="B642" s="136" t="s">
        <v>7</v>
      </c>
      <c r="C642" s="157" t="str">
        <f t="shared" si="18"/>
        <v>28.06.2022_STE1</v>
      </c>
      <c r="D642" s="190">
        <f t="shared" si="19"/>
        <v>0</v>
      </c>
      <c r="E642" s="133">
        <v>8.3699999999999992</v>
      </c>
      <c r="F642" s="134"/>
      <c r="G642" s="135">
        <v>394</v>
      </c>
      <c r="H642" s="137">
        <v>9.1999999999999993</v>
      </c>
      <c r="I642" s="134"/>
      <c r="J642" s="137">
        <v>15.8</v>
      </c>
      <c r="K642" s="134"/>
      <c r="L642" s="136">
        <v>35</v>
      </c>
      <c r="M642" s="181"/>
      <c r="N642" s="159"/>
      <c r="O642" s="159"/>
      <c r="P642" s="136"/>
    </row>
    <row r="643" spans="1:16" ht="16.5" customHeight="1" x14ac:dyDescent="0.25">
      <c r="A643" s="156">
        <v>44740</v>
      </c>
      <c r="B643" s="136" t="s">
        <v>9</v>
      </c>
      <c r="C643" s="157" t="str">
        <f t="shared" si="18"/>
        <v>28.06.2022_STE2</v>
      </c>
      <c r="D643" s="190">
        <f t="shared" si="19"/>
        <v>0</v>
      </c>
      <c r="E643" s="133">
        <v>8.43</v>
      </c>
      <c r="F643" s="134"/>
      <c r="G643" s="135">
        <v>410</v>
      </c>
      <c r="H643" s="137">
        <v>9.1</v>
      </c>
      <c r="I643" s="134"/>
      <c r="J643" s="137">
        <v>16.8</v>
      </c>
      <c r="K643" s="134"/>
      <c r="L643" s="136">
        <v>35</v>
      </c>
      <c r="M643" s="181"/>
      <c r="N643" s="159"/>
      <c r="O643" s="159"/>
      <c r="P643" s="136"/>
    </row>
    <row r="644" spans="1:16" ht="16.5" customHeight="1" x14ac:dyDescent="0.25">
      <c r="A644" s="156">
        <v>44754</v>
      </c>
      <c r="B644" s="136" t="s">
        <v>22</v>
      </c>
      <c r="C644" s="157" t="str">
        <f t="shared" si="18"/>
        <v>12.07.2022_BIE1</v>
      </c>
      <c r="D644" s="190">
        <f t="shared" si="19"/>
        <v>0</v>
      </c>
      <c r="E644" s="133">
        <v>8.11</v>
      </c>
      <c r="F644" s="134"/>
      <c r="G644" s="135">
        <v>212</v>
      </c>
      <c r="H644" s="137">
        <v>8.9</v>
      </c>
      <c r="I644" s="134"/>
      <c r="J644" s="137">
        <v>18.100000000000001</v>
      </c>
      <c r="K644" s="134"/>
      <c r="L644" s="136">
        <v>40</v>
      </c>
      <c r="M644" s="181"/>
      <c r="N644" s="159"/>
      <c r="O644" s="159"/>
      <c r="P644" s="136"/>
    </row>
    <row r="645" spans="1:16" ht="16.5" customHeight="1" x14ac:dyDescent="0.25">
      <c r="A645" s="156">
        <v>44754</v>
      </c>
      <c r="B645" s="136" t="s">
        <v>25</v>
      </c>
      <c r="C645" s="157" t="str">
        <f t="shared" ref="C645:C708" si="20">CONCATENATE(TEXT(A645,"TT.MM.JJJJ"),"_",B645)</f>
        <v>12.07.2022_BIE2</v>
      </c>
      <c r="D645" s="190">
        <f t="shared" ref="D645:D708" si="21">COUNTBLANK(E645)+COUNTBLANK(G645:H645)+COUNTBLANK(J645)+COUNTBLANK(L645)</f>
        <v>0</v>
      </c>
      <c r="E645" s="133">
        <v>8.08</v>
      </c>
      <c r="F645" s="134"/>
      <c r="G645" s="135">
        <v>197.6</v>
      </c>
      <c r="H645" s="137">
        <v>9.6</v>
      </c>
      <c r="I645" s="134"/>
      <c r="J645" s="137">
        <v>17.399999999999999</v>
      </c>
      <c r="K645" s="134"/>
      <c r="L645" s="136">
        <v>45</v>
      </c>
      <c r="M645" s="181"/>
      <c r="N645" s="159"/>
      <c r="O645" s="159"/>
      <c r="P645" s="136"/>
    </row>
    <row r="646" spans="1:16" ht="16.5" customHeight="1" x14ac:dyDescent="0.25">
      <c r="A646" s="156">
        <v>44754</v>
      </c>
      <c r="B646" s="136" t="s">
        <v>30</v>
      </c>
      <c r="C646" s="157" t="str">
        <f t="shared" si="20"/>
        <v>12.07.2022_FAL1</v>
      </c>
      <c r="D646" s="190">
        <f t="shared" si="21"/>
        <v>0</v>
      </c>
      <c r="E646" s="133">
        <v>8.11</v>
      </c>
      <c r="F646" s="134"/>
      <c r="G646" s="135">
        <v>951</v>
      </c>
      <c r="H646" s="137">
        <v>9.1</v>
      </c>
      <c r="I646" s="134"/>
      <c r="J646" s="137">
        <v>17.100000000000001</v>
      </c>
      <c r="K646" s="134"/>
      <c r="L646" s="136">
        <v>40</v>
      </c>
      <c r="M646" s="181"/>
      <c r="N646" s="159"/>
      <c r="O646" s="159"/>
      <c r="P646" s="136"/>
    </row>
    <row r="647" spans="1:16" ht="16.5" customHeight="1" x14ac:dyDescent="0.25">
      <c r="A647" s="156">
        <v>44754</v>
      </c>
      <c r="B647" s="136" t="s">
        <v>32</v>
      </c>
      <c r="C647" s="157" t="str">
        <f t="shared" si="20"/>
        <v>12.07.2022_FAL2</v>
      </c>
      <c r="D647" s="190">
        <f t="shared" si="21"/>
        <v>0</v>
      </c>
      <c r="E647" s="133">
        <v>8.4600000000000009</v>
      </c>
      <c r="F647" s="134"/>
      <c r="G647" s="135">
        <v>945</v>
      </c>
      <c r="H647" s="137">
        <v>9.1</v>
      </c>
      <c r="I647" s="134"/>
      <c r="J647" s="137">
        <v>18.100000000000001</v>
      </c>
      <c r="K647" s="134"/>
      <c r="L647" s="136">
        <v>20</v>
      </c>
      <c r="M647" s="181"/>
      <c r="N647" s="159"/>
      <c r="O647" s="159"/>
      <c r="P647" s="136" t="s">
        <v>217</v>
      </c>
    </row>
    <row r="648" spans="1:16" ht="16.5" customHeight="1" x14ac:dyDescent="0.25">
      <c r="A648" s="156">
        <v>44754</v>
      </c>
      <c r="B648" s="136" t="s">
        <v>26</v>
      </c>
      <c r="C648" s="157" t="str">
        <f t="shared" si="20"/>
        <v>12.07.2022_GRU1</v>
      </c>
      <c r="D648" s="190">
        <f t="shared" si="21"/>
        <v>0</v>
      </c>
      <c r="E648" s="133">
        <v>7.57</v>
      </c>
      <c r="F648" s="134"/>
      <c r="G648" s="135">
        <v>169.3</v>
      </c>
      <c r="H648" s="137">
        <v>9.6</v>
      </c>
      <c r="I648" s="134"/>
      <c r="J648" s="137">
        <v>17.5</v>
      </c>
      <c r="K648" s="134"/>
      <c r="L648" s="136">
        <v>25</v>
      </c>
      <c r="M648" s="181"/>
      <c r="N648" s="159"/>
      <c r="O648" s="159"/>
      <c r="P648" s="136"/>
    </row>
    <row r="649" spans="1:16" ht="16.5" customHeight="1" x14ac:dyDescent="0.25">
      <c r="A649" s="156">
        <v>44754</v>
      </c>
      <c r="B649" s="136" t="s">
        <v>28</v>
      </c>
      <c r="C649" s="157" t="str">
        <f t="shared" si="20"/>
        <v>12.07.2022_GRU2</v>
      </c>
      <c r="D649" s="190">
        <f t="shared" si="21"/>
        <v>0</v>
      </c>
      <c r="E649" s="133">
        <v>7.55</v>
      </c>
      <c r="F649" s="134"/>
      <c r="G649" s="135">
        <v>190</v>
      </c>
      <c r="H649" s="137">
        <v>9.4</v>
      </c>
      <c r="I649" s="134"/>
      <c r="J649" s="137">
        <v>17.8</v>
      </c>
      <c r="K649" s="134"/>
      <c r="L649" s="136">
        <v>30</v>
      </c>
      <c r="M649" s="181"/>
      <c r="N649" s="159"/>
      <c r="O649" s="159"/>
      <c r="P649" s="136"/>
    </row>
    <row r="650" spans="1:16" ht="16.5" customHeight="1" x14ac:dyDescent="0.25">
      <c r="A650" s="156">
        <v>44754</v>
      </c>
      <c r="B650" s="136" t="s">
        <v>34</v>
      </c>
      <c r="C650" s="157" t="str">
        <f t="shared" si="20"/>
        <v>12.07.2022_KRE1</v>
      </c>
      <c r="D650" s="190">
        <f t="shared" si="21"/>
        <v>0</v>
      </c>
      <c r="E650" s="133">
        <v>8.08</v>
      </c>
      <c r="F650" s="134"/>
      <c r="G650" s="135">
        <v>984</v>
      </c>
      <c r="H650" s="137">
        <v>7.6</v>
      </c>
      <c r="I650" s="134"/>
      <c r="J650" s="137">
        <v>18.600000000000001</v>
      </c>
      <c r="K650" s="134"/>
      <c r="L650" s="136">
        <v>20</v>
      </c>
      <c r="M650" s="181"/>
      <c r="N650" s="159"/>
      <c r="O650" s="159"/>
      <c r="P650" s="136" t="s">
        <v>220</v>
      </c>
    </row>
    <row r="651" spans="1:16" ht="16.5" customHeight="1" x14ac:dyDescent="0.25">
      <c r="A651" s="156">
        <v>44754</v>
      </c>
      <c r="B651" s="136" t="s">
        <v>37</v>
      </c>
      <c r="C651" s="157" t="str">
        <f t="shared" si="20"/>
        <v>12.07.2022_KRE2</v>
      </c>
      <c r="D651" s="190">
        <f t="shared" si="21"/>
        <v>0</v>
      </c>
      <c r="E651" s="133">
        <v>7.92</v>
      </c>
      <c r="F651" s="134"/>
      <c r="G651" s="135">
        <v>1013</v>
      </c>
      <c r="H651" s="137">
        <v>5.6</v>
      </c>
      <c r="I651" s="134"/>
      <c r="J651" s="137">
        <v>17.100000000000001</v>
      </c>
      <c r="K651" s="134"/>
      <c r="L651" s="136">
        <v>15</v>
      </c>
      <c r="M651" s="181"/>
      <c r="N651" s="159"/>
      <c r="O651" s="159"/>
      <c r="P651" s="136" t="s">
        <v>217</v>
      </c>
    </row>
    <row r="652" spans="1:16" ht="16.5" customHeight="1" x14ac:dyDescent="0.25">
      <c r="A652" s="156">
        <v>44754</v>
      </c>
      <c r="B652" s="136" t="s">
        <v>14</v>
      </c>
      <c r="C652" s="157" t="str">
        <f t="shared" si="20"/>
        <v>12.07.2022_BRA1</v>
      </c>
      <c r="D652" s="190">
        <f t="shared" si="21"/>
        <v>0</v>
      </c>
      <c r="E652" s="133">
        <v>8.33</v>
      </c>
      <c r="F652" s="134"/>
      <c r="G652" s="135">
        <v>199</v>
      </c>
      <c r="H652" s="137">
        <v>9.5</v>
      </c>
      <c r="I652" s="134"/>
      <c r="J652" s="137">
        <v>18.7</v>
      </c>
      <c r="K652" s="134"/>
      <c r="L652" s="136">
        <v>15</v>
      </c>
      <c r="M652" s="181"/>
      <c r="N652" s="159"/>
      <c r="O652" s="159"/>
      <c r="P652" s="136"/>
    </row>
    <row r="653" spans="1:16" ht="16.5" customHeight="1" x14ac:dyDescent="0.25">
      <c r="A653" s="156">
        <v>44754</v>
      </c>
      <c r="B653" s="136" t="s">
        <v>17</v>
      </c>
      <c r="C653" s="157" t="str">
        <f t="shared" si="20"/>
        <v>12.07.2022_BRA2</v>
      </c>
      <c r="D653" s="190">
        <f t="shared" si="21"/>
        <v>0</v>
      </c>
      <c r="E653" s="133">
        <v>8.35</v>
      </c>
      <c r="F653" s="134"/>
      <c r="G653" s="135">
        <v>239</v>
      </c>
      <c r="H653" s="137">
        <v>9.9</v>
      </c>
      <c r="I653" s="134"/>
      <c r="J653" s="137">
        <v>16.5</v>
      </c>
      <c r="K653" s="134"/>
      <c r="L653" s="136">
        <v>20</v>
      </c>
      <c r="M653" s="181"/>
      <c r="N653" s="159"/>
      <c r="O653" s="159"/>
      <c r="P653" s="136"/>
    </row>
    <row r="654" spans="1:16" ht="16.5" customHeight="1" x14ac:dyDescent="0.25">
      <c r="A654" s="156">
        <v>44754</v>
      </c>
      <c r="B654" s="136" t="s">
        <v>0</v>
      </c>
      <c r="C654" s="157" t="str">
        <f t="shared" si="20"/>
        <v>12.07.2022_KIN1</v>
      </c>
      <c r="D654" s="190">
        <f t="shared" si="21"/>
        <v>0</v>
      </c>
      <c r="E654" s="133">
        <v>8.6199999999999992</v>
      </c>
      <c r="F654" s="134"/>
      <c r="G654" s="135">
        <v>483</v>
      </c>
      <c r="H654" s="137">
        <v>9.4</v>
      </c>
      <c r="I654" s="134"/>
      <c r="J654" s="137">
        <v>14.3</v>
      </c>
      <c r="K654" s="134"/>
      <c r="L654" s="136">
        <v>20</v>
      </c>
      <c r="M654" s="181"/>
      <c r="N654" s="159"/>
      <c r="O654" s="159"/>
      <c r="P654" s="136" t="s">
        <v>215</v>
      </c>
    </row>
    <row r="655" spans="1:16" ht="16.5" customHeight="1" x14ac:dyDescent="0.25">
      <c r="A655" s="156">
        <v>44754</v>
      </c>
      <c r="B655" s="136" t="s">
        <v>2</v>
      </c>
      <c r="C655" s="157" t="str">
        <f t="shared" si="20"/>
        <v>12.07.2022_KIN2</v>
      </c>
      <c r="D655" s="190">
        <f t="shared" si="21"/>
        <v>0</v>
      </c>
      <c r="E655" s="133">
        <v>8.43</v>
      </c>
      <c r="F655" s="134"/>
      <c r="G655" s="135">
        <v>551</v>
      </c>
      <c r="H655" s="137">
        <v>9.5</v>
      </c>
      <c r="I655" s="134"/>
      <c r="J655" s="137">
        <v>14</v>
      </c>
      <c r="K655" s="134"/>
      <c r="L655" s="136">
        <v>35</v>
      </c>
      <c r="M655" s="181"/>
      <c r="N655" s="159"/>
      <c r="O655" s="159"/>
      <c r="P655" s="136" t="s">
        <v>215</v>
      </c>
    </row>
    <row r="656" spans="1:16" ht="16.5" customHeight="1" x14ac:dyDescent="0.25">
      <c r="A656" s="156">
        <v>44754</v>
      </c>
      <c r="B656" s="136" t="s">
        <v>4</v>
      </c>
      <c r="C656" s="157" t="str">
        <f t="shared" si="20"/>
        <v>12.07.2022_KIN3</v>
      </c>
      <c r="D656" s="190">
        <f t="shared" si="21"/>
        <v>0</v>
      </c>
      <c r="E656" s="133">
        <v>8.5</v>
      </c>
      <c r="F656" s="134"/>
      <c r="G656" s="135">
        <v>557</v>
      </c>
      <c r="H656" s="137">
        <v>9.4</v>
      </c>
      <c r="I656" s="134"/>
      <c r="J656" s="137">
        <v>14.5</v>
      </c>
      <c r="K656" s="134"/>
      <c r="L656" s="136">
        <v>80</v>
      </c>
      <c r="M656" s="181"/>
      <c r="N656" s="159"/>
      <c r="O656" s="159"/>
      <c r="P656" s="136" t="s">
        <v>174</v>
      </c>
    </row>
    <row r="657" spans="1:19" ht="16.5" customHeight="1" x14ac:dyDescent="0.25">
      <c r="A657" s="156">
        <v>44754</v>
      </c>
      <c r="B657" s="136" t="s">
        <v>6</v>
      </c>
      <c r="C657" s="157" t="str">
        <f t="shared" si="20"/>
        <v>12.07.2022_KIN4</v>
      </c>
      <c r="D657" s="190">
        <f t="shared" si="21"/>
        <v>0</v>
      </c>
      <c r="E657" s="133">
        <v>8.3800000000000008</v>
      </c>
      <c r="F657" s="134"/>
      <c r="G657" s="135">
        <v>623</v>
      </c>
      <c r="H657" s="137">
        <v>8.6999999999999993</v>
      </c>
      <c r="I657" s="134"/>
      <c r="J657" s="137">
        <v>15.1</v>
      </c>
      <c r="K657" s="134"/>
      <c r="L657" s="136">
        <v>45</v>
      </c>
      <c r="M657" s="181"/>
      <c r="N657" s="159"/>
      <c r="O657" s="159"/>
      <c r="P657" s="136" t="s">
        <v>174</v>
      </c>
    </row>
    <row r="658" spans="1:19" ht="16.5" customHeight="1" x14ac:dyDescent="0.25">
      <c r="A658" s="156">
        <v>44754</v>
      </c>
      <c r="B658" s="136" t="s">
        <v>18</v>
      </c>
      <c r="C658" s="157" t="str">
        <f t="shared" si="20"/>
        <v>12.07.2022_ORB1</v>
      </c>
      <c r="D658" s="190">
        <f t="shared" si="21"/>
        <v>1</v>
      </c>
      <c r="E658" s="283"/>
      <c r="F658" s="161" t="s">
        <v>270</v>
      </c>
      <c r="G658" s="135">
        <v>122</v>
      </c>
      <c r="H658" s="137">
        <v>7.78</v>
      </c>
      <c r="I658" s="161"/>
      <c r="J658" s="137">
        <v>16.600000000000001</v>
      </c>
      <c r="K658" s="161"/>
      <c r="L658" s="136">
        <v>15</v>
      </c>
      <c r="M658" s="181"/>
      <c r="N658" s="159" t="s">
        <v>281</v>
      </c>
      <c r="O658" s="159"/>
      <c r="P658" s="136" t="s">
        <v>174</v>
      </c>
    </row>
    <row r="659" spans="1:19" ht="16.5" customHeight="1" x14ac:dyDescent="0.25">
      <c r="A659" s="156">
        <v>44754</v>
      </c>
      <c r="B659" s="136" t="s">
        <v>21</v>
      </c>
      <c r="C659" s="157" t="str">
        <f t="shared" si="20"/>
        <v>12.07.2022_ORB2</v>
      </c>
      <c r="D659" s="190">
        <f t="shared" si="21"/>
        <v>1</v>
      </c>
      <c r="E659" s="283"/>
      <c r="F659" s="161" t="s">
        <v>270</v>
      </c>
      <c r="G659" s="135">
        <v>192.6</v>
      </c>
      <c r="H659" s="137">
        <v>7.4</v>
      </c>
      <c r="I659" s="161"/>
      <c r="J659" s="137">
        <v>16.3</v>
      </c>
      <c r="K659" s="161"/>
      <c r="L659" s="136">
        <v>20</v>
      </c>
      <c r="M659" s="181"/>
      <c r="N659" s="159" t="s">
        <v>282</v>
      </c>
      <c r="O659" s="159"/>
      <c r="P659" s="136"/>
    </row>
    <row r="660" spans="1:19" ht="16.5" customHeight="1" x14ac:dyDescent="0.25">
      <c r="A660" s="156">
        <v>44754</v>
      </c>
      <c r="B660" s="136" t="s">
        <v>10</v>
      </c>
      <c r="C660" s="157" t="str">
        <f t="shared" si="20"/>
        <v>12.07.2022_SAL1</v>
      </c>
      <c r="D660" s="190">
        <f t="shared" si="21"/>
        <v>0</v>
      </c>
      <c r="E660" s="133">
        <v>8.2799999999999994</v>
      </c>
      <c r="F660" s="134"/>
      <c r="G660" s="135">
        <v>248</v>
      </c>
      <c r="H660" s="137">
        <v>9.8000000000000007</v>
      </c>
      <c r="I660" s="134"/>
      <c r="J660" s="137">
        <v>15.8</v>
      </c>
      <c r="K660" s="134"/>
      <c r="L660" s="136">
        <v>30</v>
      </c>
      <c r="M660" s="181"/>
      <c r="N660" s="159"/>
      <c r="O660" s="159"/>
      <c r="P660" s="136" t="s">
        <v>174</v>
      </c>
    </row>
    <row r="661" spans="1:19" ht="16.5" customHeight="1" x14ac:dyDescent="0.25">
      <c r="A661" s="156">
        <v>44754</v>
      </c>
      <c r="B661" s="136" t="s">
        <v>12</v>
      </c>
      <c r="C661" s="157" t="str">
        <f t="shared" si="20"/>
        <v>12.07.2022_SAL2</v>
      </c>
      <c r="D661" s="190">
        <f t="shared" si="21"/>
        <v>0</v>
      </c>
      <c r="E661" s="133">
        <v>8.2899999999999991</v>
      </c>
      <c r="F661" s="134"/>
      <c r="G661" s="135">
        <v>262</v>
      </c>
      <c r="H661" s="137">
        <v>8.9</v>
      </c>
      <c r="I661" s="134"/>
      <c r="J661" s="137">
        <v>16.399999999999999</v>
      </c>
      <c r="K661" s="134"/>
      <c r="L661" s="136">
        <v>30</v>
      </c>
      <c r="M661" s="181"/>
      <c r="N661" s="159"/>
      <c r="O661" s="159"/>
      <c r="P661" s="136" t="s">
        <v>174</v>
      </c>
    </row>
    <row r="662" spans="1:19" ht="16.5" customHeight="1" x14ac:dyDescent="0.25">
      <c r="A662" s="156">
        <v>44754</v>
      </c>
      <c r="B662" s="136" t="s">
        <v>7</v>
      </c>
      <c r="C662" s="157" t="str">
        <f t="shared" si="20"/>
        <v>12.07.2022_STE1</v>
      </c>
      <c r="D662" s="190">
        <f t="shared" si="21"/>
        <v>0</v>
      </c>
      <c r="E662" s="133">
        <v>8.4700000000000006</v>
      </c>
      <c r="F662" s="134"/>
      <c r="G662" s="135">
        <v>393</v>
      </c>
      <c r="H662" s="137">
        <v>9.6</v>
      </c>
      <c r="I662" s="134"/>
      <c r="J662" s="137">
        <v>13.6</v>
      </c>
      <c r="K662" s="134"/>
      <c r="L662" s="136">
        <v>35</v>
      </c>
      <c r="M662" s="181"/>
      <c r="N662" s="159"/>
      <c r="O662" s="159"/>
      <c r="P662" s="136"/>
    </row>
    <row r="663" spans="1:19" ht="16.5" customHeight="1" x14ac:dyDescent="0.25">
      <c r="A663" s="156">
        <v>44754</v>
      </c>
      <c r="B663" s="136" t="s">
        <v>9</v>
      </c>
      <c r="C663" s="157" t="str">
        <f t="shared" si="20"/>
        <v>12.07.2022_STE2</v>
      </c>
      <c r="D663" s="190">
        <f t="shared" si="21"/>
        <v>0</v>
      </c>
      <c r="E663" s="133">
        <v>8.5500000000000007</v>
      </c>
      <c r="F663" s="134"/>
      <c r="G663" s="135">
        <v>398</v>
      </c>
      <c r="H663" s="137">
        <v>9.8000000000000007</v>
      </c>
      <c r="I663" s="134"/>
      <c r="J663" s="137">
        <v>14.3</v>
      </c>
      <c r="K663" s="134"/>
      <c r="L663" s="136">
        <v>35</v>
      </c>
      <c r="M663" s="181"/>
      <c r="N663" s="159"/>
      <c r="O663" s="159"/>
      <c r="P663" s="136"/>
      <c r="R663" s="196"/>
      <c r="S663" s="196"/>
    </row>
    <row r="664" spans="1:19" ht="16.5" customHeight="1" x14ac:dyDescent="0.25">
      <c r="A664" s="156">
        <v>44769</v>
      </c>
      <c r="B664" s="136" t="s">
        <v>22</v>
      </c>
      <c r="C664" s="157" t="str">
        <f t="shared" si="20"/>
        <v>27.07.2022_BIE1</v>
      </c>
      <c r="D664" s="190">
        <f t="shared" si="21"/>
        <v>0</v>
      </c>
      <c r="E664" s="133">
        <v>8.2100000000000009</v>
      </c>
      <c r="F664" s="134"/>
      <c r="G664" s="135">
        <v>208</v>
      </c>
      <c r="H664" s="137">
        <v>8.5</v>
      </c>
      <c r="I664" s="134"/>
      <c r="J664" s="137">
        <v>18.5</v>
      </c>
      <c r="K664" s="134"/>
      <c r="L664" s="136">
        <v>30</v>
      </c>
      <c r="M664" s="181"/>
      <c r="N664" s="159"/>
      <c r="O664" s="159"/>
      <c r="P664" s="136"/>
    </row>
    <row r="665" spans="1:19" ht="16.5" customHeight="1" x14ac:dyDescent="0.25">
      <c r="A665" s="156">
        <v>44769</v>
      </c>
      <c r="B665" s="136" t="s">
        <v>25</v>
      </c>
      <c r="C665" s="157" t="str">
        <f t="shared" si="20"/>
        <v>27.07.2022_BIE2</v>
      </c>
      <c r="D665" s="190">
        <f t="shared" si="21"/>
        <v>0</v>
      </c>
      <c r="E665" s="133">
        <v>8.0399999999999991</v>
      </c>
      <c r="F665" s="134"/>
      <c r="G665" s="135">
        <v>226</v>
      </c>
      <c r="H665" s="137">
        <v>8.3000000000000007</v>
      </c>
      <c r="I665" s="134"/>
      <c r="J665" s="137">
        <v>18</v>
      </c>
      <c r="K665" s="134"/>
      <c r="L665" s="136">
        <v>40</v>
      </c>
      <c r="M665" s="181"/>
      <c r="N665" s="159"/>
      <c r="O665" s="159"/>
      <c r="P665" s="136"/>
    </row>
    <row r="666" spans="1:19" ht="16.5" customHeight="1" x14ac:dyDescent="0.25">
      <c r="A666" s="156">
        <v>44769</v>
      </c>
      <c r="B666" s="136" t="s">
        <v>30</v>
      </c>
      <c r="C666" s="157" t="str">
        <f t="shared" si="20"/>
        <v>27.07.2022_FAL1</v>
      </c>
      <c r="D666" s="190">
        <f t="shared" si="21"/>
        <v>0</v>
      </c>
      <c r="E666" s="133">
        <v>8.14</v>
      </c>
      <c r="F666" s="134"/>
      <c r="G666" s="135">
        <v>986</v>
      </c>
      <c r="H666" s="137">
        <v>7.9</v>
      </c>
      <c r="I666" s="134"/>
      <c r="J666" s="137">
        <v>18</v>
      </c>
      <c r="K666" s="134"/>
      <c r="L666" s="136">
        <v>45</v>
      </c>
      <c r="M666" s="181"/>
      <c r="N666" s="159"/>
      <c r="O666" s="159"/>
      <c r="P666" s="136"/>
    </row>
    <row r="667" spans="1:19" ht="16.5" customHeight="1" x14ac:dyDescent="0.25">
      <c r="A667" s="156">
        <v>44769</v>
      </c>
      <c r="B667" s="136" t="s">
        <v>32</v>
      </c>
      <c r="C667" s="157" t="str">
        <f t="shared" si="20"/>
        <v>27.07.2022_FAL2</v>
      </c>
      <c r="D667" s="190">
        <f t="shared" si="21"/>
        <v>0</v>
      </c>
      <c r="E667" s="133">
        <v>8.43</v>
      </c>
      <c r="F667" s="134"/>
      <c r="G667" s="135">
        <v>959</v>
      </c>
      <c r="H667" s="137">
        <v>8.5</v>
      </c>
      <c r="I667" s="134"/>
      <c r="J667" s="137">
        <v>19.100000000000001</v>
      </c>
      <c r="K667" s="134"/>
      <c r="L667" s="136">
        <v>25</v>
      </c>
      <c r="M667" s="181"/>
      <c r="N667" s="159"/>
      <c r="O667" s="159" t="s">
        <v>392</v>
      </c>
      <c r="P667" s="159" t="s">
        <v>395</v>
      </c>
    </row>
    <row r="668" spans="1:19" ht="16.5" customHeight="1" x14ac:dyDescent="0.25">
      <c r="A668" s="156">
        <v>44769</v>
      </c>
      <c r="B668" s="136" t="s">
        <v>26</v>
      </c>
      <c r="C668" s="157" t="str">
        <f t="shared" si="20"/>
        <v>27.07.2022_GRU1</v>
      </c>
      <c r="D668" s="190">
        <f t="shared" si="21"/>
        <v>0</v>
      </c>
      <c r="E668" s="133">
        <v>7.54</v>
      </c>
      <c r="F668" s="134"/>
      <c r="G668" s="135">
        <v>169.8</v>
      </c>
      <c r="H668" s="137">
        <v>7.7</v>
      </c>
      <c r="I668" s="134"/>
      <c r="J668" s="137">
        <v>17.3</v>
      </c>
      <c r="K668" s="134"/>
      <c r="L668" s="136">
        <v>35</v>
      </c>
      <c r="M668" s="181"/>
      <c r="N668" s="159"/>
      <c r="O668" s="159"/>
      <c r="P668" s="136"/>
    </row>
    <row r="669" spans="1:19" ht="16.5" customHeight="1" x14ac:dyDescent="0.25">
      <c r="A669" s="156">
        <v>44769</v>
      </c>
      <c r="B669" s="136" t="s">
        <v>28</v>
      </c>
      <c r="C669" s="157" t="str">
        <f t="shared" si="20"/>
        <v>27.07.2022_GRU2</v>
      </c>
      <c r="D669" s="190">
        <f t="shared" si="21"/>
        <v>0</v>
      </c>
      <c r="E669" s="133">
        <v>7.51</v>
      </c>
      <c r="F669" s="134"/>
      <c r="G669" s="135">
        <v>184.3</v>
      </c>
      <c r="H669" s="137">
        <v>8</v>
      </c>
      <c r="I669" s="134"/>
      <c r="J669" s="137">
        <v>18</v>
      </c>
      <c r="K669" s="134"/>
      <c r="L669" s="136">
        <v>40</v>
      </c>
      <c r="M669" s="181"/>
      <c r="N669" s="159"/>
      <c r="O669" s="159"/>
      <c r="P669" s="136"/>
    </row>
    <row r="670" spans="1:19" ht="16.5" customHeight="1" x14ac:dyDescent="0.25">
      <c r="A670" s="156">
        <v>44769</v>
      </c>
      <c r="B670" s="136" t="s">
        <v>34</v>
      </c>
      <c r="C670" s="157" t="str">
        <f t="shared" si="20"/>
        <v>27.07.2022_KRE1</v>
      </c>
      <c r="D670" s="190">
        <f t="shared" si="21"/>
        <v>0</v>
      </c>
      <c r="E670" s="133">
        <v>8.0500000000000007</v>
      </c>
      <c r="F670" s="134"/>
      <c r="G670" s="135">
        <v>893</v>
      </c>
      <c r="H670" s="137">
        <v>10</v>
      </c>
      <c r="I670" s="134"/>
      <c r="J670" s="137">
        <v>19.100000000000001</v>
      </c>
      <c r="K670" s="134"/>
      <c r="L670" s="136">
        <v>20</v>
      </c>
      <c r="M670" s="181"/>
      <c r="N670" s="159"/>
      <c r="O670" s="159"/>
      <c r="P670" s="136"/>
    </row>
    <row r="671" spans="1:19" ht="16.5" customHeight="1" x14ac:dyDescent="0.25">
      <c r="A671" s="156">
        <v>44769</v>
      </c>
      <c r="B671" s="136" t="s">
        <v>37</v>
      </c>
      <c r="C671" s="157" t="str">
        <f t="shared" si="20"/>
        <v>27.07.2022_KRE2</v>
      </c>
      <c r="D671" s="190">
        <f t="shared" si="21"/>
        <v>0</v>
      </c>
      <c r="E671" s="133">
        <v>7.83</v>
      </c>
      <c r="F671" s="134"/>
      <c r="G671" s="135">
        <v>925</v>
      </c>
      <c r="H671" s="137">
        <v>5.3</v>
      </c>
      <c r="I671" s="134"/>
      <c r="J671" s="137">
        <v>18.399999999999999</v>
      </c>
      <c r="K671" s="134"/>
      <c r="L671" s="136">
        <v>30</v>
      </c>
      <c r="M671" s="181"/>
      <c r="N671" s="159"/>
      <c r="O671" s="159"/>
      <c r="P671" s="136"/>
    </row>
    <row r="672" spans="1:19" ht="16.5" customHeight="1" x14ac:dyDescent="0.25">
      <c r="A672" s="156">
        <v>44769</v>
      </c>
      <c r="B672" s="136" t="s">
        <v>14</v>
      </c>
      <c r="C672" s="157" t="str">
        <f t="shared" si="20"/>
        <v>27.07.2022_BRA1</v>
      </c>
      <c r="D672" s="190">
        <f t="shared" si="21"/>
        <v>0</v>
      </c>
      <c r="E672" s="133">
        <v>8.25</v>
      </c>
      <c r="F672" s="134"/>
      <c r="G672" s="135">
        <v>228</v>
      </c>
      <c r="H672" s="137">
        <v>8.3000000000000007</v>
      </c>
      <c r="I672" s="134"/>
      <c r="J672" s="137">
        <v>18.899999999999999</v>
      </c>
      <c r="K672" s="134"/>
      <c r="L672" s="136">
        <v>15</v>
      </c>
      <c r="M672" s="181"/>
      <c r="N672" s="159"/>
      <c r="O672" s="159"/>
      <c r="P672" s="136"/>
    </row>
    <row r="673" spans="1:16" ht="16.5" customHeight="1" x14ac:dyDescent="0.25">
      <c r="A673" s="156">
        <v>44769</v>
      </c>
      <c r="B673" s="136" t="s">
        <v>17</v>
      </c>
      <c r="C673" s="157" t="str">
        <f t="shared" si="20"/>
        <v>27.07.2022_BRA2</v>
      </c>
      <c r="D673" s="190">
        <f t="shared" si="21"/>
        <v>0</v>
      </c>
      <c r="E673" s="133">
        <v>8.34</v>
      </c>
      <c r="F673" s="134"/>
      <c r="G673" s="135">
        <v>237</v>
      </c>
      <c r="H673" s="137">
        <v>8.8000000000000007</v>
      </c>
      <c r="I673" s="134"/>
      <c r="J673" s="137">
        <v>17</v>
      </c>
      <c r="K673" s="134"/>
      <c r="L673" s="136">
        <v>25</v>
      </c>
      <c r="M673" s="181"/>
      <c r="N673" s="159"/>
      <c r="O673" s="159"/>
      <c r="P673" s="136"/>
    </row>
    <row r="674" spans="1:16" ht="16.5" customHeight="1" x14ac:dyDescent="0.25">
      <c r="A674" s="156">
        <v>44769</v>
      </c>
      <c r="B674" s="136" t="s">
        <v>0</v>
      </c>
      <c r="C674" s="157" t="str">
        <f t="shared" si="20"/>
        <v>27.07.2022_KIN1</v>
      </c>
      <c r="D674" s="190">
        <f t="shared" si="21"/>
        <v>0</v>
      </c>
      <c r="E674" s="133">
        <v>8.48</v>
      </c>
      <c r="F674" s="134"/>
      <c r="G674" s="135">
        <v>513</v>
      </c>
      <c r="H674" s="137">
        <v>8.5</v>
      </c>
      <c r="I674" s="134"/>
      <c r="J674" s="137">
        <v>16.600000000000001</v>
      </c>
      <c r="K674" s="134"/>
      <c r="L674" s="136">
        <v>20</v>
      </c>
      <c r="M674" s="181"/>
      <c r="N674" s="159"/>
      <c r="O674" s="159"/>
      <c r="P674" s="136" t="s">
        <v>215</v>
      </c>
    </row>
    <row r="675" spans="1:16" ht="16.5" customHeight="1" x14ac:dyDescent="0.25">
      <c r="A675" s="156">
        <v>44769</v>
      </c>
      <c r="B675" s="136" t="s">
        <v>2</v>
      </c>
      <c r="C675" s="157" t="str">
        <f t="shared" si="20"/>
        <v>27.07.2022_KIN2</v>
      </c>
      <c r="D675" s="190">
        <f t="shared" si="21"/>
        <v>0</v>
      </c>
      <c r="E675" s="133">
        <v>8.34</v>
      </c>
      <c r="F675" s="134"/>
      <c r="G675" s="135">
        <v>590</v>
      </c>
      <c r="H675" s="137">
        <v>9</v>
      </c>
      <c r="I675" s="134"/>
      <c r="J675" s="137">
        <v>15.3</v>
      </c>
      <c r="K675" s="134"/>
      <c r="L675" s="136">
        <v>30</v>
      </c>
      <c r="M675" s="181"/>
      <c r="N675" s="159"/>
      <c r="O675" s="159"/>
      <c r="P675" s="136" t="s">
        <v>215</v>
      </c>
    </row>
    <row r="676" spans="1:16" ht="16.5" customHeight="1" x14ac:dyDescent="0.25">
      <c r="A676" s="156">
        <v>44769</v>
      </c>
      <c r="B676" s="136" t="s">
        <v>4</v>
      </c>
      <c r="C676" s="157" t="str">
        <f t="shared" si="20"/>
        <v>27.07.2022_KIN3</v>
      </c>
      <c r="D676" s="190">
        <f t="shared" si="21"/>
        <v>0</v>
      </c>
      <c r="E676" s="133">
        <v>8.3699999999999992</v>
      </c>
      <c r="F676" s="134"/>
      <c r="G676" s="135">
        <v>597</v>
      </c>
      <c r="H676" s="137">
        <v>8.9</v>
      </c>
      <c r="I676" s="134"/>
      <c r="J676" s="137">
        <v>16.5</v>
      </c>
      <c r="K676" s="134"/>
      <c r="L676" s="136">
        <v>70</v>
      </c>
      <c r="M676" s="181"/>
      <c r="N676" s="159"/>
      <c r="O676" s="159"/>
      <c r="P676" s="136" t="s">
        <v>174</v>
      </c>
    </row>
    <row r="677" spans="1:16" ht="16.5" customHeight="1" x14ac:dyDescent="0.25">
      <c r="A677" s="156">
        <v>44769</v>
      </c>
      <c r="B677" s="136" t="s">
        <v>6</v>
      </c>
      <c r="C677" s="157" t="str">
        <f t="shared" si="20"/>
        <v>27.07.2022_KIN4</v>
      </c>
      <c r="D677" s="190">
        <f t="shared" si="21"/>
        <v>0</v>
      </c>
      <c r="E677" s="133">
        <v>8.2100000000000009</v>
      </c>
      <c r="F677" s="134"/>
      <c r="G677" s="135">
        <v>654</v>
      </c>
      <c r="H677" s="137">
        <v>8.1999999999999993</v>
      </c>
      <c r="I677" s="134"/>
      <c r="J677" s="137">
        <v>17.2</v>
      </c>
      <c r="K677" s="134"/>
      <c r="L677" s="136">
        <v>40</v>
      </c>
      <c r="M677" s="181"/>
      <c r="N677" s="159"/>
      <c r="O677" s="159"/>
      <c r="P677" s="136" t="s">
        <v>174</v>
      </c>
    </row>
    <row r="678" spans="1:16" ht="16.5" customHeight="1" x14ac:dyDescent="0.25">
      <c r="A678" s="156">
        <v>44769</v>
      </c>
      <c r="B678" s="136" t="s">
        <v>18</v>
      </c>
      <c r="C678" s="157" t="str">
        <f t="shared" si="20"/>
        <v>27.07.2022_ORB1</v>
      </c>
      <c r="D678" s="190">
        <f t="shared" si="21"/>
        <v>0</v>
      </c>
      <c r="E678" s="133">
        <v>8.02</v>
      </c>
      <c r="F678" s="134"/>
      <c r="G678" s="135">
        <v>111.1</v>
      </c>
      <c r="H678" s="137">
        <v>9.4</v>
      </c>
      <c r="I678" s="134"/>
      <c r="J678" s="137">
        <v>17.5</v>
      </c>
      <c r="K678" s="134"/>
      <c r="L678" s="136">
        <v>10</v>
      </c>
      <c r="M678" s="181"/>
      <c r="N678" s="159"/>
      <c r="O678" s="159"/>
      <c r="P678" s="136" t="s">
        <v>174</v>
      </c>
    </row>
    <row r="679" spans="1:16" ht="16.5" customHeight="1" x14ac:dyDescent="0.25">
      <c r="A679" s="156">
        <v>44769</v>
      </c>
      <c r="B679" s="136" t="s">
        <v>21</v>
      </c>
      <c r="C679" s="157" t="str">
        <f t="shared" si="20"/>
        <v>27.07.2022_ORB2</v>
      </c>
      <c r="D679" s="190">
        <f t="shared" si="21"/>
        <v>0</v>
      </c>
      <c r="E679" s="133">
        <v>7.36</v>
      </c>
      <c r="F679" s="134"/>
      <c r="G679" s="135">
        <v>194.2</v>
      </c>
      <c r="H679" s="137">
        <v>8.6999999999999993</v>
      </c>
      <c r="I679" s="134"/>
      <c r="J679" s="137">
        <v>17</v>
      </c>
      <c r="K679" s="134"/>
      <c r="L679" s="136">
        <v>25</v>
      </c>
      <c r="M679" s="181"/>
      <c r="N679" s="159"/>
      <c r="O679" s="159"/>
      <c r="P679" s="136"/>
    </row>
    <row r="680" spans="1:16" ht="16.5" customHeight="1" x14ac:dyDescent="0.25">
      <c r="A680" s="156">
        <v>44769</v>
      </c>
      <c r="B680" s="136" t="s">
        <v>10</v>
      </c>
      <c r="C680" s="157" t="str">
        <f t="shared" si="20"/>
        <v>27.07.2022_SAL1</v>
      </c>
      <c r="D680" s="190">
        <f t="shared" si="21"/>
        <v>0</v>
      </c>
      <c r="E680" s="133">
        <v>8.35</v>
      </c>
      <c r="F680" s="134"/>
      <c r="G680" s="135">
        <v>269</v>
      </c>
      <c r="H680" s="137">
        <v>8.8000000000000007</v>
      </c>
      <c r="I680" s="134"/>
      <c r="J680" s="137">
        <v>16.8</v>
      </c>
      <c r="K680" s="134"/>
      <c r="L680" s="136">
        <v>35</v>
      </c>
      <c r="M680" s="181"/>
      <c r="N680" s="159"/>
      <c r="O680" s="159"/>
      <c r="P680" s="136" t="s">
        <v>174</v>
      </c>
    </row>
    <row r="681" spans="1:16" ht="16.5" customHeight="1" x14ac:dyDescent="0.25">
      <c r="A681" s="156">
        <v>44769</v>
      </c>
      <c r="B681" s="136" t="s">
        <v>12</v>
      </c>
      <c r="C681" s="157" t="str">
        <f t="shared" si="20"/>
        <v>27.07.2022_SAL2</v>
      </c>
      <c r="D681" s="190">
        <f t="shared" si="21"/>
        <v>0</v>
      </c>
      <c r="E681" s="133">
        <v>8.44</v>
      </c>
      <c r="F681" s="134"/>
      <c r="G681" s="135">
        <v>280</v>
      </c>
      <c r="H681" s="137">
        <v>8.9</v>
      </c>
      <c r="I681" s="134"/>
      <c r="J681" s="137">
        <v>17.5</v>
      </c>
      <c r="K681" s="134"/>
      <c r="L681" s="136">
        <v>30</v>
      </c>
      <c r="M681" s="181"/>
      <c r="N681" s="159"/>
      <c r="O681" s="159"/>
      <c r="P681" s="136" t="s">
        <v>174</v>
      </c>
    </row>
    <row r="682" spans="1:16" ht="16.5" customHeight="1" x14ac:dyDescent="0.25">
      <c r="A682" s="156">
        <v>44769</v>
      </c>
      <c r="B682" s="136" t="s">
        <v>7</v>
      </c>
      <c r="C682" s="157" t="str">
        <f t="shared" si="20"/>
        <v>27.07.2022_STE1</v>
      </c>
      <c r="D682" s="190">
        <f t="shared" si="21"/>
        <v>0</v>
      </c>
      <c r="E682" s="133">
        <v>8.42</v>
      </c>
      <c r="F682" s="134"/>
      <c r="G682" s="135">
        <v>465</v>
      </c>
      <c r="H682" s="137">
        <v>9.3000000000000007</v>
      </c>
      <c r="I682" s="134"/>
      <c r="J682" s="137">
        <v>15.5</v>
      </c>
      <c r="K682" s="134"/>
      <c r="L682" s="136">
        <v>35</v>
      </c>
      <c r="M682" s="181"/>
      <c r="N682" s="159"/>
      <c r="O682" s="159"/>
      <c r="P682" s="136"/>
    </row>
    <row r="683" spans="1:16" ht="16.5" customHeight="1" x14ac:dyDescent="0.25">
      <c r="A683" s="156">
        <v>44769</v>
      </c>
      <c r="B683" s="136" t="s">
        <v>9</v>
      </c>
      <c r="C683" s="157" t="str">
        <f t="shared" si="20"/>
        <v>27.07.2022_STE2</v>
      </c>
      <c r="D683" s="190">
        <f t="shared" si="21"/>
        <v>0</v>
      </c>
      <c r="E683" s="133">
        <v>8.4499999999999993</v>
      </c>
      <c r="F683" s="134"/>
      <c r="G683" s="135">
        <v>415</v>
      </c>
      <c r="H683" s="137">
        <v>9.1</v>
      </c>
      <c r="I683" s="134"/>
      <c r="J683" s="137">
        <v>16.5</v>
      </c>
      <c r="K683" s="134"/>
      <c r="L683" s="136">
        <v>35</v>
      </c>
      <c r="M683" s="181"/>
      <c r="N683" s="159"/>
      <c r="O683" s="159"/>
      <c r="P683" s="136"/>
    </row>
    <row r="684" spans="1:16" ht="16.5" customHeight="1" x14ac:dyDescent="0.25">
      <c r="A684" s="156">
        <v>44781</v>
      </c>
      <c r="B684" s="136" t="s">
        <v>22</v>
      </c>
      <c r="C684" s="157" t="str">
        <f t="shared" si="20"/>
        <v>08.08.2022_BIE1</v>
      </c>
      <c r="D684" s="190">
        <f t="shared" si="21"/>
        <v>0</v>
      </c>
      <c r="E684" s="133">
        <v>8.2200000000000006</v>
      </c>
      <c r="F684" s="134"/>
      <c r="G684" s="135">
        <v>218</v>
      </c>
      <c r="H684" s="137">
        <v>11.1</v>
      </c>
      <c r="I684" s="134"/>
      <c r="J684" s="137">
        <v>17.5</v>
      </c>
      <c r="K684" s="134"/>
      <c r="L684" s="136">
        <v>25</v>
      </c>
      <c r="M684" s="181"/>
      <c r="N684" s="159"/>
      <c r="O684" s="159"/>
      <c r="P684" s="136"/>
    </row>
    <row r="685" spans="1:16" ht="16.5" customHeight="1" x14ac:dyDescent="0.25">
      <c r="A685" s="156">
        <v>44781</v>
      </c>
      <c r="B685" s="136" t="s">
        <v>25</v>
      </c>
      <c r="C685" s="157" t="str">
        <f t="shared" si="20"/>
        <v>08.08.2022_BIE2</v>
      </c>
      <c r="D685" s="190">
        <f t="shared" si="21"/>
        <v>0</v>
      </c>
      <c r="E685" s="133">
        <v>8.15</v>
      </c>
      <c r="F685" s="134"/>
      <c r="G685" s="135">
        <v>228</v>
      </c>
      <c r="H685" s="137">
        <v>11.2</v>
      </c>
      <c r="I685" s="134"/>
      <c r="J685" s="137">
        <v>16.5</v>
      </c>
      <c r="K685" s="134"/>
      <c r="L685" s="136">
        <v>40</v>
      </c>
      <c r="M685" s="181"/>
      <c r="N685" s="159"/>
      <c r="O685" s="159"/>
      <c r="P685" s="136"/>
    </row>
    <row r="686" spans="1:16" ht="16.5" customHeight="1" x14ac:dyDescent="0.25">
      <c r="A686" s="156">
        <v>44781</v>
      </c>
      <c r="B686" s="136" t="s">
        <v>30</v>
      </c>
      <c r="C686" s="157" t="str">
        <f t="shared" si="20"/>
        <v>08.08.2022_FAL1</v>
      </c>
      <c r="D686" s="190">
        <f t="shared" si="21"/>
        <v>0</v>
      </c>
      <c r="E686" s="133">
        <v>7.93</v>
      </c>
      <c r="F686" s="134"/>
      <c r="G686" s="135">
        <v>992</v>
      </c>
      <c r="H686" s="137">
        <v>9.6</v>
      </c>
      <c r="I686" s="134"/>
      <c r="J686" s="137">
        <v>16</v>
      </c>
      <c r="K686" s="134"/>
      <c r="L686" s="136">
        <v>45</v>
      </c>
      <c r="M686" s="181"/>
      <c r="N686" s="159"/>
      <c r="O686" s="159"/>
      <c r="P686" s="136"/>
    </row>
    <row r="687" spans="1:16" ht="16.5" customHeight="1" x14ac:dyDescent="0.25">
      <c r="A687" s="156">
        <v>44781</v>
      </c>
      <c r="B687" s="136" t="s">
        <v>32</v>
      </c>
      <c r="C687" s="157" t="str">
        <f t="shared" si="20"/>
        <v>08.08.2022_FAL2</v>
      </c>
      <c r="D687" s="190">
        <f t="shared" si="21"/>
        <v>0</v>
      </c>
      <c r="E687" s="133">
        <v>8.43</v>
      </c>
      <c r="F687" s="134"/>
      <c r="G687" s="135">
        <v>892</v>
      </c>
      <c r="H687" s="137">
        <v>9.6</v>
      </c>
      <c r="I687" s="134"/>
      <c r="J687" s="137">
        <v>16.7</v>
      </c>
      <c r="K687" s="134"/>
      <c r="L687" s="136">
        <v>20</v>
      </c>
      <c r="M687" s="181"/>
      <c r="N687" s="159"/>
      <c r="O687" s="159"/>
      <c r="P687" s="136"/>
    </row>
    <row r="688" spans="1:16" ht="16.5" customHeight="1" x14ac:dyDescent="0.25">
      <c r="A688" s="156">
        <v>44781</v>
      </c>
      <c r="B688" s="136" t="s">
        <v>26</v>
      </c>
      <c r="C688" s="157" t="str">
        <f t="shared" si="20"/>
        <v>08.08.2022_GRU1</v>
      </c>
      <c r="D688" s="190">
        <f t="shared" si="21"/>
        <v>0</v>
      </c>
      <c r="E688" s="133">
        <v>7.44</v>
      </c>
      <c r="F688" s="134"/>
      <c r="G688" s="135">
        <v>169.9</v>
      </c>
      <c r="H688" s="137">
        <v>10.8</v>
      </c>
      <c r="I688" s="134"/>
      <c r="J688" s="137">
        <v>16.8</v>
      </c>
      <c r="K688" s="134"/>
      <c r="L688" s="136">
        <v>35</v>
      </c>
      <c r="M688" s="181"/>
      <c r="N688" s="159"/>
      <c r="O688" s="159"/>
      <c r="P688" s="136"/>
    </row>
    <row r="689" spans="1:16" ht="16.5" customHeight="1" x14ac:dyDescent="0.25">
      <c r="A689" s="156">
        <v>44781</v>
      </c>
      <c r="B689" s="136" t="s">
        <v>28</v>
      </c>
      <c r="C689" s="157" t="str">
        <f t="shared" si="20"/>
        <v>08.08.2022_GRU2</v>
      </c>
      <c r="D689" s="190">
        <f t="shared" si="21"/>
        <v>0</v>
      </c>
      <c r="E689" s="133">
        <v>7.44</v>
      </c>
      <c r="F689" s="134"/>
      <c r="G689" s="135">
        <v>198.8</v>
      </c>
      <c r="H689" s="137">
        <v>10.3</v>
      </c>
      <c r="I689" s="134"/>
      <c r="J689" s="137">
        <v>16.5</v>
      </c>
      <c r="K689" s="134"/>
      <c r="L689" s="136">
        <v>40</v>
      </c>
      <c r="M689" s="181"/>
      <c r="N689" s="159"/>
      <c r="O689" s="159"/>
      <c r="P689" s="136"/>
    </row>
    <row r="690" spans="1:16" ht="16.5" customHeight="1" x14ac:dyDescent="0.25">
      <c r="A690" s="156">
        <v>44781</v>
      </c>
      <c r="B690" s="136" t="s">
        <v>34</v>
      </c>
      <c r="C690" s="157" t="str">
        <f t="shared" si="20"/>
        <v>08.08.2022_KRE1</v>
      </c>
      <c r="D690" s="190">
        <f t="shared" si="21"/>
        <v>0</v>
      </c>
      <c r="E690" s="133">
        <v>8</v>
      </c>
      <c r="F690" s="134"/>
      <c r="G690" s="135">
        <v>875</v>
      </c>
      <c r="H690" s="137">
        <v>8.1</v>
      </c>
      <c r="I690" s="134"/>
      <c r="J690" s="137">
        <v>16.600000000000001</v>
      </c>
      <c r="K690" s="134"/>
      <c r="L690" s="136">
        <v>10</v>
      </c>
      <c r="M690" s="181"/>
      <c r="N690" s="159"/>
      <c r="O690" s="159"/>
      <c r="P690" s="136"/>
    </row>
    <row r="691" spans="1:16" ht="16.5" customHeight="1" x14ac:dyDescent="0.25">
      <c r="A691" s="156">
        <v>44781</v>
      </c>
      <c r="B691" s="136" t="s">
        <v>37</v>
      </c>
      <c r="C691" s="157" t="str">
        <f t="shared" si="20"/>
        <v>08.08.2022_KRE2</v>
      </c>
      <c r="D691" s="190">
        <f t="shared" si="21"/>
        <v>0</v>
      </c>
      <c r="E691" s="133">
        <v>7.96</v>
      </c>
      <c r="F691" s="134"/>
      <c r="G691" s="135">
        <v>956</v>
      </c>
      <c r="H691" s="137">
        <v>5</v>
      </c>
      <c r="I691" s="134"/>
      <c r="J691" s="137">
        <v>16.399999999999999</v>
      </c>
      <c r="K691" s="134"/>
      <c r="L691" s="136">
        <v>15</v>
      </c>
      <c r="M691" s="181"/>
      <c r="N691" s="159"/>
      <c r="O691" s="159"/>
      <c r="P691" s="136"/>
    </row>
    <row r="692" spans="1:16" ht="16.5" customHeight="1" x14ac:dyDescent="0.25">
      <c r="A692" s="156">
        <v>44781</v>
      </c>
      <c r="B692" s="136" t="s">
        <v>14</v>
      </c>
      <c r="C692" s="157" t="str">
        <f t="shared" si="20"/>
        <v>08.08.2022_BRA1</v>
      </c>
      <c r="D692" s="190">
        <f t="shared" si="21"/>
        <v>0</v>
      </c>
      <c r="E692" s="133">
        <v>8.02</v>
      </c>
      <c r="F692" s="134"/>
      <c r="G692" s="135">
        <v>195.5</v>
      </c>
      <c r="H692" s="137">
        <v>8.6</v>
      </c>
      <c r="I692" s="134"/>
      <c r="J692" s="137">
        <v>19.100000000000001</v>
      </c>
      <c r="K692" s="134"/>
      <c r="L692" s="136">
        <v>15</v>
      </c>
      <c r="M692" s="181"/>
      <c r="N692" s="159"/>
      <c r="O692" s="159"/>
      <c r="P692" s="136"/>
    </row>
    <row r="693" spans="1:16" ht="16.5" customHeight="1" x14ac:dyDescent="0.25">
      <c r="A693" s="156">
        <v>44781</v>
      </c>
      <c r="B693" s="136" t="s">
        <v>17</v>
      </c>
      <c r="C693" s="157" t="str">
        <f t="shared" si="20"/>
        <v>08.08.2022_BRA2</v>
      </c>
      <c r="D693" s="190">
        <f t="shared" si="21"/>
        <v>0</v>
      </c>
      <c r="E693" s="133">
        <v>8.2899999999999991</v>
      </c>
      <c r="F693" s="134"/>
      <c r="G693" s="135">
        <v>221</v>
      </c>
      <c r="H693" s="137">
        <v>9.8000000000000007</v>
      </c>
      <c r="I693" s="134"/>
      <c r="J693" s="137">
        <v>16.899999999999999</v>
      </c>
      <c r="K693" s="134"/>
      <c r="L693" s="136">
        <v>20</v>
      </c>
      <c r="M693" s="181"/>
      <c r="N693" s="159"/>
      <c r="O693" s="159"/>
      <c r="P693" s="136"/>
    </row>
    <row r="694" spans="1:16" ht="16.5" customHeight="1" x14ac:dyDescent="0.25">
      <c r="A694" s="156">
        <v>44781</v>
      </c>
      <c r="B694" s="136" t="s">
        <v>0</v>
      </c>
      <c r="C694" s="157" t="str">
        <f t="shared" si="20"/>
        <v>08.08.2022_KIN1</v>
      </c>
      <c r="D694" s="190">
        <f t="shared" si="21"/>
        <v>0</v>
      </c>
      <c r="E694" s="133">
        <v>8.43</v>
      </c>
      <c r="F694" s="134"/>
      <c r="G694" s="135">
        <v>475</v>
      </c>
      <c r="H694" s="137">
        <v>10.1</v>
      </c>
      <c r="I694" s="134"/>
      <c r="J694" s="137">
        <v>14.5</v>
      </c>
      <c r="K694" s="134"/>
      <c r="L694" s="136">
        <v>25</v>
      </c>
      <c r="M694" s="181"/>
      <c r="N694" s="159"/>
      <c r="O694" s="159"/>
      <c r="P694" s="136" t="s">
        <v>215</v>
      </c>
    </row>
    <row r="695" spans="1:16" ht="16.5" customHeight="1" x14ac:dyDescent="0.25">
      <c r="A695" s="156">
        <v>44781</v>
      </c>
      <c r="B695" s="136" t="s">
        <v>2</v>
      </c>
      <c r="C695" s="157" t="str">
        <f t="shared" si="20"/>
        <v>08.08.2022_KIN2</v>
      </c>
      <c r="D695" s="190">
        <f t="shared" si="21"/>
        <v>0</v>
      </c>
      <c r="E695" s="133">
        <v>8.2799999999999994</v>
      </c>
      <c r="F695" s="134"/>
      <c r="G695" s="135">
        <v>541</v>
      </c>
      <c r="H695" s="137">
        <v>10.5</v>
      </c>
      <c r="I695" s="134"/>
      <c r="J695" s="137">
        <v>14.4</v>
      </c>
      <c r="K695" s="134"/>
      <c r="L695" s="136">
        <v>30</v>
      </c>
      <c r="M695" s="181"/>
      <c r="N695" s="159"/>
      <c r="O695" s="159"/>
      <c r="P695" s="136" t="s">
        <v>215</v>
      </c>
    </row>
    <row r="696" spans="1:16" ht="16.5" customHeight="1" x14ac:dyDescent="0.25">
      <c r="A696" s="156">
        <v>44781</v>
      </c>
      <c r="B696" s="136" t="s">
        <v>4</v>
      </c>
      <c r="C696" s="157" t="str">
        <f t="shared" si="20"/>
        <v>08.08.2022_KIN3</v>
      </c>
      <c r="D696" s="190">
        <f t="shared" si="21"/>
        <v>0</v>
      </c>
      <c r="E696" s="133">
        <v>8.36</v>
      </c>
      <c r="F696" s="134"/>
      <c r="G696" s="135">
        <v>565</v>
      </c>
      <c r="H696" s="137">
        <v>10.5</v>
      </c>
      <c r="I696" s="134"/>
      <c r="J696" s="137">
        <v>15.7</v>
      </c>
      <c r="K696" s="134"/>
      <c r="L696" s="136">
        <v>70</v>
      </c>
      <c r="M696" s="181"/>
      <c r="N696" s="159"/>
      <c r="O696" s="159"/>
      <c r="P696" s="136" t="s">
        <v>174</v>
      </c>
    </row>
    <row r="697" spans="1:16" ht="16.5" customHeight="1" x14ac:dyDescent="0.25">
      <c r="A697" s="156">
        <v>44781</v>
      </c>
      <c r="B697" s="136" t="s">
        <v>6</v>
      </c>
      <c r="C697" s="157" t="str">
        <f t="shared" si="20"/>
        <v>08.08.2022_KIN4</v>
      </c>
      <c r="D697" s="190">
        <f t="shared" si="21"/>
        <v>0</v>
      </c>
      <c r="E697" s="133">
        <v>8.1300000000000008</v>
      </c>
      <c r="F697" s="134"/>
      <c r="G697" s="135">
        <v>612</v>
      </c>
      <c r="H697" s="137">
        <v>9.8000000000000007</v>
      </c>
      <c r="I697" s="134"/>
      <c r="J697" s="137">
        <v>16.3</v>
      </c>
      <c r="K697" s="134"/>
      <c r="L697" s="136">
        <v>40</v>
      </c>
      <c r="M697" s="181"/>
      <c r="N697" s="159"/>
      <c r="O697" s="159"/>
      <c r="P697" s="136" t="s">
        <v>174</v>
      </c>
    </row>
    <row r="698" spans="1:16" ht="16.5" customHeight="1" x14ac:dyDescent="0.25">
      <c r="A698" s="156">
        <v>44781</v>
      </c>
      <c r="B698" s="136" t="s">
        <v>18</v>
      </c>
      <c r="C698" s="157" t="str">
        <f t="shared" si="20"/>
        <v>08.08.2022_ORB1</v>
      </c>
      <c r="D698" s="190">
        <f t="shared" si="21"/>
        <v>0</v>
      </c>
      <c r="E698" s="133">
        <v>7.89</v>
      </c>
      <c r="F698" s="134"/>
      <c r="G698" s="135">
        <v>112.8</v>
      </c>
      <c r="H698" s="137">
        <v>10.4</v>
      </c>
      <c r="I698" s="134"/>
      <c r="J698" s="137">
        <v>17.100000000000001</v>
      </c>
      <c r="K698" s="134"/>
      <c r="L698" s="136">
        <v>10</v>
      </c>
      <c r="M698" s="181"/>
      <c r="N698" s="159"/>
      <c r="O698" s="159"/>
      <c r="P698" s="136" t="s">
        <v>174</v>
      </c>
    </row>
    <row r="699" spans="1:16" ht="16.5" customHeight="1" x14ac:dyDescent="0.25">
      <c r="A699" s="156">
        <v>44781</v>
      </c>
      <c r="B699" s="136" t="s">
        <v>21</v>
      </c>
      <c r="C699" s="157" t="str">
        <f t="shared" si="20"/>
        <v>08.08.2022_ORB2</v>
      </c>
      <c r="D699" s="190">
        <f t="shared" si="21"/>
        <v>0</v>
      </c>
      <c r="E699" s="133">
        <v>7.19</v>
      </c>
      <c r="F699" s="134"/>
      <c r="G699" s="135">
        <v>182</v>
      </c>
      <c r="H699" s="137">
        <v>9.3000000000000007</v>
      </c>
      <c r="I699" s="134"/>
      <c r="J699" s="137">
        <v>16.899999999999999</v>
      </c>
      <c r="K699" s="134"/>
      <c r="L699" s="136">
        <v>25</v>
      </c>
      <c r="M699" s="181"/>
      <c r="N699" s="159"/>
      <c r="O699" s="159"/>
      <c r="P699" s="136"/>
    </row>
    <row r="700" spans="1:16" ht="16.5" customHeight="1" x14ac:dyDescent="0.25">
      <c r="A700" s="156">
        <v>44781</v>
      </c>
      <c r="B700" s="136" t="s">
        <v>10</v>
      </c>
      <c r="C700" s="157" t="str">
        <f t="shared" si="20"/>
        <v>08.08.2022_SAL1</v>
      </c>
      <c r="D700" s="190">
        <f t="shared" si="21"/>
        <v>0</v>
      </c>
      <c r="E700" s="133">
        <v>8.17</v>
      </c>
      <c r="F700" s="134"/>
      <c r="G700" s="135">
        <v>234</v>
      </c>
      <c r="H700" s="137">
        <v>10.3</v>
      </c>
      <c r="I700" s="134"/>
      <c r="J700" s="137">
        <v>16</v>
      </c>
      <c r="K700" s="134"/>
      <c r="L700" s="136">
        <v>35</v>
      </c>
      <c r="M700" s="181"/>
      <c r="N700" s="159"/>
      <c r="O700" s="159"/>
      <c r="P700" s="136" t="s">
        <v>174</v>
      </c>
    </row>
    <row r="701" spans="1:16" ht="16.5" customHeight="1" x14ac:dyDescent="0.25">
      <c r="A701" s="156">
        <v>44781</v>
      </c>
      <c r="B701" s="136" t="s">
        <v>12</v>
      </c>
      <c r="C701" s="157" t="str">
        <f t="shared" si="20"/>
        <v>08.08.2022_SAL2</v>
      </c>
      <c r="D701" s="190">
        <f t="shared" si="21"/>
        <v>0</v>
      </c>
      <c r="E701" s="133">
        <v>8.34</v>
      </c>
      <c r="F701" s="134"/>
      <c r="G701" s="135">
        <v>267</v>
      </c>
      <c r="H701" s="137">
        <v>9.9</v>
      </c>
      <c r="I701" s="134"/>
      <c r="J701" s="137">
        <v>16.7</v>
      </c>
      <c r="K701" s="134"/>
      <c r="L701" s="136">
        <v>30</v>
      </c>
      <c r="M701" s="181"/>
      <c r="N701" s="159"/>
      <c r="O701" s="159"/>
      <c r="P701" s="136" t="s">
        <v>174</v>
      </c>
    </row>
    <row r="702" spans="1:16" ht="16.5" customHeight="1" x14ac:dyDescent="0.25">
      <c r="A702" s="156">
        <v>44781</v>
      </c>
      <c r="B702" s="136" t="s">
        <v>7</v>
      </c>
      <c r="C702" s="157" t="str">
        <f t="shared" si="20"/>
        <v>08.08.2022_STE1</v>
      </c>
      <c r="D702" s="190">
        <f t="shared" si="21"/>
        <v>0</v>
      </c>
      <c r="E702" s="133">
        <v>8.36</v>
      </c>
      <c r="F702" s="134"/>
      <c r="G702" s="135">
        <v>391</v>
      </c>
      <c r="H702" s="137">
        <v>10.6</v>
      </c>
      <c r="I702" s="134"/>
      <c r="J702" s="137">
        <v>15</v>
      </c>
      <c r="K702" s="134"/>
      <c r="L702" s="136">
        <v>30</v>
      </c>
      <c r="M702" s="181"/>
      <c r="N702" s="159"/>
      <c r="O702" s="159"/>
      <c r="P702" s="136" t="s">
        <v>173</v>
      </c>
    </row>
    <row r="703" spans="1:16" ht="16.5" customHeight="1" x14ac:dyDescent="0.25">
      <c r="A703" s="156">
        <v>44781</v>
      </c>
      <c r="B703" s="136" t="s">
        <v>9</v>
      </c>
      <c r="C703" s="157" t="str">
        <f t="shared" si="20"/>
        <v>08.08.2022_STE2</v>
      </c>
      <c r="D703" s="190">
        <f t="shared" si="21"/>
        <v>0</v>
      </c>
      <c r="E703" s="133">
        <v>8.39</v>
      </c>
      <c r="F703" s="134"/>
      <c r="G703" s="135">
        <v>389</v>
      </c>
      <c r="H703" s="137">
        <v>10.4</v>
      </c>
      <c r="I703" s="134"/>
      <c r="J703" s="137">
        <v>15.4</v>
      </c>
      <c r="K703" s="134"/>
      <c r="L703" s="136">
        <v>35</v>
      </c>
      <c r="M703" s="181"/>
      <c r="N703" s="159"/>
      <c r="O703" s="159"/>
      <c r="P703" s="136" t="s">
        <v>173</v>
      </c>
    </row>
    <row r="704" spans="1:16" ht="16.5" customHeight="1" x14ac:dyDescent="0.25">
      <c r="A704" s="156">
        <v>44796</v>
      </c>
      <c r="B704" s="136" t="s">
        <v>22</v>
      </c>
      <c r="C704" s="157" t="str">
        <f t="shared" si="20"/>
        <v>23.08.2022_BIE1</v>
      </c>
      <c r="D704" s="190">
        <f t="shared" si="21"/>
        <v>0</v>
      </c>
      <c r="E704" s="133">
        <v>8.14</v>
      </c>
      <c r="F704" s="134"/>
      <c r="G704" s="135">
        <v>226</v>
      </c>
      <c r="H704" s="137">
        <v>10.3</v>
      </c>
      <c r="I704" s="134"/>
      <c r="J704" s="137">
        <v>17.8</v>
      </c>
      <c r="K704" s="134"/>
      <c r="L704" s="136">
        <v>25</v>
      </c>
      <c r="M704" s="181"/>
      <c r="N704" s="159"/>
      <c r="O704" s="159"/>
      <c r="P704" s="136"/>
    </row>
    <row r="705" spans="1:16" ht="16.5" customHeight="1" x14ac:dyDescent="0.25">
      <c r="A705" s="156">
        <v>44796</v>
      </c>
      <c r="B705" s="136" t="s">
        <v>25</v>
      </c>
      <c r="C705" s="157" t="str">
        <f t="shared" si="20"/>
        <v>23.08.2022_BIE2</v>
      </c>
      <c r="D705" s="190">
        <f t="shared" si="21"/>
        <v>0</v>
      </c>
      <c r="E705" s="133">
        <v>7.96</v>
      </c>
      <c r="F705" s="134"/>
      <c r="G705" s="135">
        <v>236</v>
      </c>
      <c r="H705" s="137">
        <v>8.8000000000000007</v>
      </c>
      <c r="I705" s="134"/>
      <c r="J705" s="137">
        <v>17.399999999999999</v>
      </c>
      <c r="K705" s="134"/>
      <c r="L705" s="136">
        <v>35</v>
      </c>
      <c r="M705" s="181"/>
      <c r="N705" s="159"/>
      <c r="O705" s="159"/>
      <c r="P705" s="136"/>
    </row>
    <row r="706" spans="1:16" ht="16.5" customHeight="1" x14ac:dyDescent="0.25">
      <c r="A706" s="156">
        <v>44796</v>
      </c>
      <c r="B706" s="136" t="s">
        <v>30</v>
      </c>
      <c r="C706" s="157" t="str">
        <f t="shared" si="20"/>
        <v>23.08.2022_FAL1</v>
      </c>
      <c r="D706" s="190">
        <f t="shared" si="21"/>
        <v>0</v>
      </c>
      <c r="E706" s="133">
        <v>8.02</v>
      </c>
      <c r="F706" s="134"/>
      <c r="G706" s="135">
        <v>1189</v>
      </c>
      <c r="H706" s="137">
        <v>7</v>
      </c>
      <c r="I706" s="134"/>
      <c r="J706" s="137">
        <v>18.3</v>
      </c>
      <c r="K706" s="134"/>
      <c r="L706" s="136">
        <v>50</v>
      </c>
      <c r="M706" s="181"/>
      <c r="N706" s="159"/>
      <c r="O706" s="159"/>
      <c r="P706" s="136"/>
    </row>
    <row r="707" spans="1:16" ht="16.5" customHeight="1" x14ac:dyDescent="0.25">
      <c r="A707" s="156">
        <v>44796</v>
      </c>
      <c r="B707" s="136" t="s">
        <v>32</v>
      </c>
      <c r="C707" s="157" t="str">
        <f t="shared" si="20"/>
        <v>23.08.2022_FAL2</v>
      </c>
      <c r="D707" s="190">
        <f t="shared" si="21"/>
        <v>0</v>
      </c>
      <c r="E707" s="133">
        <v>8.35</v>
      </c>
      <c r="F707" s="134"/>
      <c r="G707" s="135">
        <v>1069</v>
      </c>
      <c r="H707" s="137">
        <v>9.5</v>
      </c>
      <c r="I707" s="134"/>
      <c r="J707" s="137">
        <v>20.6</v>
      </c>
      <c r="K707" s="134"/>
      <c r="L707" s="136">
        <v>10</v>
      </c>
      <c r="M707" s="181"/>
      <c r="N707" s="159"/>
      <c r="O707" s="159" t="s">
        <v>392</v>
      </c>
      <c r="P707" s="136"/>
    </row>
    <row r="708" spans="1:16" ht="16.5" customHeight="1" x14ac:dyDescent="0.25">
      <c r="A708" s="156">
        <v>44796</v>
      </c>
      <c r="B708" s="136" t="s">
        <v>26</v>
      </c>
      <c r="C708" s="157" t="str">
        <f t="shared" si="20"/>
        <v>23.08.2022_GRU1</v>
      </c>
      <c r="D708" s="190">
        <f t="shared" si="21"/>
        <v>0</v>
      </c>
      <c r="E708" s="133">
        <v>7.43</v>
      </c>
      <c r="F708" s="134"/>
      <c r="G708" s="135">
        <v>165.2</v>
      </c>
      <c r="H708" s="137">
        <v>8.3000000000000007</v>
      </c>
      <c r="I708" s="134"/>
      <c r="J708" s="137">
        <v>19.2</v>
      </c>
      <c r="K708" s="134"/>
      <c r="L708" s="136">
        <v>40</v>
      </c>
      <c r="M708" s="181"/>
      <c r="N708" s="159"/>
      <c r="O708" s="159"/>
      <c r="P708" s="136" t="s">
        <v>221</v>
      </c>
    </row>
    <row r="709" spans="1:16" ht="16.5" customHeight="1" x14ac:dyDescent="0.25">
      <c r="A709" s="156">
        <v>44796</v>
      </c>
      <c r="B709" s="136" t="s">
        <v>28</v>
      </c>
      <c r="C709" s="157" t="str">
        <f t="shared" ref="C709:C772" si="22">CONCATENATE(TEXT(A709,"TT.MM.JJJJ"),"_",B709)</f>
        <v>23.08.2022_GRU2</v>
      </c>
      <c r="D709" s="190">
        <f t="shared" ref="D709:D772" si="23">COUNTBLANK(E709)+COUNTBLANK(G709:H709)+COUNTBLANK(J709)+COUNTBLANK(L709)</f>
        <v>0</v>
      </c>
      <c r="E709" s="133">
        <v>7.4</v>
      </c>
      <c r="F709" s="134"/>
      <c r="G709" s="135">
        <v>188.1</v>
      </c>
      <c r="H709" s="137">
        <v>8.3000000000000007</v>
      </c>
      <c r="I709" s="134"/>
      <c r="J709" s="137">
        <v>18.100000000000001</v>
      </c>
      <c r="K709" s="134"/>
      <c r="L709" s="136">
        <v>40</v>
      </c>
      <c r="M709" s="181"/>
      <c r="N709" s="159"/>
      <c r="O709" s="159" t="s">
        <v>392</v>
      </c>
      <c r="P709" s="136"/>
    </row>
    <row r="710" spans="1:16" ht="16.5" customHeight="1" x14ac:dyDescent="0.25">
      <c r="A710" s="156">
        <v>44796</v>
      </c>
      <c r="B710" s="136" t="s">
        <v>34</v>
      </c>
      <c r="C710" s="157" t="str">
        <f t="shared" si="22"/>
        <v>23.08.2022_KRE1</v>
      </c>
      <c r="D710" s="190">
        <f t="shared" si="23"/>
        <v>0</v>
      </c>
      <c r="E710" s="133">
        <v>7.9</v>
      </c>
      <c r="F710" s="134"/>
      <c r="G710" s="135">
        <v>1136</v>
      </c>
      <c r="H710" s="137">
        <v>6.4</v>
      </c>
      <c r="I710" s="134"/>
      <c r="J710" s="137">
        <v>19</v>
      </c>
      <c r="K710" s="134"/>
      <c r="L710" s="136">
        <v>10</v>
      </c>
      <c r="M710" s="181"/>
      <c r="N710" s="159"/>
      <c r="O710" s="159"/>
      <c r="P710" s="136"/>
    </row>
    <row r="711" spans="1:16" ht="16.5" customHeight="1" x14ac:dyDescent="0.25">
      <c r="A711" s="156">
        <v>44796</v>
      </c>
      <c r="B711" s="136" t="s">
        <v>37</v>
      </c>
      <c r="C711" s="157" t="str">
        <f t="shared" si="22"/>
        <v>23.08.2022_KRE2</v>
      </c>
      <c r="D711" s="190">
        <f t="shared" si="23"/>
        <v>0</v>
      </c>
      <c r="E711" s="133">
        <v>8.02</v>
      </c>
      <c r="F711" s="134"/>
      <c r="G711" s="135">
        <v>1106</v>
      </c>
      <c r="H711" s="137">
        <v>5.5</v>
      </c>
      <c r="I711" s="134"/>
      <c r="J711" s="137">
        <v>18</v>
      </c>
      <c r="K711" s="134"/>
      <c r="L711" s="136">
        <v>20</v>
      </c>
      <c r="M711" s="181"/>
      <c r="N711" s="159"/>
      <c r="O711" s="159" t="s">
        <v>392</v>
      </c>
      <c r="P711" s="136"/>
    </row>
    <row r="712" spans="1:16" ht="16.5" customHeight="1" x14ac:dyDescent="0.25">
      <c r="A712" s="156">
        <v>44796</v>
      </c>
      <c r="B712" s="136" t="s">
        <v>14</v>
      </c>
      <c r="C712" s="157" t="str">
        <f t="shared" si="22"/>
        <v>23.08.2022_BRA1</v>
      </c>
      <c r="D712" s="190">
        <f t="shared" si="23"/>
        <v>0</v>
      </c>
      <c r="E712" s="133">
        <v>8.08</v>
      </c>
      <c r="F712" s="134"/>
      <c r="G712" s="135">
        <v>191</v>
      </c>
      <c r="H712" s="137">
        <v>12.3</v>
      </c>
      <c r="I712" s="134"/>
      <c r="J712" s="137">
        <v>19.8</v>
      </c>
      <c r="K712" s="134"/>
      <c r="L712" s="136">
        <v>16</v>
      </c>
      <c r="M712" s="181"/>
      <c r="N712" s="159"/>
      <c r="O712" s="159"/>
      <c r="P712" s="136"/>
    </row>
    <row r="713" spans="1:16" ht="16.5" customHeight="1" x14ac:dyDescent="0.25">
      <c r="A713" s="156">
        <v>44796</v>
      </c>
      <c r="B713" s="136" t="s">
        <v>17</v>
      </c>
      <c r="C713" s="157" t="str">
        <f t="shared" si="22"/>
        <v>23.08.2022_BRA2</v>
      </c>
      <c r="D713" s="190">
        <f t="shared" si="23"/>
        <v>0</v>
      </c>
      <c r="E713" s="133">
        <v>8.23</v>
      </c>
      <c r="F713" s="134"/>
      <c r="G713" s="135">
        <v>226</v>
      </c>
      <c r="H713" s="137">
        <v>13.2</v>
      </c>
      <c r="I713" s="134"/>
      <c r="J713" s="137">
        <v>17.600000000000001</v>
      </c>
      <c r="K713" s="134"/>
      <c r="L713" s="136">
        <v>25</v>
      </c>
      <c r="M713" s="181"/>
      <c r="N713" s="159"/>
      <c r="O713" s="159"/>
      <c r="P713" s="136"/>
    </row>
    <row r="714" spans="1:16" ht="16.5" customHeight="1" x14ac:dyDescent="0.25">
      <c r="A714" s="156">
        <v>44796</v>
      </c>
      <c r="B714" s="136" t="s">
        <v>0</v>
      </c>
      <c r="C714" s="157" t="str">
        <f t="shared" si="22"/>
        <v>23.08.2022_KIN1</v>
      </c>
      <c r="D714" s="190">
        <f t="shared" si="23"/>
        <v>0</v>
      </c>
      <c r="E714" s="133">
        <v>8.43</v>
      </c>
      <c r="F714" s="134"/>
      <c r="G714" s="135">
        <v>456</v>
      </c>
      <c r="H714" s="137">
        <v>9.3000000000000007</v>
      </c>
      <c r="I714" s="134"/>
      <c r="J714" s="137">
        <v>16.3</v>
      </c>
      <c r="K714" s="134"/>
      <c r="L714" s="136">
        <v>20</v>
      </c>
      <c r="M714" s="181"/>
      <c r="N714" s="159"/>
      <c r="O714" s="159"/>
      <c r="P714" s="136"/>
    </row>
    <row r="715" spans="1:16" ht="16.5" customHeight="1" x14ac:dyDescent="0.25">
      <c r="A715" s="156">
        <v>44796</v>
      </c>
      <c r="B715" s="136" t="s">
        <v>2</v>
      </c>
      <c r="C715" s="157" t="str">
        <f t="shared" si="22"/>
        <v>23.08.2022_KIN2</v>
      </c>
      <c r="D715" s="190">
        <f t="shared" si="23"/>
        <v>0</v>
      </c>
      <c r="E715" s="133">
        <v>8.2200000000000006</v>
      </c>
      <c r="F715" s="134"/>
      <c r="G715" s="135">
        <v>548</v>
      </c>
      <c r="H715" s="137">
        <v>9.8000000000000007</v>
      </c>
      <c r="I715" s="134"/>
      <c r="J715" s="137">
        <v>15.7</v>
      </c>
      <c r="K715" s="134"/>
      <c r="L715" s="136">
        <v>30</v>
      </c>
      <c r="M715" s="181"/>
      <c r="N715" s="159"/>
      <c r="O715" s="159"/>
      <c r="P715" s="136"/>
    </row>
    <row r="716" spans="1:16" ht="16.5" customHeight="1" x14ac:dyDescent="0.25">
      <c r="A716" s="156">
        <v>44796</v>
      </c>
      <c r="B716" s="136" t="s">
        <v>4</v>
      </c>
      <c r="C716" s="157" t="str">
        <f t="shared" si="22"/>
        <v>23.08.2022_KIN3</v>
      </c>
      <c r="D716" s="190">
        <f t="shared" si="23"/>
        <v>0</v>
      </c>
      <c r="E716" s="133">
        <v>8.33</v>
      </c>
      <c r="F716" s="134"/>
      <c r="G716" s="135">
        <v>545</v>
      </c>
      <c r="H716" s="137">
        <v>9.9</v>
      </c>
      <c r="I716" s="134"/>
      <c r="J716" s="137">
        <v>17.3</v>
      </c>
      <c r="K716" s="134"/>
      <c r="L716" s="136">
        <v>65</v>
      </c>
      <c r="M716" s="181"/>
      <c r="N716" s="159"/>
      <c r="O716" s="159"/>
      <c r="P716" s="136"/>
    </row>
    <row r="717" spans="1:16" ht="16.5" customHeight="1" x14ac:dyDescent="0.25">
      <c r="A717" s="156">
        <v>44796</v>
      </c>
      <c r="B717" s="136" t="s">
        <v>6</v>
      </c>
      <c r="C717" s="157" t="str">
        <f t="shared" si="22"/>
        <v>23.08.2022_KIN4</v>
      </c>
      <c r="D717" s="190">
        <f t="shared" si="23"/>
        <v>0</v>
      </c>
      <c r="E717" s="133">
        <v>8.25</v>
      </c>
      <c r="F717" s="134"/>
      <c r="G717" s="135">
        <v>615</v>
      </c>
      <c r="H717" s="137">
        <v>9.1999999999999993</v>
      </c>
      <c r="I717" s="134"/>
      <c r="J717" s="137">
        <v>17.600000000000001</v>
      </c>
      <c r="K717" s="134"/>
      <c r="L717" s="136">
        <v>38</v>
      </c>
      <c r="M717" s="181"/>
      <c r="N717" s="159"/>
      <c r="O717" s="159"/>
      <c r="P717" s="136"/>
    </row>
    <row r="718" spans="1:16" ht="16.5" customHeight="1" x14ac:dyDescent="0.25">
      <c r="A718" s="156">
        <v>44796</v>
      </c>
      <c r="B718" s="136" t="s">
        <v>18</v>
      </c>
      <c r="C718" s="157" t="str">
        <f t="shared" si="22"/>
        <v>23.08.2022_ORB1</v>
      </c>
      <c r="D718" s="190">
        <f t="shared" si="23"/>
        <v>0</v>
      </c>
      <c r="E718" s="133">
        <v>8.35</v>
      </c>
      <c r="F718" s="134"/>
      <c r="G718" s="135">
        <v>101</v>
      </c>
      <c r="H718" s="137">
        <v>13.4</v>
      </c>
      <c r="I718" s="134"/>
      <c r="J718" s="137">
        <v>19.3</v>
      </c>
      <c r="K718" s="134"/>
      <c r="L718" s="136">
        <v>15</v>
      </c>
      <c r="M718" s="181"/>
      <c r="N718" s="159"/>
      <c r="O718" s="159"/>
      <c r="P718" s="136"/>
    </row>
    <row r="719" spans="1:16" ht="16.5" customHeight="1" x14ac:dyDescent="0.25">
      <c r="A719" s="156">
        <v>44796</v>
      </c>
      <c r="B719" s="136" t="s">
        <v>21</v>
      </c>
      <c r="C719" s="157" t="str">
        <f t="shared" si="22"/>
        <v>23.08.2022_ORB2</v>
      </c>
      <c r="D719" s="190">
        <f t="shared" si="23"/>
        <v>0</v>
      </c>
      <c r="E719" s="133">
        <v>7.41</v>
      </c>
      <c r="F719" s="134"/>
      <c r="G719" s="135">
        <v>200</v>
      </c>
      <c r="H719" s="137">
        <v>12.7</v>
      </c>
      <c r="I719" s="134"/>
      <c r="J719" s="137">
        <v>18.3</v>
      </c>
      <c r="K719" s="134"/>
      <c r="L719" s="136">
        <v>21</v>
      </c>
      <c r="M719" s="181"/>
      <c r="N719" s="159"/>
      <c r="O719" s="159"/>
      <c r="P719" s="136"/>
    </row>
    <row r="720" spans="1:16" ht="16.5" customHeight="1" x14ac:dyDescent="0.25">
      <c r="A720" s="156">
        <v>44796</v>
      </c>
      <c r="B720" s="136" t="s">
        <v>10</v>
      </c>
      <c r="C720" s="157" t="str">
        <f t="shared" si="22"/>
        <v>23.08.2022_SAL1</v>
      </c>
      <c r="D720" s="190">
        <f t="shared" si="23"/>
        <v>0</v>
      </c>
      <c r="E720" s="133">
        <v>8.1999999999999993</v>
      </c>
      <c r="F720" s="134"/>
      <c r="G720" s="135">
        <v>236</v>
      </c>
      <c r="H720" s="137">
        <v>12.4</v>
      </c>
      <c r="I720" s="134"/>
      <c r="J720" s="137">
        <v>17.3</v>
      </c>
      <c r="K720" s="134"/>
      <c r="L720" s="136">
        <v>40</v>
      </c>
      <c r="M720" s="181"/>
      <c r="N720" s="159"/>
      <c r="O720" s="159"/>
      <c r="P720" s="136"/>
    </row>
    <row r="721" spans="1:16" ht="16.5" customHeight="1" x14ac:dyDescent="0.25">
      <c r="A721" s="156">
        <v>44796</v>
      </c>
      <c r="B721" s="136" t="s">
        <v>12</v>
      </c>
      <c r="C721" s="157" t="str">
        <f t="shared" si="22"/>
        <v>23.08.2022_SAL2</v>
      </c>
      <c r="D721" s="190">
        <f t="shared" si="23"/>
        <v>0</v>
      </c>
      <c r="E721" s="133">
        <v>8.49</v>
      </c>
      <c r="F721" s="134"/>
      <c r="G721" s="135">
        <v>264</v>
      </c>
      <c r="H721" s="137">
        <v>13.5</v>
      </c>
      <c r="I721" s="161" t="s">
        <v>269</v>
      </c>
      <c r="J721" s="137">
        <v>18.399999999999999</v>
      </c>
      <c r="K721" s="134"/>
      <c r="L721" s="136">
        <v>28.000000000000004</v>
      </c>
      <c r="M721" s="181"/>
      <c r="N721" s="159"/>
      <c r="O721" s="159" t="s">
        <v>412</v>
      </c>
      <c r="P721" s="136"/>
    </row>
    <row r="722" spans="1:16" ht="16.5" customHeight="1" x14ac:dyDescent="0.25">
      <c r="A722" s="156">
        <v>44796</v>
      </c>
      <c r="B722" s="136" t="s">
        <v>7</v>
      </c>
      <c r="C722" s="157" t="str">
        <f t="shared" si="22"/>
        <v>23.08.2022_STE1</v>
      </c>
      <c r="D722" s="190">
        <f t="shared" si="23"/>
        <v>0</v>
      </c>
      <c r="E722" s="133">
        <v>8.32</v>
      </c>
      <c r="F722" s="134"/>
      <c r="G722" s="135">
        <v>386</v>
      </c>
      <c r="H722" s="137">
        <v>9.8000000000000007</v>
      </c>
      <c r="I722" s="134"/>
      <c r="J722" s="137">
        <v>16.5</v>
      </c>
      <c r="K722" s="134"/>
      <c r="L722" s="136">
        <v>35</v>
      </c>
      <c r="M722" s="181"/>
      <c r="N722" s="159"/>
      <c r="O722" s="159"/>
      <c r="P722" s="136"/>
    </row>
    <row r="723" spans="1:16" ht="16.5" customHeight="1" x14ac:dyDescent="0.25">
      <c r="A723" s="156">
        <v>44796</v>
      </c>
      <c r="B723" s="136" t="s">
        <v>9</v>
      </c>
      <c r="C723" s="157" t="str">
        <f t="shared" si="22"/>
        <v>23.08.2022_STE2</v>
      </c>
      <c r="D723" s="190">
        <f t="shared" si="23"/>
        <v>0</v>
      </c>
      <c r="E723" s="133">
        <v>8.3800000000000008</v>
      </c>
      <c r="F723" s="134"/>
      <c r="G723" s="135">
        <v>387</v>
      </c>
      <c r="H723" s="137">
        <v>9.4</v>
      </c>
      <c r="I723" s="134"/>
      <c r="J723" s="137">
        <v>16.899999999999999</v>
      </c>
      <c r="K723" s="134"/>
      <c r="L723" s="136">
        <v>35</v>
      </c>
      <c r="M723" s="181"/>
      <c r="N723" s="159"/>
      <c r="O723" s="159"/>
      <c r="P723" s="136"/>
    </row>
    <row r="724" spans="1:16" ht="16.5" customHeight="1" x14ac:dyDescent="0.25">
      <c r="A724" s="156">
        <v>44810</v>
      </c>
      <c r="B724" s="136" t="s">
        <v>22</v>
      </c>
      <c r="C724" s="157" t="str">
        <f t="shared" si="22"/>
        <v>06.09.2022_BIE1</v>
      </c>
      <c r="D724" s="190">
        <f t="shared" si="23"/>
        <v>0</v>
      </c>
      <c r="E724" s="133">
        <v>8.15</v>
      </c>
      <c r="F724" s="134"/>
      <c r="G724" s="135">
        <v>213</v>
      </c>
      <c r="H724" s="278">
        <v>9.35</v>
      </c>
      <c r="I724" s="161" t="s">
        <v>269</v>
      </c>
      <c r="J724" s="137">
        <v>18.8</v>
      </c>
      <c r="K724" s="161"/>
      <c r="L724" s="136">
        <v>35</v>
      </c>
      <c r="M724" s="181"/>
      <c r="N724" s="159"/>
      <c r="O724" s="159" t="s">
        <v>398</v>
      </c>
      <c r="P724" s="136"/>
    </row>
    <row r="725" spans="1:16" ht="16.5" customHeight="1" x14ac:dyDescent="0.25">
      <c r="A725" s="156">
        <v>44810</v>
      </c>
      <c r="B725" s="136" t="s">
        <v>25</v>
      </c>
      <c r="C725" s="157" t="str">
        <f t="shared" si="22"/>
        <v>06.09.2022_BIE2</v>
      </c>
      <c r="D725" s="190">
        <f t="shared" si="23"/>
        <v>0</v>
      </c>
      <c r="E725" s="133">
        <v>8.08</v>
      </c>
      <c r="F725" s="134"/>
      <c r="G725" s="135">
        <v>209</v>
      </c>
      <c r="H725" s="278">
        <v>9.6</v>
      </c>
      <c r="I725" s="161" t="s">
        <v>269</v>
      </c>
      <c r="J725" s="137">
        <v>18.3</v>
      </c>
      <c r="K725" s="161"/>
      <c r="L725" s="136">
        <v>40</v>
      </c>
      <c r="M725" s="181"/>
      <c r="N725" s="159"/>
      <c r="O725" s="159" t="s">
        <v>399</v>
      </c>
      <c r="P725" s="136"/>
    </row>
    <row r="726" spans="1:16" ht="16.5" customHeight="1" x14ac:dyDescent="0.25">
      <c r="A726" s="156">
        <v>44810</v>
      </c>
      <c r="B726" s="136" t="s">
        <v>30</v>
      </c>
      <c r="C726" s="157" t="str">
        <f t="shared" si="22"/>
        <v>06.09.2022_FAL1</v>
      </c>
      <c r="D726" s="190">
        <f t="shared" si="23"/>
        <v>0</v>
      </c>
      <c r="E726" s="133">
        <v>8.1199999999999992</v>
      </c>
      <c r="F726" s="134"/>
      <c r="G726" s="135">
        <v>1154</v>
      </c>
      <c r="H726" s="278">
        <v>10.050000000000001</v>
      </c>
      <c r="I726" s="161" t="s">
        <v>269</v>
      </c>
      <c r="J726" s="137">
        <v>18.100000000000001</v>
      </c>
      <c r="K726" s="161"/>
      <c r="L726" s="136">
        <v>50</v>
      </c>
      <c r="M726" s="181"/>
      <c r="N726" s="159"/>
      <c r="O726" s="159" t="s">
        <v>400</v>
      </c>
      <c r="P726" s="136"/>
    </row>
    <row r="727" spans="1:16" ht="16.5" customHeight="1" x14ac:dyDescent="0.25">
      <c r="A727" s="156">
        <v>44810</v>
      </c>
      <c r="B727" s="136" t="s">
        <v>32</v>
      </c>
      <c r="C727" s="157" t="str">
        <f t="shared" si="22"/>
        <v>06.09.2022_FAL2</v>
      </c>
      <c r="D727" s="190">
        <f t="shared" si="23"/>
        <v>0</v>
      </c>
      <c r="E727" s="133">
        <v>8.32</v>
      </c>
      <c r="F727" s="134"/>
      <c r="G727" s="135">
        <v>995</v>
      </c>
      <c r="H727" s="137">
        <v>8.9</v>
      </c>
      <c r="I727" s="134"/>
      <c r="J727" s="137">
        <v>20.8</v>
      </c>
      <c r="K727" s="134"/>
      <c r="L727" s="136">
        <v>30</v>
      </c>
      <c r="M727" s="181"/>
      <c r="N727" s="159"/>
      <c r="O727" s="159" t="s">
        <v>393</v>
      </c>
      <c r="P727" s="136"/>
    </row>
    <row r="728" spans="1:16" ht="16.5" customHeight="1" x14ac:dyDescent="0.25">
      <c r="A728" s="156">
        <v>44810</v>
      </c>
      <c r="B728" s="136" t="s">
        <v>26</v>
      </c>
      <c r="C728" s="157" t="str">
        <f t="shared" si="22"/>
        <v>06.09.2022_GRU1</v>
      </c>
      <c r="D728" s="190">
        <f t="shared" si="23"/>
        <v>0</v>
      </c>
      <c r="E728" s="133">
        <v>7.55</v>
      </c>
      <c r="F728" s="134"/>
      <c r="G728" s="135">
        <v>156.1</v>
      </c>
      <c r="H728" s="137">
        <v>10.5</v>
      </c>
      <c r="I728" s="134"/>
      <c r="J728" s="137">
        <v>18.5</v>
      </c>
      <c r="K728" s="134"/>
      <c r="L728" s="136">
        <v>60</v>
      </c>
      <c r="M728" s="181"/>
      <c r="N728" s="159"/>
      <c r="O728" s="159" t="s">
        <v>394</v>
      </c>
      <c r="P728" s="136"/>
    </row>
    <row r="729" spans="1:16" ht="16.5" customHeight="1" x14ac:dyDescent="0.25">
      <c r="A729" s="156">
        <v>44810</v>
      </c>
      <c r="B729" s="136" t="s">
        <v>28</v>
      </c>
      <c r="C729" s="157" t="str">
        <f t="shared" si="22"/>
        <v>06.09.2022_GRU2</v>
      </c>
      <c r="D729" s="190">
        <f t="shared" si="23"/>
        <v>0</v>
      </c>
      <c r="E729" s="133">
        <v>7.42</v>
      </c>
      <c r="F729" s="134"/>
      <c r="G729" s="135">
        <v>197.1</v>
      </c>
      <c r="H729" s="278">
        <v>10.6</v>
      </c>
      <c r="I729" s="161" t="s">
        <v>269</v>
      </c>
      <c r="J729" s="137">
        <v>18.3</v>
      </c>
      <c r="K729" s="161"/>
      <c r="L729" s="136">
        <v>45</v>
      </c>
      <c r="M729" s="181"/>
      <c r="N729" s="159"/>
      <c r="O729" s="159" t="s">
        <v>401</v>
      </c>
      <c r="P729" s="136"/>
    </row>
    <row r="730" spans="1:16" ht="16.5" customHeight="1" x14ac:dyDescent="0.25">
      <c r="A730" s="156">
        <v>44810</v>
      </c>
      <c r="B730" s="136" t="s">
        <v>34</v>
      </c>
      <c r="C730" s="157" t="str">
        <f t="shared" si="22"/>
        <v>06.09.2022_KRE1</v>
      </c>
      <c r="D730" s="190">
        <f t="shared" si="23"/>
        <v>0</v>
      </c>
      <c r="E730" s="133">
        <v>7.74</v>
      </c>
      <c r="F730" s="134"/>
      <c r="G730" s="135">
        <v>1173</v>
      </c>
      <c r="H730" s="278">
        <v>5.0999999999999996</v>
      </c>
      <c r="I730" s="161" t="s">
        <v>269</v>
      </c>
      <c r="J730" s="137">
        <v>18.8</v>
      </c>
      <c r="K730" s="161"/>
      <c r="L730" s="136">
        <v>30</v>
      </c>
      <c r="M730" s="181"/>
      <c r="N730" s="159"/>
      <c r="O730" s="159" t="s">
        <v>402</v>
      </c>
      <c r="P730" s="136"/>
    </row>
    <row r="731" spans="1:16" ht="16.5" customHeight="1" x14ac:dyDescent="0.25">
      <c r="A731" s="156">
        <v>44810</v>
      </c>
      <c r="B731" s="136" t="s">
        <v>37</v>
      </c>
      <c r="C731" s="157" t="str">
        <f t="shared" si="22"/>
        <v>06.09.2022_KRE2</v>
      </c>
      <c r="D731" s="190">
        <f t="shared" si="23"/>
        <v>0</v>
      </c>
      <c r="E731" s="133">
        <v>7.94</v>
      </c>
      <c r="F731" s="134"/>
      <c r="G731" s="135">
        <v>984</v>
      </c>
      <c r="H731" s="137">
        <v>6.1</v>
      </c>
      <c r="I731" s="134"/>
      <c r="J731" s="137">
        <v>17.899999999999999</v>
      </c>
      <c r="K731" s="134"/>
      <c r="L731" s="136">
        <v>20</v>
      </c>
      <c r="M731" s="181"/>
      <c r="N731" s="159"/>
      <c r="O731" s="159" t="s">
        <v>393</v>
      </c>
      <c r="P731" s="136"/>
    </row>
    <row r="732" spans="1:16" ht="16.5" customHeight="1" x14ac:dyDescent="0.25">
      <c r="A732" s="156">
        <v>44810</v>
      </c>
      <c r="B732" s="136" t="s">
        <v>14</v>
      </c>
      <c r="C732" s="157" t="str">
        <f t="shared" si="22"/>
        <v>06.09.2022_BRA1</v>
      </c>
      <c r="D732" s="190">
        <f t="shared" si="23"/>
        <v>0</v>
      </c>
      <c r="E732" s="133">
        <v>7.98</v>
      </c>
      <c r="F732" s="134"/>
      <c r="G732" s="135">
        <v>175</v>
      </c>
      <c r="H732" s="137">
        <v>9.4</v>
      </c>
      <c r="I732" s="134"/>
      <c r="J732" s="137">
        <v>19.2</v>
      </c>
      <c r="K732" s="134"/>
      <c r="L732" s="136">
        <v>20</v>
      </c>
      <c r="M732" s="181"/>
      <c r="N732" s="159"/>
      <c r="O732" s="159"/>
      <c r="P732" s="136" t="s">
        <v>215</v>
      </c>
    </row>
    <row r="733" spans="1:16" ht="16.5" customHeight="1" x14ac:dyDescent="0.25">
      <c r="A733" s="156">
        <v>44810</v>
      </c>
      <c r="B733" s="136" t="s">
        <v>17</v>
      </c>
      <c r="C733" s="157" t="str">
        <f t="shared" si="22"/>
        <v>06.09.2022_BRA2</v>
      </c>
      <c r="D733" s="190">
        <f t="shared" si="23"/>
        <v>0</v>
      </c>
      <c r="E733" s="133">
        <v>8.1999999999999993</v>
      </c>
      <c r="F733" s="134"/>
      <c r="G733" s="135">
        <v>213</v>
      </c>
      <c r="H733" s="137">
        <v>9.5</v>
      </c>
      <c r="I733" s="134"/>
      <c r="J733" s="137">
        <v>17.399999999999999</v>
      </c>
      <c r="K733" s="134"/>
      <c r="L733" s="136">
        <v>30</v>
      </c>
      <c r="M733" s="181"/>
      <c r="N733" s="159"/>
      <c r="O733" s="159"/>
      <c r="P733" s="136" t="s">
        <v>215</v>
      </c>
    </row>
    <row r="734" spans="1:16" ht="16.5" customHeight="1" x14ac:dyDescent="0.25">
      <c r="A734" s="156">
        <v>44810</v>
      </c>
      <c r="B734" s="136" t="s">
        <v>0</v>
      </c>
      <c r="C734" s="157" t="str">
        <f t="shared" si="22"/>
        <v>06.09.2022_KIN1</v>
      </c>
      <c r="D734" s="190">
        <f t="shared" si="23"/>
        <v>0</v>
      </c>
      <c r="E734" s="133">
        <v>8.32</v>
      </c>
      <c r="F734" s="134"/>
      <c r="G734" s="135">
        <v>436</v>
      </c>
      <c r="H734" s="137">
        <v>9.1999999999999993</v>
      </c>
      <c r="I734" s="134"/>
      <c r="J734" s="137">
        <v>16</v>
      </c>
      <c r="K734" s="134"/>
      <c r="L734" s="136">
        <v>20</v>
      </c>
      <c r="M734" s="181"/>
      <c r="N734" s="159"/>
      <c r="O734" s="159"/>
      <c r="P734" s="136" t="s">
        <v>215</v>
      </c>
    </row>
    <row r="735" spans="1:16" ht="16.5" customHeight="1" x14ac:dyDescent="0.25">
      <c r="A735" s="156">
        <v>44810</v>
      </c>
      <c r="B735" s="136" t="s">
        <v>2</v>
      </c>
      <c r="C735" s="157" t="str">
        <f t="shared" si="22"/>
        <v>06.09.2022_KIN2</v>
      </c>
      <c r="D735" s="190">
        <f t="shared" si="23"/>
        <v>0</v>
      </c>
      <c r="E735" s="133">
        <v>8.0500000000000007</v>
      </c>
      <c r="F735" s="134"/>
      <c r="G735" s="135">
        <v>515</v>
      </c>
      <c r="H735" s="137">
        <v>10.1</v>
      </c>
      <c r="I735" s="134"/>
      <c r="J735" s="137">
        <v>14.4</v>
      </c>
      <c r="K735" s="134"/>
      <c r="L735" s="136">
        <v>30</v>
      </c>
      <c r="M735" s="181"/>
      <c r="N735" s="159"/>
      <c r="O735" s="159"/>
      <c r="P735" s="136" t="s">
        <v>215</v>
      </c>
    </row>
    <row r="736" spans="1:16" ht="16.5" customHeight="1" x14ac:dyDescent="0.25">
      <c r="A736" s="156">
        <v>44810</v>
      </c>
      <c r="B736" s="136" t="s">
        <v>4</v>
      </c>
      <c r="C736" s="157" t="str">
        <f t="shared" si="22"/>
        <v>06.09.2022_KIN3</v>
      </c>
      <c r="D736" s="190">
        <f t="shared" si="23"/>
        <v>0</v>
      </c>
      <c r="E736" s="133">
        <v>8.08</v>
      </c>
      <c r="F736" s="134"/>
      <c r="G736" s="135">
        <v>521</v>
      </c>
      <c r="H736" s="137">
        <v>10</v>
      </c>
      <c r="I736" s="134"/>
      <c r="J736" s="137">
        <v>15.8</v>
      </c>
      <c r="K736" s="134"/>
      <c r="L736" s="136">
        <v>65</v>
      </c>
      <c r="M736" s="181"/>
      <c r="N736" s="159"/>
      <c r="O736" s="159"/>
      <c r="P736" s="136" t="s">
        <v>174</v>
      </c>
    </row>
    <row r="737" spans="1:16" ht="16.5" customHeight="1" x14ac:dyDescent="0.25">
      <c r="A737" s="156">
        <v>44810</v>
      </c>
      <c r="B737" s="136" t="s">
        <v>6</v>
      </c>
      <c r="C737" s="157" t="str">
        <f t="shared" si="22"/>
        <v>06.09.2022_KIN4</v>
      </c>
      <c r="D737" s="190">
        <f t="shared" si="23"/>
        <v>0</v>
      </c>
      <c r="E737" s="133">
        <v>7.94</v>
      </c>
      <c r="F737" s="134"/>
      <c r="G737" s="135">
        <v>560</v>
      </c>
      <c r="H737" s="137">
        <v>9.3000000000000007</v>
      </c>
      <c r="I737" s="134"/>
      <c r="J737" s="137">
        <v>16.2</v>
      </c>
      <c r="K737" s="134"/>
      <c r="L737" s="136">
        <v>30</v>
      </c>
      <c r="M737" s="181"/>
      <c r="N737" s="159"/>
      <c r="O737" s="159"/>
      <c r="P737" s="136" t="s">
        <v>174</v>
      </c>
    </row>
    <row r="738" spans="1:16" ht="16.5" customHeight="1" x14ac:dyDescent="0.25">
      <c r="A738" s="156">
        <v>44810</v>
      </c>
      <c r="B738" s="136" t="s">
        <v>18</v>
      </c>
      <c r="C738" s="157" t="str">
        <f t="shared" si="22"/>
        <v>06.09.2022_ORB1</v>
      </c>
      <c r="D738" s="190">
        <f t="shared" si="23"/>
        <v>0</v>
      </c>
      <c r="E738" s="133">
        <v>7.55</v>
      </c>
      <c r="F738" s="134"/>
      <c r="G738" s="135">
        <v>103.3</v>
      </c>
      <c r="H738" s="137">
        <v>10.1</v>
      </c>
      <c r="I738" s="134"/>
      <c r="J738" s="137">
        <v>18.7</v>
      </c>
      <c r="K738" s="134"/>
      <c r="L738" s="136">
        <v>10</v>
      </c>
      <c r="M738" s="181"/>
      <c r="N738" s="159"/>
      <c r="O738" s="159"/>
      <c r="P738" s="136" t="s">
        <v>174</v>
      </c>
    </row>
    <row r="739" spans="1:16" ht="16.5" customHeight="1" x14ac:dyDescent="0.25">
      <c r="A739" s="156">
        <v>44810</v>
      </c>
      <c r="B739" s="136" t="s">
        <v>21</v>
      </c>
      <c r="C739" s="157" t="str">
        <f t="shared" si="22"/>
        <v>06.09.2022_ORB2</v>
      </c>
      <c r="D739" s="190">
        <f t="shared" si="23"/>
        <v>0</v>
      </c>
      <c r="E739" s="133">
        <v>7.19</v>
      </c>
      <c r="F739" s="134"/>
      <c r="G739" s="135">
        <v>204</v>
      </c>
      <c r="H739" s="137">
        <v>9.4</v>
      </c>
      <c r="I739" s="134"/>
      <c r="J739" s="137">
        <v>18.899999999999999</v>
      </c>
      <c r="K739" s="134"/>
      <c r="L739" s="136">
        <v>20</v>
      </c>
      <c r="M739" s="181"/>
      <c r="N739" s="159"/>
      <c r="O739" s="159"/>
      <c r="P739" s="136" t="s">
        <v>173</v>
      </c>
    </row>
    <row r="740" spans="1:16" ht="16.5" customHeight="1" x14ac:dyDescent="0.25">
      <c r="A740" s="156">
        <v>44810</v>
      </c>
      <c r="B740" s="136" t="s">
        <v>10</v>
      </c>
      <c r="C740" s="157" t="str">
        <f t="shared" si="22"/>
        <v>06.09.2022_SAL1</v>
      </c>
      <c r="D740" s="190">
        <f t="shared" si="23"/>
        <v>0</v>
      </c>
      <c r="E740" s="133">
        <v>8.09</v>
      </c>
      <c r="F740" s="134"/>
      <c r="G740" s="135">
        <v>230</v>
      </c>
      <c r="H740" s="137">
        <v>10.4</v>
      </c>
      <c r="I740" s="134"/>
      <c r="J740" s="137">
        <v>16.7</v>
      </c>
      <c r="K740" s="134"/>
      <c r="L740" s="136">
        <v>25</v>
      </c>
      <c r="M740" s="181"/>
      <c r="N740" s="159"/>
      <c r="O740" s="159"/>
      <c r="P740" s="136" t="s">
        <v>174</v>
      </c>
    </row>
    <row r="741" spans="1:16" ht="16.5" customHeight="1" x14ac:dyDescent="0.25">
      <c r="A741" s="156">
        <v>44810</v>
      </c>
      <c r="B741" s="136" t="s">
        <v>12</v>
      </c>
      <c r="C741" s="157" t="str">
        <f t="shared" si="22"/>
        <v>06.09.2022_SAL2</v>
      </c>
      <c r="D741" s="190">
        <f t="shared" si="23"/>
        <v>0</v>
      </c>
      <c r="E741" s="133">
        <v>8.25</v>
      </c>
      <c r="F741" s="134"/>
      <c r="G741" s="135">
        <v>247</v>
      </c>
      <c r="H741" s="137">
        <v>10</v>
      </c>
      <c r="I741" s="134"/>
      <c r="J741" s="137">
        <v>17.399999999999999</v>
      </c>
      <c r="K741" s="134"/>
      <c r="L741" s="136">
        <v>35</v>
      </c>
      <c r="M741" s="181"/>
      <c r="N741" s="159"/>
      <c r="O741" s="159"/>
      <c r="P741" s="136" t="s">
        <v>174</v>
      </c>
    </row>
    <row r="742" spans="1:16" ht="16.5" customHeight="1" x14ac:dyDescent="0.25">
      <c r="A742" s="156">
        <v>44810</v>
      </c>
      <c r="B742" s="136" t="s">
        <v>7</v>
      </c>
      <c r="C742" s="157" t="str">
        <f t="shared" si="22"/>
        <v>06.09.2022_STE1</v>
      </c>
      <c r="D742" s="190">
        <f t="shared" si="23"/>
        <v>0</v>
      </c>
      <c r="E742" s="133">
        <v>8.09</v>
      </c>
      <c r="F742" s="134"/>
      <c r="G742" s="135">
        <v>348</v>
      </c>
      <c r="H742" s="137">
        <v>10.7</v>
      </c>
      <c r="I742" s="134"/>
      <c r="J742" s="137">
        <v>14.9</v>
      </c>
      <c r="K742" s="134"/>
      <c r="L742" s="136">
        <v>20</v>
      </c>
      <c r="M742" s="181"/>
      <c r="N742" s="159"/>
      <c r="O742" s="159"/>
      <c r="P742" s="136" t="s">
        <v>173</v>
      </c>
    </row>
    <row r="743" spans="1:16" ht="16.5" customHeight="1" x14ac:dyDescent="0.25">
      <c r="A743" s="156">
        <v>44810</v>
      </c>
      <c r="B743" s="136" t="s">
        <v>9</v>
      </c>
      <c r="C743" s="157" t="str">
        <f t="shared" si="22"/>
        <v>06.09.2022_STE2</v>
      </c>
      <c r="D743" s="190">
        <f t="shared" si="23"/>
        <v>0</v>
      </c>
      <c r="E743" s="133">
        <v>8.2200000000000006</v>
      </c>
      <c r="F743" s="134"/>
      <c r="G743" s="135">
        <v>363</v>
      </c>
      <c r="H743" s="137">
        <v>10.1</v>
      </c>
      <c r="I743" s="134"/>
      <c r="J743" s="137">
        <v>15.8</v>
      </c>
      <c r="K743" s="134"/>
      <c r="L743" s="136">
        <v>35</v>
      </c>
      <c r="M743" s="181"/>
      <c r="N743" s="159"/>
      <c r="O743" s="159"/>
      <c r="P743" s="136" t="s">
        <v>173</v>
      </c>
    </row>
    <row r="744" spans="1:16" ht="16.5" customHeight="1" x14ac:dyDescent="0.25">
      <c r="A744" s="156">
        <v>44824</v>
      </c>
      <c r="B744" s="136" t="s">
        <v>22</v>
      </c>
      <c r="C744" s="157" t="str">
        <f t="shared" si="22"/>
        <v>20.09.2022_BIE1</v>
      </c>
      <c r="D744" s="190">
        <f t="shared" si="23"/>
        <v>0</v>
      </c>
      <c r="E744" s="133">
        <v>8.08</v>
      </c>
      <c r="F744" s="134"/>
      <c r="G744" s="135">
        <v>204</v>
      </c>
      <c r="H744" s="137">
        <v>10.6</v>
      </c>
      <c r="I744" s="134"/>
      <c r="J744" s="137">
        <v>12.6</v>
      </c>
      <c r="K744" s="134"/>
      <c r="L744" s="136">
        <v>30</v>
      </c>
      <c r="M744" s="181"/>
      <c r="N744" s="159"/>
      <c r="O744" s="159"/>
      <c r="P744" s="136"/>
    </row>
    <row r="745" spans="1:16" ht="16.5" customHeight="1" x14ac:dyDescent="0.25">
      <c r="A745" s="156">
        <v>44824</v>
      </c>
      <c r="B745" s="136" t="s">
        <v>25</v>
      </c>
      <c r="C745" s="157" t="str">
        <f t="shared" si="22"/>
        <v>20.09.2022_BIE2</v>
      </c>
      <c r="D745" s="190">
        <f t="shared" si="23"/>
        <v>0</v>
      </c>
      <c r="E745" s="133">
        <v>7.83</v>
      </c>
      <c r="F745" s="134"/>
      <c r="G745" s="135">
        <v>221</v>
      </c>
      <c r="H745" s="137">
        <v>10.1</v>
      </c>
      <c r="I745" s="134"/>
      <c r="J745" s="137">
        <v>12.8</v>
      </c>
      <c r="K745" s="134"/>
      <c r="L745" s="136">
        <v>45</v>
      </c>
      <c r="M745" s="181"/>
      <c r="N745" s="159"/>
      <c r="O745" s="159"/>
      <c r="P745" s="136"/>
    </row>
    <row r="746" spans="1:16" ht="16.5" customHeight="1" x14ac:dyDescent="0.25">
      <c r="A746" s="156">
        <v>44824</v>
      </c>
      <c r="B746" s="136" t="s">
        <v>30</v>
      </c>
      <c r="C746" s="157" t="str">
        <f t="shared" si="22"/>
        <v>20.09.2022_FAL1</v>
      </c>
      <c r="D746" s="190">
        <f t="shared" si="23"/>
        <v>0</v>
      </c>
      <c r="E746" s="133">
        <v>7.99</v>
      </c>
      <c r="F746" s="134"/>
      <c r="G746" s="135">
        <v>578</v>
      </c>
      <c r="H746" s="137">
        <v>9.9</v>
      </c>
      <c r="I746" s="134"/>
      <c r="J746" s="137">
        <v>12.8</v>
      </c>
      <c r="K746" s="134"/>
      <c r="L746" s="136">
        <v>50</v>
      </c>
      <c r="M746" s="181"/>
      <c r="N746" s="159"/>
      <c r="O746" s="159"/>
      <c r="P746" s="136"/>
    </row>
    <row r="747" spans="1:16" ht="16.5" customHeight="1" x14ac:dyDescent="0.25">
      <c r="A747" s="156">
        <v>44824</v>
      </c>
      <c r="B747" s="136" t="s">
        <v>32</v>
      </c>
      <c r="C747" s="157" t="str">
        <f t="shared" si="22"/>
        <v>20.09.2022_FAL2</v>
      </c>
      <c r="D747" s="190">
        <f t="shared" si="23"/>
        <v>0</v>
      </c>
      <c r="E747" s="133">
        <v>8.19</v>
      </c>
      <c r="F747" s="134"/>
      <c r="G747" s="135">
        <v>537</v>
      </c>
      <c r="H747" s="137">
        <v>8.6999999999999993</v>
      </c>
      <c r="I747" s="134"/>
      <c r="J747" s="137">
        <v>12.7</v>
      </c>
      <c r="K747" s="134"/>
      <c r="L747" s="136">
        <v>40</v>
      </c>
      <c r="M747" s="181"/>
      <c r="N747" s="159"/>
      <c r="O747" s="159"/>
      <c r="P747" s="136"/>
    </row>
    <row r="748" spans="1:16" ht="16.5" customHeight="1" x14ac:dyDescent="0.25">
      <c r="A748" s="156">
        <v>44824</v>
      </c>
      <c r="B748" s="136" t="s">
        <v>26</v>
      </c>
      <c r="C748" s="157" t="str">
        <f t="shared" si="22"/>
        <v>20.09.2022_GRU1</v>
      </c>
      <c r="D748" s="190">
        <f t="shared" si="23"/>
        <v>0</v>
      </c>
      <c r="E748" s="133">
        <v>7.42</v>
      </c>
      <c r="F748" s="134"/>
      <c r="G748" s="135">
        <v>188.2</v>
      </c>
      <c r="H748" s="137">
        <v>10.6</v>
      </c>
      <c r="I748" s="134"/>
      <c r="J748" s="137">
        <v>11.7</v>
      </c>
      <c r="K748" s="134"/>
      <c r="L748" s="136">
        <v>40</v>
      </c>
      <c r="M748" s="181"/>
      <c r="N748" s="159"/>
      <c r="O748" s="159"/>
      <c r="P748" s="136" t="s">
        <v>222</v>
      </c>
    </row>
    <row r="749" spans="1:16" ht="16.5" customHeight="1" x14ac:dyDescent="0.25">
      <c r="A749" s="156">
        <v>44824</v>
      </c>
      <c r="B749" s="136" t="s">
        <v>28</v>
      </c>
      <c r="C749" s="157" t="str">
        <f t="shared" si="22"/>
        <v>20.09.2022_GRU2</v>
      </c>
      <c r="D749" s="190">
        <f t="shared" si="23"/>
        <v>0</v>
      </c>
      <c r="E749" s="133">
        <v>7.48</v>
      </c>
      <c r="F749" s="134"/>
      <c r="G749" s="135">
        <v>181</v>
      </c>
      <c r="H749" s="137">
        <v>9.6999999999999993</v>
      </c>
      <c r="I749" s="134"/>
      <c r="J749" s="137">
        <v>12.3</v>
      </c>
      <c r="K749" s="134"/>
      <c r="L749" s="136">
        <v>50</v>
      </c>
      <c r="M749" s="181"/>
      <c r="N749" s="159"/>
      <c r="O749" s="159"/>
      <c r="P749" s="136"/>
    </row>
    <row r="750" spans="1:16" ht="16.5" customHeight="1" x14ac:dyDescent="0.25">
      <c r="A750" s="156">
        <v>44824</v>
      </c>
      <c r="B750" s="136" t="s">
        <v>34</v>
      </c>
      <c r="C750" s="157" t="str">
        <f t="shared" si="22"/>
        <v>20.09.2022_KRE1</v>
      </c>
      <c r="D750" s="190">
        <f t="shared" si="23"/>
        <v>0</v>
      </c>
      <c r="E750" s="133">
        <v>7.84</v>
      </c>
      <c r="F750" s="134"/>
      <c r="G750" s="135">
        <v>529</v>
      </c>
      <c r="H750" s="137">
        <v>8.3000000000000007</v>
      </c>
      <c r="I750" s="134"/>
      <c r="J750" s="137">
        <v>12.7</v>
      </c>
      <c r="K750" s="134"/>
      <c r="L750" s="136">
        <v>30</v>
      </c>
      <c r="M750" s="181"/>
      <c r="N750" s="159"/>
      <c r="O750" s="159"/>
      <c r="P750" s="136"/>
    </row>
    <row r="751" spans="1:16" ht="16.5" customHeight="1" x14ac:dyDescent="0.25">
      <c r="A751" s="156">
        <v>44824</v>
      </c>
      <c r="B751" s="136" t="s">
        <v>37</v>
      </c>
      <c r="C751" s="157" t="str">
        <f t="shared" si="22"/>
        <v>20.09.2022_KRE2</v>
      </c>
      <c r="D751" s="190">
        <f t="shared" si="23"/>
        <v>0</v>
      </c>
      <c r="E751" s="133">
        <v>7.82</v>
      </c>
      <c r="F751" s="134"/>
      <c r="G751" s="135">
        <v>613</v>
      </c>
      <c r="H751" s="137">
        <v>7.4</v>
      </c>
      <c r="I751" s="134"/>
      <c r="J751" s="137">
        <v>12.6</v>
      </c>
      <c r="K751" s="134"/>
      <c r="L751" s="136">
        <v>50</v>
      </c>
      <c r="M751" s="181"/>
      <c r="N751" s="159"/>
      <c r="O751" s="159"/>
      <c r="P751" s="136"/>
    </row>
    <row r="752" spans="1:16" ht="16.5" customHeight="1" x14ac:dyDescent="0.25">
      <c r="A752" s="156">
        <v>44824</v>
      </c>
      <c r="B752" s="136" t="s">
        <v>14</v>
      </c>
      <c r="C752" s="157" t="str">
        <f t="shared" si="22"/>
        <v>20.09.2022_BRA1</v>
      </c>
      <c r="D752" s="190">
        <f t="shared" si="23"/>
        <v>0</v>
      </c>
      <c r="E752" s="133">
        <v>7.71</v>
      </c>
      <c r="F752" s="134"/>
      <c r="G752" s="135">
        <v>188.2</v>
      </c>
      <c r="H752" s="137">
        <v>10.6</v>
      </c>
      <c r="I752" s="134"/>
      <c r="J752" s="137">
        <v>11.2</v>
      </c>
      <c r="K752" s="134"/>
      <c r="L752" s="136">
        <v>25</v>
      </c>
      <c r="M752" s="181"/>
      <c r="N752" s="159"/>
      <c r="O752" s="159"/>
      <c r="P752" s="136" t="s">
        <v>223</v>
      </c>
    </row>
    <row r="753" spans="1:16" ht="16.5" customHeight="1" x14ac:dyDescent="0.25">
      <c r="A753" s="156">
        <v>44824</v>
      </c>
      <c r="B753" s="136" t="s">
        <v>17</v>
      </c>
      <c r="C753" s="157" t="str">
        <f t="shared" si="22"/>
        <v>20.09.2022_BRA2</v>
      </c>
      <c r="D753" s="190">
        <f t="shared" si="23"/>
        <v>0</v>
      </c>
      <c r="E753" s="133">
        <v>7.97</v>
      </c>
      <c r="F753" s="134"/>
      <c r="G753" s="135">
        <v>192</v>
      </c>
      <c r="H753" s="137">
        <v>11.1</v>
      </c>
      <c r="I753" s="134"/>
      <c r="J753" s="137">
        <v>10.199999999999999</v>
      </c>
      <c r="K753" s="134"/>
      <c r="L753" s="136">
        <v>30</v>
      </c>
      <c r="M753" s="181"/>
      <c r="N753" s="159"/>
      <c r="O753" s="159"/>
      <c r="P753" s="136" t="s">
        <v>215</v>
      </c>
    </row>
    <row r="754" spans="1:16" ht="16.5" customHeight="1" x14ac:dyDescent="0.25">
      <c r="A754" s="156">
        <v>44824</v>
      </c>
      <c r="B754" s="136" t="s">
        <v>0</v>
      </c>
      <c r="C754" s="157" t="str">
        <f t="shared" si="22"/>
        <v>20.09.2022_KIN1</v>
      </c>
      <c r="D754" s="190">
        <f t="shared" si="23"/>
        <v>0</v>
      </c>
      <c r="E754" s="133">
        <v>8.17</v>
      </c>
      <c r="F754" s="134"/>
      <c r="G754" s="135">
        <v>288</v>
      </c>
      <c r="H754" s="137">
        <v>10.9</v>
      </c>
      <c r="I754" s="134"/>
      <c r="J754" s="137">
        <v>11</v>
      </c>
      <c r="K754" s="134"/>
      <c r="L754" s="136">
        <v>35</v>
      </c>
      <c r="M754" s="181"/>
      <c r="N754" s="159"/>
      <c r="O754" s="159"/>
      <c r="P754" s="136" t="s">
        <v>215</v>
      </c>
    </row>
    <row r="755" spans="1:16" ht="16.5" customHeight="1" x14ac:dyDescent="0.25">
      <c r="A755" s="156">
        <v>44824</v>
      </c>
      <c r="B755" s="136" t="s">
        <v>2</v>
      </c>
      <c r="C755" s="157" t="str">
        <f t="shared" si="22"/>
        <v>20.09.2022_KIN2</v>
      </c>
      <c r="D755" s="190">
        <f t="shared" si="23"/>
        <v>0</v>
      </c>
      <c r="E755" s="133">
        <v>7.94</v>
      </c>
      <c r="F755" s="134"/>
      <c r="G755" s="135">
        <v>322</v>
      </c>
      <c r="H755" s="137">
        <v>10.6</v>
      </c>
      <c r="I755" s="134"/>
      <c r="J755" s="137">
        <v>11.2</v>
      </c>
      <c r="K755" s="134"/>
      <c r="L755" s="136">
        <v>40</v>
      </c>
      <c r="M755" s="181"/>
      <c r="N755" s="159"/>
      <c r="O755" s="159"/>
      <c r="P755" s="136" t="s">
        <v>215</v>
      </c>
    </row>
    <row r="756" spans="1:16" ht="16.5" customHeight="1" x14ac:dyDescent="0.25">
      <c r="A756" s="156">
        <v>44824</v>
      </c>
      <c r="B756" s="136" t="s">
        <v>4</v>
      </c>
      <c r="C756" s="157" t="str">
        <f t="shared" si="22"/>
        <v>20.09.2022_KIN3</v>
      </c>
      <c r="D756" s="190">
        <f t="shared" si="23"/>
        <v>0</v>
      </c>
      <c r="E756" s="133">
        <v>8.07</v>
      </c>
      <c r="F756" s="134"/>
      <c r="G756" s="135">
        <v>321</v>
      </c>
      <c r="H756" s="137">
        <v>10.6</v>
      </c>
      <c r="I756" s="134"/>
      <c r="J756" s="137">
        <v>11.3</v>
      </c>
      <c r="K756" s="134"/>
      <c r="L756" s="136">
        <v>75</v>
      </c>
      <c r="M756" s="181"/>
      <c r="N756" s="159"/>
      <c r="O756" s="159"/>
      <c r="P756" s="136" t="s">
        <v>174</v>
      </c>
    </row>
    <row r="757" spans="1:16" ht="16.5" customHeight="1" x14ac:dyDescent="0.25">
      <c r="A757" s="156">
        <v>44824</v>
      </c>
      <c r="B757" s="136" t="s">
        <v>6</v>
      </c>
      <c r="C757" s="157" t="str">
        <f t="shared" si="22"/>
        <v>20.09.2022_KIN4</v>
      </c>
      <c r="D757" s="190">
        <f t="shared" si="23"/>
        <v>0</v>
      </c>
      <c r="E757" s="133">
        <v>7.97</v>
      </c>
      <c r="F757" s="134"/>
      <c r="G757" s="135">
        <v>320</v>
      </c>
      <c r="H757" s="137">
        <v>10.4</v>
      </c>
      <c r="I757" s="134"/>
      <c r="J757" s="137">
        <v>11.6</v>
      </c>
      <c r="K757" s="134"/>
      <c r="L757" s="136">
        <v>50</v>
      </c>
      <c r="M757" s="181"/>
      <c r="N757" s="159"/>
      <c r="O757" s="159"/>
      <c r="P757" s="136" t="s">
        <v>174</v>
      </c>
    </row>
    <row r="758" spans="1:16" ht="16.5" customHeight="1" x14ac:dyDescent="0.25">
      <c r="A758" s="156">
        <v>44824</v>
      </c>
      <c r="B758" s="136" t="s">
        <v>18</v>
      </c>
      <c r="C758" s="157" t="str">
        <f t="shared" si="22"/>
        <v>20.09.2022_ORB1</v>
      </c>
      <c r="D758" s="190">
        <f t="shared" si="23"/>
        <v>0</v>
      </c>
      <c r="E758" s="133">
        <v>9.2899999999999991</v>
      </c>
      <c r="F758" s="134"/>
      <c r="G758" s="135">
        <v>144.69999999999999</v>
      </c>
      <c r="H758" s="137">
        <v>11.1</v>
      </c>
      <c r="I758" s="134"/>
      <c r="J758" s="137">
        <v>10.6</v>
      </c>
      <c r="K758" s="134"/>
      <c r="L758" s="136">
        <v>10</v>
      </c>
      <c r="M758" s="181"/>
      <c r="N758" s="159" t="s">
        <v>283</v>
      </c>
      <c r="O758" s="159"/>
      <c r="P758" s="159" t="s">
        <v>174</v>
      </c>
    </row>
    <row r="759" spans="1:16" ht="16.5" customHeight="1" x14ac:dyDescent="0.25">
      <c r="A759" s="156">
        <v>44824</v>
      </c>
      <c r="B759" s="136" t="s">
        <v>21</v>
      </c>
      <c r="C759" s="157" t="str">
        <f t="shared" si="22"/>
        <v>20.09.2022_ORB2</v>
      </c>
      <c r="D759" s="190">
        <f t="shared" si="23"/>
        <v>0</v>
      </c>
      <c r="E759" s="133">
        <v>7.19</v>
      </c>
      <c r="F759" s="134"/>
      <c r="G759" s="135">
        <v>181</v>
      </c>
      <c r="H759" s="137">
        <v>11.2</v>
      </c>
      <c r="I759" s="134"/>
      <c r="J759" s="137">
        <v>10</v>
      </c>
      <c r="K759" s="134"/>
      <c r="L759" s="136">
        <v>25</v>
      </c>
      <c r="M759" s="181"/>
      <c r="N759" s="159"/>
      <c r="O759" s="159"/>
      <c r="P759" s="136" t="s">
        <v>173</v>
      </c>
    </row>
    <row r="760" spans="1:16" ht="16.5" customHeight="1" x14ac:dyDescent="0.25">
      <c r="A760" s="156">
        <v>44824</v>
      </c>
      <c r="B760" s="136" t="s">
        <v>10</v>
      </c>
      <c r="C760" s="157" t="str">
        <f t="shared" si="22"/>
        <v>20.09.2022_SAL1</v>
      </c>
      <c r="D760" s="190">
        <f t="shared" si="23"/>
        <v>0</v>
      </c>
      <c r="E760" s="133">
        <v>8.01</v>
      </c>
      <c r="F760" s="134"/>
      <c r="G760" s="135">
        <v>208</v>
      </c>
      <c r="H760" s="137">
        <v>11.6</v>
      </c>
      <c r="I760" s="134"/>
      <c r="J760" s="137">
        <v>8.9</v>
      </c>
      <c r="K760" s="134"/>
      <c r="L760" s="136">
        <v>45</v>
      </c>
      <c r="M760" s="181"/>
      <c r="N760" s="159"/>
      <c r="O760" s="159"/>
      <c r="P760" s="136" t="s">
        <v>174</v>
      </c>
    </row>
    <row r="761" spans="1:16" ht="16.5" customHeight="1" x14ac:dyDescent="0.25">
      <c r="A761" s="156">
        <v>44824</v>
      </c>
      <c r="B761" s="136" t="s">
        <v>12</v>
      </c>
      <c r="C761" s="157" t="str">
        <f t="shared" si="22"/>
        <v>20.09.2022_SAL2</v>
      </c>
      <c r="D761" s="190">
        <f t="shared" si="23"/>
        <v>0</v>
      </c>
      <c r="E761" s="133">
        <v>8.08</v>
      </c>
      <c r="F761" s="134"/>
      <c r="G761" s="135">
        <v>220</v>
      </c>
      <c r="H761" s="137">
        <v>11.7</v>
      </c>
      <c r="I761" s="134"/>
      <c r="J761" s="137">
        <v>10</v>
      </c>
      <c r="K761" s="134"/>
      <c r="L761" s="136">
        <v>40</v>
      </c>
      <c r="M761" s="181"/>
      <c r="N761" s="159"/>
      <c r="O761" s="159"/>
      <c r="P761" s="136" t="s">
        <v>174</v>
      </c>
    </row>
    <row r="762" spans="1:16" ht="16.5" customHeight="1" x14ac:dyDescent="0.25">
      <c r="A762" s="156">
        <v>44824</v>
      </c>
      <c r="B762" s="136" t="s">
        <v>7</v>
      </c>
      <c r="C762" s="157" t="str">
        <f t="shared" si="22"/>
        <v>20.09.2022_STE1</v>
      </c>
      <c r="D762" s="190">
        <f t="shared" si="23"/>
        <v>0</v>
      </c>
      <c r="E762" s="133">
        <v>7.97</v>
      </c>
      <c r="F762" s="134"/>
      <c r="G762" s="135">
        <v>278</v>
      </c>
      <c r="H762" s="137">
        <v>10.5</v>
      </c>
      <c r="I762" s="134"/>
      <c r="J762" s="137">
        <v>11.4</v>
      </c>
      <c r="K762" s="134"/>
      <c r="L762" s="136">
        <v>25</v>
      </c>
      <c r="M762" s="181"/>
      <c r="N762" s="159"/>
      <c r="O762" s="159"/>
      <c r="P762" s="136" t="s">
        <v>173</v>
      </c>
    </row>
    <row r="763" spans="1:16" ht="16.5" customHeight="1" x14ac:dyDescent="0.25">
      <c r="A763" s="156">
        <v>44824</v>
      </c>
      <c r="B763" s="136" t="s">
        <v>9</v>
      </c>
      <c r="C763" s="157" t="str">
        <f t="shared" si="22"/>
        <v>20.09.2022_STE2</v>
      </c>
      <c r="D763" s="190">
        <f t="shared" si="23"/>
        <v>0</v>
      </c>
      <c r="E763" s="133">
        <v>8.18</v>
      </c>
      <c r="F763" s="134"/>
      <c r="G763" s="135">
        <v>276</v>
      </c>
      <c r="H763" s="137">
        <v>10.8</v>
      </c>
      <c r="I763" s="134"/>
      <c r="J763" s="137">
        <v>11.7</v>
      </c>
      <c r="K763" s="134"/>
      <c r="L763" s="136">
        <v>50</v>
      </c>
      <c r="M763" s="181"/>
      <c r="N763" s="159"/>
      <c r="O763" s="159"/>
      <c r="P763" s="136" t="s">
        <v>173</v>
      </c>
    </row>
    <row r="764" spans="1:16" ht="16.5" customHeight="1" x14ac:dyDescent="0.25">
      <c r="A764" s="156">
        <v>44839</v>
      </c>
      <c r="B764" s="136" t="s">
        <v>22</v>
      </c>
      <c r="C764" s="157" t="str">
        <f t="shared" si="22"/>
        <v>05.10.2022_BIE1</v>
      </c>
      <c r="D764" s="190">
        <f t="shared" si="23"/>
        <v>0</v>
      </c>
      <c r="E764" s="133">
        <v>7.87</v>
      </c>
      <c r="F764" s="134"/>
      <c r="G764" s="135">
        <v>188</v>
      </c>
      <c r="H764" s="137">
        <v>10.6</v>
      </c>
      <c r="I764" s="134"/>
      <c r="J764" s="137">
        <v>14.1</v>
      </c>
      <c r="K764" s="134"/>
      <c r="L764" s="136">
        <v>30</v>
      </c>
      <c r="M764" s="181"/>
      <c r="N764" s="159"/>
      <c r="O764" s="159"/>
      <c r="P764" s="136"/>
    </row>
    <row r="765" spans="1:16" ht="16.5" customHeight="1" x14ac:dyDescent="0.25">
      <c r="A765" s="156">
        <v>44839</v>
      </c>
      <c r="B765" s="136" t="s">
        <v>25</v>
      </c>
      <c r="C765" s="157" t="str">
        <f t="shared" si="22"/>
        <v>05.10.2022_BIE2</v>
      </c>
      <c r="D765" s="190">
        <f t="shared" si="23"/>
        <v>0</v>
      </c>
      <c r="E765" s="133">
        <v>7.74</v>
      </c>
      <c r="F765" s="134"/>
      <c r="G765" s="135">
        <v>198</v>
      </c>
      <c r="H765" s="137">
        <v>10.4</v>
      </c>
      <c r="I765" s="134"/>
      <c r="J765" s="137">
        <v>13.5</v>
      </c>
      <c r="K765" s="134"/>
      <c r="L765" s="136">
        <v>50</v>
      </c>
      <c r="M765" s="181"/>
      <c r="N765" s="159"/>
      <c r="O765" s="159"/>
      <c r="P765" s="136" t="s">
        <v>224</v>
      </c>
    </row>
    <row r="766" spans="1:16" ht="16.5" customHeight="1" x14ac:dyDescent="0.25">
      <c r="A766" s="156">
        <v>44839</v>
      </c>
      <c r="B766" s="136" t="s">
        <v>30</v>
      </c>
      <c r="C766" s="157" t="str">
        <f t="shared" si="22"/>
        <v>05.10.2022_FAL1</v>
      </c>
      <c r="D766" s="190">
        <f t="shared" si="23"/>
        <v>0</v>
      </c>
      <c r="E766" s="133">
        <v>8.11</v>
      </c>
      <c r="F766" s="134"/>
      <c r="G766" s="135">
        <v>687</v>
      </c>
      <c r="H766" s="137">
        <v>10.199999999999999</v>
      </c>
      <c r="I766" s="134"/>
      <c r="J766" s="137">
        <v>12.9</v>
      </c>
      <c r="K766" s="134"/>
      <c r="L766" s="136">
        <v>50</v>
      </c>
      <c r="M766" s="181"/>
      <c r="N766" s="159"/>
      <c r="O766" s="159"/>
      <c r="P766" s="136" t="s">
        <v>91</v>
      </c>
    </row>
    <row r="767" spans="1:16" ht="16.5" customHeight="1" x14ac:dyDescent="0.25">
      <c r="A767" s="156">
        <v>44839</v>
      </c>
      <c r="B767" s="136" t="s">
        <v>32</v>
      </c>
      <c r="C767" s="157" t="str">
        <f t="shared" si="22"/>
        <v>05.10.2022_FAL2</v>
      </c>
      <c r="D767" s="190">
        <f t="shared" si="23"/>
        <v>0</v>
      </c>
      <c r="E767" s="133">
        <v>8.4</v>
      </c>
      <c r="F767" s="134"/>
      <c r="G767" s="135">
        <v>629</v>
      </c>
      <c r="H767" s="137">
        <v>10.8</v>
      </c>
      <c r="I767" s="134"/>
      <c r="J767" s="137">
        <v>12.9</v>
      </c>
      <c r="K767" s="134"/>
      <c r="L767" s="136">
        <v>45</v>
      </c>
      <c r="M767" s="181"/>
      <c r="N767" s="159"/>
      <c r="O767" s="159"/>
      <c r="P767" s="136" t="s">
        <v>91</v>
      </c>
    </row>
    <row r="768" spans="1:16" ht="16.5" customHeight="1" x14ac:dyDescent="0.25">
      <c r="A768" s="156">
        <v>44839</v>
      </c>
      <c r="B768" s="136" t="s">
        <v>26</v>
      </c>
      <c r="C768" s="157" t="str">
        <f t="shared" si="22"/>
        <v>05.10.2022_GRU1</v>
      </c>
      <c r="D768" s="190">
        <f t="shared" si="23"/>
        <v>0</v>
      </c>
      <c r="E768" s="133">
        <v>7.51</v>
      </c>
      <c r="F768" s="134"/>
      <c r="G768" s="135">
        <v>152.69999999999999</v>
      </c>
      <c r="H768" s="137">
        <v>11</v>
      </c>
      <c r="I768" s="134"/>
      <c r="J768" s="137">
        <v>13</v>
      </c>
      <c r="K768" s="134"/>
      <c r="L768" s="136">
        <v>30</v>
      </c>
      <c r="M768" s="181"/>
      <c r="N768" s="159"/>
      <c r="O768" s="159"/>
      <c r="P768" s="136" t="s">
        <v>224</v>
      </c>
    </row>
    <row r="769" spans="1:16" ht="16.5" customHeight="1" x14ac:dyDescent="0.25">
      <c r="A769" s="156">
        <v>44839</v>
      </c>
      <c r="B769" s="136" t="s">
        <v>28</v>
      </c>
      <c r="C769" s="157" t="str">
        <f t="shared" si="22"/>
        <v>05.10.2022_GRU2</v>
      </c>
      <c r="D769" s="190">
        <f t="shared" si="23"/>
        <v>0</v>
      </c>
      <c r="E769" s="133">
        <v>7.46</v>
      </c>
      <c r="F769" s="134"/>
      <c r="G769" s="135">
        <v>167.8</v>
      </c>
      <c r="H769" s="137">
        <v>11</v>
      </c>
      <c r="I769" s="134"/>
      <c r="J769" s="137">
        <v>12.8</v>
      </c>
      <c r="K769" s="134"/>
      <c r="L769" s="136">
        <v>50</v>
      </c>
      <c r="M769" s="181"/>
      <c r="N769" s="159"/>
      <c r="O769" s="159"/>
      <c r="P769" s="136" t="s">
        <v>224</v>
      </c>
    </row>
    <row r="770" spans="1:16" ht="16.5" customHeight="1" x14ac:dyDescent="0.25">
      <c r="A770" s="156">
        <v>44839</v>
      </c>
      <c r="B770" s="136" t="s">
        <v>34</v>
      </c>
      <c r="C770" s="157" t="str">
        <f t="shared" si="22"/>
        <v>05.10.2022_KRE1</v>
      </c>
      <c r="D770" s="190">
        <f t="shared" si="23"/>
        <v>0</v>
      </c>
      <c r="E770" s="133">
        <v>7.94</v>
      </c>
      <c r="F770" s="134"/>
      <c r="G770" s="135">
        <v>586</v>
      </c>
      <c r="H770" s="137">
        <v>9.5</v>
      </c>
      <c r="I770" s="134"/>
      <c r="J770" s="137">
        <v>11.7</v>
      </c>
      <c r="K770" s="134"/>
      <c r="L770" s="136">
        <v>40</v>
      </c>
      <c r="M770" s="181"/>
      <c r="N770" s="159"/>
      <c r="O770" s="159"/>
      <c r="P770" s="136" t="s">
        <v>91</v>
      </c>
    </row>
    <row r="771" spans="1:16" ht="16.5" customHeight="1" x14ac:dyDescent="0.25">
      <c r="A771" s="156">
        <v>44839</v>
      </c>
      <c r="B771" s="136" t="s">
        <v>37</v>
      </c>
      <c r="C771" s="157" t="str">
        <f t="shared" si="22"/>
        <v>05.10.2022_KRE2</v>
      </c>
      <c r="D771" s="190">
        <f t="shared" si="23"/>
        <v>0</v>
      </c>
      <c r="E771" s="133">
        <v>7.85</v>
      </c>
      <c r="F771" s="134"/>
      <c r="G771" s="135">
        <v>557</v>
      </c>
      <c r="H771" s="137">
        <v>9.1999999999999993</v>
      </c>
      <c r="I771" s="134"/>
      <c r="J771" s="137">
        <v>11.4</v>
      </c>
      <c r="K771" s="134"/>
      <c r="L771" s="136">
        <v>45</v>
      </c>
      <c r="M771" s="181"/>
      <c r="N771" s="159"/>
      <c r="O771" s="159"/>
      <c r="P771" s="136" t="s">
        <v>91</v>
      </c>
    </row>
    <row r="772" spans="1:16" ht="16.5" customHeight="1" x14ac:dyDescent="0.25">
      <c r="A772" s="156">
        <v>44839</v>
      </c>
      <c r="B772" s="136" t="s">
        <v>14</v>
      </c>
      <c r="C772" s="157" t="str">
        <f t="shared" si="22"/>
        <v>05.10.2022_BRA1</v>
      </c>
      <c r="D772" s="190">
        <f t="shared" si="23"/>
        <v>0</v>
      </c>
      <c r="E772" s="133">
        <v>7.8</v>
      </c>
      <c r="F772" s="134"/>
      <c r="G772" s="135">
        <v>183.1</v>
      </c>
      <c r="H772" s="137">
        <v>11.4</v>
      </c>
      <c r="I772" s="134"/>
      <c r="J772" s="137">
        <v>13.3</v>
      </c>
      <c r="K772" s="134"/>
      <c r="L772" s="136">
        <v>25</v>
      </c>
      <c r="M772" s="181"/>
      <c r="N772" s="159"/>
      <c r="O772" s="159"/>
      <c r="P772" s="136" t="s">
        <v>225</v>
      </c>
    </row>
    <row r="773" spans="1:16" ht="16.5" customHeight="1" x14ac:dyDescent="0.25">
      <c r="A773" s="156">
        <v>44839</v>
      </c>
      <c r="B773" s="136" t="s">
        <v>17</v>
      </c>
      <c r="C773" s="157" t="str">
        <f t="shared" ref="C773:C836" si="24">CONCATENATE(TEXT(A773,"TT.MM.JJJJ"),"_",B773)</f>
        <v>05.10.2022_BRA2</v>
      </c>
      <c r="D773" s="190">
        <f t="shared" ref="D773:D836" si="25">COUNTBLANK(E773)+COUNTBLANK(G773:H773)+COUNTBLANK(J773)+COUNTBLANK(L773)</f>
        <v>0</v>
      </c>
      <c r="E773" s="133">
        <v>8.01</v>
      </c>
      <c r="F773" s="134"/>
      <c r="G773" s="135">
        <v>183</v>
      </c>
      <c r="H773" s="137">
        <v>11.4</v>
      </c>
      <c r="I773" s="134"/>
      <c r="J773" s="137">
        <v>13</v>
      </c>
      <c r="K773" s="134"/>
      <c r="L773" s="136">
        <v>40</v>
      </c>
      <c r="M773" s="181"/>
      <c r="N773" s="159"/>
      <c r="O773" s="159"/>
      <c r="P773" s="136" t="s">
        <v>215</v>
      </c>
    </row>
    <row r="774" spans="1:16" ht="16.5" customHeight="1" x14ac:dyDescent="0.25">
      <c r="A774" s="156">
        <v>44839</v>
      </c>
      <c r="B774" s="136" t="s">
        <v>0</v>
      </c>
      <c r="C774" s="157" t="str">
        <f t="shared" si="24"/>
        <v>05.10.2022_KIN1</v>
      </c>
      <c r="D774" s="190">
        <f t="shared" si="25"/>
        <v>0</v>
      </c>
      <c r="E774" s="133">
        <v>8.33</v>
      </c>
      <c r="F774" s="134"/>
      <c r="G774" s="135">
        <v>321</v>
      </c>
      <c r="H774" s="137">
        <v>11.2</v>
      </c>
      <c r="I774" s="134"/>
      <c r="J774" s="137">
        <v>10.6</v>
      </c>
      <c r="K774" s="134"/>
      <c r="L774" s="136">
        <v>35</v>
      </c>
      <c r="M774" s="181"/>
      <c r="N774" s="159"/>
      <c r="O774" s="159"/>
      <c r="P774" s="136" t="s">
        <v>215</v>
      </c>
    </row>
    <row r="775" spans="1:16" ht="16.5" customHeight="1" x14ac:dyDescent="0.25">
      <c r="A775" s="156">
        <v>44839</v>
      </c>
      <c r="B775" s="136" t="s">
        <v>2</v>
      </c>
      <c r="C775" s="157" t="str">
        <f t="shared" si="24"/>
        <v>05.10.2022_KIN2</v>
      </c>
      <c r="D775" s="190">
        <f t="shared" si="25"/>
        <v>0</v>
      </c>
      <c r="E775" s="133">
        <v>8.0500000000000007</v>
      </c>
      <c r="F775" s="134"/>
      <c r="G775" s="135">
        <v>391</v>
      </c>
      <c r="H775" s="137">
        <v>11.2</v>
      </c>
      <c r="I775" s="134"/>
      <c r="J775" s="137">
        <v>11.4</v>
      </c>
      <c r="K775" s="134"/>
      <c r="L775" s="136">
        <v>35</v>
      </c>
      <c r="M775" s="181"/>
      <c r="N775" s="159"/>
      <c r="O775" s="159"/>
      <c r="P775" s="136" t="s">
        <v>215</v>
      </c>
    </row>
    <row r="776" spans="1:16" ht="16.5" customHeight="1" x14ac:dyDescent="0.25">
      <c r="A776" s="156">
        <v>44839</v>
      </c>
      <c r="B776" s="136" t="s">
        <v>4</v>
      </c>
      <c r="C776" s="157" t="str">
        <f t="shared" si="24"/>
        <v>05.10.2022_KIN3</v>
      </c>
      <c r="D776" s="190">
        <f t="shared" si="25"/>
        <v>0</v>
      </c>
      <c r="E776" s="133">
        <v>8.19</v>
      </c>
      <c r="F776" s="134"/>
      <c r="G776" s="135">
        <v>382</v>
      </c>
      <c r="H776" s="137">
        <v>11.3</v>
      </c>
      <c r="I776" s="134"/>
      <c r="J776" s="137">
        <v>11.7</v>
      </c>
      <c r="K776" s="134"/>
      <c r="L776" s="136">
        <v>60</v>
      </c>
      <c r="M776" s="181"/>
      <c r="N776" s="159"/>
      <c r="O776" s="159"/>
      <c r="P776" s="136" t="s">
        <v>174</v>
      </c>
    </row>
    <row r="777" spans="1:16" ht="16.5" customHeight="1" x14ac:dyDescent="0.25">
      <c r="A777" s="156">
        <v>44839</v>
      </c>
      <c r="B777" s="136" t="s">
        <v>6</v>
      </c>
      <c r="C777" s="157" t="str">
        <f t="shared" si="24"/>
        <v>05.10.2022_KIN4</v>
      </c>
      <c r="D777" s="190">
        <f t="shared" si="25"/>
        <v>0</v>
      </c>
      <c r="E777" s="133">
        <v>8.14</v>
      </c>
      <c r="F777" s="134"/>
      <c r="G777" s="135">
        <v>409</v>
      </c>
      <c r="H777" s="137">
        <v>10.7</v>
      </c>
      <c r="I777" s="134"/>
      <c r="J777" s="137">
        <v>11.5</v>
      </c>
      <c r="K777" s="134"/>
      <c r="L777" s="136">
        <v>45</v>
      </c>
      <c r="M777" s="181"/>
      <c r="N777" s="159"/>
      <c r="O777" s="159"/>
      <c r="P777" s="136" t="s">
        <v>174</v>
      </c>
    </row>
    <row r="778" spans="1:16" ht="16.5" customHeight="1" x14ac:dyDescent="0.25">
      <c r="A778" s="156">
        <v>44839</v>
      </c>
      <c r="B778" s="136" t="s">
        <v>18</v>
      </c>
      <c r="C778" s="157" t="str">
        <f t="shared" si="24"/>
        <v>05.10.2022_ORB1</v>
      </c>
      <c r="D778" s="190">
        <f t="shared" si="25"/>
        <v>0</v>
      </c>
      <c r="E778" s="133">
        <v>7.61</v>
      </c>
      <c r="F778" s="134"/>
      <c r="G778" s="135">
        <v>137</v>
      </c>
      <c r="H778" s="137">
        <v>11</v>
      </c>
      <c r="I778" s="134"/>
      <c r="J778" s="137">
        <v>13.4</v>
      </c>
      <c r="K778" s="134"/>
      <c r="L778" s="136">
        <v>10</v>
      </c>
      <c r="M778" s="181"/>
      <c r="N778" s="159"/>
      <c r="O778" s="159"/>
      <c r="P778" s="136" t="s">
        <v>226</v>
      </c>
    </row>
    <row r="779" spans="1:16" ht="16.5" customHeight="1" x14ac:dyDescent="0.25">
      <c r="A779" s="156">
        <v>44839</v>
      </c>
      <c r="B779" s="136" t="s">
        <v>21</v>
      </c>
      <c r="C779" s="157" t="str">
        <f t="shared" si="24"/>
        <v>05.10.2022_ORB2</v>
      </c>
      <c r="D779" s="190">
        <f t="shared" si="25"/>
        <v>0</v>
      </c>
      <c r="E779" s="133">
        <v>7.26</v>
      </c>
      <c r="F779" s="134"/>
      <c r="G779" s="135">
        <v>186</v>
      </c>
      <c r="H779" s="137">
        <v>10.6</v>
      </c>
      <c r="I779" s="134"/>
      <c r="J779" s="137">
        <v>13.7</v>
      </c>
      <c r="K779" s="134"/>
      <c r="L779" s="136">
        <v>25</v>
      </c>
      <c r="M779" s="181"/>
      <c r="N779" s="159"/>
      <c r="O779" s="159"/>
      <c r="P779" s="136" t="s">
        <v>227</v>
      </c>
    </row>
    <row r="780" spans="1:16" ht="16.5" customHeight="1" x14ac:dyDescent="0.25">
      <c r="A780" s="156">
        <v>44839</v>
      </c>
      <c r="B780" s="136" t="s">
        <v>10</v>
      </c>
      <c r="C780" s="157" t="str">
        <f t="shared" si="24"/>
        <v>05.10.2022_SAL1</v>
      </c>
      <c r="D780" s="190">
        <f t="shared" si="25"/>
        <v>0</v>
      </c>
      <c r="E780" s="133">
        <v>7.88</v>
      </c>
      <c r="F780" s="134"/>
      <c r="G780" s="135">
        <v>182</v>
      </c>
      <c r="H780" s="137">
        <v>11.1</v>
      </c>
      <c r="I780" s="134"/>
      <c r="J780" s="137">
        <v>10.3</v>
      </c>
      <c r="K780" s="134"/>
      <c r="L780" s="136">
        <v>40</v>
      </c>
      <c r="M780" s="181"/>
      <c r="N780" s="159"/>
      <c r="O780" s="159"/>
      <c r="P780" s="136" t="s">
        <v>174</v>
      </c>
    </row>
    <row r="781" spans="1:16" ht="16.5" customHeight="1" x14ac:dyDescent="0.25">
      <c r="A781" s="156">
        <v>44839</v>
      </c>
      <c r="B781" s="136" t="s">
        <v>12</v>
      </c>
      <c r="C781" s="157" t="str">
        <f t="shared" si="24"/>
        <v>05.10.2022_SAL2</v>
      </c>
      <c r="D781" s="190">
        <f t="shared" si="25"/>
        <v>0</v>
      </c>
      <c r="E781" s="133">
        <v>8.08</v>
      </c>
      <c r="F781" s="134"/>
      <c r="G781" s="135">
        <v>209</v>
      </c>
      <c r="H781" s="137">
        <v>11.8</v>
      </c>
      <c r="I781" s="134"/>
      <c r="J781" s="137">
        <v>12.4</v>
      </c>
      <c r="K781" s="134"/>
      <c r="L781" s="136">
        <v>45</v>
      </c>
      <c r="M781" s="181"/>
      <c r="N781" s="159"/>
      <c r="O781" s="159"/>
      <c r="P781" s="136" t="s">
        <v>174</v>
      </c>
    </row>
    <row r="782" spans="1:16" ht="16.5" customHeight="1" x14ac:dyDescent="0.25">
      <c r="A782" s="156">
        <v>44839</v>
      </c>
      <c r="B782" s="136" t="s">
        <v>7</v>
      </c>
      <c r="C782" s="157" t="str">
        <f t="shared" si="24"/>
        <v>05.10.2022_STE1</v>
      </c>
      <c r="D782" s="190">
        <f t="shared" si="25"/>
        <v>0</v>
      </c>
      <c r="E782" s="133">
        <v>8.08</v>
      </c>
      <c r="F782" s="134"/>
      <c r="G782" s="135">
        <v>291</v>
      </c>
      <c r="H782" s="137">
        <v>11.5</v>
      </c>
      <c r="I782" s="134"/>
      <c r="J782" s="137">
        <v>11.9</v>
      </c>
      <c r="K782" s="134"/>
      <c r="L782" s="136">
        <v>30</v>
      </c>
      <c r="M782" s="181"/>
      <c r="N782" s="159"/>
      <c r="O782" s="159"/>
      <c r="P782" s="136" t="s">
        <v>173</v>
      </c>
    </row>
    <row r="783" spans="1:16" ht="16.5" customHeight="1" x14ac:dyDescent="0.25">
      <c r="A783" s="156">
        <v>44839</v>
      </c>
      <c r="B783" s="136" t="s">
        <v>9</v>
      </c>
      <c r="C783" s="157" t="str">
        <f t="shared" si="24"/>
        <v>05.10.2022_STE2</v>
      </c>
      <c r="D783" s="190">
        <f t="shared" si="25"/>
        <v>0</v>
      </c>
      <c r="E783" s="133">
        <v>8.15</v>
      </c>
      <c r="F783" s="134"/>
      <c r="G783" s="135">
        <v>293</v>
      </c>
      <c r="H783" s="137">
        <v>11.5</v>
      </c>
      <c r="I783" s="134"/>
      <c r="J783" s="137">
        <v>10.9</v>
      </c>
      <c r="K783" s="134"/>
      <c r="L783" s="136">
        <v>40</v>
      </c>
      <c r="M783" s="181"/>
      <c r="N783" s="159"/>
      <c r="O783" s="159"/>
      <c r="P783" s="136" t="s">
        <v>173</v>
      </c>
    </row>
    <row r="784" spans="1:16" ht="16.5" customHeight="1" x14ac:dyDescent="0.25">
      <c r="A784" s="156">
        <v>44852</v>
      </c>
      <c r="B784" s="136" t="s">
        <v>22</v>
      </c>
      <c r="C784" s="157" t="str">
        <f t="shared" si="24"/>
        <v>18.10.2022_BIE1</v>
      </c>
      <c r="D784" s="190">
        <f t="shared" si="25"/>
        <v>0</v>
      </c>
      <c r="E784" s="133">
        <v>7.75</v>
      </c>
      <c r="F784" s="134"/>
      <c r="G784" s="135">
        <v>188</v>
      </c>
      <c r="H784" s="137">
        <v>10</v>
      </c>
      <c r="I784" s="134"/>
      <c r="J784" s="137">
        <v>14.6</v>
      </c>
      <c r="K784" s="134"/>
      <c r="L784" s="136">
        <v>30</v>
      </c>
      <c r="M784" s="181"/>
      <c r="N784" s="159"/>
      <c r="O784" s="159"/>
      <c r="P784" s="136"/>
    </row>
    <row r="785" spans="1:16" ht="16.5" customHeight="1" x14ac:dyDescent="0.25">
      <c r="A785" s="156">
        <v>44852</v>
      </c>
      <c r="B785" s="136" t="s">
        <v>25</v>
      </c>
      <c r="C785" s="157" t="str">
        <f t="shared" si="24"/>
        <v>18.10.2022_BIE2</v>
      </c>
      <c r="D785" s="190">
        <f t="shared" si="25"/>
        <v>0</v>
      </c>
      <c r="E785" s="133">
        <v>7.72</v>
      </c>
      <c r="F785" s="134"/>
      <c r="G785" s="135">
        <v>185</v>
      </c>
      <c r="H785" s="137">
        <v>8.6999999999999993</v>
      </c>
      <c r="I785" s="134"/>
      <c r="J785" s="137">
        <v>14</v>
      </c>
      <c r="K785" s="134"/>
      <c r="L785" s="136">
        <v>40</v>
      </c>
      <c r="M785" s="181"/>
      <c r="N785" s="159"/>
      <c r="O785" s="159"/>
      <c r="P785" s="136"/>
    </row>
    <row r="786" spans="1:16" ht="16.5" customHeight="1" x14ac:dyDescent="0.25">
      <c r="A786" s="156">
        <v>44852</v>
      </c>
      <c r="B786" s="136" t="s">
        <v>30</v>
      </c>
      <c r="C786" s="157" t="str">
        <f t="shared" si="24"/>
        <v>18.10.2022_FAL1</v>
      </c>
      <c r="D786" s="190">
        <f t="shared" si="25"/>
        <v>0</v>
      </c>
      <c r="E786" s="133">
        <v>7.74</v>
      </c>
      <c r="F786" s="134"/>
      <c r="G786" s="135">
        <v>715</v>
      </c>
      <c r="H786" s="137">
        <v>8.9</v>
      </c>
      <c r="I786" s="134"/>
      <c r="J786" s="137">
        <v>16.399999999999999</v>
      </c>
      <c r="K786" s="134"/>
      <c r="L786" s="136">
        <v>80</v>
      </c>
      <c r="M786" s="181"/>
      <c r="N786" s="159"/>
      <c r="O786" s="159"/>
      <c r="P786" s="136"/>
    </row>
    <row r="787" spans="1:16" ht="16.5" customHeight="1" x14ac:dyDescent="0.25">
      <c r="A787" s="156">
        <v>44852</v>
      </c>
      <c r="B787" s="136" t="s">
        <v>32</v>
      </c>
      <c r="C787" s="157" t="str">
        <f t="shared" si="24"/>
        <v>18.10.2022_FAL2</v>
      </c>
      <c r="D787" s="190">
        <f t="shared" si="25"/>
        <v>0</v>
      </c>
      <c r="E787" s="133">
        <v>7.99</v>
      </c>
      <c r="F787" s="134"/>
      <c r="G787" s="135">
        <v>575</v>
      </c>
      <c r="H787" s="137">
        <v>8.6</v>
      </c>
      <c r="I787" s="134"/>
      <c r="J787" s="137">
        <v>15.4</v>
      </c>
      <c r="K787" s="134"/>
      <c r="L787" s="136">
        <v>45</v>
      </c>
      <c r="M787" s="181"/>
      <c r="N787" s="159"/>
      <c r="O787" s="159"/>
      <c r="P787" s="136"/>
    </row>
    <row r="788" spans="1:16" ht="16.5" customHeight="1" x14ac:dyDescent="0.25">
      <c r="A788" s="156">
        <v>44852</v>
      </c>
      <c r="B788" s="136" t="s">
        <v>26</v>
      </c>
      <c r="C788" s="157" t="str">
        <f t="shared" si="24"/>
        <v>18.10.2022_GRU1</v>
      </c>
      <c r="D788" s="190">
        <f t="shared" si="25"/>
        <v>0</v>
      </c>
      <c r="E788" s="133">
        <v>7.33</v>
      </c>
      <c r="F788" s="134"/>
      <c r="G788" s="135">
        <v>158.5</v>
      </c>
      <c r="H788" s="137">
        <v>9.9</v>
      </c>
      <c r="I788" s="134"/>
      <c r="J788" s="137">
        <v>14.4</v>
      </c>
      <c r="K788" s="134"/>
      <c r="L788" s="136">
        <v>60</v>
      </c>
      <c r="M788" s="181"/>
      <c r="N788" s="159"/>
      <c r="O788" s="159"/>
      <c r="P788" s="136" t="s">
        <v>228</v>
      </c>
    </row>
    <row r="789" spans="1:16" ht="16.5" customHeight="1" x14ac:dyDescent="0.25">
      <c r="A789" s="156">
        <v>44852</v>
      </c>
      <c r="B789" s="136" t="s">
        <v>28</v>
      </c>
      <c r="C789" s="157" t="str">
        <f t="shared" si="24"/>
        <v>18.10.2022_GRU2</v>
      </c>
      <c r="D789" s="190">
        <f t="shared" si="25"/>
        <v>0</v>
      </c>
      <c r="E789" s="133">
        <v>7.2</v>
      </c>
      <c r="F789" s="134"/>
      <c r="G789" s="135">
        <v>189.9</v>
      </c>
      <c r="H789" s="137">
        <v>8.8000000000000007</v>
      </c>
      <c r="I789" s="134"/>
      <c r="J789" s="137">
        <v>14.1</v>
      </c>
      <c r="K789" s="134"/>
      <c r="L789" s="136">
        <v>50</v>
      </c>
      <c r="M789" s="181"/>
      <c r="N789" s="159"/>
      <c r="O789" s="159"/>
      <c r="P789" s="136"/>
    </row>
    <row r="790" spans="1:16" ht="16.5" customHeight="1" x14ac:dyDescent="0.25">
      <c r="A790" s="156">
        <v>44852</v>
      </c>
      <c r="B790" s="136" t="s">
        <v>34</v>
      </c>
      <c r="C790" s="157" t="str">
        <f t="shared" si="24"/>
        <v>18.10.2022_KRE1</v>
      </c>
      <c r="D790" s="190">
        <f t="shared" si="25"/>
        <v>0</v>
      </c>
      <c r="E790" s="133">
        <v>7.67</v>
      </c>
      <c r="F790" s="134"/>
      <c r="G790" s="135">
        <v>645</v>
      </c>
      <c r="H790" s="137">
        <v>7.2</v>
      </c>
      <c r="I790" s="134"/>
      <c r="J790" s="137">
        <v>15.1</v>
      </c>
      <c r="K790" s="134"/>
      <c r="L790" s="136">
        <v>50</v>
      </c>
      <c r="M790" s="181"/>
      <c r="N790" s="159"/>
      <c r="O790" s="159"/>
      <c r="P790" s="136"/>
    </row>
    <row r="791" spans="1:16" ht="16.5" customHeight="1" x14ac:dyDescent="0.25">
      <c r="A791" s="156">
        <v>44852</v>
      </c>
      <c r="B791" s="136" t="s">
        <v>37</v>
      </c>
      <c r="C791" s="157" t="str">
        <f t="shared" si="24"/>
        <v>18.10.2022_KRE2</v>
      </c>
      <c r="D791" s="190">
        <f t="shared" si="25"/>
        <v>0</v>
      </c>
      <c r="E791" s="133">
        <v>7.66</v>
      </c>
      <c r="F791" s="134"/>
      <c r="G791" s="135">
        <v>728</v>
      </c>
      <c r="H791" s="137">
        <v>7.1</v>
      </c>
      <c r="I791" s="134"/>
      <c r="J791" s="137">
        <v>15.2</v>
      </c>
      <c r="K791" s="134"/>
      <c r="L791" s="136">
        <v>60</v>
      </c>
      <c r="M791" s="181"/>
      <c r="N791" s="159"/>
      <c r="O791" s="159"/>
      <c r="P791" s="136"/>
    </row>
    <row r="792" spans="1:16" ht="16.5" customHeight="1" x14ac:dyDescent="0.25">
      <c r="A792" s="156">
        <v>44852</v>
      </c>
      <c r="B792" s="136" t="s">
        <v>14</v>
      </c>
      <c r="C792" s="157" t="str">
        <f t="shared" si="24"/>
        <v>18.10.2022_BRA1</v>
      </c>
      <c r="D792" s="190">
        <f t="shared" si="25"/>
        <v>1</v>
      </c>
      <c r="E792" s="283"/>
      <c r="F792" s="161" t="s">
        <v>270</v>
      </c>
      <c r="G792" s="135">
        <v>167.1</v>
      </c>
      <c r="H792" s="137">
        <v>10.1</v>
      </c>
      <c r="I792" s="161"/>
      <c r="J792" s="137">
        <v>14.2</v>
      </c>
      <c r="K792" s="161"/>
      <c r="L792" s="136">
        <v>35</v>
      </c>
      <c r="M792" s="181"/>
      <c r="N792" s="159" t="s">
        <v>284</v>
      </c>
      <c r="O792" s="159"/>
      <c r="P792" s="136"/>
    </row>
    <row r="793" spans="1:16" ht="16.5" customHeight="1" x14ac:dyDescent="0.25">
      <c r="A793" s="156">
        <v>44852</v>
      </c>
      <c r="B793" s="136" t="s">
        <v>17</v>
      </c>
      <c r="C793" s="157" t="str">
        <f t="shared" si="24"/>
        <v>18.10.2022_BRA2</v>
      </c>
      <c r="D793" s="190">
        <f t="shared" si="25"/>
        <v>1</v>
      </c>
      <c r="E793" s="283"/>
      <c r="F793" s="161" t="s">
        <v>270</v>
      </c>
      <c r="G793" s="135">
        <v>186.6</v>
      </c>
      <c r="H793" s="137">
        <v>10</v>
      </c>
      <c r="I793" s="161"/>
      <c r="J793" s="137">
        <v>14.2</v>
      </c>
      <c r="K793" s="161"/>
      <c r="L793" s="136">
        <v>35</v>
      </c>
      <c r="M793" s="181"/>
      <c r="N793" s="159" t="s">
        <v>285</v>
      </c>
      <c r="O793" s="159"/>
      <c r="P793" s="136"/>
    </row>
    <row r="794" spans="1:16" ht="16.5" customHeight="1" x14ac:dyDescent="0.25">
      <c r="A794" s="156">
        <v>44852</v>
      </c>
      <c r="B794" s="136" t="s">
        <v>0</v>
      </c>
      <c r="C794" s="157" t="str">
        <f t="shared" si="24"/>
        <v>18.10.2022_KIN1</v>
      </c>
      <c r="D794" s="190">
        <f t="shared" si="25"/>
        <v>0</v>
      </c>
      <c r="E794" s="133">
        <v>8.18</v>
      </c>
      <c r="F794" s="134"/>
      <c r="G794" s="135">
        <v>383</v>
      </c>
      <c r="H794" s="137">
        <v>9.1999999999999993</v>
      </c>
      <c r="I794" s="134"/>
      <c r="J794" s="137">
        <v>14.3</v>
      </c>
      <c r="K794" s="134"/>
      <c r="L794" s="136">
        <v>35</v>
      </c>
      <c r="M794" s="181"/>
      <c r="N794" s="159"/>
      <c r="O794" s="159"/>
      <c r="P794" s="136"/>
    </row>
    <row r="795" spans="1:16" ht="16.5" customHeight="1" x14ac:dyDescent="0.25">
      <c r="A795" s="156">
        <v>44852</v>
      </c>
      <c r="B795" s="136" t="s">
        <v>2</v>
      </c>
      <c r="C795" s="157" t="str">
        <f t="shared" si="24"/>
        <v>18.10.2022_KIN2</v>
      </c>
      <c r="D795" s="190">
        <f t="shared" si="25"/>
        <v>0</v>
      </c>
      <c r="E795" s="133">
        <v>8.08</v>
      </c>
      <c r="F795" s="134"/>
      <c r="G795" s="135">
        <v>456</v>
      </c>
      <c r="H795" s="137">
        <v>9.1</v>
      </c>
      <c r="I795" s="134"/>
      <c r="J795" s="137">
        <v>13.8</v>
      </c>
      <c r="K795" s="134"/>
      <c r="L795" s="136">
        <v>35</v>
      </c>
      <c r="M795" s="181"/>
      <c r="N795" s="159"/>
      <c r="O795" s="159"/>
      <c r="P795" s="136"/>
    </row>
    <row r="796" spans="1:16" ht="16.5" customHeight="1" x14ac:dyDescent="0.25">
      <c r="A796" s="156">
        <v>44852</v>
      </c>
      <c r="B796" s="136" t="s">
        <v>4</v>
      </c>
      <c r="C796" s="157" t="str">
        <f t="shared" si="24"/>
        <v>18.10.2022_KIN3</v>
      </c>
      <c r="D796" s="190">
        <f t="shared" si="25"/>
        <v>0</v>
      </c>
      <c r="E796" s="133">
        <v>8</v>
      </c>
      <c r="F796" s="134"/>
      <c r="G796" s="135">
        <v>434</v>
      </c>
      <c r="H796" s="137">
        <v>9.3000000000000007</v>
      </c>
      <c r="I796" s="134"/>
      <c r="J796" s="137">
        <v>13.9</v>
      </c>
      <c r="K796" s="134"/>
      <c r="L796" s="136">
        <v>65</v>
      </c>
      <c r="M796" s="181"/>
      <c r="N796" s="159"/>
      <c r="O796" s="159"/>
      <c r="P796" s="136"/>
    </row>
    <row r="797" spans="1:16" ht="16.5" customHeight="1" x14ac:dyDescent="0.25">
      <c r="A797" s="156">
        <v>44852</v>
      </c>
      <c r="B797" s="136" t="s">
        <v>6</v>
      </c>
      <c r="C797" s="157" t="str">
        <f t="shared" si="24"/>
        <v>18.10.2022_KIN4</v>
      </c>
      <c r="D797" s="190">
        <f t="shared" si="25"/>
        <v>0</v>
      </c>
      <c r="E797" s="133">
        <v>7.87</v>
      </c>
      <c r="F797" s="134"/>
      <c r="G797" s="135">
        <v>465</v>
      </c>
      <c r="H797" s="137">
        <v>9</v>
      </c>
      <c r="I797" s="134"/>
      <c r="J797" s="137">
        <v>13.2</v>
      </c>
      <c r="K797" s="134"/>
      <c r="L797" s="136">
        <v>45</v>
      </c>
      <c r="M797" s="181"/>
      <c r="N797" s="159"/>
      <c r="O797" s="159"/>
      <c r="P797" s="136"/>
    </row>
    <row r="798" spans="1:16" ht="16.5" customHeight="1" x14ac:dyDescent="0.25">
      <c r="A798" s="156">
        <v>44852</v>
      </c>
      <c r="B798" s="136" t="s">
        <v>18</v>
      </c>
      <c r="C798" s="157" t="str">
        <f t="shared" si="24"/>
        <v>18.10.2022_ORB1</v>
      </c>
      <c r="D798" s="190">
        <f t="shared" si="25"/>
        <v>1</v>
      </c>
      <c r="E798" s="283"/>
      <c r="F798" s="161" t="s">
        <v>270</v>
      </c>
      <c r="G798" s="135">
        <v>124.1</v>
      </c>
      <c r="H798" s="137">
        <v>10.3</v>
      </c>
      <c r="I798" s="161"/>
      <c r="J798" s="137">
        <v>14.6</v>
      </c>
      <c r="K798" s="161"/>
      <c r="L798" s="136">
        <v>10</v>
      </c>
      <c r="M798" s="181"/>
      <c r="N798" s="159" t="s">
        <v>285</v>
      </c>
      <c r="O798" s="159"/>
      <c r="P798" s="136"/>
    </row>
    <row r="799" spans="1:16" ht="16.5" customHeight="1" x14ac:dyDescent="0.25">
      <c r="A799" s="156">
        <v>44852</v>
      </c>
      <c r="B799" s="136" t="s">
        <v>21</v>
      </c>
      <c r="C799" s="157" t="str">
        <f t="shared" si="24"/>
        <v>18.10.2022_ORB2</v>
      </c>
      <c r="D799" s="190">
        <f t="shared" si="25"/>
        <v>1</v>
      </c>
      <c r="E799" s="283"/>
      <c r="F799" s="161" t="s">
        <v>270</v>
      </c>
      <c r="G799" s="135">
        <v>145.1</v>
      </c>
      <c r="H799" s="137">
        <v>9.5</v>
      </c>
      <c r="I799" s="161"/>
      <c r="J799" s="137">
        <v>15</v>
      </c>
      <c r="K799" s="161"/>
      <c r="L799" s="136">
        <v>30</v>
      </c>
      <c r="M799" s="181"/>
      <c r="N799" s="159" t="s">
        <v>286</v>
      </c>
      <c r="O799" s="159"/>
      <c r="P799" s="136"/>
    </row>
    <row r="800" spans="1:16" ht="16.5" customHeight="1" x14ac:dyDescent="0.25">
      <c r="A800" s="156">
        <v>44852</v>
      </c>
      <c r="B800" s="136" t="s">
        <v>10</v>
      </c>
      <c r="C800" s="157" t="str">
        <f t="shared" si="24"/>
        <v>18.10.2022_SAL1</v>
      </c>
      <c r="D800" s="190">
        <f t="shared" si="25"/>
        <v>0</v>
      </c>
      <c r="E800" s="133">
        <v>7.58</v>
      </c>
      <c r="F800" s="134"/>
      <c r="G800" s="135">
        <v>199.2</v>
      </c>
      <c r="H800" s="137">
        <v>10.199999999999999</v>
      </c>
      <c r="I800" s="134"/>
      <c r="J800" s="137">
        <v>13.3</v>
      </c>
      <c r="K800" s="134"/>
      <c r="L800" s="136">
        <v>45</v>
      </c>
      <c r="M800" s="181"/>
      <c r="N800" s="159"/>
      <c r="O800" s="159" t="s">
        <v>413</v>
      </c>
      <c r="P800" s="136"/>
    </row>
    <row r="801" spans="1:16" ht="16.5" customHeight="1" x14ac:dyDescent="0.25">
      <c r="A801" s="156">
        <v>44852</v>
      </c>
      <c r="B801" s="136" t="s">
        <v>12</v>
      </c>
      <c r="C801" s="157" t="str">
        <f t="shared" si="24"/>
        <v>18.10.2022_SAL2</v>
      </c>
      <c r="D801" s="190">
        <f t="shared" si="25"/>
        <v>1</v>
      </c>
      <c r="E801" s="283"/>
      <c r="F801" s="161" t="s">
        <v>270</v>
      </c>
      <c r="G801" s="135">
        <v>185</v>
      </c>
      <c r="H801" s="137">
        <v>10.4</v>
      </c>
      <c r="I801" s="161"/>
      <c r="J801" s="137">
        <v>13.6</v>
      </c>
      <c r="K801" s="161"/>
      <c r="L801" s="136">
        <v>50</v>
      </c>
      <c r="M801" s="181"/>
      <c r="N801" s="159" t="s">
        <v>287</v>
      </c>
      <c r="O801" s="159"/>
      <c r="P801" s="136"/>
    </row>
    <row r="802" spans="1:16" ht="16.5" customHeight="1" x14ac:dyDescent="0.25">
      <c r="A802" s="156">
        <v>44852</v>
      </c>
      <c r="B802" s="136" t="s">
        <v>7</v>
      </c>
      <c r="C802" s="157" t="str">
        <f t="shared" si="24"/>
        <v>18.10.2022_STE1</v>
      </c>
      <c r="D802" s="190">
        <f t="shared" si="25"/>
        <v>0</v>
      </c>
      <c r="E802" s="133">
        <v>7.78</v>
      </c>
      <c r="F802" s="134"/>
      <c r="G802" s="135">
        <v>284</v>
      </c>
      <c r="H802" s="137">
        <v>10.1</v>
      </c>
      <c r="I802" s="134"/>
      <c r="J802" s="137">
        <v>12.5</v>
      </c>
      <c r="K802" s="134"/>
      <c r="L802" s="136">
        <v>25</v>
      </c>
      <c r="M802" s="181"/>
      <c r="N802" s="159"/>
      <c r="O802" s="159"/>
      <c r="P802" s="136"/>
    </row>
    <row r="803" spans="1:16" ht="16.5" customHeight="1" x14ac:dyDescent="0.25">
      <c r="A803" s="156">
        <v>44852</v>
      </c>
      <c r="B803" s="136" t="s">
        <v>9</v>
      </c>
      <c r="C803" s="157" t="str">
        <f t="shared" si="24"/>
        <v>18.10.2022_STE2</v>
      </c>
      <c r="D803" s="190">
        <f t="shared" si="25"/>
        <v>0</v>
      </c>
      <c r="E803" s="133">
        <v>7.92</v>
      </c>
      <c r="F803" s="134"/>
      <c r="G803" s="135">
        <v>282</v>
      </c>
      <c r="H803" s="137">
        <v>9.8000000000000007</v>
      </c>
      <c r="I803" s="134"/>
      <c r="J803" s="137">
        <v>12.2</v>
      </c>
      <c r="K803" s="134"/>
      <c r="L803" s="136">
        <v>45</v>
      </c>
      <c r="M803" s="181"/>
      <c r="N803" s="159"/>
      <c r="O803" s="159"/>
      <c r="P803" s="136"/>
    </row>
    <row r="804" spans="1:16" ht="16.5" customHeight="1" x14ac:dyDescent="0.25">
      <c r="A804" s="156">
        <v>44867</v>
      </c>
      <c r="B804" s="136" t="s">
        <v>22</v>
      </c>
      <c r="C804" s="157" t="str">
        <f t="shared" si="24"/>
        <v>02.11.2022_BIE1</v>
      </c>
      <c r="D804" s="190">
        <f t="shared" si="25"/>
        <v>0</v>
      </c>
      <c r="E804" s="133">
        <v>7.66</v>
      </c>
      <c r="F804" s="134"/>
      <c r="G804" s="135">
        <v>173</v>
      </c>
      <c r="H804" s="137">
        <v>11.2</v>
      </c>
      <c r="I804" s="134"/>
      <c r="J804" s="137">
        <v>13.3</v>
      </c>
      <c r="K804" s="134"/>
      <c r="L804" s="136">
        <v>30</v>
      </c>
      <c r="M804" s="181"/>
      <c r="N804" s="159"/>
      <c r="O804" s="159"/>
      <c r="P804" s="136"/>
    </row>
    <row r="805" spans="1:16" ht="16.5" customHeight="1" x14ac:dyDescent="0.25">
      <c r="A805" s="156">
        <v>44867</v>
      </c>
      <c r="B805" s="136" t="s">
        <v>25</v>
      </c>
      <c r="C805" s="157" t="str">
        <f t="shared" si="24"/>
        <v>02.11.2022_BIE2</v>
      </c>
      <c r="D805" s="190">
        <f t="shared" si="25"/>
        <v>0</v>
      </c>
      <c r="E805" s="133">
        <v>7.66</v>
      </c>
      <c r="F805" s="134"/>
      <c r="G805" s="135">
        <v>199</v>
      </c>
      <c r="H805" s="137">
        <v>10.9</v>
      </c>
      <c r="I805" s="134"/>
      <c r="J805" s="137">
        <v>13.1</v>
      </c>
      <c r="K805" s="134"/>
      <c r="L805" s="136">
        <v>25</v>
      </c>
      <c r="M805" s="181"/>
      <c r="N805" s="159"/>
      <c r="O805" s="159"/>
      <c r="P805" s="136"/>
    </row>
    <row r="806" spans="1:16" ht="16.5" customHeight="1" x14ac:dyDescent="0.25">
      <c r="A806" s="156">
        <v>44867</v>
      </c>
      <c r="B806" s="136" t="s">
        <v>30</v>
      </c>
      <c r="C806" s="157" t="str">
        <f t="shared" si="24"/>
        <v>02.11.2022_FAL1</v>
      </c>
      <c r="D806" s="190">
        <f t="shared" si="25"/>
        <v>0</v>
      </c>
      <c r="E806" s="133">
        <v>7.98</v>
      </c>
      <c r="F806" s="134"/>
      <c r="G806" s="135">
        <v>841</v>
      </c>
      <c r="H806" s="137">
        <v>9.6999999999999993</v>
      </c>
      <c r="I806" s="134"/>
      <c r="J806" s="137">
        <v>13.7</v>
      </c>
      <c r="K806" s="134"/>
      <c r="L806" s="136">
        <v>30</v>
      </c>
      <c r="M806" s="181"/>
      <c r="N806" s="159"/>
      <c r="O806" s="159"/>
      <c r="P806" s="136"/>
    </row>
    <row r="807" spans="1:16" ht="16.5" customHeight="1" x14ac:dyDescent="0.25">
      <c r="A807" s="156">
        <v>44867</v>
      </c>
      <c r="B807" s="136" t="s">
        <v>32</v>
      </c>
      <c r="C807" s="157" t="str">
        <f t="shared" si="24"/>
        <v>02.11.2022_FAL2</v>
      </c>
      <c r="D807" s="190">
        <f t="shared" si="25"/>
        <v>0</v>
      </c>
      <c r="E807" s="133">
        <v>8.3000000000000007</v>
      </c>
      <c r="F807" s="134"/>
      <c r="G807" s="135">
        <v>800</v>
      </c>
      <c r="H807" s="137">
        <v>9.9</v>
      </c>
      <c r="I807" s="134"/>
      <c r="J807" s="137">
        <v>14</v>
      </c>
      <c r="K807" s="134"/>
      <c r="L807" s="136">
        <v>60</v>
      </c>
      <c r="M807" s="181"/>
      <c r="N807" s="159"/>
      <c r="O807" s="159"/>
      <c r="P807" s="136"/>
    </row>
    <row r="808" spans="1:16" ht="16.5" customHeight="1" x14ac:dyDescent="0.25">
      <c r="A808" s="156">
        <v>44867</v>
      </c>
      <c r="B808" s="136" t="s">
        <v>26</v>
      </c>
      <c r="C808" s="157" t="str">
        <f t="shared" si="24"/>
        <v>02.11.2022_GRU1</v>
      </c>
      <c r="D808" s="190">
        <f t="shared" si="25"/>
        <v>0</v>
      </c>
      <c r="E808" s="133">
        <v>7.31</v>
      </c>
      <c r="F808" s="134"/>
      <c r="G808" s="135">
        <v>169.7</v>
      </c>
      <c r="H808" s="137">
        <v>10.9</v>
      </c>
      <c r="I808" s="134"/>
      <c r="J808" s="137">
        <v>12.9</v>
      </c>
      <c r="K808" s="134"/>
      <c r="L808" s="136">
        <v>30</v>
      </c>
      <c r="M808" s="181"/>
      <c r="N808" s="159"/>
      <c r="O808" s="159"/>
      <c r="P808" s="136"/>
    </row>
    <row r="809" spans="1:16" ht="16.5" customHeight="1" x14ac:dyDescent="0.25">
      <c r="A809" s="156">
        <v>44867</v>
      </c>
      <c r="B809" s="136" t="s">
        <v>28</v>
      </c>
      <c r="C809" s="157" t="str">
        <f t="shared" si="24"/>
        <v>02.11.2022_GRU2</v>
      </c>
      <c r="D809" s="190">
        <f t="shared" si="25"/>
        <v>0</v>
      </c>
      <c r="E809" s="133">
        <v>7.4</v>
      </c>
      <c r="F809" s="134"/>
      <c r="G809" s="135">
        <v>179.5</v>
      </c>
      <c r="H809" s="137">
        <v>10.3</v>
      </c>
      <c r="I809" s="134"/>
      <c r="J809" s="137">
        <v>18</v>
      </c>
      <c r="K809" s="134"/>
      <c r="L809" s="136">
        <v>60</v>
      </c>
      <c r="M809" s="181"/>
      <c r="N809" s="159"/>
      <c r="O809" s="159"/>
      <c r="P809" s="136"/>
    </row>
    <row r="810" spans="1:16" ht="16.5" customHeight="1" x14ac:dyDescent="0.25">
      <c r="A810" s="156">
        <v>44867</v>
      </c>
      <c r="B810" s="136" t="s">
        <v>34</v>
      </c>
      <c r="C810" s="157" t="str">
        <f t="shared" si="24"/>
        <v>02.11.2022_KRE1</v>
      </c>
      <c r="D810" s="190">
        <f t="shared" si="25"/>
        <v>0</v>
      </c>
      <c r="E810" s="133">
        <v>8.02</v>
      </c>
      <c r="F810" s="134"/>
      <c r="G810" s="135">
        <v>863</v>
      </c>
      <c r="H810" s="137">
        <v>8.9</v>
      </c>
      <c r="I810" s="134"/>
      <c r="J810" s="137">
        <v>13.4</v>
      </c>
      <c r="K810" s="134"/>
      <c r="L810" s="136">
        <v>40</v>
      </c>
      <c r="M810" s="181"/>
      <c r="N810" s="159"/>
      <c r="O810" s="159"/>
      <c r="P810" s="136"/>
    </row>
    <row r="811" spans="1:16" ht="16.5" customHeight="1" x14ac:dyDescent="0.25">
      <c r="A811" s="156">
        <v>44867</v>
      </c>
      <c r="B811" s="136" t="s">
        <v>37</v>
      </c>
      <c r="C811" s="157" t="str">
        <f t="shared" si="24"/>
        <v>02.11.2022_KRE2</v>
      </c>
      <c r="D811" s="190">
        <f t="shared" si="25"/>
        <v>0</v>
      </c>
      <c r="E811" s="133">
        <v>7.87</v>
      </c>
      <c r="F811" s="134"/>
      <c r="G811" s="135">
        <v>868</v>
      </c>
      <c r="H811" s="137">
        <v>8.5</v>
      </c>
      <c r="I811" s="134"/>
      <c r="J811" s="137">
        <v>13.9</v>
      </c>
      <c r="K811" s="134"/>
      <c r="L811" s="136">
        <v>65</v>
      </c>
      <c r="M811" s="181"/>
      <c r="N811" s="159"/>
      <c r="O811" s="159"/>
      <c r="P811" s="136"/>
    </row>
    <row r="812" spans="1:16" ht="16.5" customHeight="1" x14ac:dyDescent="0.25">
      <c r="A812" s="156">
        <v>44867</v>
      </c>
      <c r="B812" s="136" t="s">
        <v>14</v>
      </c>
      <c r="C812" s="157" t="str">
        <f t="shared" si="24"/>
        <v>02.11.2022_BRA1</v>
      </c>
      <c r="D812" s="190">
        <f t="shared" si="25"/>
        <v>0</v>
      </c>
      <c r="E812" s="133">
        <v>8.08</v>
      </c>
      <c r="F812" s="134"/>
      <c r="G812" s="135">
        <v>185.5</v>
      </c>
      <c r="H812" s="137">
        <v>11.4</v>
      </c>
      <c r="I812" s="134"/>
      <c r="J812" s="137">
        <v>11.2</v>
      </c>
      <c r="K812" s="134"/>
      <c r="L812" s="136">
        <v>25</v>
      </c>
      <c r="M812" s="181"/>
      <c r="N812" s="159"/>
      <c r="O812" s="159"/>
      <c r="P812" s="136" t="s">
        <v>215</v>
      </c>
    </row>
    <row r="813" spans="1:16" ht="16.5" customHeight="1" x14ac:dyDescent="0.25">
      <c r="A813" s="156">
        <v>44867</v>
      </c>
      <c r="B813" s="136" t="s">
        <v>17</v>
      </c>
      <c r="C813" s="157" t="str">
        <f t="shared" si="24"/>
        <v>02.11.2022_BRA2</v>
      </c>
      <c r="D813" s="190">
        <f t="shared" si="25"/>
        <v>0</v>
      </c>
      <c r="E813" s="133">
        <v>8.09</v>
      </c>
      <c r="F813" s="134"/>
      <c r="G813" s="135">
        <v>196</v>
      </c>
      <c r="H813" s="137">
        <v>11.4</v>
      </c>
      <c r="I813" s="134"/>
      <c r="J813" s="137">
        <v>11.2</v>
      </c>
      <c r="K813" s="134"/>
      <c r="L813" s="136">
        <v>30</v>
      </c>
      <c r="M813" s="181"/>
      <c r="N813" s="159"/>
      <c r="O813" s="159"/>
      <c r="P813" s="136" t="s">
        <v>215</v>
      </c>
    </row>
    <row r="814" spans="1:16" ht="16.5" customHeight="1" x14ac:dyDescent="0.25">
      <c r="A814" s="156">
        <v>44867</v>
      </c>
      <c r="B814" s="136" t="s">
        <v>0</v>
      </c>
      <c r="C814" s="157" t="str">
        <f t="shared" si="24"/>
        <v>02.11.2022_KIN1</v>
      </c>
      <c r="D814" s="190">
        <f t="shared" si="25"/>
        <v>0</v>
      </c>
      <c r="E814" s="133">
        <v>8.2799999999999994</v>
      </c>
      <c r="F814" s="134"/>
      <c r="G814" s="135">
        <v>403</v>
      </c>
      <c r="H814" s="137">
        <v>10.4</v>
      </c>
      <c r="I814" s="134"/>
      <c r="J814" s="137">
        <v>10.3</v>
      </c>
      <c r="K814" s="134"/>
      <c r="L814" s="136">
        <v>35</v>
      </c>
      <c r="M814" s="181"/>
      <c r="N814" s="159"/>
      <c r="O814" s="159"/>
      <c r="P814" s="136" t="s">
        <v>215</v>
      </c>
    </row>
    <row r="815" spans="1:16" ht="16.5" customHeight="1" x14ac:dyDescent="0.25">
      <c r="A815" s="156">
        <v>44867</v>
      </c>
      <c r="B815" s="136" t="s">
        <v>2</v>
      </c>
      <c r="C815" s="157" t="str">
        <f t="shared" si="24"/>
        <v>02.11.2022_KIN2</v>
      </c>
      <c r="D815" s="190">
        <f t="shared" si="25"/>
        <v>0</v>
      </c>
      <c r="E815" s="133">
        <v>8.14</v>
      </c>
      <c r="F815" s="134"/>
      <c r="G815" s="135">
        <v>490</v>
      </c>
      <c r="H815" s="137">
        <v>10.4</v>
      </c>
      <c r="I815" s="134"/>
      <c r="J815" s="137">
        <v>10.5</v>
      </c>
      <c r="K815" s="134"/>
      <c r="L815" s="136">
        <v>35</v>
      </c>
      <c r="M815" s="181"/>
      <c r="N815" s="159"/>
      <c r="O815" s="159"/>
      <c r="P815" s="136" t="s">
        <v>215</v>
      </c>
    </row>
    <row r="816" spans="1:16" ht="16.5" customHeight="1" x14ac:dyDescent="0.25">
      <c r="A816" s="156">
        <v>44867</v>
      </c>
      <c r="B816" s="136" t="s">
        <v>4</v>
      </c>
      <c r="C816" s="157" t="str">
        <f t="shared" si="24"/>
        <v>02.11.2022_KIN3</v>
      </c>
      <c r="D816" s="190">
        <f t="shared" si="25"/>
        <v>0</v>
      </c>
      <c r="E816" s="133">
        <v>8.06</v>
      </c>
      <c r="F816" s="134"/>
      <c r="G816" s="135">
        <v>465</v>
      </c>
      <c r="H816" s="137">
        <v>10.9</v>
      </c>
      <c r="I816" s="134"/>
      <c r="J816" s="137">
        <v>10.3</v>
      </c>
      <c r="K816" s="134"/>
      <c r="L816" s="136">
        <v>65</v>
      </c>
      <c r="M816" s="181"/>
      <c r="N816" s="159"/>
      <c r="O816" s="159"/>
      <c r="P816" s="136" t="s">
        <v>174</v>
      </c>
    </row>
    <row r="817" spans="1:16" ht="16.5" customHeight="1" x14ac:dyDescent="0.25">
      <c r="A817" s="156">
        <v>44867</v>
      </c>
      <c r="B817" s="136" t="s">
        <v>6</v>
      </c>
      <c r="C817" s="157" t="str">
        <f t="shared" si="24"/>
        <v>02.11.2022_KIN4</v>
      </c>
      <c r="D817" s="190">
        <f t="shared" si="25"/>
        <v>0</v>
      </c>
      <c r="E817" s="133">
        <v>7.85</v>
      </c>
      <c r="F817" s="134"/>
      <c r="G817" s="135">
        <v>500</v>
      </c>
      <c r="H817" s="137">
        <v>10</v>
      </c>
      <c r="I817" s="134"/>
      <c r="J817" s="137">
        <v>11.1</v>
      </c>
      <c r="K817" s="134"/>
      <c r="L817" s="136">
        <v>45</v>
      </c>
      <c r="M817" s="181"/>
      <c r="N817" s="159"/>
      <c r="O817" s="159"/>
      <c r="P817" s="136" t="s">
        <v>174</v>
      </c>
    </row>
    <row r="818" spans="1:16" ht="16.5" customHeight="1" x14ac:dyDescent="0.25">
      <c r="A818" s="156">
        <v>44867</v>
      </c>
      <c r="B818" s="136" t="s">
        <v>18</v>
      </c>
      <c r="C818" s="157" t="str">
        <f t="shared" si="24"/>
        <v>02.11.2022_ORB1</v>
      </c>
      <c r="D818" s="190">
        <f t="shared" si="25"/>
        <v>0</v>
      </c>
      <c r="E818" s="133">
        <v>7.48</v>
      </c>
      <c r="F818" s="134"/>
      <c r="G818" s="135">
        <v>136.9</v>
      </c>
      <c r="H818" s="137">
        <v>11</v>
      </c>
      <c r="I818" s="134"/>
      <c r="J818" s="137">
        <v>11.1</v>
      </c>
      <c r="K818" s="134"/>
      <c r="L818" s="136">
        <v>10</v>
      </c>
      <c r="M818" s="181"/>
      <c r="N818" s="159"/>
      <c r="O818" s="159"/>
      <c r="P818" s="136" t="s">
        <v>174</v>
      </c>
    </row>
    <row r="819" spans="1:16" ht="16.5" customHeight="1" x14ac:dyDescent="0.25">
      <c r="A819" s="156">
        <v>44867</v>
      </c>
      <c r="B819" s="136" t="s">
        <v>21</v>
      </c>
      <c r="C819" s="157" t="str">
        <f t="shared" si="24"/>
        <v>02.11.2022_ORB2</v>
      </c>
      <c r="D819" s="190">
        <f t="shared" si="25"/>
        <v>0</v>
      </c>
      <c r="E819" s="133">
        <v>7.22</v>
      </c>
      <c r="F819" s="134"/>
      <c r="G819" s="135">
        <v>192.9</v>
      </c>
      <c r="H819" s="137">
        <v>10.7</v>
      </c>
      <c r="I819" s="134"/>
      <c r="J819" s="137">
        <v>11.6</v>
      </c>
      <c r="K819" s="134"/>
      <c r="L819" s="136">
        <v>30</v>
      </c>
      <c r="M819" s="181"/>
      <c r="N819" s="159"/>
      <c r="O819" s="159"/>
      <c r="P819" s="136" t="s">
        <v>173</v>
      </c>
    </row>
    <row r="820" spans="1:16" ht="16.5" customHeight="1" x14ac:dyDescent="0.25">
      <c r="A820" s="156">
        <v>44867</v>
      </c>
      <c r="B820" s="136" t="s">
        <v>10</v>
      </c>
      <c r="C820" s="157" t="str">
        <f t="shared" si="24"/>
        <v>02.11.2022_SAL1</v>
      </c>
      <c r="D820" s="190">
        <f t="shared" si="25"/>
        <v>0</v>
      </c>
      <c r="E820" s="133">
        <v>8.0399999999999991</v>
      </c>
      <c r="F820" s="134"/>
      <c r="G820" s="135">
        <v>190.5</v>
      </c>
      <c r="H820" s="137">
        <v>11.5</v>
      </c>
      <c r="I820" s="134"/>
      <c r="J820" s="137">
        <v>9.8000000000000007</v>
      </c>
      <c r="K820" s="134"/>
      <c r="L820" s="136">
        <v>40</v>
      </c>
      <c r="M820" s="181"/>
      <c r="N820" s="159"/>
      <c r="O820" s="159"/>
      <c r="P820" s="136" t="s">
        <v>174</v>
      </c>
    </row>
    <row r="821" spans="1:16" ht="16.5" customHeight="1" x14ac:dyDescent="0.25">
      <c r="A821" s="156">
        <v>44867</v>
      </c>
      <c r="B821" s="136" t="s">
        <v>12</v>
      </c>
      <c r="C821" s="157" t="str">
        <f t="shared" si="24"/>
        <v>02.11.2022_SAL2</v>
      </c>
      <c r="D821" s="190">
        <f t="shared" si="25"/>
        <v>0</v>
      </c>
      <c r="E821" s="133">
        <v>8.16</v>
      </c>
      <c r="F821" s="134"/>
      <c r="G821" s="135">
        <v>196</v>
      </c>
      <c r="H821" s="137">
        <v>11.6</v>
      </c>
      <c r="I821" s="134"/>
      <c r="J821" s="137">
        <v>10.1</v>
      </c>
      <c r="K821" s="134"/>
      <c r="L821" s="136">
        <v>50</v>
      </c>
      <c r="M821" s="181"/>
      <c r="N821" s="159"/>
      <c r="O821" s="159"/>
      <c r="P821" s="136" t="s">
        <v>174</v>
      </c>
    </row>
    <row r="822" spans="1:16" ht="16.5" customHeight="1" x14ac:dyDescent="0.25">
      <c r="A822" s="156">
        <v>44867</v>
      </c>
      <c r="B822" s="136" t="s">
        <v>7</v>
      </c>
      <c r="C822" s="157" t="str">
        <f t="shared" si="24"/>
        <v>02.11.2022_STE1</v>
      </c>
      <c r="D822" s="190">
        <f t="shared" si="25"/>
        <v>0</v>
      </c>
      <c r="E822" s="133">
        <v>8.06</v>
      </c>
      <c r="F822" s="134"/>
      <c r="G822" s="135">
        <v>284</v>
      </c>
      <c r="H822" s="137">
        <v>11.3</v>
      </c>
      <c r="I822" s="134"/>
      <c r="J822" s="137">
        <v>10.199999999999999</v>
      </c>
      <c r="K822" s="134"/>
      <c r="L822" s="136">
        <v>30</v>
      </c>
      <c r="M822" s="181"/>
      <c r="N822" s="159"/>
      <c r="O822" s="159"/>
      <c r="P822" s="136" t="s">
        <v>173</v>
      </c>
    </row>
    <row r="823" spans="1:16" ht="16.5" customHeight="1" x14ac:dyDescent="0.25">
      <c r="A823" s="156">
        <v>44867</v>
      </c>
      <c r="B823" s="136" t="s">
        <v>9</v>
      </c>
      <c r="C823" s="157" t="str">
        <f t="shared" si="24"/>
        <v>02.11.2022_STE2</v>
      </c>
      <c r="D823" s="190">
        <f t="shared" si="25"/>
        <v>0</v>
      </c>
      <c r="E823" s="133">
        <v>8.18</v>
      </c>
      <c r="F823" s="134"/>
      <c r="G823" s="135">
        <v>292</v>
      </c>
      <c r="H823" s="137">
        <v>11.2</v>
      </c>
      <c r="I823" s="134"/>
      <c r="J823" s="137">
        <v>9.9</v>
      </c>
      <c r="K823" s="134"/>
      <c r="L823" s="136">
        <v>40</v>
      </c>
      <c r="M823" s="181"/>
      <c r="N823" s="159"/>
      <c r="O823" s="159"/>
      <c r="P823" s="136" t="s">
        <v>173</v>
      </c>
    </row>
    <row r="824" spans="1:16" ht="16.5" customHeight="1" x14ac:dyDescent="0.25">
      <c r="A824" s="156">
        <v>44880</v>
      </c>
      <c r="B824" s="136" t="s">
        <v>22</v>
      </c>
      <c r="C824" s="157" t="str">
        <f t="shared" si="24"/>
        <v>15.11.2022_BIE1</v>
      </c>
      <c r="D824" s="190">
        <f t="shared" si="25"/>
        <v>0</v>
      </c>
      <c r="E824" s="133">
        <v>7.71</v>
      </c>
      <c r="F824" s="134"/>
      <c r="G824" s="135">
        <v>183</v>
      </c>
      <c r="H824" s="137">
        <v>12.6</v>
      </c>
      <c r="I824" s="134"/>
      <c r="J824" s="137">
        <v>7.9</v>
      </c>
      <c r="K824" s="134"/>
      <c r="L824" s="136">
        <v>30</v>
      </c>
      <c r="M824" s="181"/>
      <c r="N824" s="159"/>
      <c r="O824" s="159"/>
      <c r="P824" s="136"/>
    </row>
    <row r="825" spans="1:16" ht="16.5" customHeight="1" x14ac:dyDescent="0.25">
      <c r="A825" s="156">
        <v>44880</v>
      </c>
      <c r="B825" s="136" t="s">
        <v>25</v>
      </c>
      <c r="C825" s="157" t="str">
        <f t="shared" si="24"/>
        <v>15.11.2022_BIE2</v>
      </c>
      <c r="D825" s="190">
        <f t="shared" si="25"/>
        <v>0</v>
      </c>
      <c r="E825" s="133">
        <v>7.6</v>
      </c>
      <c r="F825" s="134"/>
      <c r="G825" s="135">
        <v>187</v>
      </c>
      <c r="H825" s="137">
        <v>12.4</v>
      </c>
      <c r="I825" s="134"/>
      <c r="J825" s="137">
        <v>8.6</v>
      </c>
      <c r="K825" s="134"/>
      <c r="L825" s="136">
        <v>50</v>
      </c>
      <c r="M825" s="181"/>
      <c r="N825" s="159"/>
      <c r="O825" s="159"/>
      <c r="P825" s="136"/>
    </row>
    <row r="826" spans="1:16" ht="16.5" customHeight="1" x14ac:dyDescent="0.25">
      <c r="A826" s="156">
        <v>44880</v>
      </c>
      <c r="B826" s="136" t="s">
        <v>30</v>
      </c>
      <c r="C826" s="157" t="str">
        <f t="shared" si="24"/>
        <v>15.11.2022_FAL1</v>
      </c>
      <c r="D826" s="190">
        <f t="shared" si="25"/>
        <v>0</v>
      </c>
      <c r="E826" s="133">
        <v>7.85</v>
      </c>
      <c r="F826" s="134"/>
      <c r="G826" s="135">
        <v>784</v>
      </c>
      <c r="H826" s="137">
        <v>11.7</v>
      </c>
      <c r="I826" s="134"/>
      <c r="J826" s="137">
        <v>8.6999999999999993</v>
      </c>
      <c r="K826" s="134"/>
      <c r="L826" s="136">
        <v>50</v>
      </c>
      <c r="M826" s="181"/>
      <c r="N826" s="159"/>
      <c r="O826" s="159"/>
      <c r="P826" s="136"/>
    </row>
    <row r="827" spans="1:16" ht="16.5" customHeight="1" x14ac:dyDescent="0.25">
      <c r="A827" s="156">
        <v>44880</v>
      </c>
      <c r="B827" s="136" t="s">
        <v>32</v>
      </c>
      <c r="C827" s="157" t="str">
        <f t="shared" si="24"/>
        <v>15.11.2022_FAL2</v>
      </c>
      <c r="D827" s="190">
        <f t="shared" si="25"/>
        <v>0</v>
      </c>
      <c r="E827" s="133">
        <v>8.06</v>
      </c>
      <c r="F827" s="134"/>
      <c r="G827" s="135">
        <v>788</v>
      </c>
      <c r="H827" s="137">
        <v>11.4</v>
      </c>
      <c r="I827" s="134"/>
      <c r="J827" s="137">
        <v>8.5</v>
      </c>
      <c r="K827" s="134"/>
      <c r="L827" s="136">
        <v>50</v>
      </c>
      <c r="M827" s="181"/>
      <c r="N827" s="159"/>
      <c r="O827" s="159"/>
      <c r="P827" s="136"/>
    </row>
    <row r="828" spans="1:16" ht="16.5" customHeight="1" x14ac:dyDescent="0.25">
      <c r="A828" s="156">
        <v>44880</v>
      </c>
      <c r="B828" s="136" t="s">
        <v>26</v>
      </c>
      <c r="C828" s="157" t="str">
        <f t="shared" si="24"/>
        <v>15.11.2022_GRU1</v>
      </c>
      <c r="D828" s="190">
        <f t="shared" si="25"/>
        <v>0</v>
      </c>
      <c r="E828" s="133">
        <v>7.29</v>
      </c>
      <c r="F828" s="134"/>
      <c r="G828" s="135">
        <v>166.2</v>
      </c>
      <c r="H828" s="137">
        <v>12.7</v>
      </c>
      <c r="I828" s="134"/>
      <c r="J828" s="137">
        <v>7.9</v>
      </c>
      <c r="K828" s="134"/>
      <c r="L828" s="136">
        <v>35</v>
      </c>
      <c r="M828" s="181"/>
      <c r="N828" s="159"/>
      <c r="O828" s="159"/>
      <c r="P828" s="136" t="s">
        <v>229</v>
      </c>
    </row>
    <row r="829" spans="1:16" ht="16.5" customHeight="1" x14ac:dyDescent="0.25">
      <c r="A829" s="156">
        <v>44880</v>
      </c>
      <c r="B829" s="136" t="s">
        <v>28</v>
      </c>
      <c r="C829" s="157" t="str">
        <f t="shared" si="24"/>
        <v>15.11.2022_GRU2</v>
      </c>
      <c r="D829" s="190">
        <f t="shared" si="25"/>
        <v>0</v>
      </c>
      <c r="E829" s="133">
        <v>7.21</v>
      </c>
      <c r="F829" s="134"/>
      <c r="G829" s="135">
        <v>185.5</v>
      </c>
      <c r="H829" s="137">
        <v>12.4</v>
      </c>
      <c r="I829" s="134"/>
      <c r="J829" s="137">
        <v>8.3000000000000007</v>
      </c>
      <c r="K829" s="134"/>
      <c r="L829" s="136">
        <v>50</v>
      </c>
      <c r="M829" s="181"/>
      <c r="N829" s="159"/>
      <c r="O829" s="159"/>
      <c r="P829" s="136"/>
    </row>
    <row r="830" spans="1:16" ht="16.5" customHeight="1" x14ac:dyDescent="0.25">
      <c r="A830" s="156">
        <v>44880</v>
      </c>
      <c r="B830" s="136" t="s">
        <v>34</v>
      </c>
      <c r="C830" s="157" t="str">
        <f t="shared" si="24"/>
        <v>15.11.2022_KRE1</v>
      </c>
      <c r="D830" s="190">
        <f t="shared" si="25"/>
        <v>0</v>
      </c>
      <c r="E830" s="133">
        <v>7.82</v>
      </c>
      <c r="F830" s="134"/>
      <c r="G830" s="135">
        <v>853</v>
      </c>
      <c r="H830" s="137">
        <v>9.5</v>
      </c>
      <c r="I830" s="134"/>
      <c r="J830" s="137">
        <v>7.5</v>
      </c>
      <c r="K830" s="134"/>
      <c r="L830" s="136">
        <v>35</v>
      </c>
      <c r="M830" s="181"/>
      <c r="N830" s="159"/>
      <c r="O830" s="159"/>
      <c r="P830" s="136"/>
    </row>
    <row r="831" spans="1:16" ht="16.5" customHeight="1" x14ac:dyDescent="0.25">
      <c r="A831" s="156">
        <v>44880</v>
      </c>
      <c r="B831" s="136" t="s">
        <v>37</v>
      </c>
      <c r="C831" s="157" t="str">
        <f t="shared" si="24"/>
        <v>15.11.2022_KRE2</v>
      </c>
      <c r="D831" s="190">
        <f t="shared" si="25"/>
        <v>0</v>
      </c>
      <c r="E831" s="133">
        <v>7.86</v>
      </c>
      <c r="F831" s="134"/>
      <c r="G831" s="135">
        <v>822</v>
      </c>
      <c r="H831" s="137">
        <v>10.9</v>
      </c>
      <c r="I831" s="134"/>
      <c r="J831" s="137">
        <v>7.9</v>
      </c>
      <c r="K831" s="134"/>
      <c r="L831" s="136">
        <v>50</v>
      </c>
      <c r="M831" s="181"/>
      <c r="N831" s="159"/>
      <c r="O831" s="159"/>
      <c r="P831" s="136"/>
    </row>
    <row r="832" spans="1:16" ht="16.5" customHeight="1" x14ac:dyDescent="0.25">
      <c r="A832" s="156">
        <v>44880</v>
      </c>
      <c r="B832" s="136" t="s">
        <v>14</v>
      </c>
      <c r="C832" s="157" t="str">
        <f t="shared" si="24"/>
        <v>15.11.2022_BRA1</v>
      </c>
      <c r="D832" s="190">
        <f t="shared" si="25"/>
        <v>0</v>
      </c>
      <c r="E832" s="133">
        <v>8.1</v>
      </c>
      <c r="F832" s="134"/>
      <c r="G832" s="135">
        <v>191.9</v>
      </c>
      <c r="H832" s="137">
        <v>12.5</v>
      </c>
      <c r="I832" s="134"/>
      <c r="J832" s="137">
        <v>8.5</v>
      </c>
      <c r="K832" s="134"/>
      <c r="L832" s="136">
        <v>25</v>
      </c>
      <c r="M832" s="181"/>
      <c r="N832" s="159"/>
      <c r="O832" s="159"/>
      <c r="P832" s="136" t="s">
        <v>215</v>
      </c>
    </row>
    <row r="833" spans="1:16" ht="16.5" customHeight="1" x14ac:dyDescent="0.25">
      <c r="A833" s="156">
        <v>44880</v>
      </c>
      <c r="B833" s="136" t="s">
        <v>17</v>
      </c>
      <c r="C833" s="157" t="str">
        <f t="shared" si="24"/>
        <v>15.11.2022_BRA2</v>
      </c>
      <c r="D833" s="190">
        <f t="shared" si="25"/>
        <v>0</v>
      </c>
      <c r="E833" s="133">
        <v>8.1999999999999993</v>
      </c>
      <c r="F833" s="134"/>
      <c r="G833" s="135">
        <v>201</v>
      </c>
      <c r="H833" s="137">
        <v>12.2</v>
      </c>
      <c r="I833" s="134"/>
      <c r="J833" s="137">
        <v>9.1</v>
      </c>
      <c r="K833" s="134"/>
      <c r="L833" s="136">
        <v>35</v>
      </c>
      <c r="M833" s="181"/>
      <c r="N833" s="159"/>
      <c r="O833" s="159"/>
      <c r="P833" s="136" t="s">
        <v>215</v>
      </c>
    </row>
    <row r="834" spans="1:16" ht="16.5" customHeight="1" x14ac:dyDescent="0.25">
      <c r="A834" s="156">
        <v>44880</v>
      </c>
      <c r="B834" s="136" t="s">
        <v>0</v>
      </c>
      <c r="C834" s="157" t="str">
        <f t="shared" si="24"/>
        <v>15.11.2022_KIN1</v>
      </c>
      <c r="D834" s="190">
        <f t="shared" si="25"/>
        <v>0</v>
      </c>
      <c r="E834" s="133">
        <v>8.31</v>
      </c>
      <c r="F834" s="134"/>
      <c r="G834" s="135">
        <v>429</v>
      </c>
      <c r="H834" s="137">
        <v>11.8</v>
      </c>
      <c r="I834" s="134"/>
      <c r="J834" s="137">
        <v>8</v>
      </c>
      <c r="K834" s="134"/>
      <c r="L834" s="136">
        <v>25</v>
      </c>
      <c r="M834" s="181"/>
      <c r="N834" s="159"/>
      <c r="O834" s="159"/>
      <c r="P834" s="136" t="s">
        <v>215</v>
      </c>
    </row>
    <row r="835" spans="1:16" ht="16.5" customHeight="1" x14ac:dyDescent="0.25">
      <c r="A835" s="156">
        <v>44880</v>
      </c>
      <c r="B835" s="136" t="s">
        <v>2</v>
      </c>
      <c r="C835" s="157" t="str">
        <f t="shared" si="24"/>
        <v>15.11.2022_KIN2</v>
      </c>
      <c r="D835" s="190">
        <f t="shared" si="25"/>
        <v>0</v>
      </c>
      <c r="E835" s="133">
        <v>8.1999999999999993</v>
      </c>
      <c r="F835" s="134"/>
      <c r="G835" s="135">
        <v>496</v>
      </c>
      <c r="H835" s="137">
        <v>11.7</v>
      </c>
      <c r="I835" s="134"/>
      <c r="J835" s="137">
        <v>8.9</v>
      </c>
      <c r="K835" s="134"/>
      <c r="L835" s="136">
        <v>35</v>
      </c>
      <c r="M835" s="181"/>
      <c r="N835" s="159"/>
      <c r="O835" s="159"/>
      <c r="P835" s="136" t="s">
        <v>215</v>
      </c>
    </row>
    <row r="836" spans="1:16" ht="16.5" customHeight="1" x14ac:dyDescent="0.25">
      <c r="A836" s="156">
        <v>44880</v>
      </c>
      <c r="B836" s="136" t="s">
        <v>4</v>
      </c>
      <c r="C836" s="157" t="str">
        <f t="shared" si="24"/>
        <v>15.11.2022_KIN3</v>
      </c>
      <c r="D836" s="190">
        <f t="shared" si="25"/>
        <v>0</v>
      </c>
      <c r="E836" s="133">
        <v>8.27</v>
      </c>
      <c r="F836" s="134"/>
      <c r="G836" s="135">
        <v>496</v>
      </c>
      <c r="H836" s="137">
        <v>12.1</v>
      </c>
      <c r="I836" s="134"/>
      <c r="J836" s="137">
        <v>8.4</v>
      </c>
      <c r="K836" s="134"/>
      <c r="L836" s="136">
        <v>75</v>
      </c>
      <c r="M836" s="181"/>
      <c r="N836" s="159"/>
      <c r="O836" s="159"/>
      <c r="P836" s="136" t="s">
        <v>174</v>
      </c>
    </row>
    <row r="837" spans="1:16" ht="16.5" customHeight="1" x14ac:dyDescent="0.25">
      <c r="A837" s="156">
        <v>44880</v>
      </c>
      <c r="B837" s="136" t="s">
        <v>6</v>
      </c>
      <c r="C837" s="157" t="str">
        <f t="shared" ref="C837:C900" si="26">CONCATENATE(TEXT(A837,"TT.MM.JJJJ"),"_",B837)</f>
        <v>15.11.2022_KIN4</v>
      </c>
      <c r="D837" s="190">
        <f t="shared" ref="D837:D900" si="27">COUNTBLANK(E837)+COUNTBLANK(G837:H837)+COUNTBLANK(J837)+COUNTBLANK(L837)</f>
        <v>0</v>
      </c>
      <c r="E837" s="133">
        <v>8.11</v>
      </c>
      <c r="F837" s="134"/>
      <c r="G837" s="135">
        <v>518</v>
      </c>
      <c r="H837" s="137">
        <v>11.7</v>
      </c>
      <c r="I837" s="134"/>
      <c r="J837" s="137">
        <v>8.6</v>
      </c>
      <c r="K837" s="134"/>
      <c r="L837" s="136">
        <v>50</v>
      </c>
      <c r="M837" s="181"/>
      <c r="N837" s="159"/>
      <c r="O837" s="159"/>
      <c r="P837" s="136" t="s">
        <v>174</v>
      </c>
    </row>
    <row r="838" spans="1:16" ht="16.5" customHeight="1" x14ac:dyDescent="0.25">
      <c r="A838" s="156">
        <v>44880</v>
      </c>
      <c r="B838" s="136" t="s">
        <v>18</v>
      </c>
      <c r="C838" s="157" t="str">
        <f t="shared" si="26"/>
        <v>15.11.2022_ORB1</v>
      </c>
      <c r="D838" s="190">
        <f t="shared" si="27"/>
        <v>0</v>
      </c>
      <c r="E838" s="133">
        <v>7.38</v>
      </c>
      <c r="F838" s="134"/>
      <c r="G838" s="135">
        <v>131.30000000000001</v>
      </c>
      <c r="H838" s="137">
        <v>12.1</v>
      </c>
      <c r="I838" s="134"/>
      <c r="J838" s="137">
        <v>10.199999999999999</v>
      </c>
      <c r="K838" s="134"/>
      <c r="L838" s="136">
        <v>10</v>
      </c>
      <c r="M838" s="181"/>
      <c r="N838" s="159"/>
      <c r="O838" s="159"/>
      <c r="P838" s="136" t="s">
        <v>174</v>
      </c>
    </row>
    <row r="839" spans="1:16" ht="16.5" customHeight="1" x14ac:dyDescent="0.25">
      <c r="A839" s="156">
        <v>44880</v>
      </c>
      <c r="B839" s="136" t="s">
        <v>21</v>
      </c>
      <c r="C839" s="157" t="str">
        <f t="shared" si="26"/>
        <v>15.11.2022_ORB2</v>
      </c>
      <c r="D839" s="190">
        <f t="shared" si="27"/>
        <v>0</v>
      </c>
      <c r="E839" s="133">
        <v>7.21</v>
      </c>
      <c r="F839" s="134"/>
      <c r="G839" s="135">
        <v>187.5</v>
      </c>
      <c r="H839" s="137">
        <v>11.6</v>
      </c>
      <c r="I839" s="134"/>
      <c r="J839" s="137">
        <v>10.199999999999999</v>
      </c>
      <c r="K839" s="134"/>
      <c r="L839" s="136">
        <v>30</v>
      </c>
      <c r="M839" s="181"/>
      <c r="N839" s="159"/>
      <c r="O839" s="159"/>
      <c r="P839" s="136" t="s">
        <v>173</v>
      </c>
    </row>
    <row r="840" spans="1:16" ht="16.5" customHeight="1" x14ac:dyDescent="0.25">
      <c r="A840" s="156">
        <v>44880</v>
      </c>
      <c r="B840" s="136" t="s">
        <v>10</v>
      </c>
      <c r="C840" s="157" t="str">
        <f t="shared" si="26"/>
        <v>15.11.2022_SAL1</v>
      </c>
      <c r="D840" s="190">
        <f t="shared" si="27"/>
        <v>0</v>
      </c>
      <c r="E840" s="133">
        <v>8.1300000000000008</v>
      </c>
      <c r="F840" s="134"/>
      <c r="G840" s="135">
        <v>212</v>
      </c>
      <c r="H840" s="137">
        <v>12.7</v>
      </c>
      <c r="I840" s="134"/>
      <c r="J840" s="137">
        <v>8.1999999999999993</v>
      </c>
      <c r="K840" s="134"/>
      <c r="L840" s="136">
        <v>40</v>
      </c>
      <c r="M840" s="181"/>
      <c r="N840" s="159"/>
      <c r="O840" s="159"/>
      <c r="P840" s="136" t="s">
        <v>174</v>
      </c>
    </row>
    <row r="841" spans="1:16" ht="16.5" customHeight="1" x14ac:dyDescent="0.25">
      <c r="A841" s="156">
        <v>44880</v>
      </c>
      <c r="B841" s="136" t="s">
        <v>12</v>
      </c>
      <c r="C841" s="157" t="str">
        <f t="shared" si="26"/>
        <v>15.11.2022_SAL2</v>
      </c>
      <c r="D841" s="190">
        <f t="shared" si="27"/>
        <v>0</v>
      </c>
      <c r="E841" s="133">
        <v>8.4499999999999993</v>
      </c>
      <c r="F841" s="134"/>
      <c r="G841" s="135">
        <v>221</v>
      </c>
      <c r="H841" s="137">
        <v>13</v>
      </c>
      <c r="I841" s="134"/>
      <c r="J841" s="137">
        <v>8.1</v>
      </c>
      <c r="K841" s="134"/>
      <c r="L841" s="136">
        <v>45</v>
      </c>
      <c r="M841" s="181"/>
      <c r="N841" s="159"/>
      <c r="O841" s="159"/>
      <c r="P841" s="136" t="s">
        <v>174</v>
      </c>
    </row>
    <row r="842" spans="1:16" ht="16.5" customHeight="1" x14ac:dyDescent="0.25">
      <c r="A842" s="156">
        <v>44880</v>
      </c>
      <c r="B842" s="136" t="s">
        <v>7</v>
      </c>
      <c r="C842" s="157" t="str">
        <f t="shared" si="26"/>
        <v>15.11.2022_STE1</v>
      </c>
      <c r="D842" s="190">
        <f t="shared" si="27"/>
        <v>0</v>
      </c>
      <c r="E842" s="133">
        <v>8.2200000000000006</v>
      </c>
      <c r="F842" s="134"/>
      <c r="G842" s="135">
        <v>315</v>
      </c>
      <c r="H842" s="137">
        <v>12.5</v>
      </c>
      <c r="I842" s="134"/>
      <c r="J842" s="137">
        <v>8.1</v>
      </c>
      <c r="K842" s="134"/>
      <c r="L842" s="136">
        <v>30</v>
      </c>
      <c r="M842" s="181"/>
      <c r="N842" s="159"/>
      <c r="O842" s="159"/>
      <c r="P842" s="136" t="s">
        <v>173</v>
      </c>
    </row>
    <row r="843" spans="1:16" ht="16.5" customHeight="1" x14ac:dyDescent="0.25">
      <c r="A843" s="156">
        <v>44880</v>
      </c>
      <c r="B843" s="136" t="s">
        <v>9</v>
      </c>
      <c r="C843" s="157" t="str">
        <f t="shared" si="26"/>
        <v>15.11.2022_STE2</v>
      </c>
      <c r="D843" s="190">
        <f t="shared" si="27"/>
        <v>0</v>
      </c>
      <c r="E843" s="133">
        <v>8.26</v>
      </c>
      <c r="F843" s="134"/>
      <c r="G843" s="135">
        <v>318</v>
      </c>
      <c r="H843" s="137">
        <v>12.4</v>
      </c>
      <c r="I843" s="134"/>
      <c r="J843" s="137">
        <v>8.1</v>
      </c>
      <c r="K843" s="134"/>
      <c r="L843" s="136">
        <v>40</v>
      </c>
      <c r="M843" s="181"/>
      <c r="N843" s="159"/>
      <c r="O843" s="159"/>
      <c r="P843" s="136" t="s">
        <v>173</v>
      </c>
    </row>
    <row r="844" spans="1:16" ht="16.5" customHeight="1" x14ac:dyDescent="0.25">
      <c r="A844" s="156">
        <v>44893</v>
      </c>
      <c r="B844" s="136" t="s">
        <v>22</v>
      </c>
      <c r="C844" s="157" t="str">
        <f t="shared" si="26"/>
        <v>28.11.2022_BIE1</v>
      </c>
      <c r="D844" s="190">
        <f t="shared" si="27"/>
        <v>0</v>
      </c>
      <c r="E844" s="133">
        <v>7.73</v>
      </c>
      <c r="F844" s="134"/>
      <c r="G844" s="135">
        <v>195</v>
      </c>
      <c r="H844" s="137">
        <v>11.4</v>
      </c>
      <c r="I844" s="134"/>
      <c r="J844" s="137">
        <v>9.1999999999999993</v>
      </c>
      <c r="K844" s="134"/>
      <c r="L844" s="136">
        <v>25</v>
      </c>
      <c r="M844" s="181"/>
      <c r="N844" s="159"/>
      <c r="O844" s="159"/>
      <c r="P844" s="136" t="s">
        <v>230</v>
      </c>
    </row>
    <row r="845" spans="1:16" ht="16.5" customHeight="1" x14ac:dyDescent="0.25">
      <c r="A845" s="156">
        <v>44893</v>
      </c>
      <c r="B845" s="136" t="s">
        <v>25</v>
      </c>
      <c r="C845" s="157" t="str">
        <f t="shared" si="26"/>
        <v>28.11.2022_BIE2</v>
      </c>
      <c r="D845" s="190">
        <f t="shared" si="27"/>
        <v>0</v>
      </c>
      <c r="E845" s="133">
        <v>7.58</v>
      </c>
      <c r="F845" s="134"/>
      <c r="G845" s="135">
        <v>176</v>
      </c>
      <c r="H845" s="137">
        <v>11.5</v>
      </c>
      <c r="I845" s="134"/>
      <c r="J845" s="137">
        <v>7.1</v>
      </c>
      <c r="K845" s="134"/>
      <c r="L845" s="136">
        <v>50</v>
      </c>
      <c r="M845" s="181"/>
      <c r="N845" s="159"/>
      <c r="O845" s="159"/>
      <c r="P845" s="136"/>
    </row>
    <row r="846" spans="1:16" ht="16.5" customHeight="1" x14ac:dyDescent="0.25">
      <c r="A846" s="156">
        <v>44893</v>
      </c>
      <c r="B846" s="136" t="s">
        <v>30</v>
      </c>
      <c r="C846" s="157" t="str">
        <f t="shared" si="26"/>
        <v>28.11.2022_FAL1</v>
      </c>
      <c r="D846" s="190">
        <f t="shared" si="27"/>
        <v>0</v>
      </c>
      <c r="E846" s="133">
        <v>7.73</v>
      </c>
      <c r="F846" s="134"/>
      <c r="G846" s="135">
        <v>751</v>
      </c>
      <c r="H846" s="137">
        <v>8.6999999999999993</v>
      </c>
      <c r="I846" s="134"/>
      <c r="J846" s="137">
        <v>10.6</v>
      </c>
      <c r="K846" s="134"/>
      <c r="L846" s="136">
        <v>60</v>
      </c>
      <c r="M846" s="181"/>
      <c r="N846" s="159"/>
      <c r="O846" s="159" t="s">
        <v>388</v>
      </c>
      <c r="P846" s="136"/>
    </row>
    <row r="847" spans="1:16" ht="16.5" customHeight="1" x14ac:dyDescent="0.25">
      <c r="A847" s="156">
        <v>44893</v>
      </c>
      <c r="B847" s="136" t="s">
        <v>32</v>
      </c>
      <c r="C847" s="157" t="str">
        <f t="shared" si="26"/>
        <v>28.11.2022_FAL2</v>
      </c>
      <c r="D847" s="190">
        <f t="shared" si="27"/>
        <v>0</v>
      </c>
      <c r="E847" s="133">
        <v>8.07</v>
      </c>
      <c r="F847" s="134"/>
      <c r="G847" s="135">
        <v>761</v>
      </c>
      <c r="H847" s="137">
        <v>12.2</v>
      </c>
      <c r="I847" s="134"/>
      <c r="J847" s="137">
        <v>8.5</v>
      </c>
      <c r="K847" s="134"/>
      <c r="L847" s="136">
        <v>50</v>
      </c>
      <c r="M847" s="181"/>
      <c r="N847" s="159"/>
      <c r="O847" s="159"/>
      <c r="P847" s="136"/>
    </row>
    <row r="848" spans="1:16" ht="16.5" customHeight="1" x14ac:dyDescent="0.25">
      <c r="A848" s="156">
        <v>44893</v>
      </c>
      <c r="B848" s="136" t="s">
        <v>26</v>
      </c>
      <c r="C848" s="157" t="str">
        <f t="shared" si="26"/>
        <v>28.11.2022_GRU1</v>
      </c>
      <c r="D848" s="190">
        <f t="shared" si="27"/>
        <v>0</v>
      </c>
      <c r="E848" s="133">
        <v>7.36</v>
      </c>
      <c r="F848" s="134"/>
      <c r="G848" s="135">
        <v>153.4</v>
      </c>
      <c r="H848" s="137">
        <v>11.8</v>
      </c>
      <c r="I848" s="134"/>
      <c r="J848" s="137">
        <v>8.8000000000000007</v>
      </c>
      <c r="K848" s="134"/>
      <c r="L848" s="136">
        <v>20</v>
      </c>
      <c r="M848" s="181"/>
      <c r="N848" s="159"/>
      <c r="O848" s="159"/>
      <c r="P848" s="136"/>
    </row>
    <row r="849" spans="1:16" ht="16.5" customHeight="1" x14ac:dyDescent="0.25">
      <c r="A849" s="156">
        <v>44893</v>
      </c>
      <c r="B849" s="136" t="s">
        <v>28</v>
      </c>
      <c r="C849" s="157" t="str">
        <f t="shared" si="26"/>
        <v>28.11.2022_GRU2</v>
      </c>
      <c r="D849" s="190">
        <f t="shared" si="27"/>
        <v>0</v>
      </c>
      <c r="E849" s="133">
        <v>7.34</v>
      </c>
      <c r="F849" s="134"/>
      <c r="G849" s="135">
        <v>167.1</v>
      </c>
      <c r="H849" s="137">
        <v>11</v>
      </c>
      <c r="I849" s="134"/>
      <c r="J849" s="137">
        <v>8.9</v>
      </c>
      <c r="K849" s="134"/>
      <c r="L849" s="136">
        <v>50</v>
      </c>
      <c r="M849" s="181"/>
      <c r="N849" s="159"/>
      <c r="O849" s="159" t="s">
        <v>388</v>
      </c>
      <c r="P849" s="136"/>
    </row>
    <row r="850" spans="1:16" ht="16.5" customHeight="1" x14ac:dyDescent="0.25">
      <c r="A850" s="156">
        <v>44893</v>
      </c>
      <c r="B850" s="136" t="s">
        <v>34</v>
      </c>
      <c r="C850" s="157" t="str">
        <f t="shared" si="26"/>
        <v>28.11.2022_KRE1</v>
      </c>
      <c r="D850" s="190">
        <f t="shared" si="27"/>
        <v>0</v>
      </c>
      <c r="E850" s="133">
        <v>7.8</v>
      </c>
      <c r="F850" s="134"/>
      <c r="G850" s="135">
        <v>783</v>
      </c>
      <c r="H850" s="137">
        <v>10.7</v>
      </c>
      <c r="I850" s="134"/>
      <c r="J850" s="137">
        <v>7.1</v>
      </c>
      <c r="K850" s="134"/>
      <c r="L850" s="136">
        <v>30</v>
      </c>
      <c r="M850" s="181"/>
      <c r="N850" s="159"/>
      <c r="O850" s="159"/>
      <c r="P850" s="136"/>
    </row>
    <row r="851" spans="1:16" ht="16.5" customHeight="1" x14ac:dyDescent="0.25">
      <c r="A851" s="156">
        <v>44893</v>
      </c>
      <c r="B851" s="136" t="s">
        <v>37</v>
      </c>
      <c r="C851" s="157" t="str">
        <f t="shared" si="26"/>
        <v>28.11.2022_KRE2</v>
      </c>
      <c r="D851" s="190">
        <f t="shared" si="27"/>
        <v>0</v>
      </c>
      <c r="E851" s="133">
        <v>8.08</v>
      </c>
      <c r="F851" s="134"/>
      <c r="G851" s="135">
        <v>808</v>
      </c>
      <c r="H851" s="278">
        <v>10.6</v>
      </c>
      <c r="I851" s="161" t="s">
        <v>269</v>
      </c>
      <c r="J851" s="137">
        <v>6.9</v>
      </c>
      <c r="K851" s="161"/>
      <c r="L851" s="136">
        <v>50</v>
      </c>
      <c r="M851" s="181"/>
      <c r="N851" s="159"/>
      <c r="O851" s="159" t="s">
        <v>401</v>
      </c>
      <c r="P851" s="136"/>
    </row>
    <row r="852" spans="1:16" ht="16.5" customHeight="1" x14ac:dyDescent="0.25">
      <c r="A852" s="156">
        <v>44893</v>
      </c>
      <c r="B852" s="136" t="s">
        <v>14</v>
      </c>
      <c r="C852" s="157" t="str">
        <f t="shared" si="26"/>
        <v>28.11.2022_BRA1</v>
      </c>
      <c r="D852" s="190">
        <f t="shared" si="27"/>
        <v>0</v>
      </c>
      <c r="E852" s="133">
        <v>6.78</v>
      </c>
      <c r="F852" s="134"/>
      <c r="G852" s="135">
        <v>175.9</v>
      </c>
      <c r="H852" s="137">
        <v>12</v>
      </c>
      <c r="I852" s="134"/>
      <c r="J852" s="137">
        <v>7.6</v>
      </c>
      <c r="K852" s="134"/>
      <c r="L852" s="136">
        <v>35</v>
      </c>
      <c r="M852" s="181"/>
      <c r="N852" s="159" t="s">
        <v>288</v>
      </c>
      <c r="O852" s="159"/>
      <c r="P852" s="159" t="s">
        <v>215</v>
      </c>
    </row>
    <row r="853" spans="1:16" ht="16.5" customHeight="1" x14ac:dyDescent="0.25">
      <c r="A853" s="156">
        <v>44893</v>
      </c>
      <c r="B853" s="136" t="s">
        <v>17</v>
      </c>
      <c r="C853" s="157" t="str">
        <f t="shared" si="26"/>
        <v>28.11.2022_BRA2</v>
      </c>
      <c r="D853" s="190">
        <f t="shared" si="27"/>
        <v>0</v>
      </c>
      <c r="E853" s="133">
        <v>7.76</v>
      </c>
      <c r="F853" s="134"/>
      <c r="G853" s="135">
        <v>177.2</v>
      </c>
      <c r="H853" s="137">
        <v>12.1</v>
      </c>
      <c r="I853" s="134"/>
      <c r="J853" s="137">
        <v>7.8</v>
      </c>
      <c r="K853" s="134"/>
      <c r="L853" s="136">
        <v>45</v>
      </c>
      <c r="M853" s="181"/>
      <c r="N853" s="159"/>
      <c r="O853" s="159"/>
      <c r="P853" s="136" t="s">
        <v>215</v>
      </c>
    </row>
    <row r="854" spans="1:16" ht="16.5" customHeight="1" x14ac:dyDescent="0.25">
      <c r="A854" s="156">
        <v>44893</v>
      </c>
      <c r="B854" s="136" t="s">
        <v>0</v>
      </c>
      <c r="C854" s="157" t="str">
        <f t="shared" si="26"/>
        <v>28.11.2022_KIN1</v>
      </c>
      <c r="D854" s="190">
        <f t="shared" si="27"/>
        <v>0</v>
      </c>
      <c r="E854" s="133">
        <v>8.2799999999999994</v>
      </c>
      <c r="F854" s="134"/>
      <c r="G854" s="135">
        <v>355</v>
      </c>
      <c r="H854" s="137">
        <v>12.9</v>
      </c>
      <c r="I854" s="134"/>
      <c r="J854" s="137">
        <v>5.7</v>
      </c>
      <c r="K854" s="134"/>
      <c r="L854" s="136">
        <v>35</v>
      </c>
      <c r="M854" s="181"/>
      <c r="N854" s="159"/>
      <c r="O854" s="159"/>
      <c r="P854" s="136" t="s">
        <v>215</v>
      </c>
    </row>
    <row r="855" spans="1:16" ht="16.5" customHeight="1" x14ac:dyDescent="0.25">
      <c r="A855" s="156">
        <v>44893</v>
      </c>
      <c r="B855" s="136" t="s">
        <v>2</v>
      </c>
      <c r="C855" s="157" t="str">
        <f t="shared" si="26"/>
        <v>28.11.2022_KIN2</v>
      </c>
      <c r="D855" s="190">
        <f t="shared" si="27"/>
        <v>0</v>
      </c>
      <c r="E855" s="133">
        <v>8.19</v>
      </c>
      <c r="F855" s="134"/>
      <c r="G855" s="135">
        <v>421</v>
      </c>
      <c r="H855" s="137">
        <v>13.1</v>
      </c>
      <c r="I855" s="134"/>
      <c r="J855" s="137">
        <v>6.5</v>
      </c>
      <c r="K855" s="134"/>
      <c r="L855" s="136">
        <v>40</v>
      </c>
      <c r="M855" s="181"/>
      <c r="N855" s="159"/>
      <c r="O855" s="159"/>
      <c r="P855" s="136" t="s">
        <v>215</v>
      </c>
    </row>
    <row r="856" spans="1:16" ht="16.5" customHeight="1" x14ac:dyDescent="0.25">
      <c r="A856" s="156">
        <v>44893</v>
      </c>
      <c r="B856" s="136" t="s">
        <v>4</v>
      </c>
      <c r="C856" s="157" t="str">
        <f t="shared" si="26"/>
        <v>28.11.2022_KIN3</v>
      </c>
      <c r="D856" s="190">
        <f t="shared" si="27"/>
        <v>0</v>
      </c>
      <c r="E856" s="133">
        <v>8.2899999999999991</v>
      </c>
      <c r="F856" s="134"/>
      <c r="G856" s="135">
        <v>398</v>
      </c>
      <c r="H856" s="137">
        <v>12.7</v>
      </c>
      <c r="I856" s="134"/>
      <c r="J856" s="137">
        <v>6.4</v>
      </c>
      <c r="K856" s="134"/>
      <c r="L856" s="136">
        <v>70</v>
      </c>
      <c r="M856" s="181"/>
      <c r="N856" s="159"/>
      <c r="O856" s="159"/>
      <c r="P856" s="136" t="s">
        <v>174</v>
      </c>
    </row>
    <row r="857" spans="1:16" ht="16.5" customHeight="1" x14ac:dyDescent="0.25">
      <c r="A857" s="156">
        <v>44893</v>
      </c>
      <c r="B857" s="136" t="s">
        <v>6</v>
      </c>
      <c r="C857" s="157" t="str">
        <f t="shared" si="26"/>
        <v>28.11.2022_KIN4</v>
      </c>
      <c r="D857" s="190">
        <f t="shared" si="27"/>
        <v>0</v>
      </c>
      <c r="E857" s="133">
        <v>8.1300000000000008</v>
      </c>
      <c r="F857" s="134"/>
      <c r="G857" s="135">
        <v>421</v>
      </c>
      <c r="H857" s="137">
        <v>11.8</v>
      </c>
      <c r="I857" s="134"/>
      <c r="J857" s="137">
        <v>7</v>
      </c>
      <c r="K857" s="134"/>
      <c r="L857" s="136">
        <v>50</v>
      </c>
      <c r="M857" s="181"/>
      <c r="N857" s="159"/>
      <c r="O857" s="159"/>
      <c r="P857" s="136" t="s">
        <v>174</v>
      </c>
    </row>
    <row r="858" spans="1:16" ht="16.5" customHeight="1" x14ac:dyDescent="0.25">
      <c r="A858" s="156">
        <v>44893</v>
      </c>
      <c r="B858" s="136" t="s">
        <v>18</v>
      </c>
      <c r="C858" s="157" t="str">
        <f t="shared" si="26"/>
        <v>28.11.2022_ORB1</v>
      </c>
      <c r="D858" s="190">
        <f t="shared" si="27"/>
        <v>0</v>
      </c>
      <c r="E858" s="133">
        <v>8.34</v>
      </c>
      <c r="F858" s="134"/>
      <c r="G858" s="135">
        <v>137.6</v>
      </c>
      <c r="H858" s="137">
        <v>12</v>
      </c>
      <c r="I858" s="134"/>
      <c r="J858" s="137">
        <v>8.6</v>
      </c>
      <c r="K858" s="134"/>
      <c r="L858" s="136">
        <v>10</v>
      </c>
      <c r="M858" s="181"/>
      <c r="N858" s="159"/>
      <c r="O858" s="159"/>
      <c r="P858" s="136" t="s">
        <v>174</v>
      </c>
    </row>
    <row r="859" spans="1:16" ht="16.5" customHeight="1" x14ac:dyDescent="0.25">
      <c r="A859" s="156">
        <v>44893</v>
      </c>
      <c r="B859" s="136" t="s">
        <v>21</v>
      </c>
      <c r="C859" s="157" t="str">
        <f t="shared" si="26"/>
        <v>28.11.2022_ORB2</v>
      </c>
      <c r="D859" s="190">
        <f t="shared" si="27"/>
        <v>0</v>
      </c>
      <c r="E859" s="133">
        <v>7.67</v>
      </c>
      <c r="F859" s="134"/>
      <c r="G859" s="135">
        <v>185</v>
      </c>
      <c r="H859" s="137">
        <v>11.7</v>
      </c>
      <c r="I859" s="134"/>
      <c r="J859" s="137">
        <v>8.8000000000000007</v>
      </c>
      <c r="K859" s="134"/>
      <c r="L859" s="136">
        <v>25</v>
      </c>
      <c r="M859" s="181"/>
      <c r="N859" s="159"/>
      <c r="O859" s="159"/>
      <c r="P859" s="136" t="s">
        <v>173</v>
      </c>
    </row>
    <row r="860" spans="1:16" ht="16.5" customHeight="1" x14ac:dyDescent="0.25">
      <c r="A860" s="156">
        <v>44893</v>
      </c>
      <c r="B860" s="136" t="s">
        <v>10</v>
      </c>
      <c r="C860" s="157" t="str">
        <f t="shared" si="26"/>
        <v>28.11.2022_SAL1</v>
      </c>
      <c r="D860" s="190">
        <f t="shared" si="27"/>
        <v>0</v>
      </c>
      <c r="E860" s="133">
        <v>7.71</v>
      </c>
      <c r="F860" s="134"/>
      <c r="G860" s="135">
        <v>167.8</v>
      </c>
      <c r="H860" s="137">
        <v>12.8</v>
      </c>
      <c r="I860" s="134"/>
      <c r="J860" s="137">
        <v>7.3</v>
      </c>
      <c r="K860" s="134"/>
      <c r="L860" s="136">
        <v>45</v>
      </c>
      <c r="M860" s="181"/>
      <c r="N860" s="159"/>
      <c r="O860" s="159"/>
      <c r="P860" s="136" t="s">
        <v>174</v>
      </c>
    </row>
    <row r="861" spans="1:16" ht="16.5" customHeight="1" x14ac:dyDescent="0.25">
      <c r="A861" s="156">
        <v>44893</v>
      </c>
      <c r="B861" s="136" t="s">
        <v>12</v>
      </c>
      <c r="C861" s="157" t="str">
        <f t="shared" si="26"/>
        <v>28.11.2022_SAL2</v>
      </c>
      <c r="D861" s="190">
        <f t="shared" si="27"/>
        <v>0</v>
      </c>
      <c r="E861" s="133">
        <v>7.88</v>
      </c>
      <c r="F861" s="134"/>
      <c r="G861" s="135">
        <v>177.3</v>
      </c>
      <c r="H861" s="137">
        <v>12.5</v>
      </c>
      <c r="I861" s="134"/>
      <c r="J861" s="137">
        <v>7.3</v>
      </c>
      <c r="K861" s="134"/>
      <c r="L861" s="136">
        <v>55.000000000000007</v>
      </c>
      <c r="M861" s="181"/>
      <c r="N861" s="159"/>
      <c r="O861" s="159"/>
      <c r="P861" s="136" t="s">
        <v>174</v>
      </c>
    </row>
    <row r="862" spans="1:16" ht="16.5" customHeight="1" x14ac:dyDescent="0.25">
      <c r="A862" s="156">
        <v>44893</v>
      </c>
      <c r="B862" s="136" t="s">
        <v>7</v>
      </c>
      <c r="C862" s="157" t="str">
        <f t="shared" si="26"/>
        <v>28.11.2022_STE1</v>
      </c>
      <c r="D862" s="190">
        <f t="shared" si="27"/>
        <v>0</v>
      </c>
      <c r="E862" s="133">
        <v>8.1</v>
      </c>
      <c r="F862" s="134"/>
      <c r="G862" s="135">
        <v>221</v>
      </c>
      <c r="H862" s="137">
        <v>12.1</v>
      </c>
      <c r="I862" s="134"/>
      <c r="J862" s="137">
        <v>6.9</v>
      </c>
      <c r="K862" s="134"/>
      <c r="L862" s="136">
        <v>35</v>
      </c>
      <c r="M862" s="181"/>
      <c r="N862" s="159"/>
      <c r="O862" s="159"/>
      <c r="P862" s="136" t="s">
        <v>173</v>
      </c>
    </row>
    <row r="863" spans="1:16" ht="16.5" customHeight="1" x14ac:dyDescent="0.25">
      <c r="A863" s="156">
        <v>44893</v>
      </c>
      <c r="B863" s="136" t="s">
        <v>9</v>
      </c>
      <c r="C863" s="157" t="str">
        <f t="shared" si="26"/>
        <v>28.11.2022_STE2</v>
      </c>
      <c r="D863" s="190">
        <f t="shared" si="27"/>
        <v>0</v>
      </c>
      <c r="E863" s="133">
        <v>8.15</v>
      </c>
      <c r="F863" s="134"/>
      <c r="G863" s="135">
        <v>210</v>
      </c>
      <c r="H863" s="137">
        <v>12.3</v>
      </c>
      <c r="I863" s="134"/>
      <c r="J863" s="137">
        <v>7.2</v>
      </c>
      <c r="K863" s="134"/>
      <c r="L863" s="136">
        <v>50</v>
      </c>
      <c r="M863" s="181"/>
      <c r="N863" s="159"/>
      <c r="O863" s="159"/>
      <c r="P863" s="136" t="s">
        <v>173</v>
      </c>
    </row>
    <row r="864" spans="1:16" ht="16.5" customHeight="1" x14ac:dyDescent="0.25">
      <c r="A864" s="156">
        <v>44909</v>
      </c>
      <c r="B864" s="136" t="s">
        <v>22</v>
      </c>
      <c r="C864" s="157" t="str">
        <f t="shared" si="26"/>
        <v>14.12.2022_BIE1</v>
      </c>
      <c r="D864" s="190">
        <f t="shared" si="27"/>
        <v>0</v>
      </c>
      <c r="E864" s="133">
        <v>7.86</v>
      </c>
      <c r="F864" s="134"/>
      <c r="G864" s="135">
        <v>185</v>
      </c>
      <c r="H864" s="137">
        <v>16.399999999999999</v>
      </c>
      <c r="I864" s="134"/>
      <c r="J864" s="137">
        <v>2.7</v>
      </c>
      <c r="K864" s="134"/>
      <c r="L864" s="136">
        <v>25</v>
      </c>
      <c r="M864" s="181"/>
      <c r="N864" s="159"/>
      <c r="O864" s="159"/>
      <c r="P864" s="136"/>
    </row>
    <row r="865" spans="1:16" ht="16.5" customHeight="1" x14ac:dyDescent="0.25">
      <c r="A865" s="156">
        <v>44909</v>
      </c>
      <c r="B865" s="136" t="s">
        <v>25</v>
      </c>
      <c r="C865" s="157" t="str">
        <f t="shared" si="26"/>
        <v>14.12.2022_BIE2</v>
      </c>
      <c r="D865" s="190">
        <f t="shared" si="27"/>
        <v>0</v>
      </c>
      <c r="E865" s="133">
        <v>7.71</v>
      </c>
      <c r="F865" s="134"/>
      <c r="G865" s="135">
        <v>187</v>
      </c>
      <c r="H865" s="137">
        <v>15.3</v>
      </c>
      <c r="I865" s="134"/>
      <c r="J865" s="137">
        <v>2.6</v>
      </c>
      <c r="K865" s="134"/>
      <c r="L865" s="136">
        <v>50</v>
      </c>
      <c r="M865" s="181"/>
      <c r="N865" s="159"/>
      <c r="O865" s="159"/>
      <c r="P865" s="136"/>
    </row>
    <row r="866" spans="1:16" ht="16.5" customHeight="1" x14ac:dyDescent="0.25">
      <c r="A866" s="156">
        <v>44909</v>
      </c>
      <c r="B866" s="136" t="s">
        <v>30</v>
      </c>
      <c r="C866" s="157" t="str">
        <f t="shared" si="26"/>
        <v>14.12.2022_FAL1</v>
      </c>
      <c r="D866" s="190">
        <f t="shared" si="27"/>
        <v>0</v>
      </c>
      <c r="E866" s="133">
        <v>8.0399999999999991</v>
      </c>
      <c r="F866" s="134"/>
      <c r="G866" s="135">
        <v>850</v>
      </c>
      <c r="H866" s="137">
        <v>12.1</v>
      </c>
      <c r="I866" s="134"/>
      <c r="J866" s="137">
        <v>2.7</v>
      </c>
      <c r="K866" s="134"/>
      <c r="L866" s="136">
        <v>55.000000000000007</v>
      </c>
      <c r="M866" s="181"/>
      <c r="N866" s="159"/>
      <c r="O866" s="159"/>
      <c r="P866" s="136"/>
    </row>
    <row r="867" spans="1:16" ht="16.5" customHeight="1" x14ac:dyDescent="0.25">
      <c r="A867" s="156">
        <v>44909</v>
      </c>
      <c r="B867" s="136" t="s">
        <v>32</v>
      </c>
      <c r="C867" s="157" t="str">
        <f t="shared" si="26"/>
        <v>14.12.2022_FAL2</v>
      </c>
      <c r="D867" s="190">
        <f t="shared" si="27"/>
        <v>0</v>
      </c>
      <c r="E867" s="133">
        <v>8.35</v>
      </c>
      <c r="F867" s="134"/>
      <c r="G867" s="135">
        <v>845</v>
      </c>
      <c r="H867" s="137">
        <v>13.8</v>
      </c>
      <c r="I867" s="134"/>
      <c r="J867" s="137">
        <v>3.5</v>
      </c>
      <c r="K867" s="134"/>
      <c r="L867" s="136">
        <v>35</v>
      </c>
      <c r="M867" s="181"/>
      <c r="N867" s="159"/>
      <c r="O867" s="159"/>
      <c r="P867" s="136"/>
    </row>
    <row r="868" spans="1:16" ht="16.5" customHeight="1" x14ac:dyDescent="0.25">
      <c r="A868" s="156">
        <v>44909</v>
      </c>
      <c r="B868" s="136" t="s">
        <v>26</v>
      </c>
      <c r="C868" s="157" t="str">
        <f t="shared" si="26"/>
        <v>14.12.2022_GRU1</v>
      </c>
      <c r="D868" s="190">
        <f t="shared" si="27"/>
        <v>0</v>
      </c>
      <c r="E868" s="133">
        <v>7.6</v>
      </c>
      <c r="F868" s="134"/>
      <c r="G868" s="135">
        <v>139</v>
      </c>
      <c r="H868" s="137">
        <v>13.6</v>
      </c>
      <c r="I868" s="134"/>
      <c r="J868" s="137">
        <v>2.7</v>
      </c>
      <c r="K868" s="134"/>
      <c r="L868" s="136">
        <v>30</v>
      </c>
      <c r="M868" s="181"/>
      <c r="N868" s="159"/>
      <c r="O868" s="159"/>
      <c r="P868" s="136"/>
    </row>
    <row r="869" spans="1:16" ht="16.5" customHeight="1" x14ac:dyDescent="0.25">
      <c r="A869" s="156">
        <v>44909</v>
      </c>
      <c r="B869" s="136" t="s">
        <v>28</v>
      </c>
      <c r="C869" s="157" t="str">
        <f t="shared" si="26"/>
        <v>14.12.2022_GRU2</v>
      </c>
      <c r="D869" s="190">
        <f t="shared" si="27"/>
        <v>0</v>
      </c>
      <c r="E869" s="133">
        <v>7.58</v>
      </c>
      <c r="F869" s="134"/>
      <c r="G869" s="135">
        <v>171.4</v>
      </c>
      <c r="H869" s="137">
        <v>13.3</v>
      </c>
      <c r="I869" s="134"/>
      <c r="J869" s="137">
        <v>2.5</v>
      </c>
      <c r="K869" s="134"/>
      <c r="L869" s="136">
        <v>50</v>
      </c>
      <c r="M869" s="181"/>
      <c r="N869" s="159"/>
      <c r="O869" s="159"/>
      <c r="P869" s="136"/>
    </row>
    <row r="870" spans="1:16" ht="16.5" customHeight="1" x14ac:dyDescent="0.25">
      <c r="A870" s="156">
        <v>44909</v>
      </c>
      <c r="B870" s="136" t="s">
        <v>34</v>
      </c>
      <c r="C870" s="157" t="str">
        <f t="shared" si="26"/>
        <v>14.12.2022_KRE1</v>
      </c>
      <c r="D870" s="190">
        <f t="shared" si="27"/>
        <v>0</v>
      </c>
      <c r="E870" s="133">
        <v>8.01</v>
      </c>
      <c r="F870" s="134"/>
      <c r="G870" s="135">
        <v>944</v>
      </c>
      <c r="H870" s="137">
        <v>15.3</v>
      </c>
      <c r="I870" s="134"/>
      <c r="J870" s="137">
        <v>3</v>
      </c>
      <c r="K870" s="134"/>
      <c r="L870" s="136">
        <v>30</v>
      </c>
      <c r="M870" s="181"/>
      <c r="N870" s="159"/>
      <c r="O870" s="159" t="s">
        <v>411</v>
      </c>
      <c r="P870" s="136"/>
    </row>
    <row r="871" spans="1:16" ht="16.5" customHeight="1" x14ac:dyDescent="0.25">
      <c r="A871" s="156">
        <v>44909</v>
      </c>
      <c r="B871" s="136" t="s">
        <v>37</v>
      </c>
      <c r="C871" s="157" t="str">
        <f t="shared" si="26"/>
        <v>14.12.2022_KRE2</v>
      </c>
      <c r="D871" s="190">
        <f t="shared" si="27"/>
        <v>0</v>
      </c>
      <c r="E871" s="133">
        <v>7.86</v>
      </c>
      <c r="F871" s="134"/>
      <c r="G871" s="135">
        <v>917</v>
      </c>
      <c r="H871" s="137">
        <v>12.5</v>
      </c>
      <c r="I871" s="134"/>
      <c r="J871" s="137">
        <v>2.6</v>
      </c>
      <c r="K871" s="134"/>
      <c r="L871" s="136">
        <v>50</v>
      </c>
      <c r="M871" s="181"/>
      <c r="N871" s="159"/>
      <c r="O871" s="159"/>
      <c r="P871" s="136"/>
    </row>
    <row r="872" spans="1:16" ht="16.5" customHeight="1" x14ac:dyDescent="0.25">
      <c r="A872" s="156">
        <v>44909</v>
      </c>
      <c r="B872" s="136" t="s">
        <v>14</v>
      </c>
      <c r="C872" s="157" t="str">
        <f t="shared" si="26"/>
        <v>14.12.2022_BRA1</v>
      </c>
      <c r="D872" s="190">
        <f t="shared" si="27"/>
        <v>0</v>
      </c>
      <c r="E872" s="133">
        <v>7.82</v>
      </c>
      <c r="F872" s="134"/>
      <c r="G872" s="135">
        <v>177.8</v>
      </c>
      <c r="H872" s="137">
        <v>14.1</v>
      </c>
      <c r="I872" s="134"/>
      <c r="J872" s="137">
        <v>1</v>
      </c>
      <c r="K872" s="134"/>
      <c r="L872" s="136">
        <v>30</v>
      </c>
      <c r="M872" s="181"/>
      <c r="N872" s="159"/>
      <c r="O872" s="159"/>
      <c r="P872" s="136" t="s">
        <v>231</v>
      </c>
    </row>
    <row r="873" spans="1:16" ht="16.5" customHeight="1" x14ac:dyDescent="0.25">
      <c r="A873" s="156">
        <v>44909</v>
      </c>
      <c r="B873" s="136" t="s">
        <v>17</v>
      </c>
      <c r="C873" s="157" t="str">
        <f t="shared" si="26"/>
        <v>14.12.2022_BRA2</v>
      </c>
      <c r="D873" s="190">
        <f t="shared" si="27"/>
        <v>0</v>
      </c>
      <c r="E873" s="133">
        <v>8.0500000000000007</v>
      </c>
      <c r="F873" s="134"/>
      <c r="G873" s="135">
        <v>190.7</v>
      </c>
      <c r="H873" s="137">
        <v>14.4</v>
      </c>
      <c r="I873" s="134"/>
      <c r="J873" s="137">
        <v>1</v>
      </c>
      <c r="K873" s="134"/>
      <c r="L873" s="136">
        <v>30</v>
      </c>
      <c r="M873" s="181"/>
      <c r="N873" s="159"/>
      <c r="O873" s="159"/>
      <c r="P873" s="136" t="s">
        <v>231</v>
      </c>
    </row>
    <row r="874" spans="1:16" ht="16.5" customHeight="1" x14ac:dyDescent="0.25">
      <c r="A874" s="156">
        <v>44909</v>
      </c>
      <c r="B874" s="136" t="s">
        <v>0</v>
      </c>
      <c r="C874" s="157" t="str">
        <f t="shared" si="26"/>
        <v>14.12.2022_KIN1</v>
      </c>
      <c r="D874" s="190">
        <f t="shared" si="27"/>
        <v>0</v>
      </c>
      <c r="E874" s="133">
        <v>8.43</v>
      </c>
      <c r="F874" s="134"/>
      <c r="G874" s="135">
        <v>392</v>
      </c>
      <c r="H874" s="137">
        <v>13.8</v>
      </c>
      <c r="I874" s="134"/>
      <c r="J874" s="137">
        <v>0</v>
      </c>
      <c r="K874" s="134"/>
      <c r="L874" s="136">
        <v>35</v>
      </c>
      <c r="M874" s="181"/>
      <c r="N874" s="159"/>
      <c r="O874" s="159"/>
      <c r="P874" s="136" t="s">
        <v>232</v>
      </c>
    </row>
    <row r="875" spans="1:16" ht="16.5" customHeight="1" x14ac:dyDescent="0.25">
      <c r="A875" s="156">
        <v>44909</v>
      </c>
      <c r="B875" s="136" t="s">
        <v>2</v>
      </c>
      <c r="C875" s="157" t="str">
        <f t="shared" si="26"/>
        <v>14.12.2022_KIN2</v>
      </c>
      <c r="D875" s="190">
        <f t="shared" si="27"/>
        <v>0</v>
      </c>
      <c r="E875" s="133">
        <v>8.24</v>
      </c>
      <c r="F875" s="134"/>
      <c r="G875" s="135">
        <v>467</v>
      </c>
      <c r="H875" s="137">
        <v>13.6</v>
      </c>
      <c r="I875" s="134"/>
      <c r="J875" s="137">
        <v>1.6</v>
      </c>
      <c r="K875" s="134"/>
      <c r="L875" s="136">
        <v>35</v>
      </c>
      <c r="M875" s="181"/>
      <c r="N875" s="159"/>
      <c r="O875" s="159"/>
      <c r="P875" s="136" t="s">
        <v>231</v>
      </c>
    </row>
    <row r="876" spans="1:16" ht="16.5" customHeight="1" x14ac:dyDescent="0.25">
      <c r="A876" s="156">
        <v>44909</v>
      </c>
      <c r="B876" s="136" t="s">
        <v>4</v>
      </c>
      <c r="C876" s="157" t="str">
        <f t="shared" si="26"/>
        <v>14.12.2022_KIN3</v>
      </c>
      <c r="D876" s="190">
        <f t="shared" si="27"/>
        <v>0</v>
      </c>
      <c r="E876" s="133">
        <v>8.32</v>
      </c>
      <c r="F876" s="134"/>
      <c r="G876" s="135">
        <v>430</v>
      </c>
      <c r="H876" s="137">
        <v>14</v>
      </c>
      <c r="I876" s="134"/>
      <c r="J876" s="137">
        <v>0.6</v>
      </c>
      <c r="K876" s="134"/>
      <c r="L876" s="136">
        <v>75</v>
      </c>
      <c r="M876" s="181"/>
      <c r="N876" s="159"/>
      <c r="O876" s="159"/>
      <c r="P876" s="136" t="s">
        <v>233</v>
      </c>
    </row>
    <row r="877" spans="1:16" ht="16.5" customHeight="1" x14ac:dyDescent="0.25">
      <c r="A877" s="156">
        <v>44909</v>
      </c>
      <c r="B877" s="136" t="s">
        <v>6</v>
      </c>
      <c r="C877" s="157" t="str">
        <f t="shared" si="26"/>
        <v>14.12.2022_KIN4</v>
      </c>
      <c r="D877" s="190">
        <f t="shared" si="27"/>
        <v>0</v>
      </c>
      <c r="E877" s="133">
        <v>8.15</v>
      </c>
      <c r="F877" s="134"/>
      <c r="G877" s="135">
        <v>445</v>
      </c>
      <c r="H877" s="137">
        <v>13.1</v>
      </c>
      <c r="I877" s="134"/>
      <c r="J877" s="137">
        <v>1.4</v>
      </c>
      <c r="K877" s="134"/>
      <c r="L877" s="136">
        <v>50</v>
      </c>
      <c r="M877" s="181"/>
      <c r="N877" s="159"/>
      <c r="O877" s="159"/>
      <c r="P877" s="136" t="s">
        <v>234</v>
      </c>
    </row>
    <row r="878" spans="1:16" ht="16.5" customHeight="1" x14ac:dyDescent="0.25">
      <c r="A878" s="156">
        <v>44909</v>
      </c>
      <c r="B878" s="136" t="s">
        <v>18</v>
      </c>
      <c r="C878" s="157" t="str">
        <f t="shared" si="26"/>
        <v>14.12.2022_ORB1</v>
      </c>
      <c r="D878" s="190">
        <f t="shared" si="27"/>
        <v>0</v>
      </c>
      <c r="E878" s="133">
        <v>7.48</v>
      </c>
      <c r="F878" s="134"/>
      <c r="G878" s="135">
        <v>116.6</v>
      </c>
      <c r="H878" s="137">
        <v>14</v>
      </c>
      <c r="I878" s="134"/>
      <c r="J878" s="137">
        <v>2.6</v>
      </c>
      <c r="K878" s="134"/>
      <c r="L878" s="136">
        <v>10</v>
      </c>
      <c r="M878" s="181"/>
      <c r="N878" s="159"/>
      <c r="O878" s="159"/>
      <c r="P878" s="136" t="s">
        <v>233</v>
      </c>
    </row>
    <row r="879" spans="1:16" ht="16.5" customHeight="1" x14ac:dyDescent="0.25">
      <c r="A879" s="156">
        <v>44909</v>
      </c>
      <c r="B879" s="136" t="s">
        <v>21</v>
      </c>
      <c r="C879" s="157" t="str">
        <f t="shared" si="26"/>
        <v>14.12.2022_ORB2</v>
      </c>
      <c r="D879" s="190">
        <f t="shared" si="27"/>
        <v>0</v>
      </c>
      <c r="E879" s="133">
        <v>7.37</v>
      </c>
      <c r="F879" s="134"/>
      <c r="G879" s="135">
        <v>178.6</v>
      </c>
      <c r="H879" s="137">
        <v>13.7</v>
      </c>
      <c r="I879" s="134"/>
      <c r="J879" s="137">
        <v>2.2000000000000002</v>
      </c>
      <c r="K879" s="134"/>
      <c r="L879" s="136">
        <v>30</v>
      </c>
      <c r="M879" s="181"/>
      <c r="N879" s="159"/>
      <c r="O879" s="159"/>
      <c r="P879" s="136" t="s">
        <v>235</v>
      </c>
    </row>
    <row r="880" spans="1:16" ht="16.5" customHeight="1" x14ac:dyDescent="0.25">
      <c r="A880" s="156">
        <v>44909</v>
      </c>
      <c r="B880" s="136" t="s">
        <v>10</v>
      </c>
      <c r="C880" s="157" t="str">
        <f t="shared" si="26"/>
        <v>14.12.2022_SAL1</v>
      </c>
      <c r="D880" s="190">
        <f t="shared" si="27"/>
        <v>0</v>
      </c>
      <c r="E880" s="133">
        <v>7.97</v>
      </c>
      <c r="F880" s="134"/>
      <c r="G880" s="135">
        <v>184.2</v>
      </c>
      <c r="H880" s="137">
        <v>14</v>
      </c>
      <c r="I880" s="134"/>
      <c r="J880" s="137">
        <v>0</v>
      </c>
      <c r="K880" s="134"/>
      <c r="L880" s="136">
        <v>50</v>
      </c>
      <c r="M880" s="181"/>
      <c r="N880" s="159"/>
      <c r="O880" s="159"/>
      <c r="P880" s="136" t="s">
        <v>233</v>
      </c>
    </row>
    <row r="881" spans="1:16" ht="16.5" customHeight="1" x14ac:dyDescent="0.25">
      <c r="A881" s="156">
        <v>44909</v>
      </c>
      <c r="B881" s="136" t="s">
        <v>12</v>
      </c>
      <c r="C881" s="157" t="str">
        <f t="shared" si="26"/>
        <v>14.12.2022_SAL2</v>
      </c>
      <c r="D881" s="190">
        <f t="shared" si="27"/>
        <v>0</v>
      </c>
      <c r="E881" s="133">
        <v>8.06</v>
      </c>
      <c r="F881" s="134"/>
      <c r="G881" s="135">
        <v>188.1</v>
      </c>
      <c r="H881" s="137">
        <v>14.9</v>
      </c>
      <c r="I881" s="134"/>
      <c r="J881" s="137">
        <v>0</v>
      </c>
      <c r="K881" s="134"/>
      <c r="L881" s="136">
        <v>55.000000000000007</v>
      </c>
      <c r="M881" s="181"/>
      <c r="N881" s="159"/>
      <c r="O881" s="159"/>
      <c r="P881" s="136" t="s">
        <v>233</v>
      </c>
    </row>
    <row r="882" spans="1:16" ht="16.5" customHeight="1" x14ac:dyDescent="0.25">
      <c r="A882" s="156">
        <v>44909</v>
      </c>
      <c r="B882" s="136" t="s">
        <v>7</v>
      </c>
      <c r="C882" s="157" t="str">
        <f t="shared" si="26"/>
        <v>14.12.2022_STE1</v>
      </c>
      <c r="D882" s="190">
        <f t="shared" si="27"/>
        <v>0</v>
      </c>
      <c r="E882" s="133">
        <v>8.1199999999999992</v>
      </c>
      <c r="F882" s="134"/>
      <c r="G882" s="135">
        <v>213</v>
      </c>
      <c r="H882" s="137">
        <v>13.7</v>
      </c>
      <c r="I882" s="134"/>
      <c r="J882" s="137">
        <v>1</v>
      </c>
      <c r="K882" s="134"/>
      <c r="L882" s="136">
        <v>30</v>
      </c>
      <c r="M882" s="181"/>
      <c r="N882" s="159"/>
      <c r="O882" s="159"/>
      <c r="P882" s="136" t="s">
        <v>235</v>
      </c>
    </row>
    <row r="883" spans="1:16" ht="16.5" customHeight="1" x14ac:dyDescent="0.25">
      <c r="A883" s="156">
        <v>44909</v>
      </c>
      <c r="B883" s="136" t="s">
        <v>9</v>
      </c>
      <c r="C883" s="157" t="str">
        <f t="shared" si="26"/>
        <v>14.12.2022_STE2</v>
      </c>
      <c r="D883" s="190">
        <f t="shared" si="27"/>
        <v>0</v>
      </c>
      <c r="E883" s="133">
        <v>8.18</v>
      </c>
      <c r="F883" s="134"/>
      <c r="G883" s="135">
        <v>225</v>
      </c>
      <c r="H883" s="137">
        <v>13.8</v>
      </c>
      <c r="I883" s="134"/>
      <c r="J883" s="137">
        <v>1.2</v>
      </c>
      <c r="K883" s="134"/>
      <c r="L883" s="136">
        <v>50</v>
      </c>
      <c r="M883" s="181"/>
      <c r="N883" s="159"/>
      <c r="O883" s="159"/>
      <c r="P883" s="136" t="s">
        <v>235</v>
      </c>
    </row>
    <row r="884" spans="1:16" ht="16.5" customHeight="1" x14ac:dyDescent="0.25">
      <c r="A884" s="156">
        <v>44922</v>
      </c>
      <c r="B884" s="136" t="s">
        <v>22</v>
      </c>
      <c r="C884" s="157" t="str">
        <f t="shared" si="26"/>
        <v>27.12.2022_BIE1</v>
      </c>
      <c r="D884" s="190">
        <f t="shared" si="27"/>
        <v>0</v>
      </c>
      <c r="E884" s="133">
        <v>7.62</v>
      </c>
      <c r="F884" s="134"/>
      <c r="G884" s="135">
        <v>163.80000000000001</v>
      </c>
      <c r="H884" s="137">
        <v>13.2</v>
      </c>
      <c r="I884" s="134"/>
      <c r="J884" s="137">
        <v>8</v>
      </c>
      <c r="K884" s="134"/>
      <c r="L884" s="136">
        <v>35</v>
      </c>
      <c r="M884" s="181"/>
      <c r="N884" s="159"/>
      <c r="O884" s="159"/>
      <c r="P884" s="136"/>
    </row>
    <row r="885" spans="1:16" ht="16.5" customHeight="1" x14ac:dyDescent="0.25">
      <c r="A885" s="156">
        <v>44922</v>
      </c>
      <c r="B885" s="136" t="s">
        <v>25</v>
      </c>
      <c r="C885" s="157" t="str">
        <f t="shared" si="26"/>
        <v>27.12.2022_BIE2</v>
      </c>
      <c r="D885" s="190">
        <f t="shared" si="27"/>
        <v>0</v>
      </c>
      <c r="E885" s="133">
        <v>7.5</v>
      </c>
      <c r="F885" s="134"/>
      <c r="G885" s="135">
        <v>180.1</v>
      </c>
      <c r="H885" s="137">
        <v>12.4</v>
      </c>
      <c r="I885" s="134"/>
      <c r="J885" s="137">
        <v>9.6</v>
      </c>
      <c r="K885" s="134"/>
      <c r="L885" s="136">
        <v>60</v>
      </c>
      <c r="M885" s="181"/>
      <c r="N885" s="159"/>
      <c r="O885" s="159"/>
      <c r="P885" s="136"/>
    </row>
    <row r="886" spans="1:16" ht="16.5" customHeight="1" x14ac:dyDescent="0.25">
      <c r="A886" s="156">
        <v>44922</v>
      </c>
      <c r="B886" s="136" t="s">
        <v>30</v>
      </c>
      <c r="C886" s="157" t="str">
        <f t="shared" si="26"/>
        <v>27.12.2022_FAL1</v>
      </c>
      <c r="D886" s="190">
        <f t="shared" si="27"/>
        <v>0</v>
      </c>
      <c r="E886" s="133">
        <v>7.8</v>
      </c>
      <c r="F886" s="134"/>
      <c r="G886" s="135">
        <v>560</v>
      </c>
      <c r="H886" s="137">
        <v>12.2</v>
      </c>
      <c r="I886" s="134"/>
      <c r="J886" s="137">
        <v>8.6</v>
      </c>
      <c r="K886" s="134"/>
      <c r="L886" s="136">
        <v>70</v>
      </c>
      <c r="M886" s="181"/>
      <c r="N886" s="159"/>
      <c r="O886" s="159"/>
      <c r="P886" s="136"/>
    </row>
    <row r="887" spans="1:16" ht="16.5" customHeight="1" x14ac:dyDescent="0.25">
      <c r="A887" s="156">
        <v>44922</v>
      </c>
      <c r="B887" s="136" t="s">
        <v>32</v>
      </c>
      <c r="C887" s="157" t="str">
        <f t="shared" si="26"/>
        <v>27.12.2022_FAL2</v>
      </c>
      <c r="D887" s="190">
        <f t="shared" si="27"/>
        <v>0</v>
      </c>
      <c r="E887" s="133">
        <v>7.93</v>
      </c>
      <c r="F887" s="134"/>
      <c r="G887" s="135">
        <v>545</v>
      </c>
      <c r="H887" s="137">
        <v>13</v>
      </c>
      <c r="I887" s="134"/>
      <c r="J887" s="137">
        <v>7.5</v>
      </c>
      <c r="K887" s="134"/>
      <c r="L887" s="136">
        <v>60</v>
      </c>
      <c r="M887" s="181"/>
      <c r="N887" s="159" t="s">
        <v>288</v>
      </c>
      <c r="O887" s="159"/>
      <c r="P887" s="136"/>
    </row>
    <row r="888" spans="1:16" ht="16.5" customHeight="1" x14ac:dyDescent="0.25">
      <c r="A888" s="156">
        <v>44922</v>
      </c>
      <c r="B888" s="136" t="s">
        <v>26</v>
      </c>
      <c r="C888" s="157" t="str">
        <f t="shared" si="26"/>
        <v>27.12.2022_GRU1</v>
      </c>
      <c r="D888" s="190">
        <f t="shared" si="27"/>
        <v>0</v>
      </c>
      <c r="E888" s="133">
        <v>7.34</v>
      </c>
      <c r="F888" s="134"/>
      <c r="G888" s="135">
        <v>126.3</v>
      </c>
      <c r="H888" s="137">
        <v>13.2</v>
      </c>
      <c r="I888" s="134"/>
      <c r="J888" s="137">
        <v>7.4</v>
      </c>
      <c r="K888" s="134"/>
      <c r="L888" s="136">
        <v>45</v>
      </c>
      <c r="M888" s="181"/>
      <c r="N888" s="159"/>
      <c r="O888" s="159"/>
      <c r="P888" s="136"/>
    </row>
    <row r="889" spans="1:16" ht="16.5" customHeight="1" x14ac:dyDescent="0.25">
      <c r="A889" s="156">
        <v>44922</v>
      </c>
      <c r="B889" s="136" t="s">
        <v>28</v>
      </c>
      <c r="C889" s="157" t="str">
        <f t="shared" si="26"/>
        <v>27.12.2022_GRU2</v>
      </c>
      <c r="D889" s="190">
        <f t="shared" si="27"/>
        <v>0</v>
      </c>
      <c r="E889" s="133">
        <v>7.31</v>
      </c>
      <c r="F889" s="134"/>
      <c r="G889" s="135">
        <v>156.19999999999999</v>
      </c>
      <c r="H889" s="137">
        <v>13.1</v>
      </c>
      <c r="I889" s="134"/>
      <c r="J889" s="137">
        <v>8</v>
      </c>
      <c r="K889" s="134"/>
      <c r="L889" s="136">
        <v>60</v>
      </c>
      <c r="M889" s="181"/>
      <c r="N889" s="159"/>
      <c r="O889" s="159"/>
      <c r="P889" s="136"/>
    </row>
    <row r="890" spans="1:16" ht="16.5" customHeight="1" x14ac:dyDescent="0.25">
      <c r="A890" s="156">
        <v>44922</v>
      </c>
      <c r="B890" s="136" t="s">
        <v>34</v>
      </c>
      <c r="C890" s="157" t="str">
        <f t="shared" si="26"/>
        <v>27.12.2022_KRE1</v>
      </c>
      <c r="D890" s="190">
        <f t="shared" si="27"/>
        <v>0</v>
      </c>
      <c r="E890" s="183">
        <v>6.48</v>
      </c>
      <c r="F890" s="161" t="s">
        <v>269</v>
      </c>
      <c r="G890" s="135">
        <v>624</v>
      </c>
      <c r="H890" s="137">
        <v>12.3</v>
      </c>
      <c r="I890" s="161"/>
      <c r="J890" s="137">
        <v>8.1999999999999993</v>
      </c>
      <c r="K890" s="161"/>
      <c r="L890" s="136">
        <v>70</v>
      </c>
      <c r="M890" s="181"/>
      <c r="N890" s="159" t="s">
        <v>289</v>
      </c>
      <c r="O890" s="159"/>
      <c r="P890" s="136"/>
    </row>
    <row r="891" spans="1:16" ht="16.5" customHeight="1" x14ac:dyDescent="0.25">
      <c r="A891" s="156">
        <v>44922</v>
      </c>
      <c r="B891" s="136" t="s">
        <v>37</v>
      </c>
      <c r="C891" s="157" t="str">
        <f t="shared" si="26"/>
        <v>27.12.2022_KRE2</v>
      </c>
      <c r="D891" s="190">
        <f t="shared" si="27"/>
        <v>0</v>
      </c>
      <c r="E891" s="133">
        <v>7.95</v>
      </c>
      <c r="F891" s="134"/>
      <c r="G891" s="135">
        <v>637</v>
      </c>
      <c r="H891" s="137">
        <v>11</v>
      </c>
      <c r="I891" s="134"/>
      <c r="J891" s="137">
        <v>8.5</v>
      </c>
      <c r="K891" s="134"/>
      <c r="L891" s="136">
        <v>85</v>
      </c>
      <c r="M891" s="181"/>
      <c r="N891" s="159"/>
      <c r="O891" s="159"/>
      <c r="P891" s="136"/>
    </row>
    <row r="892" spans="1:16" ht="16.5" customHeight="1" x14ac:dyDescent="0.25">
      <c r="A892" s="156">
        <v>44922</v>
      </c>
      <c r="B892" s="136" t="s">
        <v>14</v>
      </c>
      <c r="C892" s="157" t="str">
        <f t="shared" si="26"/>
        <v>27.12.2022_BRA1</v>
      </c>
      <c r="D892" s="190">
        <f t="shared" si="27"/>
        <v>0</v>
      </c>
      <c r="E892" s="133">
        <v>7.24</v>
      </c>
      <c r="F892" s="134"/>
      <c r="G892" s="135">
        <v>140.80000000000001</v>
      </c>
      <c r="H892" s="137">
        <v>12</v>
      </c>
      <c r="I892" s="134"/>
      <c r="J892" s="137">
        <v>5.5</v>
      </c>
      <c r="K892" s="134"/>
      <c r="L892" s="136">
        <v>40</v>
      </c>
      <c r="M892" s="181"/>
      <c r="N892" s="159"/>
      <c r="O892" s="159"/>
      <c r="P892" s="136" t="s">
        <v>236</v>
      </c>
    </row>
    <row r="893" spans="1:16" ht="16.5" customHeight="1" x14ac:dyDescent="0.25">
      <c r="A893" s="156">
        <v>44922</v>
      </c>
      <c r="B893" s="136" t="s">
        <v>17</v>
      </c>
      <c r="C893" s="157" t="str">
        <f t="shared" si="26"/>
        <v>27.12.2022_BRA2</v>
      </c>
      <c r="D893" s="190">
        <f t="shared" si="27"/>
        <v>0</v>
      </c>
      <c r="E893" s="133">
        <v>7.68</v>
      </c>
      <c r="F893" s="134"/>
      <c r="G893" s="135">
        <v>155.19999999999999</v>
      </c>
      <c r="H893" s="137">
        <v>11.7</v>
      </c>
      <c r="I893" s="134"/>
      <c r="J893" s="137">
        <v>5.7</v>
      </c>
      <c r="K893" s="134"/>
      <c r="L893" s="136">
        <v>55.000000000000007</v>
      </c>
      <c r="M893" s="181"/>
      <c r="N893" s="159"/>
      <c r="O893" s="159"/>
      <c r="P893" s="136" t="s">
        <v>237</v>
      </c>
    </row>
    <row r="894" spans="1:16" ht="16.5" customHeight="1" x14ac:dyDescent="0.25">
      <c r="A894" s="156">
        <v>44922</v>
      </c>
      <c r="B894" s="136" t="s">
        <v>0</v>
      </c>
      <c r="C894" s="157" t="str">
        <f t="shared" si="26"/>
        <v>27.12.2022_KIN1</v>
      </c>
      <c r="D894" s="190">
        <f t="shared" si="27"/>
        <v>0</v>
      </c>
      <c r="E894" s="133">
        <v>8.08</v>
      </c>
      <c r="F894" s="134"/>
      <c r="G894" s="135">
        <v>264</v>
      </c>
      <c r="H894" s="137">
        <v>12.3</v>
      </c>
      <c r="I894" s="134"/>
      <c r="J894" s="137">
        <v>5.9</v>
      </c>
      <c r="K894" s="134"/>
      <c r="L894" s="136">
        <v>40</v>
      </c>
      <c r="M894" s="181"/>
      <c r="N894" s="159"/>
      <c r="O894" s="159"/>
      <c r="P894" s="136" t="s">
        <v>238</v>
      </c>
    </row>
    <row r="895" spans="1:16" ht="16.5" customHeight="1" x14ac:dyDescent="0.25">
      <c r="A895" s="156">
        <v>44922</v>
      </c>
      <c r="B895" s="136" t="s">
        <v>2</v>
      </c>
      <c r="C895" s="157" t="str">
        <f t="shared" si="26"/>
        <v>27.12.2022_KIN2</v>
      </c>
      <c r="D895" s="190">
        <f t="shared" si="27"/>
        <v>0</v>
      </c>
      <c r="E895" s="133">
        <v>7.95</v>
      </c>
      <c r="F895" s="134"/>
      <c r="G895" s="135">
        <v>301</v>
      </c>
      <c r="H895" s="137">
        <v>12.7</v>
      </c>
      <c r="I895" s="134"/>
      <c r="J895" s="137">
        <v>5.9</v>
      </c>
      <c r="K895" s="134"/>
      <c r="L895" s="136">
        <v>50</v>
      </c>
      <c r="M895" s="181"/>
      <c r="N895" s="159"/>
      <c r="O895" s="159"/>
      <c r="P895" s="136" t="s">
        <v>238</v>
      </c>
    </row>
    <row r="896" spans="1:16" ht="16.5" customHeight="1" x14ac:dyDescent="0.25">
      <c r="A896" s="156">
        <v>44922</v>
      </c>
      <c r="B896" s="136" t="s">
        <v>4</v>
      </c>
      <c r="C896" s="157" t="str">
        <f t="shared" si="26"/>
        <v>27.12.2022_KIN3</v>
      </c>
      <c r="D896" s="190">
        <f t="shared" si="27"/>
        <v>0</v>
      </c>
      <c r="E896" s="133">
        <v>7.99</v>
      </c>
      <c r="F896" s="134"/>
      <c r="G896" s="135">
        <v>282</v>
      </c>
      <c r="H896" s="137">
        <v>12.3</v>
      </c>
      <c r="I896" s="134"/>
      <c r="J896" s="137">
        <v>5.8</v>
      </c>
      <c r="K896" s="134"/>
      <c r="L896" s="136">
        <v>100</v>
      </c>
      <c r="M896" s="181"/>
      <c r="N896" s="159"/>
      <c r="O896" s="159"/>
      <c r="P896" s="136" t="s">
        <v>239</v>
      </c>
    </row>
    <row r="897" spans="1:16" ht="16.5" customHeight="1" x14ac:dyDescent="0.25">
      <c r="A897" s="156">
        <v>44922</v>
      </c>
      <c r="B897" s="136" t="s">
        <v>6</v>
      </c>
      <c r="C897" s="157" t="str">
        <f t="shared" si="26"/>
        <v>27.12.2022_KIN4</v>
      </c>
      <c r="D897" s="190">
        <f t="shared" si="27"/>
        <v>0</v>
      </c>
      <c r="E897" s="133">
        <v>7.93</v>
      </c>
      <c r="F897" s="134"/>
      <c r="G897" s="135">
        <v>286</v>
      </c>
      <c r="H897" s="137">
        <v>12.3</v>
      </c>
      <c r="I897" s="134"/>
      <c r="J897" s="137">
        <v>5.8</v>
      </c>
      <c r="K897" s="134"/>
      <c r="L897" s="136">
        <v>80</v>
      </c>
      <c r="M897" s="181"/>
      <c r="N897" s="159"/>
      <c r="O897" s="159"/>
      <c r="P897" s="136" t="s">
        <v>239</v>
      </c>
    </row>
    <row r="898" spans="1:16" ht="16.5" customHeight="1" x14ac:dyDescent="0.25">
      <c r="A898" s="156">
        <v>44922</v>
      </c>
      <c r="B898" s="136" t="s">
        <v>18</v>
      </c>
      <c r="C898" s="157" t="str">
        <f t="shared" si="26"/>
        <v>27.12.2022_ORB1</v>
      </c>
      <c r="D898" s="190">
        <f t="shared" si="27"/>
        <v>0</v>
      </c>
      <c r="E898" s="133">
        <v>7.44</v>
      </c>
      <c r="F898" s="134"/>
      <c r="G898" s="135">
        <v>134.4</v>
      </c>
      <c r="H898" s="137">
        <v>12.3</v>
      </c>
      <c r="I898" s="134"/>
      <c r="J898" s="137">
        <v>7.5</v>
      </c>
      <c r="K898" s="134"/>
      <c r="L898" s="136">
        <v>15</v>
      </c>
      <c r="M898" s="181"/>
      <c r="N898" s="159"/>
      <c r="O898" s="159"/>
      <c r="P898" s="136" t="s">
        <v>174</v>
      </c>
    </row>
    <row r="899" spans="1:16" ht="16.5" customHeight="1" x14ac:dyDescent="0.25">
      <c r="A899" s="156">
        <v>44922</v>
      </c>
      <c r="B899" s="136" t="s">
        <v>21</v>
      </c>
      <c r="C899" s="157" t="str">
        <f t="shared" si="26"/>
        <v>27.12.2022_ORB2</v>
      </c>
      <c r="D899" s="190">
        <f t="shared" si="27"/>
        <v>0</v>
      </c>
      <c r="E899" s="133">
        <v>7.25</v>
      </c>
      <c r="F899" s="134"/>
      <c r="G899" s="135">
        <v>162.80000000000001</v>
      </c>
      <c r="H899" s="137">
        <v>11.5</v>
      </c>
      <c r="I899" s="134"/>
      <c r="J899" s="137">
        <v>7.1</v>
      </c>
      <c r="K899" s="134"/>
      <c r="L899" s="136">
        <v>30</v>
      </c>
      <c r="M899" s="181"/>
      <c r="N899" s="159"/>
      <c r="O899" s="159"/>
      <c r="P899" s="136" t="s">
        <v>173</v>
      </c>
    </row>
    <row r="900" spans="1:16" ht="16.5" customHeight="1" x14ac:dyDescent="0.25">
      <c r="A900" s="156">
        <v>44922</v>
      </c>
      <c r="B900" s="136" t="s">
        <v>10</v>
      </c>
      <c r="C900" s="157" t="str">
        <f t="shared" si="26"/>
        <v>27.12.2022_SAL1</v>
      </c>
      <c r="D900" s="190">
        <f t="shared" si="27"/>
        <v>0</v>
      </c>
      <c r="E900" s="133">
        <v>7.67</v>
      </c>
      <c r="F900" s="134"/>
      <c r="G900" s="135">
        <v>141.19999999999999</v>
      </c>
      <c r="H900" s="137">
        <v>11.8</v>
      </c>
      <c r="I900" s="134"/>
      <c r="J900" s="137">
        <v>5.6</v>
      </c>
      <c r="K900" s="134"/>
      <c r="L900" s="136">
        <v>70</v>
      </c>
      <c r="M900" s="181"/>
      <c r="N900" s="159"/>
      <c r="O900" s="159"/>
      <c r="P900" s="136" t="s">
        <v>240</v>
      </c>
    </row>
    <row r="901" spans="1:16" ht="16.5" customHeight="1" x14ac:dyDescent="0.25">
      <c r="A901" s="156">
        <v>44922</v>
      </c>
      <c r="B901" s="136" t="s">
        <v>12</v>
      </c>
      <c r="C901" s="157" t="str">
        <f t="shared" ref="C901:C964" si="28">CONCATENATE(TEXT(A901,"TT.MM.JJJJ"),"_",B901)</f>
        <v>27.12.2022_SAL2</v>
      </c>
      <c r="D901" s="190">
        <f t="shared" ref="D901:D964" si="29">COUNTBLANK(E901)+COUNTBLANK(G901:H901)+COUNTBLANK(J901)+COUNTBLANK(L901)</f>
        <v>0</v>
      </c>
      <c r="E901" s="133">
        <v>7.72</v>
      </c>
      <c r="F901" s="134"/>
      <c r="G901" s="135">
        <v>141</v>
      </c>
      <c r="H901" s="137">
        <v>12.3</v>
      </c>
      <c r="I901" s="134"/>
      <c r="J901" s="137">
        <v>5.7</v>
      </c>
      <c r="K901" s="134"/>
      <c r="L901" s="136">
        <v>55.000000000000007</v>
      </c>
      <c r="M901" s="181"/>
      <c r="N901" s="159"/>
      <c r="O901" s="159"/>
      <c r="P901" s="136" t="s">
        <v>240</v>
      </c>
    </row>
    <row r="902" spans="1:16" ht="16.5" customHeight="1" x14ac:dyDescent="0.25">
      <c r="A902" s="156">
        <v>44922</v>
      </c>
      <c r="B902" s="136" t="s">
        <v>7</v>
      </c>
      <c r="C902" s="157" t="str">
        <f t="shared" si="28"/>
        <v>27.12.2022_STE1</v>
      </c>
      <c r="D902" s="190">
        <f t="shared" si="29"/>
        <v>0</v>
      </c>
      <c r="E902" s="133">
        <v>7.88</v>
      </c>
      <c r="F902" s="134"/>
      <c r="G902" s="135">
        <v>178.7</v>
      </c>
      <c r="H902" s="137">
        <v>12.2</v>
      </c>
      <c r="I902" s="134"/>
      <c r="J902" s="137">
        <v>5.9</v>
      </c>
      <c r="K902" s="134"/>
      <c r="L902" s="136">
        <v>45</v>
      </c>
      <c r="M902" s="181"/>
      <c r="N902" s="159"/>
      <c r="O902" s="159"/>
      <c r="P902" s="136" t="s">
        <v>241</v>
      </c>
    </row>
    <row r="903" spans="1:16" ht="16.5" customHeight="1" x14ac:dyDescent="0.25">
      <c r="A903" s="156">
        <v>44922</v>
      </c>
      <c r="B903" s="136" t="s">
        <v>9</v>
      </c>
      <c r="C903" s="157" t="str">
        <f t="shared" si="28"/>
        <v>27.12.2022_STE2</v>
      </c>
      <c r="D903" s="190">
        <f t="shared" si="29"/>
        <v>0</v>
      </c>
      <c r="E903" s="133">
        <v>7.89</v>
      </c>
      <c r="F903" s="134"/>
      <c r="G903" s="135">
        <v>183</v>
      </c>
      <c r="H903" s="137">
        <v>12.5</v>
      </c>
      <c r="I903" s="134"/>
      <c r="J903" s="137">
        <v>6.1</v>
      </c>
      <c r="K903" s="134"/>
      <c r="L903" s="136">
        <v>70</v>
      </c>
      <c r="M903" s="181"/>
      <c r="N903" s="159"/>
      <c r="O903" s="159"/>
      <c r="P903" s="136" t="s">
        <v>241</v>
      </c>
    </row>
    <row r="904" spans="1:16" ht="16.5" customHeight="1" x14ac:dyDescent="0.25">
      <c r="A904" s="156">
        <v>44936</v>
      </c>
      <c r="B904" s="136" t="s">
        <v>22</v>
      </c>
      <c r="C904" s="157" t="str">
        <f t="shared" si="28"/>
        <v>10.01.2023_BIE1</v>
      </c>
      <c r="D904" s="190">
        <f t="shared" si="29"/>
        <v>0</v>
      </c>
      <c r="E904" s="184">
        <v>7.6</v>
      </c>
      <c r="F904" s="161" t="s">
        <v>269</v>
      </c>
      <c r="G904" s="135">
        <v>159.1</v>
      </c>
      <c r="H904" s="137">
        <v>11.9</v>
      </c>
      <c r="I904" s="161"/>
      <c r="J904" s="137">
        <v>7.7</v>
      </c>
      <c r="K904" s="161"/>
      <c r="L904" s="136">
        <v>40</v>
      </c>
      <c r="M904" s="181"/>
      <c r="N904" s="159" t="s">
        <v>290</v>
      </c>
      <c r="O904" s="159"/>
      <c r="P904" s="136"/>
    </row>
    <row r="905" spans="1:16" ht="16.5" customHeight="1" x14ac:dyDescent="0.25">
      <c r="A905" s="156">
        <v>44936</v>
      </c>
      <c r="B905" s="136" t="s">
        <v>25</v>
      </c>
      <c r="C905" s="157" t="str">
        <f t="shared" si="28"/>
        <v>10.01.2023_BIE2</v>
      </c>
      <c r="D905" s="190">
        <f t="shared" si="29"/>
        <v>0</v>
      </c>
      <c r="E905" s="184">
        <v>7.7</v>
      </c>
      <c r="F905" s="161" t="s">
        <v>269</v>
      </c>
      <c r="G905" s="135">
        <v>167.2</v>
      </c>
      <c r="H905" s="137">
        <v>12</v>
      </c>
      <c r="I905" s="161"/>
      <c r="J905" s="137">
        <v>7.8</v>
      </c>
      <c r="K905" s="161"/>
      <c r="L905" s="136">
        <v>60</v>
      </c>
      <c r="M905" s="181"/>
      <c r="N905" s="159" t="s">
        <v>291</v>
      </c>
      <c r="O905" s="159"/>
      <c r="P905" s="136"/>
    </row>
    <row r="906" spans="1:16" ht="16.5" customHeight="1" x14ac:dyDescent="0.25">
      <c r="A906" s="156">
        <v>44936</v>
      </c>
      <c r="B906" s="136" t="s">
        <v>30</v>
      </c>
      <c r="C906" s="157" t="str">
        <f t="shared" si="28"/>
        <v>10.01.2023_FAL1</v>
      </c>
      <c r="D906" s="190">
        <f t="shared" si="29"/>
        <v>0</v>
      </c>
      <c r="E906" s="133">
        <v>8.0500000000000007</v>
      </c>
      <c r="F906" s="134"/>
      <c r="G906" s="135">
        <v>643</v>
      </c>
      <c r="H906" s="137">
        <v>10.7</v>
      </c>
      <c r="I906" s="134"/>
      <c r="J906" s="137">
        <v>7.8</v>
      </c>
      <c r="K906" s="134"/>
      <c r="L906" s="136">
        <v>60</v>
      </c>
      <c r="M906" s="181"/>
      <c r="N906" s="159"/>
      <c r="O906" s="159"/>
      <c r="P906" s="136"/>
    </row>
    <row r="907" spans="1:16" ht="16.5" customHeight="1" x14ac:dyDescent="0.25">
      <c r="A907" s="156">
        <v>44936</v>
      </c>
      <c r="B907" s="136" t="s">
        <v>32</v>
      </c>
      <c r="C907" s="157" t="str">
        <f t="shared" si="28"/>
        <v>10.01.2023_FAL2</v>
      </c>
      <c r="D907" s="190">
        <f t="shared" si="29"/>
        <v>0</v>
      </c>
      <c r="E907" s="133">
        <v>8.25</v>
      </c>
      <c r="F907" s="134"/>
      <c r="G907" s="135">
        <v>669</v>
      </c>
      <c r="H907" s="137">
        <v>11.9</v>
      </c>
      <c r="I907" s="134"/>
      <c r="J907" s="137">
        <v>7.8</v>
      </c>
      <c r="K907" s="134"/>
      <c r="L907" s="136">
        <v>60</v>
      </c>
      <c r="M907" s="181"/>
      <c r="N907" s="159"/>
      <c r="O907" s="159"/>
      <c r="P907" s="136"/>
    </row>
    <row r="908" spans="1:16" ht="16.5" customHeight="1" x14ac:dyDescent="0.25">
      <c r="A908" s="156">
        <v>44936</v>
      </c>
      <c r="B908" s="136" t="s">
        <v>26</v>
      </c>
      <c r="C908" s="157" t="str">
        <f t="shared" si="28"/>
        <v>10.01.2023_GRU1</v>
      </c>
      <c r="D908" s="190">
        <f t="shared" si="29"/>
        <v>0</v>
      </c>
      <c r="E908" s="133">
        <v>7.77</v>
      </c>
      <c r="F908" s="134"/>
      <c r="G908" s="135">
        <v>126.4</v>
      </c>
      <c r="H908" s="137">
        <v>12.6</v>
      </c>
      <c r="I908" s="134"/>
      <c r="J908" s="137">
        <v>6.8</v>
      </c>
      <c r="K908" s="134"/>
      <c r="L908" s="136">
        <v>50</v>
      </c>
      <c r="M908" s="181"/>
      <c r="N908" s="159"/>
      <c r="O908" s="159"/>
      <c r="P908" s="136"/>
    </row>
    <row r="909" spans="1:16" ht="16.5" customHeight="1" x14ac:dyDescent="0.25">
      <c r="A909" s="156">
        <v>44936</v>
      </c>
      <c r="B909" s="136" t="s">
        <v>28</v>
      </c>
      <c r="C909" s="157" t="str">
        <f t="shared" si="28"/>
        <v>10.01.2023_GRU2</v>
      </c>
      <c r="D909" s="190">
        <f t="shared" si="29"/>
        <v>0</v>
      </c>
      <c r="E909" s="133">
        <v>7.83</v>
      </c>
      <c r="F909" s="134"/>
      <c r="G909" s="135">
        <v>134.4</v>
      </c>
      <c r="H909" s="137">
        <v>12.6</v>
      </c>
      <c r="I909" s="134"/>
      <c r="J909" s="137">
        <v>7.2</v>
      </c>
      <c r="K909" s="134"/>
      <c r="L909" s="136">
        <v>60</v>
      </c>
      <c r="M909" s="181"/>
      <c r="N909" s="159"/>
      <c r="O909" s="159"/>
      <c r="P909" s="136"/>
    </row>
    <row r="910" spans="1:16" ht="16.5" customHeight="1" x14ac:dyDescent="0.25">
      <c r="A910" s="156">
        <v>44936</v>
      </c>
      <c r="B910" s="136" t="s">
        <v>34</v>
      </c>
      <c r="C910" s="157" t="str">
        <f t="shared" si="28"/>
        <v>10.01.2023_KRE1</v>
      </c>
      <c r="D910" s="190">
        <f t="shared" si="29"/>
        <v>0</v>
      </c>
      <c r="E910" s="133">
        <v>8.0500000000000007</v>
      </c>
      <c r="F910" s="134"/>
      <c r="G910" s="135">
        <v>706</v>
      </c>
      <c r="H910" s="137">
        <v>11.1</v>
      </c>
      <c r="I910" s="134"/>
      <c r="J910" s="137">
        <v>7.2</v>
      </c>
      <c r="K910" s="134"/>
      <c r="L910" s="136">
        <v>55.000000000000007</v>
      </c>
      <c r="M910" s="181"/>
      <c r="N910" s="159"/>
      <c r="O910" s="159"/>
      <c r="P910" s="136"/>
    </row>
    <row r="911" spans="1:16" ht="16.5" customHeight="1" x14ac:dyDescent="0.25">
      <c r="A911" s="156">
        <v>44936</v>
      </c>
      <c r="B911" s="136" t="s">
        <v>37</v>
      </c>
      <c r="C911" s="157" t="str">
        <f t="shared" si="28"/>
        <v>10.01.2023_KRE2</v>
      </c>
      <c r="D911" s="190">
        <f t="shared" si="29"/>
        <v>0</v>
      </c>
      <c r="E911" s="184">
        <v>8.18</v>
      </c>
      <c r="F911" s="161" t="s">
        <v>269</v>
      </c>
      <c r="G911" s="135">
        <v>705</v>
      </c>
      <c r="H911" s="137">
        <v>10.8</v>
      </c>
      <c r="I911" s="161"/>
      <c r="J911" s="137">
        <v>7.1</v>
      </c>
      <c r="K911" s="161"/>
      <c r="L911" s="136">
        <v>70</v>
      </c>
      <c r="M911" s="181"/>
      <c r="N911" s="159" t="s">
        <v>292</v>
      </c>
      <c r="O911" s="159"/>
      <c r="P911" s="136"/>
    </row>
    <row r="912" spans="1:16" ht="16.5" customHeight="1" x14ac:dyDescent="0.25">
      <c r="A912" s="156">
        <v>44936</v>
      </c>
      <c r="B912" s="136" t="s">
        <v>14</v>
      </c>
      <c r="C912" s="157" t="str">
        <f t="shared" si="28"/>
        <v>10.01.2023_BRA1</v>
      </c>
      <c r="D912" s="190">
        <f t="shared" si="29"/>
        <v>0</v>
      </c>
      <c r="E912" s="133">
        <v>7.33</v>
      </c>
      <c r="F912" s="134"/>
      <c r="G912" s="135">
        <v>142.69999999999999</v>
      </c>
      <c r="H912" s="137">
        <v>11.5</v>
      </c>
      <c r="I912" s="134"/>
      <c r="J912" s="137">
        <v>6.7</v>
      </c>
      <c r="K912" s="134"/>
      <c r="L912" s="136">
        <v>50</v>
      </c>
      <c r="M912" s="181"/>
      <c r="N912" s="159"/>
      <c r="O912" s="159"/>
      <c r="P912" s="136" t="s">
        <v>215</v>
      </c>
    </row>
    <row r="913" spans="1:16" ht="16.5" customHeight="1" x14ac:dyDescent="0.25">
      <c r="A913" s="156">
        <v>44936</v>
      </c>
      <c r="B913" s="136" t="s">
        <v>17</v>
      </c>
      <c r="C913" s="157" t="str">
        <f t="shared" si="28"/>
        <v>10.01.2023_BRA2</v>
      </c>
      <c r="D913" s="190">
        <f t="shared" si="29"/>
        <v>0</v>
      </c>
      <c r="E913" s="133">
        <v>7.7</v>
      </c>
      <c r="F913" s="134"/>
      <c r="G913" s="135">
        <v>151.9</v>
      </c>
      <c r="H913" s="137">
        <v>12</v>
      </c>
      <c r="I913" s="134"/>
      <c r="J913" s="137">
        <v>7.1</v>
      </c>
      <c r="K913" s="134"/>
      <c r="L913" s="136">
        <v>50</v>
      </c>
      <c r="M913" s="181"/>
      <c r="N913" s="159"/>
      <c r="O913" s="159"/>
      <c r="P913" s="136" t="s">
        <v>215</v>
      </c>
    </row>
    <row r="914" spans="1:16" ht="16.5" customHeight="1" x14ac:dyDescent="0.25">
      <c r="A914" s="156">
        <v>44936</v>
      </c>
      <c r="B914" s="136" t="s">
        <v>0</v>
      </c>
      <c r="C914" s="157" t="str">
        <f t="shared" si="28"/>
        <v>10.01.2023_KIN1</v>
      </c>
      <c r="D914" s="190">
        <f t="shared" si="29"/>
        <v>0</v>
      </c>
      <c r="E914" s="133">
        <v>8.16</v>
      </c>
      <c r="F914" s="134"/>
      <c r="G914" s="135">
        <v>291</v>
      </c>
      <c r="H914" s="137">
        <v>12.2</v>
      </c>
      <c r="I914" s="134"/>
      <c r="J914" s="137">
        <v>6.5</v>
      </c>
      <c r="K914" s="134"/>
      <c r="L914" s="136">
        <v>30</v>
      </c>
      <c r="M914" s="181"/>
      <c r="N914" s="159"/>
      <c r="O914" s="159"/>
      <c r="P914" s="136" t="s">
        <v>215</v>
      </c>
    </row>
    <row r="915" spans="1:16" ht="16.5" customHeight="1" x14ac:dyDescent="0.25">
      <c r="A915" s="156">
        <v>44936</v>
      </c>
      <c r="B915" s="136" t="s">
        <v>2</v>
      </c>
      <c r="C915" s="157" t="str">
        <f t="shared" si="28"/>
        <v>10.01.2023_KIN2</v>
      </c>
      <c r="D915" s="190">
        <f t="shared" si="29"/>
        <v>0</v>
      </c>
      <c r="E915" s="133">
        <v>8.08</v>
      </c>
      <c r="F915" s="134"/>
      <c r="G915" s="135">
        <v>333</v>
      </c>
      <c r="H915" s="137">
        <v>12.2</v>
      </c>
      <c r="I915" s="134"/>
      <c r="J915" s="137">
        <v>6.9</v>
      </c>
      <c r="K915" s="134"/>
      <c r="L915" s="136">
        <v>40</v>
      </c>
      <c r="M915" s="181"/>
      <c r="N915" s="159"/>
      <c r="O915" s="159"/>
      <c r="P915" s="136" t="s">
        <v>215</v>
      </c>
    </row>
    <row r="916" spans="1:16" ht="16.5" customHeight="1" x14ac:dyDescent="0.25">
      <c r="A916" s="156">
        <v>44936</v>
      </c>
      <c r="B916" s="136" t="s">
        <v>4</v>
      </c>
      <c r="C916" s="157" t="str">
        <f t="shared" si="28"/>
        <v>10.01.2023_KIN3</v>
      </c>
      <c r="D916" s="190">
        <f t="shared" si="29"/>
        <v>0</v>
      </c>
      <c r="E916" s="133">
        <v>8.11</v>
      </c>
      <c r="F916" s="134"/>
      <c r="G916" s="135">
        <v>309</v>
      </c>
      <c r="H916" s="137">
        <v>12.5</v>
      </c>
      <c r="I916" s="134"/>
      <c r="J916" s="137">
        <v>6.8</v>
      </c>
      <c r="K916" s="134"/>
      <c r="L916" s="136">
        <v>85</v>
      </c>
      <c r="M916" s="181"/>
      <c r="N916" s="159"/>
      <c r="O916" s="159"/>
      <c r="P916" s="136" t="s">
        <v>174</v>
      </c>
    </row>
    <row r="917" spans="1:16" ht="16.5" customHeight="1" x14ac:dyDescent="0.25">
      <c r="A917" s="156">
        <v>44936</v>
      </c>
      <c r="B917" s="136" t="s">
        <v>6</v>
      </c>
      <c r="C917" s="157" t="str">
        <f t="shared" si="28"/>
        <v>10.01.2023_KIN4</v>
      </c>
      <c r="D917" s="190">
        <f t="shared" si="29"/>
        <v>0</v>
      </c>
      <c r="E917" s="133">
        <v>8.0299999999999994</v>
      </c>
      <c r="F917" s="134"/>
      <c r="G917" s="135">
        <v>312</v>
      </c>
      <c r="H917" s="137">
        <v>12.1</v>
      </c>
      <c r="I917" s="134"/>
      <c r="J917" s="137">
        <v>6.9</v>
      </c>
      <c r="K917" s="134"/>
      <c r="L917" s="136">
        <v>75</v>
      </c>
      <c r="M917" s="181"/>
      <c r="N917" s="159"/>
      <c r="O917" s="159"/>
      <c r="P917" s="136" t="s">
        <v>174</v>
      </c>
    </row>
    <row r="918" spans="1:16" ht="16.5" customHeight="1" x14ac:dyDescent="0.25">
      <c r="A918" s="156">
        <v>44936</v>
      </c>
      <c r="B918" s="136" t="s">
        <v>18</v>
      </c>
      <c r="C918" s="157" t="str">
        <f t="shared" si="28"/>
        <v>10.01.2023_ORB1</v>
      </c>
      <c r="D918" s="190">
        <f t="shared" si="29"/>
        <v>0</v>
      </c>
      <c r="E918" s="133">
        <v>7.4</v>
      </c>
      <c r="F918" s="134"/>
      <c r="G918" s="135">
        <v>111.1</v>
      </c>
      <c r="H918" s="137">
        <v>11.9</v>
      </c>
      <c r="I918" s="134"/>
      <c r="J918" s="137">
        <v>8.6999999999999993</v>
      </c>
      <c r="K918" s="134"/>
      <c r="L918" s="136">
        <v>15</v>
      </c>
      <c r="M918" s="181"/>
      <c r="N918" s="159"/>
      <c r="O918" s="159"/>
      <c r="P918" s="136" t="s">
        <v>174</v>
      </c>
    </row>
    <row r="919" spans="1:16" ht="16.5" customHeight="1" x14ac:dyDescent="0.25">
      <c r="A919" s="156">
        <v>44936</v>
      </c>
      <c r="B919" s="136" t="s">
        <v>21</v>
      </c>
      <c r="C919" s="157" t="str">
        <f t="shared" si="28"/>
        <v>10.01.2023_ORB2</v>
      </c>
      <c r="D919" s="190">
        <f t="shared" si="29"/>
        <v>0</v>
      </c>
      <c r="E919" s="133">
        <v>7.22</v>
      </c>
      <c r="F919" s="134"/>
      <c r="G919" s="135">
        <v>145.5</v>
      </c>
      <c r="H919" s="137">
        <v>11.5</v>
      </c>
      <c r="I919" s="134"/>
      <c r="J919" s="137">
        <v>8.6999999999999993</v>
      </c>
      <c r="K919" s="134"/>
      <c r="L919" s="136">
        <v>35</v>
      </c>
      <c r="M919" s="181"/>
      <c r="N919" s="159"/>
      <c r="O919" s="159"/>
      <c r="P919" s="136" t="s">
        <v>173</v>
      </c>
    </row>
    <row r="920" spans="1:16" ht="16.5" customHeight="1" x14ac:dyDescent="0.25">
      <c r="A920" s="156">
        <v>44936</v>
      </c>
      <c r="B920" s="136" t="s">
        <v>10</v>
      </c>
      <c r="C920" s="157" t="str">
        <f t="shared" si="28"/>
        <v>10.01.2023_SAL1</v>
      </c>
      <c r="D920" s="190">
        <f t="shared" si="29"/>
        <v>0</v>
      </c>
      <c r="E920" s="133">
        <v>7.72</v>
      </c>
      <c r="F920" s="134"/>
      <c r="G920" s="135">
        <v>147.69999999999999</v>
      </c>
      <c r="H920" s="137">
        <v>12.2</v>
      </c>
      <c r="I920" s="134"/>
      <c r="J920" s="137">
        <v>6.9</v>
      </c>
      <c r="K920" s="134"/>
      <c r="L920" s="136">
        <v>70</v>
      </c>
      <c r="M920" s="181"/>
      <c r="N920" s="159"/>
      <c r="O920" s="159"/>
      <c r="P920" s="136" t="s">
        <v>174</v>
      </c>
    </row>
    <row r="921" spans="1:16" ht="16.5" customHeight="1" x14ac:dyDescent="0.25">
      <c r="A921" s="156">
        <v>44936</v>
      </c>
      <c r="B921" s="136" t="s">
        <v>12</v>
      </c>
      <c r="C921" s="157" t="str">
        <f t="shared" si="28"/>
        <v>10.01.2023_SAL2</v>
      </c>
      <c r="D921" s="190">
        <f t="shared" si="29"/>
        <v>0</v>
      </c>
      <c r="E921" s="133">
        <v>7.73</v>
      </c>
      <c r="F921" s="134"/>
      <c r="G921" s="135">
        <v>150.1</v>
      </c>
      <c r="H921" s="137">
        <v>12.4</v>
      </c>
      <c r="I921" s="134"/>
      <c r="J921" s="137">
        <v>6.9</v>
      </c>
      <c r="K921" s="134"/>
      <c r="L921" s="136">
        <v>80</v>
      </c>
      <c r="M921" s="181"/>
      <c r="N921" s="159"/>
      <c r="O921" s="159"/>
      <c r="P921" s="136" t="s">
        <v>174</v>
      </c>
    </row>
    <row r="922" spans="1:16" ht="16.5" customHeight="1" x14ac:dyDescent="0.25">
      <c r="A922" s="156">
        <v>44936</v>
      </c>
      <c r="B922" s="136" t="s">
        <v>7</v>
      </c>
      <c r="C922" s="157" t="str">
        <f t="shared" si="28"/>
        <v>10.01.2023_STE1</v>
      </c>
      <c r="D922" s="190">
        <f t="shared" si="29"/>
        <v>0</v>
      </c>
      <c r="E922" s="133">
        <v>7.94</v>
      </c>
      <c r="F922" s="134"/>
      <c r="G922" s="135">
        <v>184.5</v>
      </c>
      <c r="H922" s="137">
        <v>12.3</v>
      </c>
      <c r="I922" s="134"/>
      <c r="J922" s="137">
        <v>6.8</v>
      </c>
      <c r="K922" s="134"/>
      <c r="L922" s="136">
        <v>35</v>
      </c>
      <c r="M922" s="181"/>
      <c r="N922" s="159"/>
      <c r="O922" s="159"/>
      <c r="P922" s="136" t="s">
        <v>173</v>
      </c>
    </row>
    <row r="923" spans="1:16" ht="16.5" customHeight="1" x14ac:dyDescent="0.25">
      <c r="A923" s="156">
        <v>44936</v>
      </c>
      <c r="B923" s="136" t="s">
        <v>9</v>
      </c>
      <c r="C923" s="157" t="str">
        <f t="shared" si="28"/>
        <v>10.01.2023_STE2</v>
      </c>
      <c r="D923" s="190">
        <f t="shared" si="29"/>
        <v>0</v>
      </c>
      <c r="E923" s="133">
        <v>7.97</v>
      </c>
      <c r="F923" s="134"/>
      <c r="G923" s="135">
        <v>187.3</v>
      </c>
      <c r="H923" s="137">
        <v>12.5</v>
      </c>
      <c r="I923" s="134"/>
      <c r="J923" s="137">
        <v>7</v>
      </c>
      <c r="K923" s="134"/>
      <c r="L923" s="136">
        <v>70</v>
      </c>
      <c r="M923" s="181"/>
      <c r="N923" s="159"/>
      <c r="O923" s="159"/>
      <c r="P923" s="136" t="s">
        <v>173</v>
      </c>
    </row>
    <row r="924" spans="1:16" ht="16.5" customHeight="1" x14ac:dyDescent="0.25">
      <c r="A924" s="156">
        <v>44950</v>
      </c>
      <c r="B924" s="136" t="s">
        <v>22</v>
      </c>
      <c r="C924" s="157" t="str">
        <f t="shared" si="28"/>
        <v>24.01.2023_BIE1</v>
      </c>
      <c r="D924" s="190">
        <f t="shared" si="29"/>
        <v>0</v>
      </c>
      <c r="E924" s="133">
        <v>7.88</v>
      </c>
      <c r="F924" s="134"/>
      <c r="G924" s="135">
        <v>136.1</v>
      </c>
      <c r="H924" s="137">
        <v>15.3</v>
      </c>
      <c r="I924" s="134"/>
      <c r="J924" s="182">
        <v>5.7</v>
      </c>
      <c r="K924" s="161" t="s">
        <v>269</v>
      </c>
      <c r="L924" s="136">
        <v>35</v>
      </c>
      <c r="M924" s="181"/>
      <c r="N924" s="159"/>
      <c r="O924" s="159"/>
      <c r="P924" s="136"/>
    </row>
    <row r="925" spans="1:16" ht="16.5" customHeight="1" x14ac:dyDescent="0.25">
      <c r="A925" s="156">
        <v>44950</v>
      </c>
      <c r="B925" s="136" t="s">
        <v>25</v>
      </c>
      <c r="C925" s="157" t="str">
        <f t="shared" si="28"/>
        <v>24.01.2023_BIE2</v>
      </c>
      <c r="D925" s="190">
        <f t="shared" si="29"/>
        <v>0</v>
      </c>
      <c r="E925" s="133">
        <v>7.82</v>
      </c>
      <c r="F925" s="134"/>
      <c r="G925" s="135">
        <v>155.19999999999999</v>
      </c>
      <c r="H925" s="137">
        <v>13.5</v>
      </c>
      <c r="I925" s="134"/>
      <c r="J925" s="137">
        <v>5.5</v>
      </c>
      <c r="K925" s="134"/>
      <c r="L925" s="136">
        <v>60</v>
      </c>
      <c r="M925" s="181"/>
      <c r="N925" s="159"/>
      <c r="O925" s="159"/>
      <c r="P925" s="136"/>
    </row>
    <row r="926" spans="1:16" ht="16.5" customHeight="1" x14ac:dyDescent="0.25">
      <c r="A926" s="156">
        <v>44950</v>
      </c>
      <c r="B926" s="136" t="s">
        <v>30</v>
      </c>
      <c r="C926" s="157" t="str">
        <f t="shared" si="28"/>
        <v>24.01.2023_FAL1</v>
      </c>
      <c r="D926" s="190">
        <f t="shared" si="29"/>
        <v>0</v>
      </c>
      <c r="E926" s="133">
        <v>7.97</v>
      </c>
      <c r="F926" s="134"/>
      <c r="G926" s="135">
        <v>739</v>
      </c>
      <c r="H926" s="137">
        <v>12.7</v>
      </c>
      <c r="I926" s="134"/>
      <c r="J926" s="137">
        <v>5.9</v>
      </c>
      <c r="K926" s="134"/>
      <c r="L926" s="136">
        <v>55.000000000000007</v>
      </c>
      <c r="M926" s="181"/>
      <c r="N926" s="159"/>
      <c r="O926" s="159"/>
      <c r="P926" s="136"/>
    </row>
    <row r="927" spans="1:16" ht="16.5" customHeight="1" x14ac:dyDescent="0.25">
      <c r="A927" s="156">
        <v>44950</v>
      </c>
      <c r="B927" s="136" t="s">
        <v>32</v>
      </c>
      <c r="C927" s="157" t="str">
        <f t="shared" si="28"/>
        <v>24.01.2023_FAL2</v>
      </c>
      <c r="D927" s="190">
        <f t="shared" si="29"/>
        <v>0</v>
      </c>
      <c r="E927" s="133">
        <v>8.1999999999999993</v>
      </c>
      <c r="F927" s="134"/>
      <c r="G927" s="135">
        <v>773</v>
      </c>
      <c r="H927" s="137">
        <v>13.5</v>
      </c>
      <c r="I927" s="134"/>
      <c r="J927" s="137">
        <v>5.2</v>
      </c>
      <c r="K927" s="134"/>
      <c r="L927" s="136">
        <v>50</v>
      </c>
      <c r="M927" s="181"/>
      <c r="N927" s="159"/>
      <c r="O927" s="159"/>
      <c r="P927" s="136"/>
    </row>
    <row r="928" spans="1:16" ht="16.5" customHeight="1" x14ac:dyDescent="0.25">
      <c r="A928" s="156">
        <v>44950</v>
      </c>
      <c r="B928" s="136" t="s">
        <v>26</v>
      </c>
      <c r="C928" s="157" t="str">
        <f t="shared" si="28"/>
        <v>24.01.2023_GRU1</v>
      </c>
      <c r="D928" s="190">
        <f t="shared" si="29"/>
        <v>0</v>
      </c>
      <c r="E928" s="133">
        <v>7.67</v>
      </c>
      <c r="F928" s="134"/>
      <c r="G928" s="135">
        <v>132.1</v>
      </c>
      <c r="H928" s="137">
        <v>14.6</v>
      </c>
      <c r="I928" s="134"/>
      <c r="J928" s="137">
        <v>4.5999999999999996</v>
      </c>
      <c r="K928" s="134"/>
      <c r="L928" s="136">
        <v>35</v>
      </c>
      <c r="M928" s="181"/>
      <c r="N928" s="159"/>
      <c r="O928" s="159"/>
      <c r="P928" s="136"/>
    </row>
    <row r="929" spans="1:16" ht="16.5" customHeight="1" x14ac:dyDescent="0.25">
      <c r="A929" s="156">
        <v>44950</v>
      </c>
      <c r="B929" s="136" t="s">
        <v>28</v>
      </c>
      <c r="C929" s="157" t="str">
        <f t="shared" si="28"/>
        <v>24.01.2023_GRU2</v>
      </c>
      <c r="D929" s="190">
        <f t="shared" si="29"/>
        <v>0</v>
      </c>
      <c r="E929" s="133">
        <v>7.62</v>
      </c>
      <c r="F929" s="134"/>
      <c r="G929" s="135">
        <v>159.1</v>
      </c>
      <c r="H929" s="137">
        <v>14.3</v>
      </c>
      <c r="I929" s="134"/>
      <c r="J929" s="137">
        <v>5.2</v>
      </c>
      <c r="K929" s="134"/>
      <c r="L929" s="136">
        <v>50</v>
      </c>
      <c r="M929" s="181"/>
      <c r="N929" s="159"/>
      <c r="O929" s="159"/>
      <c r="P929" s="136"/>
    </row>
    <row r="930" spans="1:16" ht="16.5" customHeight="1" x14ac:dyDescent="0.25">
      <c r="A930" s="156">
        <v>44950</v>
      </c>
      <c r="B930" s="136" t="s">
        <v>34</v>
      </c>
      <c r="C930" s="157" t="str">
        <f t="shared" si="28"/>
        <v>24.01.2023_KRE1</v>
      </c>
      <c r="D930" s="190">
        <f t="shared" si="29"/>
        <v>0</v>
      </c>
      <c r="E930" s="133">
        <v>8</v>
      </c>
      <c r="F930" s="134"/>
      <c r="G930" s="135">
        <v>833</v>
      </c>
      <c r="H930" s="137">
        <v>13.6</v>
      </c>
      <c r="I930" s="134"/>
      <c r="J930" s="137">
        <v>4.5</v>
      </c>
      <c r="K930" s="134"/>
      <c r="L930" s="136">
        <v>50</v>
      </c>
      <c r="M930" s="181"/>
      <c r="N930" s="159"/>
      <c r="O930" s="159"/>
      <c r="P930" s="136"/>
    </row>
    <row r="931" spans="1:16" ht="16.5" customHeight="1" x14ac:dyDescent="0.25">
      <c r="A931" s="156">
        <v>44950</v>
      </c>
      <c r="B931" s="136" t="s">
        <v>37</v>
      </c>
      <c r="C931" s="157" t="str">
        <f t="shared" si="28"/>
        <v>24.01.2023_KRE2</v>
      </c>
      <c r="D931" s="190">
        <f t="shared" si="29"/>
        <v>0</v>
      </c>
      <c r="E931" s="133">
        <v>7.95</v>
      </c>
      <c r="F931" s="134"/>
      <c r="G931" s="135">
        <v>820</v>
      </c>
      <c r="H931" s="137">
        <v>12.5</v>
      </c>
      <c r="I931" s="134"/>
      <c r="J931" s="137">
        <v>4.3</v>
      </c>
      <c r="K931" s="134"/>
      <c r="L931" s="136">
        <v>60</v>
      </c>
      <c r="M931" s="181"/>
      <c r="N931" s="159"/>
      <c r="O931" s="159"/>
      <c r="P931" s="136"/>
    </row>
    <row r="932" spans="1:16" ht="16.5" customHeight="1" x14ac:dyDescent="0.25">
      <c r="A932" s="156">
        <v>44950</v>
      </c>
      <c r="B932" s="136" t="s">
        <v>14</v>
      </c>
      <c r="C932" s="157" t="str">
        <f t="shared" si="28"/>
        <v>24.01.2023_BRA1</v>
      </c>
      <c r="D932" s="190">
        <f t="shared" si="29"/>
        <v>0</v>
      </c>
      <c r="E932" s="133">
        <v>7.14</v>
      </c>
      <c r="F932" s="134"/>
      <c r="G932" s="135">
        <v>142.80000000000001</v>
      </c>
      <c r="H932" s="137">
        <v>12.8</v>
      </c>
      <c r="I932" s="134"/>
      <c r="J932" s="137">
        <v>3.7</v>
      </c>
      <c r="K932" s="134"/>
      <c r="L932" s="136">
        <v>35</v>
      </c>
      <c r="M932" s="181"/>
      <c r="N932" s="159"/>
      <c r="O932" s="159"/>
      <c r="P932" s="136" t="s">
        <v>215</v>
      </c>
    </row>
    <row r="933" spans="1:16" ht="16.5" customHeight="1" x14ac:dyDescent="0.25">
      <c r="A933" s="156">
        <v>44950</v>
      </c>
      <c r="B933" s="136" t="s">
        <v>17</v>
      </c>
      <c r="C933" s="157" t="str">
        <f t="shared" si="28"/>
        <v>24.01.2023_BRA2</v>
      </c>
      <c r="D933" s="190">
        <f t="shared" si="29"/>
        <v>0</v>
      </c>
      <c r="E933" s="133">
        <v>7.39</v>
      </c>
      <c r="F933" s="134"/>
      <c r="G933" s="135">
        <v>149</v>
      </c>
      <c r="H933" s="137">
        <v>12.9</v>
      </c>
      <c r="I933" s="134"/>
      <c r="J933" s="137">
        <v>3.4</v>
      </c>
      <c r="K933" s="134"/>
      <c r="L933" s="136">
        <v>45</v>
      </c>
      <c r="M933" s="181"/>
      <c r="N933" s="159"/>
      <c r="O933" s="159"/>
      <c r="P933" s="136" t="s">
        <v>215</v>
      </c>
    </row>
    <row r="934" spans="1:16" ht="16.5" customHeight="1" x14ac:dyDescent="0.25">
      <c r="A934" s="156">
        <v>44950</v>
      </c>
      <c r="B934" s="136" t="s">
        <v>0</v>
      </c>
      <c r="C934" s="157" t="str">
        <f t="shared" si="28"/>
        <v>24.01.2023_KIN1</v>
      </c>
      <c r="D934" s="190">
        <f t="shared" si="29"/>
        <v>0</v>
      </c>
      <c r="E934" s="133">
        <v>8.01</v>
      </c>
      <c r="F934" s="134"/>
      <c r="G934" s="135">
        <v>323</v>
      </c>
      <c r="H934" s="137">
        <v>14.2</v>
      </c>
      <c r="I934" s="134"/>
      <c r="J934" s="137">
        <v>3.1</v>
      </c>
      <c r="K934" s="134"/>
      <c r="L934" s="136">
        <v>30</v>
      </c>
      <c r="M934" s="181"/>
      <c r="N934" s="159"/>
      <c r="O934" s="159"/>
      <c r="P934" s="136" t="s">
        <v>215</v>
      </c>
    </row>
    <row r="935" spans="1:16" ht="16.5" customHeight="1" x14ac:dyDescent="0.25">
      <c r="A935" s="156">
        <v>44950</v>
      </c>
      <c r="B935" s="136" t="s">
        <v>2</v>
      </c>
      <c r="C935" s="157" t="str">
        <f t="shared" si="28"/>
        <v>24.01.2023_KIN2</v>
      </c>
      <c r="D935" s="190">
        <f t="shared" si="29"/>
        <v>0</v>
      </c>
      <c r="E935" s="133">
        <v>8.23</v>
      </c>
      <c r="F935" s="134"/>
      <c r="G935" s="135">
        <v>389</v>
      </c>
      <c r="H935" s="137">
        <v>14.1</v>
      </c>
      <c r="I935" s="134"/>
      <c r="J935" s="137">
        <v>3.2</v>
      </c>
      <c r="K935" s="134"/>
      <c r="L935" s="136">
        <v>40</v>
      </c>
      <c r="M935" s="181"/>
      <c r="N935" s="159"/>
      <c r="O935" s="159"/>
      <c r="P935" s="136" t="s">
        <v>215</v>
      </c>
    </row>
    <row r="936" spans="1:16" ht="16.5" customHeight="1" x14ac:dyDescent="0.25">
      <c r="A936" s="156">
        <v>44950</v>
      </c>
      <c r="B936" s="136" t="s">
        <v>4</v>
      </c>
      <c r="C936" s="157" t="str">
        <f t="shared" si="28"/>
        <v>24.01.2023_KIN3</v>
      </c>
      <c r="D936" s="190">
        <f t="shared" si="29"/>
        <v>0</v>
      </c>
      <c r="E936" s="133">
        <v>7.99</v>
      </c>
      <c r="F936" s="134"/>
      <c r="G936" s="135">
        <v>377</v>
      </c>
      <c r="H936" s="137">
        <v>13.7</v>
      </c>
      <c r="I936" s="134"/>
      <c r="J936" s="137">
        <v>3.9</v>
      </c>
      <c r="K936" s="134"/>
      <c r="L936" s="136">
        <v>75</v>
      </c>
      <c r="M936" s="181"/>
      <c r="N936" s="159"/>
      <c r="O936" s="159"/>
      <c r="P936" s="136" t="s">
        <v>174</v>
      </c>
    </row>
    <row r="937" spans="1:16" ht="16.5" customHeight="1" x14ac:dyDescent="0.25">
      <c r="A937" s="156">
        <v>44950</v>
      </c>
      <c r="B937" s="136" t="s">
        <v>6</v>
      </c>
      <c r="C937" s="157" t="str">
        <f t="shared" si="28"/>
        <v>24.01.2023_KIN4</v>
      </c>
      <c r="D937" s="190">
        <f t="shared" si="29"/>
        <v>0</v>
      </c>
      <c r="E937" s="133">
        <v>7.91</v>
      </c>
      <c r="F937" s="134"/>
      <c r="G937" s="135">
        <v>381</v>
      </c>
      <c r="H937" s="137">
        <v>13.4</v>
      </c>
      <c r="I937" s="134"/>
      <c r="J937" s="137">
        <v>3.9</v>
      </c>
      <c r="K937" s="134"/>
      <c r="L937" s="136">
        <v>55.000000000000007</v>
      </c>
      <c r="M937" s="181"/>
      <c r="N937" s="159"/>
      <c r="O937" s="159"/>
      <c r="P937" s="136" t="s">
        <v>174</v>
      </c>
    </row>
    <row r="938" spans="1:16" ht="16.5" customHeight="1" x14ac:dyDescent="0.25">
      <c r="A938" s="156">
        <v>44950</v>
      </c>
      <c r="B938" s="136" t="s">
        <v>18</v>
      </c>
      <c r="C938" s="157" t="str">
        <f t="shared" si="28"/>
        <v>24.01.2023_ORB1</v>
      </c>
      <c r="D938" s="190">
        <f t="shared" si="29"/>
        <v>0</v>
      </c>
      <c r="E938" s="133">
        <v>7.15</v>
      </c>
      <c r="F938" s="134"/>
      <c r="G938" s="135">
        <v>106.2</v>
      </c>
      <c r="H938" s="137">
        <v>12.5</v>
      </c>
      <c r="I938" s="134"/>
      <c r="J938" s="137">
        <v>6.7</v>
      </c>
      <c r="K938" s="134"/>
      <c r="L938" s="136">
        <v>35</v>
      </c>
      <c r="M938" s="181"/>
      <c r="N938" s="159"/>
      <c r="O938" s="159"/>
      <c r="P938" s="136" t="s">
        <v>174</v>
      </c>
    </row>
    <row r="939" spans="1:16" ht="16.5" customHeight="1" x14ac:dyDescent="0.25">
      <c r="A939" s="156">
        <v>44950</v>
      </c>
      <c r="B939" s="136" t="s">
        <v>21</v>
      </c>
      <c r="C939" s="157" t="str">
        <f t="shared" si="28"/>
        <v>24.01.2023_ORB2</v>
      </c>
      <c r="D939" s="190">
        <f t="shared" si="29"/>
        <v>0</v>
      </c>
      <c r="E939" s="133">
        <v>6.88</v>
      </c>
      <c r="F939" s="134"/>
      <c r="G939" s="135">
        <v>119.8</v>
      </c>
      <c r="H939" s="137">
        <v>12.4</v>
      </c>
      <c r="I939" s="134"/>
      <c r="J939" s="137">
        <v>6.2</v>
      </c>
      <c r="K939" s="134"/>
      <c r="L939" s="136">
        <v>45</v>
      </c>
      <c r="M939" s="181"/>
      <c r="N939" s="159" t="s">
        <v>293</v>
      </c>
      <c r="O939" s="159"/>
      <c r="P939" s="159" t="s">
        <v>173</v>
      </c>
    </row>
    <row r="940" spans="1:16" ht="16.5" customHeight="1" x14ac:dyDescent="0.25">
      <c r="A940" s="156">
        <v>44950</v>
      </c>
      <c r="B940" s="136" t="s">
        <v>10</v>
      </c>
      <c r="C940" s="157" t="str">
        <f t="shared" si="28"/>
        <v>24.01.2023_SAL1</v>
      </c>
      <c r="D940" s="190">
        <f t="shared" si="29"/>
        <v>0</v>
      </c>
      <c r="E940" s="133">
        <v>7.41</v>
      </c>
      <c r="F940" s="134"/>
      <c r="G940" s="135">
        <v>145.69999999999999</v>
      </c>
      <c r="H940" s="137">
        <v>12.4</v>
      </c>
      <c r="I940" s="134"/>
      <c r="J940" s="137">
        <v>2.9</v>
      </c>
      <c r="K940" s="134"/>
      <c r="L940" s="136">
        <v>55.000000000000007</v>
      </c>
      <c r="M940" s="181"/>
      <c r="N940" s="159"/>
      <c r="O940" s="159"/>
      <c r="P940" s="136" t="s">
        <v>174</v>
      </c>
    </row>
    <row r="941" spans="1:16" ht="16.5" customHeight="1" x14ac:dyDescent="0.25">
      <c r="A941" s="156">
        <v>44950</v>
      </c>
      <c r="B941" s="136" t="s">
        <v>12</v>
      </c>
      <c r="C941" s="157" t="str">
        <f t="shared" si="28"/>
        <v>24.01.2023_SAL2</v>
      </c>
      <c r="D941" s="190">
        <f t="shared" si="29"/>
        <v>0</v>
      </c>
      <c r="E941" s="133">
        <v>7.36</v>
      </c>
      <c r="F941" s="134"/>
      <c r="G941" s="135">
        <v>147.69999999999999</v>
      </c>
      <c r="H941" s="137">
        <v>13.2</v>
      </c>
      <c r="I941" s="134"/>
      <c r="J941" s="137">
        <v>3.2</v>
      </c>
      <c r="K941" s="134"/>
      <c r="L941" s="136">
        <v>65</v>
      </c>
      <c r="M941" s="181"/>
      <c r="N941" s="159"/>
      <c r="O941" s="159"/>
      <c r="P941" s="136" t="s">
        <v>174</v>
      </c>
    </row>
    <row r="942" spans="1:16" ht="16.5" customHeight="1" x14ac:dyDescent="0.25">
      <c r="A942" s="156">
        <v>44950</v>
      </c>
      <c r="B942" s="136" t="s">
        <v>7</v>
      </c>
      <c r="C942" s="157" t="str">
        <f t="shared" si="28"/>
        <v>24.01.2023_STE1</v>
      </c>
      <c r="D942" s="190">
        <f t="shared" si="29"/>
        <v>0</v>
      </c>
      <c r="E942" s="133">
        <v>7.73</v>
      </c>
      <c r="F942" s="134"/>
      <c r="G942" s="135">
        <v>225</v>
      </c>
      <c r="H942" s="137">
        <v>13.6</v>
      </c>
      <c r="I942" s="134"/>
      <c r="J942" s="137">
        <v>4.5</v>
      </c>
      <c r="K942" s="134"/>
      <c r="L942" s="136">
        <v>30</v>
      </c>
      <c r="M942" s="181"/>
      <c r="N942" s="159"/>
      <c r="O942" s="159"/>
      <c r="P942" s="136" t="s">
        <v>173</v>
      </c>
    </row>
    <row r="943" spans="1:16" ht="16.5" customHeight="1" x14ac:dyDescent="0.25">
      <c r="A943" s="156">
        <v>44950</v>
      </c>
      <c r="B943" s="136" t="s">
        <v>9</v>
      </c>
      <c r="C943" s="157" t="str">
        <f t="shared" si="28"/>
        <v>24.01.2023_STE2</v>
      </c>
      <c r="D943" s="190">
        <f t="shared" si="29"/>
        <v>0</v>
      </c>
      <c r="E943" s="133">
        <v>7.89</v>
      </c>
      <c r="F943" s="134"/>
      <c r="G943" s="135">
        <v>227</v>
      </c>
      <c r="H943" s="137">
        <v>13.8</v>
      </c>
      <c r="I943" s="134"/>
      <c r="J943" s="137">
        <v>4.5999999999999996</v>
      </c>
      <c r="K943" s="134"/>
      <c r="L943" s="136">
        <v>60</v>
      </c>
      <c r="M943" s="181"/>
      <c r="N943" s="159"/>
      <c r="O943" s="159"/>
      <c r="P943" s="136" t="s">
        <v>173</v>
      </c>
    </row>
    <row r="944" spans="1:16" ht="16.5" customHeight="1" x14ac:dyDescent="0.25">
      <c r="A944" s="156">
        <v>44964</v>
      </c>
      <c r="B944" s="136" t="s">
        <v>22</v>
      </c>
      <c r="C944" s="157" t="str">
        <f t="shared" si="28"/>
        <v>07.02.2023_BIE1</v>
      </c>
      <c r="D944" s="190">
        <f t="shared" si="29"/>
        <v>0</v>
      </c>
      <c r="E944" s="133">
        <v>7.7</v>
      </c>
      <c r="F944" s="134"/>
      <c r="G944" s="135">
        <v>152.6</v>
      </c>
      <c r="H944" s="137">
        <v>12.9</v>
      </c>
      <c r="I944" s="134"/>
      <c r="J944" s="137">
        <v>5.0999999999999996</v>
      </c>
      <c r="K944" s="134"/>
      <c r="L944" s="136">
        <v>40</v>
      </c>
      <c r="M944" s="181"/>
      <c r="N944" s="159"/>
      <c r="O944" s="159"/>
      <c r="P944" s="136" t="s">
        <v>242</v>
      </c>
    </row>
    <row r="945" spans="1:16" ht="16.5" customHeight="1" x14ac:dyDescent="0.25">
      <c r="A945" s="156">
        <v>44964</v>
      </c>
      <c r="B945" s="136" t="s">
        <v>25</v>
      </c>
      <c r="C945" s="157" t="str">
        <f t="shared" si="28"/>
        <v>07.02.2023_BIE2</v>
      </c>
      <c r="D945" s="190">
        <f t="shared" si="29"/>
        <v>0</v>
      </c>
      <c r="E945" s="133">
        <v>7.63</v>
      </c>
      <c r="F945" s="134"/>
      <c r="G945" s="135">
        <v>160.9</v>
      </c>
      <c r="H945" s="137">
        <v>12.9</v>
      </c>
      <c r="I945" s="134"/>
      <c r="J945" s="137">
        <v>5</v>
      </c>
      <c r="K945" s="134"/>
      <c r="L945" s="136">
        <v>55.000000000000007</v>
      </c>
      <c r="M945" s="181"/>
      <c r="N945" s="159"/>
      <c r="O945" s="159"/>
      <c r="P945" s="136"/>
    </row>
    <row r="946" spans="1:16" ht="16.5" customHeight="1" x14ac:dyDescent="0.25">
      <c r="A946" s="156">
        <v>44964</v>
      </c>
      <c r="B946" s="136" t="s">
        <v>30</v>
      </c>
      <c r="C946" s="157" t="str">
        <f t="shared" si="28"/>
        <v>07.02.2023_FAL1</v>
      </c>
      <c r="D946" s="190">
        <f t="shared" si="29"/>
        <v>0</v>
      </c>
      <c r="E946" s="133">
        <v>7.96</v>
      </c>
      <c r="F946" s="134"/>
      <c r="G946" s="135">
        <v>724</v>
      </c>
      <c r="H946" s="137">
        <v>12.9</v>
      </c>
      <c r="I946" s="134"/>
      <c r="J946" s="137">
        <v>4.8</v>
      </c>
      <c r="K946" s="134"/>
      <c r="L946" s="136">
        <v>50</v>
      </c>
      <c r="M946" s="181"/>
      <c r="N946" s="159"/>
      <c r="O946" s="159"/>
      <c r="P946" s="136" t="s">
        <v>243</v>
      </c>
    </row>
    <row r="947" spans="1:16" ht="16.5" customHeight="1" x14ac:dyDescent="0.25">
      <c r="A947" s="156">
        <v>44964</v>
      </c>
      <c r="B947" s="136" t="s">
        <v>32</v>
      </c>
      <c r="C947" s="157" t="str">
        <f t="shared" si="28"/>
        <v>07.02.2023_FAL2</v>
      </c>
      <c r="D947" s="190">
        <f t="shared" si="29"/>
        <v>0</v>
      </c>
      <c r="E947" s="133">
        <v>8.31</v>
      </c>
      <c r="F947" s="134"/>
      <c r="G947" s="135">
        <v>751</v>
      </c>
      <c r="H947" s="137">
        <v>13.5</v>
      </c>
      <c r="I947" s="134"/>
      <c r="J947" s="137">
        <v>4.3</v>
      </c>
      <c r="K947" s="134"/>
      <c r="L947" s="136">
        <v>60</v>
      </c>
      <c r="M947" s="181"/>
      <c r="N947" s="159"/>
      <c r="O947" s="159"/>
      <c r="P947" s="136"/>
    </row>
    <row r="948" spans="1:16" ht="16.5" customHeight="1" x14ac:dyDescent="0.25">
      <c r="A948" s="156">
        <v>44964</v>
      </c>
      <c r="B948" s="136" t="s">
        <v>26</v>
      </c>
      <c r="C948" s="157" t="str">
        <f t="shared" si="28"/>
        <v>07.02.2023_GRU1</v>
      </c>
      <c r="D948" s="190">
        <f t="shared" si="29"/>
        <v>0</v>
      </c>
      <c r="E948" s="133">
        <v>7.58</v>
      </c>
      <c r="F948" s="134"/>
      <c r="G948" s="135">
        <v>134.80000000000001</v>
      </c>
      <c r="H948" s="137">
        <v>13.4</v>
      </c>
      <c r="I948" s="134"/>
      <c r="J948" s="137">
        <v>3.5</v>
      </c>
      <c r="K948" s="134"/>
      <c r="L948" s="136">
        <v>40</v>
      </c>
      <c r="M948" s="181"/>
      <c r="N948" s="159"/>
      <c r="O948" s="159"/>
      <c r="P948" s="136"/>
    </row>
    <row r="949" spans="1:16" ht="16.5" customHeight="1" x14ac:dyDescent="0.25">
      <c r="A949" s="156">
        <v>44964</v>
      </c>
      <c r="B949" s="136" t="s">
        <v>28</v>
      </c>
      <c r="C949" s="157" t="str">
        <f t="shared" si="28"/>
        <v>07.02.2023_GRU2</v>
      </c>
      <c r="D949" s="190">
        <f t="shared" si="29"/>
        <v>0</v>
      </c>
      <c r="E949" s="133">
        <v>7.6</v>
      </c>
      <c r="F949" s="134"/>
      <c r="G949" s="135">
        <v>145.19999999999999</v>
      </c>
      <c r="H949" s="137">
        <v>13.7</v>
      </c>
      <c r="I949" s="134"/>
      <c r="J949" s="137">
        <v>3.7</v>
      </c>
      <c r="K949" s="134"/>
      <c r="L949" s="136">
        <v>55.000000000000007</v>
      </c>
      <c r="M949" s="181"/>
      <c r="N949" s="159"/>
      <c r="O949" s="159"/>
      <c r="P949" s="136"/>
    </row>
    <row r="950" spans="1:16" ht="16.5" customHeight="1" x14ac:dyDescent="0.25">
      <c r="A950" s="156">
        <v>44964</v>
      </c>
      <c r="B950" s="136" t="s">
        <v>34</v>
      </c>
      <c r="C950" s="157" t="str">
        <f t="shared" si="28"/>
        <v>07.02.2023_KRE1</v>
      </c>
      <c r="D950" s="190">
        <f t="shared" si="29"/>
        <v>0</v>
      </c>
      <c r="E950" s="133">
        <v>7.97</v>
      </c>
      <c r="F950" s="134"/>
      <c r="G950" s="135">
        <v>800</v>
      </c>
      <c r="H950" s="137">
        <v>12.5</v>
      </c>
      <c r="I950" s="134"/>
      <c r="J950" s="137">
        <v>3.4</v>
      </c>
      <c r="K950" s="134"/>
      <c r="L950" s="136">
        <v>45</v>
      </c>
      <c r="M950" s="181"/>
      <c r="N950" s="159"/>
      <c r="O950" s="159"/>
      <c r="P950" s="136"/>
    </row>
    <row r="951" spans="1:16" ht="16.5" customHeight="1" x14ac:dyDescent="0.25">
      <c r="A951" s="156">
        <v>44964</v>
      </c>
      <c r="B951" s="136" t="s">
        <v>37</v>
      </c>
      <c r="C951" s="157" t="str">
        <f t="shared" si="28"/>
        <v>07.02.2023_KRE2</v>
      </c>
      <c r="D951" s="190">
        <f t="shared" si="29"/>
        <v>0</v>
      </c>
      <c r="E951" s="133">
        <v>7.86</v>
      </c>
      <c r="F951" s="134"/>
      <c r="G951" s="135">
        <v>815</v>
      </c>
      <c r="H951" s="137">
        <v>11.4</v>
      </c>
      <c r="I951" s="134"/>
      <c r="J951" s="137">
        <v>3.5</v>
      </c>
      <c r="K951" s="134"/>
      <c r="L951" s="136">
        <v>60</v>
      </c>
      <c r="M951" s="181"/>
      <c r="N951" s="159"/>
      <c r="O951" s="159"/>
      <c r="P951" s="136"/>
    </row>
    <row r="952" spans="1:16" ht="16.5" customHeight="1" x14ac:dyDescent="0.25">
      <c r="A952" s="156">
        <v>44964</v>
      </c>
      <c r="B952" s="136" t="s">
        <v>14</v>
      </c>
      <c r="C952" s="157" t="str">
        <f t="shared" si="28"/>
        <v>07.02.2023_BRA1</v>
      </c>
      <c r="D952" s="190">
        <f t="shared" si="29"/>
        <v>0</v>
      </c>
      <c r="E952" s="185">
        <v>7.33</v>
      </c>
      <c r="F952" s="161" t="s">
        <v>269</v>
      </c>
      <c r="G952" s="135">
        <v>158.6</v>
      </c>
      <c r="H952" s="137">
        <v>13.6</v>
      </c>
      <c r="I952" s="161"/>
      <c r="J952" s="137">
        <v>2</v>
      </c>
      <c r="K952" s="161" t="s">
        <v>269</v>
      </c>
      <c r="L952" s="136">
        <v>40</v>
      </c>
      <c r="M952" s="181"/>
      <c r="N952" s="159" t="s">
        <v>294</v>
      </c>
      <c r="O952" s="159"/>
      <c r="P952" s="159"/>
    </row>
    <row r="953" spans="1:16" ht="16.5" customHeight="1" x14ac:dyDescent="0.25">
      <c r="A953" s="156">
        <v>44964</v>
      </c>
      <c r="B953" s="136" t="s">
        <v>17</v>
      </c>
      <c r="C953" s="157" t="str">
        <f t="shared" si="28"/>
        <v>07.02.2023_BRA2</v>
      </c>
      <c r="D953" s="190">
        <f t="shared" si="29"/>
        <v>0</v>
      </c>
      <c r="E953" s="183">
        <v>7.78</v>
      </c>
      <c r="F953" s="161" t="s">
        <v>269</v>
      </c>
      <c r="G953" s="135">
        <v>157.9</v>
      </c>
      <c r="H953" s="137">
        <v>13.6</v>
      </c>
      <c r="I953" s="161"/>
      <c r="J953" s="137">
        <v>2.2000000000000002</v>
      </c>
      <c r="K953" s="161" t="s">
        <v>269</v>
      </c>
      <c r="L953" s="136">
        <v>55.000000000000007</v>
      </c>
      <c r="M953" s="181"/>
      <c r="N953" s="159" t="s">
        <v>295</v>
      </c>
      <c r="O953" s="159"/>
      <c r="P953" s="159"/>
    </row>
    <row r="954" spans="1:16" ht="16.5" customHeight="1" x14ac:dyDescent="0.25">
      <c r="A954" s="156">
        <v>44964</v>
      </c>
      <c r="B954" s="136" t="s">
        <v>0</v>
      </c>
      <c r="C954" s="157" t="str">
        <f t="shared" si="28"/>
        <v>07.02.2023_KIN1</v>
      </c>
      <c r="D954" s="190">
        <f t="shared" si="29"/>
        <v>0</v>
      </c>
      <c r="E954" s="133">
        <v>8.2799999999999994</v>
      </c>
      <c r="F954" s="134"/>
      <c r="G954" s="135">
        <v>294</v>
      </c>
      <c r="H954" s="137">
        <v>13.2</v>
      </c>
      <c r="I954" s="134"/>
      <c r="J954" s="137">
        <v>3.1</v>
      </c>
      <c r="K954" s="134"/>
      <c r="L954" s="136">
        <v>30</v>
      </c>
      <c r="M954" s="181"/>
      <c r="N954" s="159"/>
      <c r="O954" s="159"/>
      <c r="P954" s="136" t="s">
        <v>215</v>
      </c>
    </row>
    <row r="955" spans="1:16" ht="16.5" customHeight="1" x14ac:dyDescent="0.25">
      <c r="A955" s="156">
        <v>44964</v>
      </c>
      <c r="B955" s="136" t="s">
        <v>2</v>
      </c>
      <c r="C955" s="157" t="str">
        <f t="shared" si="28"/>
        <v>07.02.2023_KIN2</v>
      </c>
      <c r="D955" s="190">
        <f t="shared" si="29"/>
        <v>0</v>
      </c>
      <c r="E955" s="133">
        <v>8.2200000000000006</v>
      </c>
      <c r="F955" s="134"/>
      <c r="G955" s="135">
        <v>361</v>
      </c>
      <c r="H955" s="137">
        <v>13.1</v>
      </c>
      <c r="I955" s="134"/>
      <c r="J955" s="137">
        <v>3.7</v>
      </c>
      <c r="K955" s="134"/>
      <c r="L955" s="136">
        <v>50</v>
      </c>
      <c r="M955" s="181"/>
      <c r="N955" s="159"/>
      <c r="O955" s="159"/>
      <c r="P955" s="136" t="s">
        <v>215</v>
      </c>
    </row>
    <row r="956" spans="1:16" ht="16.5" customHeight="1" x14ac:dyDescent="0.25">
      <c r="A956" s="156">
        <v>44964</v>
      </c>
      <c r="B956" s="136" t="s">
        <v>4</v>
      </c>
      <c r="C956" s="157" t="str">
        <f t="shared" si="28"/>
        <v>07.02.2023_KIN3</v>
      </c>
      <c r="D956" s="190">
        <f t="shared" si="29"/>
        <v>0</v>
      </c>
      <c r="E956" s="133">
        <v>8.27</v>
      </c>
      <c r="F956" s="134"/>
      <c r="G956" s="135">
        <v>344</v>
      </c>
      <c r="H956" s="137">
        <v>13.1</v>
      </c>
      <c r="I956" s="134"/>
      <c r="J956" s="137">
        <v>3.7</v>
      </c>
      <c r="K956" s="134"/>
      <c r="L956" s="136">
        <v>80</v>
      </c>
      <c r="M956" s="181"/>
      <c r="N956" s="159"/>
      <c r="O956" s="159"/>
      <c r="P956" s="136" t="s">
        <v>174</v>
      </c>
    </row>
    <row r="957" spans="1:16" ht="16.5" customHeight="1" x14ac:dyDescent="0.25">
      <c r="A957" s="156">
        <v>44964</v>
      </c>
      <c r="B957" s="136" t="s">
        <v>6</v>
      </c>
      <c r="C957" s="157" t="str">
        <f t="shared" si="28"/>
        <v>07.02.2023_KIN4</v>
      </c>
      <c r="D957" s="190">
        <f t="shared" si="29"/>
        <v>0</v>
      </c>
      <c r="E957" s="133">
        <v>8.19</v>
      </c>
      <c r="F957" s="134"/>
      <c r="G957" s="135">
        <v>356</v>
      </c>
      <c r="H957" s="137">
        <v>12.9</v>
      </c>
      <c r="I957" s="134"/>
      <c r="J957" s="137">
        <v>3.8</v>
      </c>
      <c r="K957" s="134"/>
      <c r="L957" s="136">
        <v>65</v>
      </c>
      <c r="M957" s="181"/>
      <c r="N957" s="159"/>
      <c r="O957" s="159"/>
      <c r="P957" s="136" t="s">
        <v>174</v>
      </c>
    </row>
    <row r="958" spans="1:16" ht="16.5" customHeight="1" x14ac:dyDescent="0.25">
      <c r="A958" s="156">
        <v>44964</v>
      </c>
      <c r="B958" s="136" t="s">
        <v>18</v>
      </c>
      <c r="C958" s="157" t="str">
        <f t="shared" si="28"/>
        <v>07.02.2023_ORB1</v>
      </c>
      <c r="D958" s="190">
        <f t="shared" si="29"/>
        <v>0</v>
      </c>
      <c r="E958" s="183">
        <v>6.69</v>
      </c>
      <c r="F958" s="161" t="s">
        <v>269</v>
      </c>
      <c r="G958" s="135">
        <v>145.30000000000001</v>
      </c>
      <c r="H958" s="137">
        <v>12.3</v>
      </c>
      <c r="I958" s="161"/>
      <c r="J958" s="137">
        <v>5.7</v>
      </c>
      <c r="K958" s="161" t="s">
        <v>269</v>
      </c>
      <c r="L958" s="136">
        <v>35</v>
      </c>
      <c r="M958" s="181"/>
      <c r="N958" s="159" t="s">
        <v>296</v>
      </c>
      <c r="O958" s="159"/>
      <c r="P958" s="159"/>
    </row>
    <row r="959" spans="1:16" ht="16.5" customHeight="1" x14ac:dyDescent="0.25">
      <c r="A959" s="156">
        <v>44964</v>
      </c>
      <c r="B959" s="136" t="s">
        <v>21</v>
      </c>
      <c r="C959" s="157" t="str">
        <f t="shared" si="28"/>
        <v>07.02.2023_ORB2</v>
      </c>
      <c r="D959" s="190">
        <f t="shared" si="29"/>
        <v>0</v>
      </c>
      <c r="E959" s="133">
        <v>6.89</v>
      </c>
      <c r="F959" s="134"/>
      <c r="G959" s="135">
        <v>160.4</v>
      </c>
      <c r="H959" s="137">
        <v>12.8</v>
      </c>
      <c r="I959" s="134"/>
      <c r="J959" s="137">
        <v>5.8</v>
      </c>
      <c r="K959" s="134"/>
      <c r="L959" s="136">
        <v>40</v>
      </c>
      <c r="M959" s="181"/>
      <c r="N959" s="159"/>
      <c r="O959" s="159"/>
      <c r="P959" s="136" t="s">
        <v>244</v>
      </c>
    </row>
    <row r="960" spans="1:16" ht="16.5" customHeight="1" x14ac:dyDescent="0.25">
      <c r="A960" s="156">
        <v>44964</v>
      </c>
      <c r="B960" s="136" t="s">
        <v>10</v>
      </c>
      <c r="C960" s="157" t="str">
        <f t="shared" si="28"/>
        <v>07.02.2023_SAL1</v>
      </c>
      <c r="D960" s="190">
        <f t="shared" si="29"/>
        <v>0</v>
      </c>
      <c r="E960" s="133">
        <v>7.7</v>
      </c>
      <c r="F960" s="134"/>
      <c r="G960" s="135">
        <v>146.69999999999999</v>
      </c>
      <c r="H960" s="137">
        <v>13.5</v>
      </c>
      <c r="I960" s="134"/>
      <c r="J960" s="137">
        <v>1.3</v>
      </c>
      <c r="K960" s="134"/>
      <c r="L960" s="136">
        <v>65</v>
      </c>
      <c r="M960" s="181"/>
      <c r="N960" s="159" t="s">
        <v>297</v>
      </c>
      <c r="O960" s="159"/>
      <c r="P960" s="159" t="s">
        <v>174</v>
      </c>
    </row>
    <row r="961" spans="1:16" ht="16.5" customHeight="1" x14ac:dyDescent="0.25">
      <c r="A961" s="156">
        <v>44964</v>
      </c>
      <c r="B961" s="136" t="s">
        <v>12</v>
      </c>
      <c r="C961" s="157" t="str">
        <f t="shared" si="28"/>
        <v>07.02.2023_SAL2</v>
      </c>
      <c r="D961" s="190">
        <f t="shared" si="29"/>
        <v>0</v>
      </c>
      <c r="E961" s="183">
        <v>8.08</v>
      </c>
      <c r="F961" s="161" t="s">
        <v>269</v>
      </c>
      <c r="G961" s="135">
        <v>162.80000000000001</v>
      </c>
      <c r="H961" s="137">
        <v>14.2</v>
      </c>
      <c r="I961" s="161"/>
      <c r="J961" s="137">
        <v>1.4</v>
      </c>
      <c r="K961" s="161" t="s">
        <v>269</v>
      </c>
      <c r="L961" s="136">
        <v>65</v>
      </c>
      <c r="M961" s="181"/>
      <c r="N961" s="159" t="s">
        <v>298</v>
      </c>
      <c r="O961" s="159"/>
      <c r="P961" s="159"/>
    </row>
    <row r="962" spans="1:16" ht="16.5" customHeight="1" x14ac:dyDescent="0.25">
      <c r="A962" s="156">
        <v>44964</v>
      </c>
      <c r="B962" s="136" t="s">
        <v>7</v>
      </c>
      <c r="C962" s="157" t="str">
        <f t="shared" si="28"/>
        <v>07.02.2023_STE1</v>
      </c>
      <c r="D962" s="190">
        <f t="shared" si="29"/>
        <v>0</v>
      </c>
      <c r="E962" s="133">
        <v>8</v>
      </c>
      <c r="F962" s="134"/>
      <c r="G962" s="135">
        <v>200</v>
      </c>
      <c r="H962" s="137">
        <v>13.1</v>
      </c>
      <c r="I962" s="134"/>
      <c r="J962" s="137">
        <v>4.0999999999999996</v>
      </c>
      <c r="K962" s="134"/>
      <c r="L962" s="136">
        <v>30</v>
      </c>
      <c r="M962" s="181"/>
      <c r="N962" s="159" t="s">
        <v>297</v>
      </c>
      <c r="O962" s="159"/>
      <c r="P962" s="159" t="s">
        <v>173</v>
      </c>
    </row>
    <row r="963" spans="1:16" ht="16.5" customHeight="1" x14ac:dyDescent="0.25">
      <c r="A963" s="156">
        <v>44964</v>
      </c>
      <c r="B963" s="136" t="s">
        <v>9</v>
      </c>
      <c r="C963" s="157" t="str">
        <f t="shared" si="28"/>
        <v>07.02.2023_STE2</v>
      </c>
      <c r="D963" s="190">
        <f t="shared" si="29"/>
        <v>0</v>
      </c>
      <c r="E963" s="133">
        <v>8.11</v>
      </c>
      <c r="F963" s="134"/>
      <c r="G963" s="135">
        <v>201</v>
      </c>
      <c r="H963" s="137">
        <v>13</v>
      </c>
      <c r="I963" s="134"/>
      <c r="J963" s="137">
        <v>4</v>
      </c>
      <c r="K963" s="134"/>
      <c r="L963" s="136">
        <v>70</v>
      </c>
      <c r="M963" s="181"/>
      <c r="N963" s="159"/>
      <c r="O963" s="159"/>
      <c r="P963" s="136" t="s">
        <v>173</v>
      </c>
    </row>
    <row r="964" spans="1:16" ht="16.5" customHeight="1" x14ac:dyDescent="0.25">
      <c r="A964" s="156">
        <v>44979</v>
      </c>
      <c r="B964" s="136" t="s">
        <v>22</v>
      </c>
      <c r="C964" s="157" t="str">
        <f t="shared" si="28"/>
        <v>22.02.2023_BIE1</v>
      </c>
      <c r="D964" s="190">
        <f t="shared" si="29"/>
        <v>0</v>
      </c>
      <c r="E964" s="185">
        <v>7.94</v>
      </c>
      <c r="F964" s="161" t="s">
        <v>269</v>
      </c>
      <c r="G964" s="135">
        <v>154</v>
      </c>
      <c r="H964" s="137">
        <v>12.3</v>
      </c>
      <c r="I964" s="161"/>
      <c r="J964" s="137">
        <v>8.9</v>
      </c>
      <c r="K964" s="161"/>
      <c r="L964" s="136">
        <v>30</v>
      </c>
      <c r="M964" s="181"/>
      <c r="N964" s="159" t="s">
        <v>299</v>
      </c>
      <c r="O964" s="159"/>
      <c r="P964" s="159"/>
    </row>
    <row r="965" spans="1:16" ht="16.5" customHeight="1" x14ac:dyDescent="0.25">
      <c r="A965" s="156">
        <v>44979</v>
      </c>
      <c r="B965" s="136" t="s">
        <v>25</v>
      </c>
      <c r="C965" s="157" t="str">
        <f t="shared" ref="C965:C1028" si="30">CONCATENATE(TEXT(A965,"TT.MM.JJJJ"),"_",B965)</f>
        <v>22.02.2023_BIE2</v>
      </c>
      <c r="D965" s="190">
        <f t="shared" ref="D965:D1028" si="31">COUNTBLANK(E965)+COUNTBLANK(G965:H965)+COUNTBLANK(J965)+COUNTBLANK(L965)</f>
        <v>0</v>
      </c>
      <c r="E965" s="185">
        <v>7.88</v>
      </c>
      <c r="F965" s="161" t="s">
        <v>269</v>
      </c>
      <c r="G965" s="135">
        <v>161.4</v>
      </c>
      <c r="H965" s="137">
        <v>11.9</v>
      </c>
      <c r="I965" s="161"/>
      <c r="J965" s="137">
        <v>8.8000000000000007</v>
      </c>
      <c r="K965" s="161"/>
      <c r="L965" s="136">
        <v>50</v>
      </c>
      <c r="M965" s="181"/>
      <c r="N965" s="159" t="s">
        <v>300</v>
      </c>
      <c r="O965" s="159"/>
      <c r="P965" s="159"/>
    </row>
    <row r="966" spans="1:16" ht="16.5" customHeight="1" x14ac:dyDescent="0.25">
      <c r="A966" s="156">
        <v>44979</v>
      </c>
      <c r="B966" s="136" t="s">
        <v>30</v>
      </c>
      <c r="C966" s="157" t="str">
        <f t="shared" si="30"/>
        <v>22.02.2023_FAL1</v>
      </c>
      <c r="D966" s="190">
        <f t="shared" si="31"/>
        <v>0</v>
      </c>
      <c r="E966" s="185">
        <v>8.24</v>
      </c>
      <c r="F966" s="161" t="s">
        <v>269</v>
      </c>
      <c r="G966" s="135">
        <v>775</v>
      </c>
      <c r="H966" s="137">
        <v>12.1</v>
      </c>
      <c r="I966" s="161"/>
      <c r="J966" s="137">
        <v>8.9</v>
      </c>
      <c r="K966" s="161"/>
      <c r="L966" s="136">
        <v>35</v>
      </c>
      <c r="M966" s="181"/>
      <c r="N966" s="159" t="s">
        <v>301</v>
      </c>
      <c r="O966" s="159"/>
      <c r="P966" s="159"/>
    </row>
    <row r="967" spans="1:16" ht="16.5" customHeight="1" x14ac:dyDescent="0.25">
      <c r="A967" s="156">
        <v>44979</v>
      </c>
      <c r="B967" s="136" t="s">
        <v>32</v>
      </c>
      <c r="C967" s="157" t="str">
        <f t="shared" si="30"/>
        <v>22.02.2023_FAL2</v>
      </c>
      <c r="D967" s="190">
        <f t="shared" si="31"/>
        <v>0</v>
      </c>
      <c r="E967" s="185">
        <v>8.5</v>
      </c>
      <c r="F967" s="161" t="s">
        <v>269</v>
      </c>
      <c r="G967" s="135">
        <v>802</v>
      </c>
      <c r="H967" s="137">
        <v>12.7</v>
      </c>
      <c r="I967" s="161"/>
      <c r="J967" s="137">
        <v>8.1999999999999993</v>
      </c>
      <c r="K967" s="161"/>
      <c r="L967" s="136">
        <v>50</v>
      </c>
      <c r="M967" s="181"/>
      <c r="N967" s="159" t="s">
        <v>302</v>
      </c>
      <c r="O967" s="159"/>
      <c r="P967" s="159"/>
    </row>
    <row r="968" spans="1:16" ht="16.5" customHeight="1" x14ac:dyDescent="0.25">
      <c r="A968" s="156">
        <v>44979</v>
      </c>
      <c r="B968" s="136" t="s">
        <v>26</v>
      </c>
      <c r="C968" s="157" t="str">
        <f t="shared" si="30"/>
        <v>22.02.2023_GRU1</v>
      </c>
      <c r="D968" s="190">
        <f t="shared" si="31"/>
        <v>0</v>
      </c>
      <c r="E968" s="185">
        <v>7.67</v>
      </c>
      <c r="F968" s="161" t="s">
        <v>269</v>
      </c>
      <c r="G968" s="135">
        <v>141.80000000000001</v>
      </c>
      <c r="H968" s="137">
        <v>12.1</v>
      </c>
      <c r="I968" s="161"/>
      <c r="J968" s="137">
        <v>7.7</v>
      </c>
      <c r="K968" s="161"/>
      <c r="L968" s="136">
        <v>30</v>
      </c>
      <c r="M968" s="181"/>
      <c r="N968" s="159" t="s">
        <v>303</v>
      </c>
      <c r="O968" s="159"/>
      <c r="P968" s="159"/>
    </row>
    <row r="969" spans="1:16" ht="16.5" customHeight="1" x14ac:dyDescent="0.25">
      <c r="A969" s="156">
        <v>44979</v>
      </c>
      <c r="B969" s="136" t="s">
        <v>28</v>
      </c>
      <c r="C969" s="157" t="str">
        <f t="shared" si="30"/>
        <v>22.02.2023_GRU2</v>
      </c>
      <c r="D969" s="190">
        <f t="shared" si="31"/>
        <v>0</v>
      </c>
      <c r="E969" s="185">
        <v>7.63</v>
      </c>
      <c r="F969" s="161" t="s">
        <v>269</v>
      </c>
      <c r="G969" s="135">
        <v>153.30000000000001</v>
      </c>
      <c r="H969" s="137">
        <v>12.7</v>
      </c>
      <c r="I969" s="161"/>
      <c r="J969" s="137">
        <v>8.1</v>
      </c>
      <c r="K969" s="161"/>
      <c r="L969" s="136">
        <v>50</v>
      </c>
      <c r="M969" s="181"/>
      <c r="N969" s="159" t="s">
        <v>304</v>
      </c>
      <c r="O969" s="159"/>
      <c r="P969" s="159"/>
    </row>
    <row r="970" spans="1:16" ht="16.5" customHeight="1" x14ac:dyDescent="0.25">
      <c r="A970" s="156">
        <v>44979</v>
      </c>
      <c r="B970" s="136" t="s">
        <v>34</v>
      </c>
      <c r="C970" s="157" t="str">
        <f t="shared" si="30"/>
        <v>22.02.2023_KRE1</v>
      </c>
      <c r="D970" s="190">
        <f t="shared" si="31"/>
        <v>0</v>
      </c>
      <c r="E970" s="185">
        <v>8.23</v>
      </c>
      <c r="F970" s="161" t="s">
        <v>269</v>
      </c>
      <c r="G970" s="135">
        <v>877</v>
      </c>
      <c r="H970" s="137">
        <v>11.9</v>
      </c>
      <c r="I970" s="161"/>
      <c r="J970" s="137">
        <v>7.8</v>
      </c>
      <c r="K970" s="161"/>
      <c r="L970" s="136">
        <v>40</v>
      </c>
      <c r="M970" s="181"/>
      <c r="N970" s="159" t="s">
        <v>305</v>
      </c>
      <c r="O970" s="159"/>
      <c r="P970" s="159"/>
    </row>
    <row r="971" spans="1:16" ht="16.5" customHeight="1" x14ac:dyDescent="0.25">
      <c r="A971" s="156">
        <v>44979</v>
      </c>
      <c r="B971" s="136" t="s">
        <v>37</v>
      </c>
      <c r="C971" s="157" t="str">
        <f t="shared" si="30"/>
        <v>22.02.2023_KRE2</v>
      </c>
      <c r="D971" s="190">
        <f t="shared" si="31"/>
        <v>0</v>
      </c>
      <c r="E971" s="133">
        <v>8.1</v>
      </c>
      <c r="F971" s="134"/>
      <c r="G971" s="135">
        <v>874</v>
      </c>
      <c r="H971" s="137">
        <v>11</v>
      </c>
      <c r="I971" s="134"/>
      <c r="J971" s="137">
        <v>7.5</v>
      </c>
      <c r="K971" s="134"/>
      <c r="L971" s="136">
        <v>55.000000000000007</v>
      </c>
      <c r="M971" s="181"/>
      <c r="N971" s="159"/>
      <c r="O971" s="159"/>
      <c r="P971" s="136"/>
    </row>
    <row r="972" spans="1:16" ht="16.5" customHeight="1" x14ac:dyDescent="0.25">
      <c r="A972" s="156">
        <v>44979</v>
      </c>
      <c r="B972" s="136" t="s">
        <v>14</v>
      </c>
      <c r="C972" s="157" t="str">
        <f t="shared" si="30"/>
        <v>22.02.2023_BRA1</v>
      </c>
      <c r="D972" s="190">
        <f t="shared" si="31"/>
        <v>0</v>
      </c>
      <c r="E972" s="133">
        <v>7.47</v>
      </c>
      <c r="F972" s="134"/>
      <c r="G972" s="135">
        <v>156.30000000000001</v>
      </c>
      <c r="H972" s="137">
        <v>12.7</v>
      </c>
      <c r="I972" s="134"/>
      <c r="J972" s="137">
        <v>6.4</v>
      </c>
      <c r="K972" s="134"/>
      <c r="L972" s="136">
        <v>35</v>
      </c>
      <c r="M972" s="181"/>
      <c r="N972" s="159"/>
      <c r="O972" s="159"/>
      <c r="P972" s="136" t="s">
        <v>215</v>
      </c>
    </row>
    <row r="973" spans="1:16" ht="16.5" customHeight="1" x14ac:dyDescent="0.25">
      <c r="A973" s="156">
        <v>44979</v>
      </c>
      <c r="B973" s="136" t="s">
        <v>17</v>
      </c>
      <c r="C973" s="157" t="str">
        <f t="shared" si="30"/>
        <v>22.02.2023_BRA2</v>
      </c>
      <c r="D973" s="190">
        <f t="shared" si="31"/>
        <v>0</v>
      </c>
      <c r="E973" s="133">
        <v>7.84</v>
      </c>
      <c r="F973" s="134"/>
      <c r="G973" s="135">
        <v>167.3</v>
      </c>
      <c r="H973" s="137">
        <v>12.3</v>
      </c>
      <c r="I973" s="134"/>
      <c r="J973" s="137">
        <v>7</v>
      </c>
      <c r="K973" s="134"/>
      <c r="L973" s="136">
        <v>50</v>
      </c>
      <c r="M973" s="181"/>
      <c r="N973" s="159"/>
      <c r="O973" s="159"/>
      <c r="P973" s="136" t="s">
        <v>215</v>
      </c>
    </row>
    <row r="974" spans="1:16" ht="16.5" customHeight="1" x14ac:dyDescent="0.25">
      <c r="A974" s="156">
        <v>44979</v>
      </c>
      <c r="B974" s="136" t="s">
        <v>0</v>
      </c>
      <c r="C974" s="157" t="str">
        <f t="shared" si="30"/>
        <v>22.02.2023_KIN1</v>
      </c>
      <c r="D974" s="190">
        <f t="shared" si="31"/>
        <v>0</v>
      </c>
      <c r="E974" s="133">
        <v>8.35</v>
      </c>
      <c r="F974" s="134"/>
      <c r="G974" s="135">
        <v>336</v>
      </c>
      <c r="H974" s="137">
        <v>12.2</v>
      </c>
      <c r="I974" s="134"/>
      <c r="J974" s="137">
        <v>5.2</v>
      </c>
      <c r="K974" s="134"/>
      <c r="L974" s="136">
        <v>35</v>
      </c>
      <c r="M974" s="181"/>
      <c r="N974" s="159"/>
      <c r="O974" s="159"/>
      <c r="P974" s="136" t="s">
        <v>215</v>
      </c>
    </row>
    <row r="975" spans="1:16" ht="16.5" customHeight="1" x14ac:dyDescent="0.25">
      <c r="A975" s="156">
        <v>44979</v>
      </c>
      <c r="B975" s="136" t="s">
        <v>2</v>
      </c>
      <c r="C975" s="157" t="str">
        <f t="shared" si="30"/>
        <v>22.02.2023_KIN2</v>
      </c>
      <c r="D975" s="190">
        <f t="shared" si="31"/>
        <v>0</v>
      </c>
      <c r="E975" s="133">
        <v>8.23</v>
      </c>
      <c r="F975" s="134"/>
      <c r="G975" s="135">
        <v>412</v>
      </c>
      <c r="H975" s="137">
        <v>12.8</v>
      </c>
      <c r="I975" s="134"/>
      <c r="J975" s="137">
        <v>5.9</v>
      </c>
      <c r="K975" s="134"/>
      <c r="L975" s="136">
        <v>50</v>
      </c>
      <c r="M975" s="181"/>
      <c r="N975" s="159"/>
      <c r="O975" s="159"/>
      <c r="P975" s="136" t="s">
        <v>215</v>
      </c>
    </row>
    <row r="976" spans="1:16" ht="16.5" customHeight="1" x14ac:dyDescent="0.25">
      <c r="A976" s="156">
        <v>44979</v>
      </c>
      <c r="B976" s="136" t="s">
        <v>4</v>
      </c>
      <c r="C976" s="157" t="str">
        <f t="shared" si="30"/>
        <v>22.02.2023_KIN3</v>
      </c>
      <c r="D976" s="190">
        <f t="shared" si="31"/>
        <v>0</v>
      </c>
      <c r="E976" s="133">
        <v>8.2799999999999994</v>
      </c>
      <c r="F976" s="134"/>
      <c r="G976" s="135">
        <v>397</v>
      </c>
      <c r="H976" s="137">
        <v>12.8</v>
      </c>
      <c r="I976" s="134"/>
      <c r="J976" s="137">
        <v>5.8</v>
      </c>
      <c r="K976" s="134"/>
      <c r="L976" s="136">
        <v>85</v>
      </c>
      <c r="M976" s="181"/>
      <c r="N976" s="159"/>
      <c r="O976" s="159"/>
      <c r="P976" s="136" t="s">
        <v>174</v>
      </c>
    </row>
    <row r="977" spans="1:16" ht="16.5" customHeight="1" x14ac:dyDescent="0.25">
      <c r="A977" s="156">
        <v>44979</v>
      </c>
      <c r="B977" s="136" t="s">
        <v>6</v>
      </c>
      <c r="C977" s="157" t="str">
        <f t="shared" si="30"/>
        <v>22.02.2023_KIN4</v>
      </c>
      <c r="D977" s="190">
        <f t="shared" si="31"/>
        <v>0</v>
      </c>
      <c r="E977" s="133">
        <v>8.18</v>
      </c>
      <c r="F977" s="134"/>
      <c r="G977" s="135">
        <v>390</v>
      </c>
      <c r="H977" s="137">
        <v>12.4</v>
      </c>
      <c r="I977" s="134"/>
      <c r="J977" s="137">
        <v>6.1</v>
      </c>
      <c r="K977" s="134"/>
      <c r="L977" s="136">
        <v>65</v>
      </c>
      <c r="M977" s="181"/>
      <c r="N977" s="159"/>
      <c r="O977" s="159"/>
      <c r="P977" s="136" t="s">
        <v>174</v>
      </c>
    </row>
    <row r="978" spans="1:16" ht="16.5" customHeight="1" x14ac:dyDescent="0.25">
      <c r="A978" s="156">
        <v>44979</v>
      </c>
      <c r="B978" s="136" t="s">
        <v>18</v>
      </c>
      <c r="C978" s="157" t="str">
        <f t="shared" si="30"/>
        <v>22.02.2023_ORB1</v>
      </c>
      <c r="D978" s="190">
        <f t="shared" si="31"/>
        <v>0</v>
      </c>
      <c r="E978" s="133">
        <v>7.09</v>
      </c>
      <c r="F978" s="134"/>
      <c r="G978" s="135">
        <v>118.2</v>
      </c>
      <c r="H978" s="137">
        <v>11.5</v>
      </c>
      <c r="I978" s="134"/>
      <c r="J978" s="137">
        <v>9.1999999999999993</v>
      </c>
      <c r="K978" s="134"/>
      <c r="L978" s="136">
        <v>30</v>
      </c>
      <c r="M978" s="181"/>
      <c r="N978" s="159" t="s">
        <v>297</v>
      </c>
      <c r="O978" s="159"/>
      <c r="P978" s="159" t="s">
        <v>174</v>
      </c>
    </row>
    <row r="979" spans="1:16" ht="16.5" customHeight="1" x14ac:dyDescent="0.25">
      <c r="A979" s="156">
        <v>44979</v>
      </c>
      <c r="B979" s="136" t="s">
        <v>21</v>
      </c>
      <c r="C979" s="157" t="str">
        <f t="shared" si="30"/>
        <v>22.02.2023_ORB2</v>
      </c>
      <c r="D979" s="190">
        <f t="shared" si="31"/>
        <v>0</v>
      </c>
      <c r="E979" s="133">
        <v>6.95</v>
      </c>
      <c r="F979" s="134"/>
      <c r="G979" s="135">
        <v>136.69999999999999</v>
      </c>
      <c r="H979" s="137">
        <v>11.5</v>
      </c>
      <c r="I979" s="134"/>
      <c r="J979" s="137">
        <v>9.3000000000000007</v>
      </c>
      <c r="K979" s="134"/>
      <c r="L979" s="136">
        <v>35</v>
      </c>
      <c r="M979" s="181"/>
      <c r="N979" s="159"/>
      <c r="O979" s="159"/>
      <c r="P979" s="136" t="s">
        <v>173</v>
      </c>
    </row>
    <row r="980" spans="1:16" ht="16.5" customHeight="1" x14ac:dyDescent="0.25">
      <c r="A980" s="156">
        <v>44979</v>
      </c>
      <c r="B980" s="136" t="s">
        <v>10</v>
      </c>
      <c r="C980" s="157" t="str">
        <f t="shared" si="30"/>
        <v>22.02.2023_SAL1</v>
      </c>
      <c r="D980" s="190">
        <f t="shared" si="31"/>
        <v>0</v>
      </c>
      <c r="E980" s="133">
        <v>7.74</v>
      </c>
      <c r="F980" s="134"/>
      <c r="G980" s="135">
        <v>157.19999999999999</v>
      </c>
      <c r="H980" s="137">
        <v>12.9</v>
      </c>
      <c r="I980" s="134"/>
      <c r="J980" s="137">
        <v>6.1</v>
      </c>
      <c r="K980" s="134"/>
      <c r="L980" s="136">
        <v>65</v>
      </c>
      <c r="M980" s="181"/>
      <c r="N980" s="159"/>
      <c r="O980" s="159"/>
      <c r="P980" s="136" t="s">
        <v>174</v>
      </c>
    </row>
    <row r="981" spans="1:16" ht="16.5" customHeight="1" x14ac:dyDescent="0.25">
      <c r="A981" s="156">
        <v>44979</v>
      </c>
      <c r="B981" s="136" t="s">
        <v>12</v>
      </c>
      <c r="C981" s="157" t="str">
        <f t="shared" si="30"/>
        <v>22.02.2023_SAL2</v>
      </c>
      <c r="D981" s="190">
        <f t="shared" si="31"/>
        <v>0</v>
      </c>
      <c r="E981" s="133">
        <v>7.91</v>
      </c>
      <c r="F981" s="134"/>
      <c r="G981" s="135">
        <v>163.30000000000001</v>
      </c>
      <c r="H981" s="137">
        <v>12.9</v>
      </c>
      <c r="I981" s="134"/>
      <c r="J981" s="137">
        <v>5.7</v>
      </c>
      <c r="K981" s="134"/>
      <c r="L981" s="136">
        <v>70</v>
      </c>
      <c r="M981" s="181"/>
      <c r="N981" s="159"/>
      <c r="O981" s="159"/>
      <c r="P981" s="136" t="s">
        <v>174</v>
      </c>
    </row>
    <row r="982" spans="1:16" ht="16.5" customHeight="1" x14ac:dyDescent="0.25">
      <c r="A982" s="156">
        <v>44979</v>
      </c>
      <c r="B982" s="136" t="s">
        <v>7</v>
      </c>
      <c r="C982" s="157" t="str">
        <f t="shared" si="30"/>
        <v>22.02.2023_STE1</v>
      </c>
      <c r="D982" s="190">
        <f t="shared" si="31"/>
        <v>0</v>
      </c>
      <c r="E982" s="133">
        <v>8.01</v>
      </c>
      <c r="F982" s="134"/>
      <c r="G982" s="135">
        <v>218</v>
      </c>
      <c r="H982" s="137">
        <v>13</v>
      </c>
      <c r="I982" s="134"/>
      <c r="J982" s="137">
        <v>5.9</v>
      </c>
      <c r="K982" s="134"/>
      <c r="L982" s="136">
        <v>35</v>
      </c>
      <c r="M982" s="181"/>
      <c r="N982" s="159"/>
      <c r="O982" s="159"/>
      <c r="P982" s="136" t="s">
        <v>173</v>
      </c>
    </row>
    <row r="983" spans="1:16" ht="16.5" customHeight="1" x14ac:dyDescent="0.25">
      <c r="A983" s="156">
        <v>44979</v>
      </c>
      <c r="B983" s="136" t="s">
        <v>9</v>
      </c>
      <c r="C983" s="157" t="str">
        <f t="shared" si="30"/>
        <v>22.02.2023_STE2</v>
      </c>
      <c r="D983" s="190">
        <f t="shared" si="31"/>
        <v>0</v>
      </c>
      <c r="E983" s="133">
        <v>8.08</v>
      </c>
      <c r="F983" s="134"/>
      <c r="G983" s="135">
        <v>224</v>
      </c>
      <c r="H983" s="137">
        <v>13.2</v>
      </c>
      <c r="I983" s="134"/>
      <c r="J983" s="137">
        <v>6.1</v>
      </c>
      <c r="K983" s="134"/>
      <c r="L983" s="136">
        <v>65</v>
      </c>
      <c r="M983" s="181"/>
      <c r="N983" s="159"/>
      <c r="O983" s="159"/>
      <c r="P983" s="136" t="s">
        <v>173</v>
      </c>
    </row>
    <row r="984" spans="1:16" ht="16.5" customHeight="1" x14ac:dyDescent="0.25">
      <c r="A984" s="156">
        <v>44993</v>
      </c>
      <c r="B984" s="136" t="s">
        <v>22</v>
      </c>
      <c r="C984" s="157" t="str">
        <f t="shared" si="30"/>
        <v>08.03.2023_BIE1</v>
      </c>
      <c r="D984" s="190">
        <f t="shared" si="31"/>
        <v>1</v>
      </c>
      <c r="E984" s="284"/>
      <c r="F984" s="161" t="s">
        <v>270</v>
      </c>
      <c r="G984" s="135">
        <v>179.9</v>
      </c>
      <c r="H984" s="137">
        <v>13.5</v>
      </c>
      <c r="I984" s="161"/>
      <c r="J984" s="137">
        <v>5.5</v>
      </c>
      <c r="K984" s="161"/>
      <c r="L984" s="136">
        <v>50</v>
      </c>
      <c r="M984" s="181"/>
      <c r="N984" s="159" t="s">
        <v>306</v>
      </c>
      <c r="O984" s="159"/>
      <c r="P984" s="159"/>
    </row>
    <row r="985" spans="1:16" ht="16.5" customHeight="1" x14ac:dyDescent="0.25">
      <c r="A985" s="156">
        <v>44993</v>
      </c>
      <c r="B985" s="136" t="s">
        <v>25</v>
      </c>
      <c r="C985" s="157" t="str">
        <f t="shared" si="30"/>
        <v>08.03.2023_BIE2</v>
      </c>
      <c r="D985" s="190">
        <f t="shared" si="31"/>
        <v>0</v>
      </c>
      <c r="E985" s="185">
        <v>7.54</v>
      </c>
      <c r="F985" s="161" t="s">
        <v>271</v>
      </c>
      <c r="G985" s="135">
        <v>192.6</v>
      </c>
      <c r="H985" s="137">
        <v>12.9</v>
      </c>
      <c r="I985" s="161"/>
      <c r="J985" s="137">
        <v>5.8</v>
      </c>
      <c r="K985" s="161"/>
      <c r="L985" s="136">
        <v>60</v>
      </c>
      <c r="M985" s="181"/>
      <c r="N985" s="159" t="s">
        <v>307</v>
      </c>
      <c r="O985" s="159"/>
      <c r="P985" s="159"/>
    </row>
    <row r="986" spans="1:16" ht="16.5" customHeight="1" x14ac:dyDescent="0.25">
      <c r="A986" s="156">
        <v>44993</v>
      </c>
      <c r="B986" s="136" t="s">
        <v>30</v>
      </c>
      <c r="C986" s="157" t="str">
        <f t="shared" si="30"/>
        <v>08.03.2023_FAL1</v>
      </c>
      <c r="D986" s="190">
        <f t="shared" si="31"/>
        <v>0</v>
      </c>
      <c r="E986" s="185">
        <v>6.52</v>
      </c>
      <c r="F986" s="161" t="s">
        <v>269</v>
      </c>
      <c r="G986" s="135">
        <v>712</v>
      </c>
      <c r="H986" s="137">
        <v>12.6</v>
      </c>
      <c r="I986" s="161"/>
      <c r="J986" s="137">
        <v>5.7</v>
      </c>
      <c r="K986" s="161"/>
      <c r="L986" s="136">
        <v>60</v>
      </c>
      <c r="M986" s="181"/>
      <c r="N986" s="159" t="s">
        <v>308</v>
      </c>
      <c r="O986" s="159"/>
      <c r="P986" s="159"/>
    </row>
    <row r="987" spans="1:16" ht="16.5" customHeight="1" x14ac:dyDescent="0.25">
      <c r="A987" s="156">
        <v>44993</v>
      </c>
      <c r="B987" s="136" t="s">
        <v>32</v>
      </c>
      <c r="C987" s="157" t="str">
        <f t="shared" si="30"/>
        <v>08.03.2023_FAL2</v>
      </c>
      <c r="D987" s="190">
        <f t="shared" si="31"/>
        <v>0</v>
      </c>
      <c r="E987" s="185">
        <v>8.48</v>
      </c>
      <c r="F987" s="161" t="s">
        <v>269</v>
      </c>
      <c r="G987" s="135">
        <v>704</v>
      </c>
      <c r="H987" s="137">
        <v>12.9</v>
      </c>
      <c r="I987" s="161"/>
      <c r="J987" s="137">
        <v>5.6</v>
      </c>
      <c r="K987" s="161"/>
      <c r="L987" s="136">
        <v>60</v>
      </c>
      <c r="M987" s="181"/>
      <c r="N987" s="159" t="s">
        <v>309</v>
      </c>
      <c r="O987" s="159"/>
      <c r="P987" s="159"/>
    </row>
    <row r="988" spans="1:16" ht="16.5" customHeight="1" x14ac:dyDescent="0.25">
      <c r="A988" s="156">
        <v>44993</v>
      </c>
      <c r="B988" s="136" t="s">
        <v>26</v>
      </c>
      <c r="C988" s="157" t="str">
        <f t="shared" si="30"/>
        <v>08.03.2023_GRU1</v>
      </c>
      <c r="D988" s="190">
        <f t="shared" si="31"/>
        <v>0</v>
      </c>
      <c r="E988" s="185">
        <v>6.05</v>
      </c>
      <c r="F988" s="161" t="s">
        <v>269</v>
      </c>
      <c r="G988" s="135">
        <v>191.7</v>
      </c>
      <c r="H988" s="137">
        <v>13.5</v>
      </c>
      <c r="I988" s="161"/>
      <c r="J988" s="137">
        <v>4.0999999999999996</v>
      </c>
      <c r="K988" s="161"/>
      <c r="L988" s="136">
        <v>30</v>
      </c>
      <c r="M988" s="181"/>
      <c r="N988" s="159" t="s">
        <v>310</v>
      </c>
      <c r="O988" s="159"/>
      <c r="P988" s="159"/>
    </row>
    <row r="989" spans="1:16" ht="16.5" customHeight="1" x14ac:dyDescent="0.25">
      <c r="A989" s="156">
        <v>44993</v>
      </c>
      <c r="B989" s="136" t="s">
        <v>28</v>
      </c>
      <c r="C989" s="157" t="str">
        <f t="shared" si="30"/>
        <v>08.03.2023_GRU2</v>
      </c>
      <c r="D989" s="190">
        <f t="shared" si="31"/>
        <v>0</v>
      </c>
      <c r="E989" s="185">
        <v>6.23</v>
      </c>
      <c r="F989" s="161" t="s">
        <v>269</v>
      </c>
      <c r="G989" s="135">
        <v>197</v>
      </c>
      <c r="H989" s="137">
        <v>13.3</v>
      </c>
      <c r="I989" s="161"/>
      <c r="J989" s="137">
        <v>5.2</v>
      </c>
      <c r="K989" s="161"/>
      <c r="L989" s="136">
        <v>50</v>
      </c>
      <c r="M989" s="181"/>
      <c r="N989" s="159" t="s">
        <v>311</v>
      </c>
      <c r="O989" s="159"/>
      <c r="P989" s="159"/>
    </row>
    <row r="990" spans="1:16" ht="16.5" customHeight="1" x14ac:dyDescent="0.25">
      <c r="A990" s="156">
        <v>44993</v>
      </c>
      <c r="B990" s="136" t="s">
        <v>34</v>
      </c>
      <c r="C990" s="157" t="str">
        <f t="shared" si="30"/>
        <v>08.03.2023_KRE1</v>
      </c>
      <c r="D990" s="190">
        <f t="shared" si="31"/>
        <v>0</v>
      </c>
      <c r="E990" s="133">
        <v>8.15</v>
      </c>
      <c r="F990" s="134"/>
      <c r="G990" s="135">
        <v>830</v>
      </c>
      <c r="H990" s="137">
        <v>11.1</v>
      </c>
      <c r="I990" s="134"/>
      <c r="J990" s="137">
        <v>5.5</v>
      </c>
      <c r="K990" s="134"/>
      <c r="L990" s="136">
        <v>45</v>
      </c>
      <c r="M990" s="181"/>
      <c r="N990" s="159"/>
      <c r="O990" s="159"/>
      <c r="P990" s="136"/>
    </row>
    <row r="991" spans="1:16" ht="16.5" customHeight="1" x14ac:dyDescent="0.25">
      <c r="A991" s="156">
        <v>44993</v>
      </c>
      <c r="B991" s="136" t="s">
        <v>37</v>
      </c>
      <c r="C991" s="157" t="str">
        <f t="shared" si="30"/>
        <v>08.03.2023_KRE2</v>
      </c>
      <c r="D991" s="190">
        <f t="shared" si="31"/>
        <v>0</v>
      </c>
      <c r="E991" s="133">
        <v>8.0399999999999991</v>
      </c>
      <c r="F991" s="134"/>
      <c r="G991" s="135">
        <v>871</v>
      </c>
      <c r="H991" s="137">
        <v>10.3</v>
      </c>
      <c r="I991" s="134"/>
      <c r="J991" s="137">
        <v>5.6</v>
      </c>
      <c r="K991" s="134"/>
      <c r="L991" s="136">
        <v>60</v>
      </c>
      <c r="M991" s="181"/>
      <c r="N991" s="159"/>
      <c r="O991" s="159"/>
      <c r="P991" s="136"/>
    </row>
    <row r="992" spans="1:16" ht="16.5" customHeight="1" x14ac:dyDescent="0.25">
      <c r="A992" s="156">
        <v>44993</v>
      </c>
      <c r="B992" s="136" t="s">
        <v>14</v>
      </c>
      <c r="C992" s="157" t="str">
        <f t="shared" si="30"/>
        <v>08.03.2023_BRA1</v>
      </c>
      <c r="D992" s="190">
        <f t="shared" si="31"/>
        <v>0</v>
      </c>
      <c r="E992" s="133">
        <v>7.86</v>
      </c>
      <c r="F992" s="134"/>
      <c r="G992" s="135">
        <v>179</v>
      </c>
      <c r="H992" s="137">
        <v>12.9</v>
      </c>
      <c r="I992" s="134"/>
      <c r="J992" s="137">
        <v>3.8</v>
      </c>
      <c r="K992" s="134"/>
      <c r="L992" s="136">
        <v>23</v>
      </c>
      <c r="M992" s="181"/>
      <c r="N992" s="159"/>
      <c r="O992" s="159"/>
      <c r="P992" s="136"/>
    </row>
    <row r="993" spans="1:16" ht="16.5" customHeight="1" x14ac:dyDescent="0.25">
      <c r="A993" s="156">
        <v>44993</v>
      </c>
      <c r="B993" s="136" t="s">
        <v>17</v>
      </c>
      <c r="C993" s="157" t="str">
        <f t="shared" si="30"/>
        <v>08.03.2023_BRA2</v>
      </c>
      <c r="D993" s="190">
        <f t="shared" si="31"/>
        <v>0</v>
      </c>
      <c r="E993" s="133">
        <v>8.07</v>
      </c>
      <c r="F993" s="134"/>
      <c r="G993" s="135">
        <v>200</v>
      </c>
      <c r="H993" s="137">
        <v>12.8</v>
      </c>
      <c r="I993" s="134"/>
      <c r="J993" s="137">
        <v>3.1</v>
      </c>
      <c r="K993" s="134"/>
      <c r="L993" s="136">
        <v>33</v>
      </c>
      <c r="M993" s="181"/>
      <c r="N993" s="159"/>
      <c r="O993" s="159"/>
      <c r="P993" s="136"/>
    </row>
    <row r="994" spans="1:16" ht="16.5" customHeight="1" x14ac:dyDescent="0.25">
      <c r="A994" s="156">
        <v>44993</v>
      </c>
      <c r="B994" s="136" t="s">
        <v>0</v>
      </c>
      <c r="C994" s="157" t="str">
        <f t="shared" si="30"/>
        <v>08.03.2023_KIN1</v>
      </c>
      <c r="D994" s="190">
        <f t="shared" si="31"/>
        <v>0</v>
      </c>
      <c r="E994" s="133">
        <v>8.49</v>
      </c>
      <c r="F994" s="134"/>
      <c r="G994" s="135">
        <v>398</v>
      </c>
      <c r="H994" s="137">
        <v>13.3</v>
      </c>
      <c r="I994" s="134"/>
      <c r="J994" s="137">
        <v>4</v>
      </c>
      <c r="K994" s="134"/>
      <c r="L994" s="136">
        <v>31</v>
      </c>
      <c r="M994" s="181"/>
      <c r="N994" s="159"/>
      <c r="O994" s="159"/>
      <c r="P994" s="136"/>
    </row>
    <row r="995" spans="1:16" ht="16.5" customHeight="1" x14ac:dyDescent="0.25">
      <c r="A995" s="156">
        <v>44993</v>
      </c>
      <c r="B995" s="136" t="s">
        <v>2</v>
      </c>
      <c r="C995" s="157" t="str">
        <f t="shared" si="30"/>
        <v>08.03.2023_KIN2</v>
      </c>
      <c r="D995" s="190">
        <f t="shared" si="31"/>
        <v>0</v>
      </c>
      <c r="E995" s="133">
        <v>8.39</v>
      </c>
      <c r="F995" s="134"/>
      <c r="G995" s="135">
        <v>459</v>
      </c>
      <c r="H995" s="137">
        <v>14</v>
      </c>
      <c r="I995" s="134"/>
      <c r="J995" s="137">
        <v>5.0999999999999996</v>
      </c>
      <c r="K995" s="134"/>
      <c r="L995" s="136">
        <v>36</v>
      </c>
      <c r="M995" s="181"/>
      <c r="N995" s="159"/>
      <c r="O995" s="159"/>
      <c r="P995" s="136"/>
    </row>
    <row r="996" spans="1:16" ht="16.5" customHeight="1" x14ac:dyDescent="0.25">
      <c r="A996" s="156">
        <v>44993</v>
      </c>
      <c r="B996" s="136" t="s">
        <v>4</v>
      </c>
      <c r="C996" s="157" t="str">
        <f t="shared" si="30"/>
        <v>08.03.2023_KIN3</v>
      </c>
      <c r="D996" s="190">
        <f t="shared" si="31"/>
        <v>0</v>
      </c>
      <c r="E996" s="133">
        <v>8.48</v>
      </c>
      <c r="F996" s="134"/>
      <c r="G996" s="135">
        <v>436</v>
      </c>
      <c r="H996" s="137">
        <v>14.2</v>
      </c>
      <c r="I996" s="134"/>
      <c r="J996" s="137">
        <v>5.0999999999999996</v>
      </c>
      <c r="K996" s="134"/>
      <c r="L996" s="136">
        <v>65</v>
      </c>
      <c r="M996" s="181"/>
      <c r="N996" s="159"/>
      <c r="O996" s="159"/>
      <c r="P996" s="136"/>
    </row>
    <row r="997" spans="1:16" ht="16.5" customHeight="1" x14ac:dyDescent="0.25">
      <c r="A997" s="156">
        <v>44993</v>
      </c>
      <c r="B997" s="136" t="s">
        <v>6</v>
      </c>
      <c r="C997" s="157" t="str">
        <f t="shared" si="30"/>
        <v>08.03.2023_KIN4</v>
      </c>
      <c r="D997" s="190">
        <f t="shared" si="31"/>
        <v>0</v>
      </c>
      <c r="E997" s="133">
        <v>8.3800000000000008</v>
      </c>
      <c r="F997" s="134"/>
      <c r="G997" s="135">
        <v>447</v>
      </c>
      <c r="H997" s="137">
        <v>13.7</v>
      </c>
      <c r="I997" s="134"/>
      <c r="J997" s="137">
        <v>5.3</v>
      </c>
      <c r="K997" s="134"/>
      <c r="L997" s="136">
        <v>62</v>
      </c>
      <c r="M997" s="181"/>
      <c r="N997" s="159"/>
      <c r="O997" s="159"/>
      <c r="P997" s="136"/>
    </row>
    <row r="998" spans="1:16" ht="16.5" customHeight="1" x14ac:dyDescent="0.25">
      <c r="A998" s="156">
        <v>44993</v>
      </c>
      <c r="B998" s="136" t="s">
        <v>18</v>
      </c>
      <c r="C998" s="157" t="str">
        <f t="shared" si="30"/>
        <v>08.03.2023_ORB1</v>
      </c>
      <c r="D998" s="190">
        <f t="shared" si="31"/>
        <v>0</v>
      </c>
      <c r="E998" s="133">
        <v>7.38</v>
      </c>
      <c r="F998" s="134"/>
      <c r="G998" s="135">
        <v>125</v>
      </c>
      <c r="H998" s="137">
        <v>12.2</v>
      </c>
      <c r="I998" s="134"/>
      <c r="J998" s="137">
        <v>5.7</v>
      </c>
      <c r="K998" s="134"/>
      <c r="L998" s="136">
        <v>26</v>
      </c>
      <c r="M998" s="181"/>
      <c r="N998" s="159"/>
      <c r="O998" s="159"/>
      <c r="P998" s="136"/>
    </row>
    <row r="999" spans="1:16" ht="16.5" customHeight="1" x14ac:dyDescent="0.25">
      <c r="A999" s="156">
        <v>44993</v>
      </c>
      <c r="B999" s="136" t="s">
        <v>21</v>
      </c>
      <c r="C999" s="157" t="str">
        <f t="shared" si="30"/>
        <v>08.03.2023_ORB2</v>
      </c>
      <c r="D999" s="190">
        <f t="shared" si="31"/>
        <v>0</v>
      </c>
      <c r="E999" s="133">
        <v>7.27</v>
      </c>
      <c r="F999" s="134"/>
      <c r="G999" s="135">
        <v>159.1</v>
      </c>
      <c r="H999" s="137">
        <v>12.7</v>
      </c>
      <c r="I999" s="134"/>
      <c r="J999" s="137">
        <v>6</v>
      </c>
      <c r="K999" s="134"/>
      <c r="L999" s="136">
        <v>34</v>
      </c>
      <c r="M999" s="181"/>
      <c r="N999" s="159"/>
      <c r="O999" s="159"/>
      <c r="P999" s="136"/>
    </row>
    <row r="1000" spans="1:16" ht="16.5" customHeight="1" x14ac:dyDescent="0.25">
      <c r="A1000" s="156">
        <v>44993</v>
      </c>
      <c r="B1000" s="136" t="s">
        <v>10</v>
      </c>
      <c r="C1000" s="157" t="str">
        <f t="shared" si="30"/>
        <v>08.03.2023_SAL1</v>
      </c>
      <c r="D1000" s="190">
        <f t="shared" si="31"/>
        <v>0</v>
      </c>
      <c r="E1000" s="133">
        <v>7.94</v>
      </c>
      <c r="F1000" s="134"/>
      <c r="G1000" s="135">
        <v>185</v>
      </c>
      <c r="H1000" s="137">
        <v>14</v>
      </c>
      <c r="I1000" s="134"/>
      <c r="J1000" s="137">
        <v>2.1</v>
      </c>
      <c r="K1000" s="134"/>
      <c r="L1000" s="136">
        <v>55.000000000000007</v>
      </c>
      <c r="M1000" s="181"/>
      <c r="N1000" s="159"/>
      <c r="O1000" s="159"/>
      <c r="P1000" s="136"/>
    </row>
    <row r="1001" spans="1:16" ht="16.5" customHeight="1" x14ac:dyDescent="0.25">
      <c r="A1001" s="156">
        <v>44993</v>
      </c>
      <c r="B1001" s="136" t="s">
        <v>12</v>
      </c>
      <c r="C1001" s="157" t="str">
        <f t="shared" si="30"/>
        <v>08.03.2023_SAL2</v>
      </c>
      <c r="D1001" s="190">
        <f t="shared" si="31"/>
        <v>0</v>
      </c>
      <c r="E1001" s="133">
        <v>8.09</v>
      </c>
      <c r="F1001" s="134"/>
      <c r="G1001" s="135">
        <v>212</v>
      </c>
      <c r="H1001" s="137">
        <v>13.4</v>
      </c>
      <c r="I1001" s="134"/>
      <c r="J1001" s="137">
        <v>3.4</v>
      </c>
      <c r="K1001" s="134"/>
      <c r="L1001" s="136">
        <v>53</v>
      </c>
      <c r="M1001" s="181"/>
      <c r="N1001" s="159"/>
      <c r="O1001" s="159"/>
      <c r="P1001" s="136"/>
    </row>
    <row r="1002" spans="1:16" ht="16.5" customHeight="1" x14ac:dyDescent="0.25">
      <c r="A1002" s="156">
        <v>44993</v>
      </c>
      <c r="B1002" s="136" t="s">
        <v>7</v>
      </c>
      <c r="C1002" s="157" t="str">
        <f t="shared" si="30"/>
        <v>08.03.2023_STE1</v>
      </c>
      <c r="D1002" s="190">
        <f t="shared" si="31"/>
        <v>0</v>
      </c>
      <c r="E1002" s="133">
        <v>8.2899999999999991</v>
      </c>
      <c r="F1002" s="134"/>
      <c r="G1002" s="135">
        <v>301</v>
      </c>
      <c r="H1002" s="137">
        <v>13.2</v>
      </c>
      <c r="I1002" s="134"/>
      <c r="J1002" s="137">
        <v>5.3</v>
      </c>
      <c r="K1002" s="134"/>
      <c r="L1002" s="136">
        <v>22</v>
      </c>
      <c r="M1002" s="181"/>
      <c r="N1002" s="159"/>
      <c r="O1002" s="159"/>
      <c r="P1002" s="136"/>
    </row>
    <row r="1003" spans="1:16" ht="16.5" customHeight="1" x14ac:dyDescent="0.25">
      <c r="A1003" s="156">
        <v>44993</v>
      </c>
      <c r="B1003" s="136" t="s">
        <v>9</v>
      </c>
      <c r="C1003" s="157" t="str">
        <f t="shared" si="30"/>
        <v>08.03.2023_STE2</v>
      </c>
      <c r="D1003" s="190">
        <f t="shared" si="31"/>
        <v>0</v>
      </c>
      <c r="E1003" s="133">
        <v>8.67</v>
      </c>
      <c r="F1003" s="134"/>
      <c r="G1003" s="135">
        <v>308</v>
      </c>
      <c r="H1003" s="137">
        <v>13.6</v>
      </c>
      <c r="I1003" s="134"/>
      <c r="J1003" s="137">
        <v>5.4</v>
      </c>
      <c r="K1003" s="134"/>
      <c r="L1003" s="136">
        <v>44</v>
      </c>
      <c r="M1003" s="181"/>
      <c r="N1003" s="159"/>
      <c r="O1003" s="159"/>
      <c r="P1003" s="136"/>
    </row>
    <row r="1004" spans="1:16" ht="16.5" customHeight="1" x14ac:dyDescent="0.25">
      <c r="A1004" s="156">
        <v>45008</v>
      </c>
      <c r="B1004" s="136" t="s">
        <v>22</v>
      </c>
      <c r="C1004" s="157" t="str">
        <f t="shared" si="30"/>
        <v>23.03.2023_BIE1</v>
      </c>
      <c r="D1004" s="190">
        <f t="shared" si="31"/>
        <v>0</v>
      </c>
      <c r="E1004" s="133">
        <v>7.76</v>
      </c>
      <c r="F1004" s="134"/>
      <c r="G1004" s="135">
        <v>121.9</v>
      </c>
      <c r="H1004" s="137">
        <v>10.9</v>
      </c>
      <c r="I1004" s="134"/>
      <c r="J1004" s="137">
        <v>9.8000000000000007</v>
      </c>
      <c r="K1004" s="134"/>
      <c r="L1004" s="136">
        <v>45</v>
      </c>
      <c r="M1004" s="181"/>
      <c r="N1004" s="159"/>
      <c r="O1004" s="159"/>
      <c r="P1004" s="136"/>
    </row>
    <row r="1005" spans="1:16" ht="16.5" customHeight="1" x14ac:dyDescent="0.25">
      <c r="A1005" s="156">
        <v>45008</v>
      </c>
      <c r="B1005" s="136" t="s">
        <v>25</v>
      </c>
      <c r="C1005" s="157" t="str">
        <f t="shared" si="30"/>
        <v>23.03.2023_BIE2</v>
      </c>
      <c r="D1005" s="190">
        <f t="shared" si="31"/>
        <v>0</v>
      </c>
      <c r="E1005" s="133">
        <v>7.71</v>
      </c>
      <c r="F1005" s="134"/>
      <c r="G1005" s="135">
        <v>125.5</v>
      </c>
      <c r="H1005" s="137">
        <v>11</v>
      </c>
      <c r="I1005" s="134"/>
      <c r="J1005" s="137">
        <v>10.199999999999999</v>
      </c>
      <c r="K1005" s="134"/>
      <c r="L1005" s="136">
        <v>50</v>
      </c>
      <c r="M1005" s="181"/>
      <c r="N1005" s="159"/>
      <c r="O1005" s="159"/>
      <c r="P1005" s="136"/>
    </row>
    <row r="1006" spans="1:16" ht="16.5" customHeight="1" x14ac:dyDescent="0.25">
      <c r="A1006" s="156">
        <v>45008</v>
      </c>
      <c r="B1006" s="136" t="s">
        <v>30</v>
      </c>
      <c r="C1006" s="157" t="str">
        <f t="shared" si="30"/>
        <v>23.03.2023_FAL1</v>
      </c>
      <c r="D1006" s="190">
        <f t="shared" si="31"/>
        <v>0</v>
      </c>
      <c r="E1006" s="133">
        <v>8.0299999999999994</v>
      </c>
      <c r="F1006" s="134"/>
      <c r="G1006" s="135">
        <v>734</v>
      </c>
      <c r="H1006" s="137">
        <v>11.4</v>
      </c>
      <c r="I1006" s="134"/>
      <c r="J1006" s="137">
        <v>9.9</v>
      </c>
      <c r="K1006" s="134"/>
      <c r="L1006" s="136">
        <v>60</v>
      </c>
      <c r="M1006" s="181"/>
      <c r="N1006" s="159"/>
      <c r="O1006" s="159"/>
      <c r="P1006" s="136"/>
    </row>
    <row r="1007" spans="1:16" ht="16.5" customHeight="1" x14ac:dyDescent="0.25">
      <c r="A1007" s="156">
        <v>45008</v>
      </c>
      <c r="B1007" s="136" t="s">
        <v>32</v>
      </c>
      <c r="C1007" s="157" t="str">
        <f t="shared" si="30"/>
        <v>23.03.2023_FAL2</v>
      </c>
      <c r="D1007" s="190">
        <f t="shared" si="31"/>
        <v>0</v>
      </c>
      <c r="E1007" s="133">
        <v>8.34</v>
      </c>
      <c r="F1007" s="134"/>
      <c r="G1007" s="135">
        <v>760</v>
      </c>
      <c r="H1007" s="137">
        <v>11.3</v>
      </c>
      <c r="I1007" s="134"/>
      <c r="J1007" s="137">
        <v>10.8</v>
      </c>
      <c r="K1007" s="134"/>
      <c r="L1007" s="136">
        <v>50</v>
      </c>
      <c r="M1007" s="181"/>
      <c r="N1007" s="159"/>
      <c r="O1007" s="159"/>
      <c r="P1007" s="136"/>
    </row>
    <row r="1008" spans="1:16" ht="16.5" customHeight="1" x14ac:dyDescent="0.25">
      <c r="A1008" s="156">
        <v>45008</v>
      </c>
      <c r="B1008" s="136" t="s">
        <v>26</v>
      </c>
      <c r="C1008" s="157" t="str">
        <f t="shared" si="30"/>
        <v>23.03.2023_GRU1</v>
      </c>
      <c r="D1008" s="190">
        <f t="shared" si="31"/>
        <v>0</v>
      </c>
      <c r="E1008" s="133">
        <v>7.65</v>
      </c>
      <c r="F1008" s="134"/>
      <c r="G1008" s="135">
        <v>127.3</v>
      </c>
      <c r="H1008" s="137">
        <v>11</v>
      </c>
      <c r="I1008" s="134"/>
      <c r="J1008" s="137">
        <v>9.1999999999999993</v>
      </c>
      <c r="K1008" s="134"/>
      <c r="L1008" s="136">
        <v>45</v>
      </c>
      <c r="M1008" s="181"/>
      <c r="N1008" s="159"/>
      <c r="O1008" s="159"/>
      <c r="P1008" s="136"/>
    </row>
    <row r="1009" spans="1:16" ht="16.5" customHeight="1" x14ac:dyDescent="0.25">
      <c r="A1009" s="156">
        <v>45008</v>
      </c>
      <c r="B1009" s="136" t="s">
        <v>28</v>
      </c>
      <c r="C1009" s="157" t="str">
        <f t="shared" si="30"/>
        <v>23.03.2023_GRU2</v>
      </c>
      <c r="D1009" s="190">
        <f t="shared" si="31"/>
        <v>0</v>
      </c>
      <c r="E1009" s="133">
        <v>7.59</v>
      </c>
      <c r="F1009" s="134"/>
      <c r="G1009" s="135">
        <v>138.6</v>
      </c>
      <c r="H1009" s="137">
        <v>12.4</v>
      </c>
      <c r="I1009" s="134"/>
      <c r="J1009" s="137">
        <v>9.5</v>
      </c>
      <c r="K1009" s="134"/>
      <c r="L1009" s="136">
        <v>50</v>
      </c>
      <c r="M1009" s="181"/>
      <c r="N1009" s="159"/>
      <c r="O1009" s="159"/>
      <c r="P1009" s="136"/>
    </row>
    <row r="1010" spans="1:16" ht="16.5" customHeight="1" x14ac:dyDescent="0.25">
      <c r="A1010" s="156">
        <v>45008</v>
      </c>
      <c r="B1010" s="136" t="s">
        <v>34</v>
      </c>
      <c r="C1010" s="157" t="str">
        <f t="shared" si="30"/>
        <v>23.03.2023_KRE1</v>
      </c>
      <c r="D1010" s="190">
        <f t="shared" si="31"/>
        <v>0</v>
      </c>
      <c r="E1010" s="133">
        <v>8.08</v>
      </c>
      <c r="F1010" s="134"/>
      <c r="G1010" s="135">
        <v>808</v>
      </c>
      <c r="H1010" s="137">
        <v>12</v>
      </c>
      <c r="I1010" s="134"/>
      <c r="J1010" s="137">
        <v>9.8000000000000007</v>
      </c>
      <c r="K1010" s="134"/>
      <c r="L1010" s="136">
        <v>50</v>
      </c>
      <c r="M1010" s="181"/>
      <c r="N1010" s="159"/>
      <c r="O1010" s="159"/>
      <c r="P1010" s="136"/>
    </row>
    <row r="1011" spans="1:16" ht="16.5" customHeight="1" x14ac:dyDescent="0.25">
      <c r="A1011" s="156">
        <v>45008</v>
      </c>
      <c r="B1011" s="136" t="s">
        <v>37</v>
      </c>
      <c r="C1011" s="157" t="str">
        <f t="shared" si="30"/>
        <v>23.03.2023_KRE2</v>
      </c>
      <c r="D1011" s="190">
        <f t="shared" si="31"/>
        <v>0</v>
      </c>
      <c r="E1011" s="133">
        <v>7.97</v>
      </c>
      <c r="F1011" s="134"/>
      <c r="G1011" s="135">
        <v>820</v>
      </c>
      <c r="H1011" s="137">
        <v>9.8000000000000007</v>
      </c>
      <c r="I1011" s="134"/>
      <c r="J1011" s="137">
        <v>9.5</v>
      </c>
      <c r="K1011" s="134"/>
      <c r="L1011" s="136">
        <v>60</v>
      </c>
      <c r="M1011" s="181"/>
      <c r="N1011" s="159"/>
      <c r="O1011" s="159"/>
      <c r="P1011" s="136"/>
    </row>
    <row r="1012" spans="1:16" ht="16.5" customHeight="1" x14ac:dyDescent="0.25">
      <c r="A1012" s="156">
        <v>45008</v>
      </c>
      <c r="B1012" s="136" t="s">
        <v>14</v>
      </c>
      <c r="C1012" s="157" t="str">
        <f t="shared" si="30"/>
        <v>23.03.2023_BRA1</v>
      </c>
      <c r="D1012" s="190">
        <f t="shared" si="31"/>
        <v>0</v>
      </c>
      <c r="E1012" s="133">
        <v>7.32</v>
      </c>
      <c r="F1012" s="134"/>
      <c r="G1012" s="135">
        <v>149.1</v>
      </c>
      <c r="H1012" s="137">
        <v>6.9</v>
      </c>
      <c r="I1012" s="134"/>
      <c r="J1012" s="137">
        <v>10.3</v>
      </c>
      <c r="K1012" s="134"/>
      <c r="L1012" s="136">
        <v>40</v>
      </c>
      <c r="M1012" s="181"/>
      <c r="N1012" s="159"/>
      <c r="O1012" s="159"/>
      <c r="P1012" s="136" t="s">
        <v>173</v>
      </c>
    </row>
    <row r="1013" spans="1:16" ht="16.5" customHeight="1" x14ac:dyDescent="0.25">
      <c r="A1013" s="156">
        <v>45008</v>
      </c>
      <c r="B1013" s="136" t="s">
        <v>17</v>
      </c>
      <c r="C1013" s="157" t="str">
        <f t="shared" si="30"/>
        <v>23.03.2023_BRA2</v>
      </c>
      <c r="D1013" s="190">
        <f t="shared" si="31"/>
        <v>0</v>
      </c>
      <c r="E1013" s="133">
        <v>7.77</v>
      </c>
      <c r="F1013" s="134"/>
      <c r="G1013" s="135">
        <v>156.4</v>
      </c>
      <c r="H1013" s="137">
        <v>7</v>
      </c>
      <c r="I1013" s="134"/>
      <c r="J1013" s="137">
        <v>9.6999999999999993</v>
      </c>
      <c r="K1013" s="134"/>
      <c r="L1013" s="136">
        <v>55.000000000000007</v>
      </c>
      <c r="M1013" s="181"/>
      <c r="N1013" s="159"/>
      <c r="O1013" s="159"/>
      <c r="P1013" s="136" t="s">
        <v>173</v>
      </c>
    </row>
    <row r="1014" spans="1:16" ht="16.5" customHeight="1" x14ac:dyDescent="0.25">
      <c r="A1014" s="156">
        <v>45008</v>
      </c>
      <c r="B1014" s="136" t="s">
        <v>0</v>
      </c>
      <c r="C1014" s="157" t="str">
        <f t="shared" si="30"/>
        <v>23.03.2023_KIN1</v>
      </c>
      <c r="D1014" s="190">
        <f t="shared" si="31"/>
        <v>0</v>
      </c>
      <c r="E1014" s="133">
        <v>8.3800000000000008</v>
      </c>
      <c r="F1014" s="134"/>
      <c r="G1014" s="135">
        <v>383</v>
      </c>
      <c r="H1014" s="137">
        <v>7.4</v>
      </c>
      <c r="I1014" s="134"/>
      <c r="J1014" s="137">
        <v>9.3000000000000007</v>
      </c>
      <c r="K1014" s="134"/>
      <c r="L1014" s="136">
        <v>40</v>
      </c>
      <c r="M1014" s="181"/>
      <c r="N1014" s="159"/>
      <c r="O1014" s="159"/>
      <c r="P1014" s="136" t="s">
        <v>215</v>
      </c>
    </row>
    <row r="1015" spans="1:16" ht="16.5" customHeight="1" x14ac:dyDescent="0.25">
      <c r="A1015" s="156">
        <v>45008</v>
      </c>
      <c r="B1015" s="136" t="s">
        <v>2</v>
      </c>
      <c r="C1015" s="157" t="str">
        <f t="shared" si="30"/>
        <v>23.03.2023_KIN2</v>
      </c>
      <c r="D1015" s="190">
        <f t="shared" si="31"/>
        <v>0</v>
      </c>
      <c r="E1015" s="133">
        <v>8.27</v>
      </c>
      <c r="F1015" s="134"/>
      <c r="G1015" s="135">
        <v>462</v>
      </c>
      <c r="H1015" s="137">
        <v>7.2</v>
      </c>
      <c r="I1015" s="134"/>
      <c r="J1015" s="137">
        <v>10.1</v>
      </c>
      <c r="K1015" s="134"/>
      <c r="L1015" s="136">
        <v>50</v>
      </c>
      <c r="M1015" s="181"/>
      <c r="N1015" s="159"/>
      <c r="O1015" s="159"/>
      <c r="P1015" s="136" t="s">
        <v>173</v>
      </c>
    </row>
    <row r="1016" spans="1:16" ht="16.5" customHeight="1" x14ac:dyDescent="0.25">
      <c r="A1016" s="156">
        <v>45008</v>
      </c>
      <c r="B1016" s="136" t="s">
        <v>4</v>
      </c>
      <c r="C1016" s="157" t="str">
        <f t="shared" si="30"/>
        <v>23.03.2023_KIN3</v>
      </c>
      <c r="D1016" s="190">
        <f t="shared" si="31"/>
        <v>0</v>
      </c>
      <c r="E1016" s="133">
        <v>8.3000000000000007</v>
      </c>
      <c r="F1016" s="134"/>
      <c r="G1016" s="135">
        <v>440</v>
      </c>
      <c r="H1016" s="137">
        <v>7.3</v>
      </c>
      <c r="I1016" s="134"/>
      <c r="J1016" s="137">
        <v>10.3</v>
      </c>
      <c r="K1016" s="134"/>
      <c r="L1016" s="136">
        <v>90</v>
      </c>
      <c r="M1016" s="181"/>
      <c r="N1016" s="159"/>
      <c r="O1016" s="159"/>
      <c r="P1016" s="136" t="s">
        <v>174</v>
      </c>
    </row>
    <row r="1017" spans="1:16" ht="16.5" customHeight="1" x14ac:dyDescent="0.25">
      <c r="A1017" s="156">
        <v>45008</v>
      </c>
      <c r="B1017" s="136" t="s">
        <v>6</v>
      </c>
      <c r="C1017" s="157" t="str">
        <f t="shared" si="30"/>
        <v>23.03.2023_KIN4</v>
      </c>
      <c r="D1017" s="190">
        <f t="shared" si="31"/>
        <v>0</v>
      </c>
      <c r="E1017" s="133">
        <v>8.24</v>
      </c>
      <c r="F1017" s="134"/>
      <c r="G1017" s="135">
        <v>446</v>
      </c>
      <c r="H1017" s="137">
        <v>7</v>
      </c>
      <c r="I1017" s="134"/>
      <c r="J1017" s="137">
        <v>10.5</v>
      </c>
      <c r="K1017" s="134"/>
      <c r="L1017" s="136">
        <v>75</v>
      </c>
      <c r="M1017" s="181"/>
      <c r="N1017" s="159"/>
      <c r="O1017" s="159"/>
      <c r="P1017" s="136" t="s">
        <v>174</v>
      </c>
    </row>
    <row r="1018" spans="1:16" ht="16.5" customHeight="1" x14ac:dyDescent="0.25">
      <c r="A1018" s="156">
        <v>45008</v>
      </c>
      <c r="B1018" s="136" t="s">
        <v>18</v>
      </c>
      <c r="C1018" s="157" t="str">
        <f t="shared" si="30"/>
        <v>23.03.2023_ORB1</v>
      </c>
      <c r="D1018" s="190">
        <f t="shared" si="31"/>
        <v>0</v>
      </c>
      <c r="E1018" s="133">
        <v>7.27</v>
      </c>
      <c r="F1018" s="134"/>
      <c r="G1018" s="135">
        <v>108</v>
      </c>
      <c r="H1018" s="137">
        <v>6.9</v>
      </c>
      <c r="I1018" s="134"/>
      <c r="J1018" s="137">
        <v>9.5</v>
      </c>
      <c r="K1018" s="134"/>
      <c r="L1018" s="136">
        <v>50</v>
      </c>
      <c r="M1018" s="181"/>
      <c r="N1018" s="159"/>
      <c r="O1018" s="159"/>
      <c r="P1018" s="136" t="s">
        <v>174</v>
      </c>
    </row>
    <row r="1019" spans="1:16" ht="16.5" customHeight="1" x14ac:dyDescent="0.25">
      <c r="A1019" s="156">
        <v>45008</v>
      </c>
      <c r="B1019" s="136" t="s">
        <v>21</v>
      </c>
      <c r="C1019" s="157" t="str">
        <f t="shared" si="30"/>
        <v>23.03.2023_ORB2</v>
      </c>
      <c r="D1019" s="190">
        <f t="shared" si="31"/>
        <v>0</v>
      </c>
      <c r="E1019" s="133">
        <v>7.28</v>
      </c>
      <c r="F1019" s="134"/>
      <c r="G1019" s="135">
        <v>122.5</v>
      </c>
      <c r="H1019" s="137">
        <v>6.7</v>
      </c>
      <c r="I1019" s="134"/>
      <c r="J1019" s="137">
        <v>7.4</v>
      </c>
      <c r="K1019" s="134"/>
      <c r="L1019" s="136">
        <v>60</v>
      </c>
      <c r="M1019" s="181"/>
      <c r="N1019" s="159"/>
      <c r="O1019" s="159"/>
      <c r="P1019" s="136" t="s">
        <v>173</v>
      </c>
    </row>
    <row r="1020" spans="1:16" ht="16.5" customHeight="1" x14ac:dyDescent="0.25">
      <c r="A1020" s="156">
        <v>45008</v>
      </c>
      <c r="B1020" s="136" t="s">
        <v>10</v>
      </c>
      <c r="C1020" s="157" t="str">
        <f t="shared" si="30"/>
        <v>23.03.2023_SAL1</v>
      </c>
      <c r="D1020" s="190">
        <f t="shared" si="31"/>
        <v>0</v>
      </c>
      <c r="E1020" s="133">
        <v>7.72</v>
      </c>
      <c r="F1020" s="134"/>
      <c r="G1020" s="135">
        <v>151.4</v>
      </c>
      <c r="H1020" s="137">
        <v>7.2</v>
      </c>
      <c r="I1020" s="134"/>
      <c r="J1020" s="137">
        <v>10.3</v>
      </c>
      <c r="K1020" s="134"/>
      <c r="L1020" s="136">
        <v>75</v>
      </c>
      <c r="M1020" s="181"/>
      <c r="N1020" s="159"/>
      <c r="O1020" s="159"/>
      <c r="P1020" s="136" t="s">
        <v>174</v>
      </c>
    </row>
    <row r="1021" spans="1:16" ht="16.5" customHeight="1" x14ac:dyDescent="0.25">
      <c r="A1021" s="156">
        <v>45008</v>
      </c>
      <c r="B1021" s="136" t="s">
        <v>12</v>
      </c>
      <c r="C1021" s="157" t="str">
        <f t="shared" si="30"/>
        <v>23.03.2023_SAL2</v>
      </c>
      <c r="D1021" s="190">
        <f t="shared" si="31"/>
        <v>0</v>
      </c>
      <c r="E1021" s="133">
        <v>7.74</v>
      </c>
      <c r="F1021" s="134"/>
      <c r="G1021" s="135">
        <v>148</v>
      </c>
      <c r="H1021" s="137">
        <v>6.8</v>
      </c>
      <c r="I1021" s="134"/>
      <c r="J1021" s="137">
        <v>10.5</v>
      </c>
      <c r="K1021" s="134"/>
      <c r="L1021" s="136">
        <v>70</v>
      </c>
      <c r="M1021" s="181"/>
      <c r="N1021" s="159"/>
      <c r="O1021" s="159"/>
      <c r="P1021" s="136" t="s">
        <v>174</v>
      </c>
    </row>
    <row r="1022" spans="1:16" ht="16.5" customHeight="1" x14ac:dyDescent="0.25">
      <c r="A1022" s="156">
        <v>45008</v>
      </c>
      <c r="B1022" s="136" t="s">
        <v>7</v>
      </c>
      <c r="C1022" s="157" t="str">
        <f t="shared" si="30"/>
        <v>23.03.2023_STE1</v>
      </c>
      <c r="D1022" s="190">
        <f t="shared" si="31"/>
        <v>0</v>
      </c>
      <c r="E1022" s="133">
        <v>8.06</v>
      </c>
      <c r="F1022" s="134"/>
      <c r="G1022" s="135">
        <v>278</v>
      </c>
      <c r="H1022" s="137">
        <v>7.4</v>
      </c>
      <c r="I1022" s="134"/>
      <c r="J1022" s="137">
        <v>11.6</v>
      </c>
      <c r="K1022" s="134"/>
      <c r="L1022" s="136">
        <v>50</v>
      </c>
      <c r="M1022" s="181"/>
      <c r="N1022" s="159"/>
      <c r="O1022" s="159"/>
      <c r="P1022" s="136" t="s">
        <v>173</v>
      </c>
    </row>
    <row r="1023" spans="1:16" ht="16.5" customHeight="1" x14ac:dyDescent="0.25">
      <c r="A1023" s="156">
        <v>45008</v>
      </c>
      <c r="B1023" s="136" t="s">
        <v>9</v>
      </c>
      <c r="C1023" s="157" t="str">
        <f t="shared" si="30"/>
        <v>23.03.2023_STE2</v>
      </c>
      <c r="D1023" s="190">
        <f t="shared" si="31"/>
        <v>0</v>
      </c>
      <c r="E1023" s="133">
        <v>8.31</v>
      </c>
      <c r="F1023" s="134"/>
      <c r="G1023" s="135">
        <v>332</v>
      </c>
      <c r="H1023" s="137">
        <v>7.4</v>
      </c>
      <c r="I1023" s="134"/>
      <c r="J1023" s="137">
        <v>10.4</v>
      </c>
      <c r="K1023" s="134"/>
      <c r="L1023" s="136">
        <v>55.000000000000007</v>
      </c>
      <c r="M1023" s="181"/>
      <c r="N1023" s="159"/>
      <c r="O1023" s="159"/>
      <c r="P1023" s="136" t="s">
        <v>174</v>
      </c>
    </row>
    <row r="1024" spans="1:16" ht="16.5" customHeight="1" x14ac:dyDescent="0.25">
      <c r="A1024" s="156">
        <v>45040</v>
      </c>
      <c r="B1024" s="136" t="s">
        <v>22</v>
      </c>
      <c r="C1024" s="157" t="str">
        <f t="shared" si="30"/>
        <v>24.04.2023_BIE1</v>
      </c>
      <c r="D1024" s="190">
        <f t="shared" si="31"/>
        <v>0</v>
      </c>
      <c r="E1024" s="133">
        <v>7.71</v>
      </c>
      <c r="F1024" s="134"/>
      <c r="G1024" s="135">
        <v>134.5</v>
      </c>
      <c r="H1024" s="137">
        <v>13.2</v>
      </c>
      <c r="I1024" s="134"/>
      <c r="J1024" s="137">
        <v>10.199999999999999</v>
      </c>
      <c r="K1024" s="134"/>
      <c r="L1024" s="136">
        <v>40</v>
      </c>
      <c r="M1024" s="181"/>
      <c r="N1024" s="159"/>
      <c r="O1024" s="159"/>
      <c r="P1024" s="136"/>
    </row>
    <row r="1025" spans="1:16" ht="16.5" customHeight="1" x14ac:dyDescent="0.25">
      <c r="A1025" s="156">
        <v>45040</v>
      </c>
      <c r="B1025" s="136" t="s">
        <v>25</v>
      </c>
      <c r="C1025" s="157" t="str">
        <f t="shared" si="30"/>
        <v>24.04.2023_BIE2</v>
      </c>
      <c r="D1025" s="190">
        <f t="shared" si="31"/>
        <v>0</v>
      </c>
      <c r="E1025" s="133">
        <v>7.68</v>
      </c>
      <c r="F1025" s="134"/>
      <c r="G1025" s="135">
        <v>144.69999999999999</v>
      </c>
      <c r="H1025" s="137">
        <v>13.2</v>
      </c>
      <c r="I1025" s="134"/>
      <c r="J1025" s="137">
        <v>10.5</v>
      </c>
      <c r="K1025" s="134"/>
      <c r="L1025" s="136">
        <v>60</v>
      </c>
      <c r="M1025" s="181"/>
      <c r="N1025" s="159"/>
      <c r="O1025" s="159"/>
      <c r="P1025" s="136"/>
    </row>
    <row r="1026" spans="1:16" ht="16.5" customHeight="1" x14ac:dyDescent="0.25">
      <c r="A1026" s="156">
        <v>45040</v>
      </c>
      <c r="B1026" s="136" t="s">
        <v>30</v>
      </c>
      <c r="C1026" s="157" t="str">
        <f t="shared" si="30"/>
        <v>24.04.2023_FAL1</v>
      </c>
      <c r="D1026" s="190">
        <f t="shared" si="31"/>
        <v>0</v>
      </c>
      <c r="E1026" s="183">
        <v>8.15</v>
      </c>
      <c r="F1026" s="161" t="s">
        <v>269</v>
      </c>
      <c r="G1026" s="135">
        <v>720</v>
      </c>
      <c r="H1026" s="137">
        <v>12.7</v>
      </c>
      <c r="I1026" s="161"/>
      <c r="J1026" s="137">
        <v>12.4</v>
      </c>
      <c r="K1026" s="161"/>
      <c r="L1026" s="136">
        <v>40</v>
      </c>
      <c r="M1026" s="181"/>
      <c r="N1026" s="159" t="s">
        <v>312</v>
      </c>
      <c r="O1026" s="159"/>
      <c r="P1026" s="136"/>
    </row>
    <row r="1027" spans="1:16" ht="16.5" customHeight="1" x14ac:dyDescent="0.25">
      <c r="A1027" s="156">
        <v>45040</v>
      </c>
      <c r="B1027" s="136" t="s">
        <v>32</v>
      </c>
      <c r="C1027" s="157" t="str">
        <f t="shared" si="30"/>
        <v>24.04.2023_FAL2</v>
      </c>
      <c r="D1027" s="190">
        <f t="shared" si="31"/>
        <v>0</v>
      </c>
      <c r="E1027" s="133">
        <v>8.34</v>
      </c>
      <c r="F1027" s="134"/>
      <c r="G1027" s="135">
        <v>749</v>
      </c>
      <c r="H1027" s="137">
        <v>13.4</v>
      </c>
      <c r="I1027" s="134"/>
      <c r="J1027" s="137">
        <v>12.2</v>
      </c>
      <c r="K1027" s="134"/>
      <c r="L1027" s="136">
        <v>40</v>
      </c>
      <c r="M1027" s="181"/>
      <c r="N1027" s="159"/>
      <c r="O1027" s="159"/>
      <c r="P1027" s="136"/>
    </row>
    <row r="1028" spans="1:16" ht="16.5" customHeight="1" x14ac:dyDescent="0.25">
      <c r="A1028" s="156">
        <v>45040</v>
      </c>
      <c r="B1028" s="136" t="s">
        <v>26</v>
      </c>
      <c r="C1028" s="157" t="str">
        <f t="shared" si="30"/>
        <v>24.04.2023_GRU1</v>
      </c>
      <c r="D1028" s="190">
        <f t="shared" si="31"/>
        <v>0</v>
      </c>
      <c r="E1028" s="133">
        <v>7.47</v>
      </c>
      <c r="F1028" s="134"/>
      <c r="G1028" s="135">
        <v>133.9</v>
      </c>
      <c r="H1028" s="137">
        <v>12.4</v>
      </c>
      <c r="I1028" s="134"/>
      <c r="J1028" s="137">
        <v>11</v>
      </c>
      <c r="K1028" s="134"/>
      <c r="L1028" s="136">
        <v>40</v>
      </c>
      <c r="M1028" s="181"/>
      <c r="N1028" s="159"/>
      <c r="O1028" s="159"/>
      <c r="P1028" s="136"/>
    </row>
    <row r="1029" spans="1:16" ht="16.5" customHeight="1" x14ac:dyDescent="0.25">
      <c r="A1029" s="156">
        <v>45040</v>
      </c>
      <c r="B1029" s="136" t="s">
        <v>28</v>
      </c>
      <c r="C1029" s="157" t="str">
        <f t="shared" ref="C1029:C1092" si="32">CONCATENATE(TEXT(A1029,"TT.MM.JJJJ"),"_",B1029)</f>
        <v>24.04.2023_GRU2</v>
      </c>
      <c r="D1029" s="190">
        <f t="shared" ref="D1029:D1092" si="33">COUNTBLANK(E1029)+COUNTBLANK(G1029:H1029)+COUNTBLANK(J1029)+COUNTBLANK(L1029)</f>
        <v>0</v>
      </c>
      <c r="E1029" s="183">
        <v>7.45</v>
      </c>
      <c r="F1029" s="161" t="s">
        <v>269</v>
      </c>
      <c r="G1029" s="135">
        <v>143</v>
      </c>
      <c r="H1029" s="137">
        <v>12.8</v>
      </c>
      <c r="I1029" s="161"/>
      <c r="J1029" s="137">
        <v>11.6</v>
      </c>
      <c r="K1029" s="161"/>
      <c r="L1029" s="136">
        <v>50</v>
      </c>
      <c r="M1029" s="181"/>
      <c r="N1029" s="159" t="s">
        <v>313</v>
      </c>
      <c r="O1029" s="159"/>
      <c r="P1029" s="136"/>
    </row>
    <row r="1030" spans="1:16" ht="16.5" customHeight="1" x14ac:dyDescent="0.25">
      <c r="A1030" s="156">
        <v>45040</v>
      </c>
      <c r="B1030" s="136" t="s">
        <v>34</v>
      </c>
      <c r="C1030" s="157" t="str">
        <f t="shared" si="32"/>
        <v>24.04.2023_KRE1</v>
      </c>
      <c r="D1030" s="190">
        <f t="shared" si="33"/>
        <v>0</v>
      </c>
      <c r="E1030" s="133">
        <v>8.1</v>
      </c>
      <c r="F1030" s="134"/>
      <c r="G1030" s="135">
        <v>760</v>
      </c>
      <c r="H1030" s="137">
        <v>12.2</v>
      </c>
      <c r="I1030" s="134"/>
      <c r="J1030" s="137">
        <v>12</v>
      </c>
      <c r="K1030" s="134"/>
      <c r="L1030" s="136">
        <v>50</v>
      </c>
      <c r="M1030" s="181"/>
      <c r="N1030" s="159"/>
      <c r="O1030" s="159"/>
      <c r="P1030" s="136"/>
    </row>
    <row r="1031" spans="1:16" ht="16.5" customHeight="1" x14ac:dyDescent="0.25">
      <c r="A1031" s="156">
        <v>45040</v>
      </c>
      <c r="B1031" s="136" t="s">
        <v>37</v>
      </c>
      <c r="C1031" s="157" t="str">
        <f t="shared" si="32"/>
        <v>24.04.2023_KRE2</v>
      </c>
      <c r="D1031" s="190">
        <f t="shared" si="33"/>
        <v>0</v>
      </c>
      <c r="E1031" s="133">
        <v>7.95</v>
      </c>
      <c r="F1031" s="134"/>
      <c r="G1031" s="135">
        <v>768</v>
      </c>
      <c r="H1031" s="137">
        <v>10.199999999999999</v>
      </c>
      <c r="I1031" s="134"/>
      <c r="J1031" s="137">
        <v>12.2</v>
      </c>
      <c r="K1031" s="134"/>
      <c r="L1031" s="136">
        <v>60</v>
      </c>
      <c r="M1031" s="181"/>
      <c r="N1031" s="159"/>
      <c r="O1031" s="159"/>
      <c r="P1031" s="136"/>
    </row>
    <row r="1032" spans="1:16" ht="16.5" customHeight="1" x14ac:dyDescent="0.25">
      <c r="A1032" s="156">
        <v>45040</v>
      </c>
      <c r="B1032" s="136" t="s">
        <v>14</v>
      </c>
      <c r="C1032" s="157" t="str">
        <f t="shared" si="32"/>
        <v>24.04.2023_BRA1</v>
      </c>
      <c r="D1032" s="190">
        <f t="shared" si="33"/>
        <v>0</v>
      </c>
      <c r="E1032" s="133">
        <v>7.91</v>
      </c>
      <c r="F1032" s="134"/>
      <c r="G1032" s="135">
        <v>159</v>
      </c>
      <c r="H1032" s="137">
        <v>12.9</v>
      </c>
      <c r="I1032" s="134"/>
      <c r="J1032" s="137">
        <v>11.4</v>
      </c>
      <c r="K1032" s="134"/>
      <c r="L1032" s="136">
        <v>40</v>
      </c>
      <c r="M1032" s="181"/>
      <c r="N1032" s="159" t="s">
        <v>288</v>
      </c>
      <c r="O1032" s="159"/>
      <c r="P1032" s="136"/>
    </row>
    <row r="1033" spans="1:16" ht="16.5" customHeight="1" x14ac:dyDescent="0.25">
      <c r="A1033" s="156">
        <v>45040</v>
      </c>
      <c r="B1033" s="136" t="s">
        <v>17</v>
      </c>
      <c r="C1033" s="157" t="str">
        <f t="shared" si="32"/>
        <v>24.04.2023_BRA2</v>
      </c>
      <c r="D1033" s="190">
        <f t="shared" si="33"/>
        <v>0</v>
      </c>
      <c r="E1033" s="183">
        <v>8.3000000000000007</v>
      </c>
      <c r="F1033" s="161" t="s">
        <v>269</v>
      </c>
      <c r="G1033" s="135">
        <v>158.30000000000001</v>
      </c>
      <c r="H1033" s="137">
        <v>11.9</v>
      </c>
      <c r="I1033" s="161"/>
      <c r="J1033" s="137">
        <v>11.7</v>
      </c>
      <c r="K1033" s="161"/>
      <c r="L1033" s="136">
        <v>30</v>
      </c>
      <c r="M1033" s="181"/>
      <c r="N1033" s="159" t="s">
        <v>314</v>
      </c>
      <c r="O1033" s="159"/>
      <c r="P1033" s="136"/>
    </row>
    <row r="1034" spans="1:16" ht="16.5" customHeight="1" x14ac:dyDescent="0.25">
      <c r="A1034" s="156">
        <v>45040</v>
      </c>
      <c r="B1034" s="136" t="s">
        <v>0</v>
      </c>
      <c r="C1034" s="157" t="str">
        <f t="shared" si="32"/>
        <v>24.04.2023_KIN1</v>
      </c>
      <c r="D1034" s="190">
        <f t="shared" si="33"/>
        <v>0</v>
      </c>
      <c r="E1034" s="133">
        <v>8.41</v>
      </c>
      <c r="F1034" s="134"/>
      <c r="G1034" s="135">
        <v>388</v>
      </c>
      <c r="H1034" s="137">
        <v>11.7</v>
      </c>
      <c r="I1034" s="134"/>
      <c r="J1034" s="137">
        <v>10</v>
      </c>
      <c r="K1034" s="134"/>
      <c r="L1034" s="136">
        <v>50</v>
      </c>
      <c r="M1034" s="181"/>
      <c r="N1034" s="159"/>
      <c r="O1034" s="159"/>
      <c r="P1034" s="136" t="s">
        <v>215</v>
      </c>
    </row>
    <row r="1035" spans="1:16" ht="16.5" customHeight="1" x14ac:dyDescent="0.25">
      <c r="A1035" s="156">
        <v>45040</v>
      </c>
      <c r="B1035" s="136" t="s">
        <v>2</v>
      </c>
      <c r="C1035" s="157" t="str">
        <f t="shared" si="32"/>
        <v>24.04.2023_KIN2</v>
      </c>
      <c r="D1035" s="190">
        <f t="shared" si="33"/>
        <v>0</v>
      </c>
      <c r="E1035" s="133">
        <v>8.24</v>
      </c>
      <c r="F1035" s="134"/>
      <c r="G1035" s="135">
        <v>439</v>
      </c>
      <c r="H1035" s="137">
        <v>12.4</v>
      </c>
      <c r="I1035" s="134"/>
      <c r="J1035" s="137">
        <v>9.8000000000000007</v>
      </c>
      <c r="K1035" s="134"/>
      <c r="L1035" s="136">
        <v>50</v>
      </c>
      <c r="M1035" s="181"/>
      <c r="N1035" s="159"/>
      <c r="O1035" s="159"/>
      <c r="P1035" s="136" t="s">
        <v>173</v>
      </c>
    </row>
    <row r="1036" spans="1:16" ht="16.5" customHeight="1" x14ac:dyDescent="0.25">
      <c r="A1036" s="156">
        <v>45040</v>
      </c>
      <c r="B1036" s="136" t="s">
        <v>4</v>
      </c>
      <c r="C1036" s="157" t="str">
        <f t="shared" si="32"/>
        <v>24.04.2023_KIN3</v>
      </c>
      <c r="D1036" s="190">
        <f t="shared" si="33"/>
        <v>0</v>
      </c>
      <c r="E1036" s="133">
        <v>8.2899999999999991</v>
      </c>
      <c r="F1036" s="134"/>
      <c r="G1036" s="135">
        <v>409</v>
      </c>
      <c r="H1036" s="137">
        <v>11.6</v>
      </c>
      <c r="I1036" s="134"/>
      <c r="J1036" s="137">
        <v>10.6</v>
      </c>
      <c r="K1036" s="134"/>
      <c r="L1036" s="136">
        <v>90</v>
      </c>
      <c r="M1036" s="181"/>
      <c r="N1036" s="159"/>
      <c r="O1036" s="159"/>
      <c r="P1036" s="136" t="s">
        <v>174</v>
      </c>
    </row>
    <row r="1037" spans="1:16" ht="16.5" customHeight="1" x14ac:dyDescent="0.25">
      <c r="A1037" s="156">
        <v>45040</v>
      </c>
      <c r="B1037" s="136" t="s">
        <v>6</v>
      </c>
      <c r="C1037" s="157" t="str">
        <f t="shared" si="32"/>
        <v>24.04.2023_KIN4</v>
      </c>
      <c r="D1037" s="190">
        <f t="shared" si="33"/>
        <v>0</v>
      </c>
      <c r="E1037" s="133">
        <v>8.1999999999999993</v>
      </c>
      <c r="F1037" s="134"/>
      <c r="G1037" s="135">
        <v>432</v>
      </c>
      <c r="H1037" s="137">
        <v>11.1</v>
      </c>
      <c r="I1037" s="134"/>
      <c r="J1037" s="137">
        <v>12.5</v>
      </c>
      <c r="K1037" s="134"/>
      <c r="L1037" s="136">
        <v>75</v>
      </c>
      <c r="M1037" s="181"/>
      <c r="N1037" s="159"/>
      <c r="O1037" s="159"/>
      <c r="P1037" s="136" t="s">
        <v>174</v>
      </c>
    </row>
    <row r="1038" spans="1:16" ht="16.5" customHeight="1" x14ac:dyDescent="0.25">
      <c r="A1038" s="156">
        <v>45040</v>
      </c>
      <c r="B1038" s="136" t="s">
        <v>18</v>
      </c>
      <c r="C1038" s="157" t="str">
        <f t="shared" si="32"/>
        <v>24.04.2023_ORB1</v>
      </c>
      <c r="D1038" s="190">
        <f t="shared" si="33"/>
        <v>0</v>
      </c>
      <c r="E1038" s="133">
        <v>7.2</v>
      </c>
      <c r="F1038" s="134"/>
      <c r="G1038" s="135">
        <v>147.30000000000001</v>
      </c>
      <c r="H1038" s="137">
        <v>12.5</v>
      </c>
      <c r="I1038" s="134"/>
      <c r="J1038" s="137">
        <v>10.6</v>
      </c>
      <c r="K1038" s="134"/>
      <c r="L1038" s="136">
        <v>30</v>
      </c>
      <c r="M1038" s="181"/>
      <c r="N1038" s="159"/>
      <c r="O1038" s="159"/>
      <c r="P1038" s="136"/>
    </row>
    <row r="1039" spans="1:16" ht="16.5" customHeight="1" x14ac:dyDescent="0.25">
      <c r="A1039" s="156">
        <v>45040</v>
      </c>
      <c r="B1039" s="136" t="s">
        <v>21</v>
      </c>
      <c r="C1039" s="157" t="str">
        <f t="shared" si="32"/>
        <v>24.04.2023_ORB2</v>
      </c>
      <c r="D1039" s="190">
        <f t="shared" si="33"/>
        <v>0</v>
      </c>
      <c r="E1039" s="133">
        <v>7.08</v>
      </c>
      <c r="F1039" s="134"/>
      <c r="G1039" s="135">
        <v>128.1</v>
      </c>
      <c r="H1039" s="137">
        <v>13.3</v>
      </c>
      <c r="I1039" s="134"/>
      <c r="J1039" s="137">
        <v>11.3</v>
      </c>
      <c r="K1039" s="134"/>
      <c r="L1039" s="136">
        <v>35</v>
      </c>
      <c r="M1039" s="181"/>
      <c r="N1039" s="159"/>
      <c r="O1039" s="159"/>
      <c r="P1039" s="136"/>
    </row>
    <row r="1040" spans="1:16" ht="16.5" customHeight="1" x14ac:dyDescent="0.25">
      <c r="A1040" s="156">
        <v>45040</v>
      </c>
      <c r="B1040" s="136" t="s">
        <v>10</v>
      </c>
      <c r="C1040" s="157" t="str">
        <f t="shared" si="32"/>
        <v>24.04.2023_SAL1</v>
      </c>
      <c r="D1040" s="190">
        <f t="shared" si="33"/>
        <v>0</v>
      </c>
      <c r="E1040" s="133">
        <v>8.41</v>
      </c>
      <c r="F1040" s="134"/>
      <c r="G1040" s="135">
        <v>180.1</v>
      </c>
      <c r="H1040" s="137">
        <v>12.3</v>
      </c>
      <c r="I1040" s="134"/>
      <c r="J1040" s="137">
        <v>11.4</v>
      </c>
      <c r="K1040" s="134"/>
      <c r="L1040" s="136">
        <v>55.000000000000007</v>
      </c>
      <c r="M1040" s="181"/>
      <c r="N1040" s="159"/>
      <c r="O1040" s="159"/>
      <c r="P1040" s="136" t="s">
        <v>174</v>
      </c>
    </row>
    <row r="1041" spans="1:16" ht="16.5" customHeight="1" x14ac:dyDescent="0.25">
      <c r="A1041" s="156">
        <v>45040</v>
      </c>
      <c r="B1041" s="136" t="s">
        <v>12</v>
      </c>
      <c r="C1041" s="157" t="str">
        <f t="shared" si="32"/>
        <v>24.04.2023_SAL2</v>
      </c>
      <c r="D1041" s="190">
        <f t="shared" si="33"/>
        <v>0</v>
      </c>
      <c r="E1041" s="133">
        <v>8.74</v>
      </c>
      <c r="F1041" s="134"/>
      <c r="G1041" s="135">
        <v>192.7</v>
      </c>
      <c r="H1041" s="137">
        <v>12.6</v>
      </c>
      <c r="I1041" s="134"/>
      <c r="J1041" s="137">
        <v>11.6</v>
      </c>
      <c r="K1041" s="134"/>
      <c r="L1041" s="136">
        <v>40</v>
      </c>
      <c r="M1041" s="181"/>
      <c r="N1041" s="159"/>
      <c r="O1041" s="159"/>
      <c r="P1041" s="136" t="s">
        <v>174</v>
      </c>
    </row>
    <row r="1042" spans="1:16" ht="16.5" customHeight="1" x14ac:dyDescent="0.25">
      <c r="A1042" s="156">
        <v>45040</v>
      </c>
      <c r="B1042" s="136" t="s">
        <v>7</v>
      </c>
      <c r="C1042" s="157" t="str">
        <f t="shared" si="32"/>
        <v>24.04.2023_STE1</v>
      </c>
      <c r="D1042" s="190">
        <f t="shared" si="33"/>
        <v>0</v>
      </c>
      <c r="E1042" s="133">
        <v>8.31</v>
      </c>
      <c r="F1042" s="134"/>
      <c r="G1042" s="135">
        <v>282</v>
      </c>
      <c r="H1042" s="137">
        <v>12.9</v>
      </c>
      <c r="I1042" s="134"/>
      <c r="J1042" s="137">
        <v>10.4</v>
      </c>
      <c r="K1042" s="134"/>
      <c r="L1042" s="136">
        <v>45</v>
      </c>
      <c r="M1042" s="181"/>
      <c r="N1042" s="159"/>
      <c r="O1042" s="159"/>
      <c r="P1042" s="136" t="s">
        <v>173</v>
      </c>
    </row>
    <row r="1043" spans="1:16" ht="16.5" customHeight="1" x14ac:dyDescent="0.25">
      <c r="A1043" s="156">
        <v>45040</v>
      </c>
      <c r="B1043" s="136" t="s">
        <v>9</v>
      </c>
      <c r="C1043" s="157" t="str">
        <f t="shared" si="32"/>
        <v>24.04.2023_STE2</v>
      </c>
      <c r="D1043" s="190">
        <f t="shared" si="33"/>
        <v>0</v>
      </c>
      <c r="E1043" s="133">
        <v>8.4499999999999993</v>
      </c>
      <c r="F1043" s="134"/>
      <c r="G1043" s="135">
        <v>296</v>
      </c>
      <c r="H1043" s="137">
        <v>12.8</v>
      </c>
      <c r="I1043" s="134"/>
      <c r="J1043" s="137">
        <v>12</v>
      </c>
      <c r="K1043" s="134"/>
      <c r="L1043" s="136">
        <v>50</v>
      </c>
      <c r="M1043" s="181"/>
      <c r="N1043" s="159"/>
      <c r="O1043" s="159"/>
      <c r="P1043" s="136" t="s">
        <v>174</v>
      </c>
    </row>
    <row r="1044" spans="1:16" ht="16.5" customHeight="1" x14ac:dyDescent="0.25">
      <c r="A1044" s="156">
        <v>45058</v>
      </c>
      <c r="B1044" s="136" t="s">
        <v>22</v>
      </c>
      <c r="C1044" s="157" t="str">
        <f t="shared" si="32"/>
        <v>12.05.2023_BIE1</v>
      </c>
      <c r="D1044" s="190">
        <f t="shared" si="33"/>
        <v>0</v>
      </c>
      <c r="E1044" s="185">
        <v>7.9</v>
      </c>
      <c r="F1044" s="161" t="s">
        <v>269</v>
      </c>
      <c r="G1044" s="135">
        <v>156.80000000000001</v>
      </c>
      <c r="H1044" s="137">
        <v>12.5</v>
      </c>
      <c r="I1044" s="161"/>
      <c r="J1044" s="137">
        <v>12.4</v>
      </c>
      <c r="K1044" s="161"/>
      <c r="L1044" s="136">
        <v>35</v>
      </c>
      <c r="M1044" s="181"/>
      <c r="N1044" s="159" t="s">
        <v>315</v>
      </c>
      <c r="O1044" s="159"/>
      <c r="P1044" s="136"/>
    </row>
    <row r="1045" spans="1:16" ht="16.5" customHeight="1" x14ac:dyDescent="0.25">
      <c r="A1045" s="156">
        <v>45058</v>
      </c>
      <c r="B1045" s="136" t="s">
        <v>25</v>
      </c>
      <c r="C1045" s="157" t="str">
        <f t="shared" si="32"/>
        <v>12.05.2023_BIE2</v>
      </c>
      <c r="D1045" s="190">
        <f t="shared" si="33"/>
        <v>0</v>
      </c>
      <c r="E1045" s="133">
        <v>7.88</v>
      </c>
      <c r="F1045" s="134"/>
      <c r="G1045" s="135">
        <v>168.4</v>
      </c>
      <c r="H1045" s="137">
        <v>11.1</v>
      </c>
      <c r="I1045" s="134"/>
      <c r="J1045" s="137">
        <v>12.2</v>
      </c>
      <c r="K1045" s="134"/>
      <c r="L1045" s="136">
        <v>55.000000000000007</v>
      </c>
      <c r="M1045" s="181"/>
      <c r="N1045" s="159"/>
      <c r="O1045" s="159"/>
      <c r="P1045" s="136"/>
    </row>
    <row r="1046" spans="1:16" ht="16.5" customHeight="1" x14ac:dyDescent="0.25">
      <c r="A1046" s="156">
        <v>45058</v>
      </c>
      <c r="B1046" s="136" t="s">
        <v>30</v>
      </c>
      <c r="C1046" s="157" t="str">
        <f t="shared" si="32"/>
        <v>12.05.2023_FAL1</v>
      </c>
      <c r="D1046" s="190">
        <f t="shared" si="33"/>
        <v>0</v>
      </c>
      <c r="E1046" s="185">
        <v>8.0299999999999994</v>
      </c>
      <c r="F1046" s="161" t="s">
        <v>269</v>
      </c>
      <c r="G1046" s="135">
        <v>650</v>
      </c>
      <c r="H1046" s="137">
        <v>11.4</v>
      </c>
      <c r="I1046" s="161"/>
      <c r="J1046" s="137">
        <v>12.8</v>
      </c>
      <c r="K1046" s="161"/>
      <c r="L1046" s="136">
        <v>55.000000000000007</v>
      </c>
      <c r="M1046" s="181"/>
      <c r="N1046" s="159" t="s">
        <v>316</v>
      </c>
      <c r="O1046" s="159"/>
      <c r="P1046" s="136"/>
    </row>
    <row r="1047" spans="1:16" ht="16.5" customHeight="1" x14ac:dyDescent="0.25">
      <c r="A1047" s="156">
        <v>45058</v>
      </c>
      <c r="B1047" s="136" t="s">
        <v>32</v>
      </c>
      <c r="C1047" s="157" t="str">
        <f t="shared" si="32"/>
        <v>12.05.2023_FAL2</v>
      </c>
      <c r="D1047" s="190">
        <f t="shared" si="33"/>
        <v>0</v>
      </c>
      <c r="E1047" s="133">
        <v>8.1999999999999993</v>
      </c>
      <c r="F1047" s="134"/>
      <c r="G1047" s="135">
        <v>704</v>
      </c>
      <c r="H1047" s="137">
        <v>11.6</v>
      </c>
      <c r="I1047" s="134"/>
      <c r="J1047" s="137">
        <v>13.3</v>
      </c>
      <c r="K1047" s="134"/>
      <c r="L1047" s="136">
        <v>45</v>
      </c>
      <c r="M1047" s="181"/>
      <c r="N1047" s="159"/>
      <c r="O1047" s="159"/>
      <c r="P1047" s="136"/>
    </row>
    <row r="1048" spans="1:16" ht="16.5" customHeight="1" x14ac:dyDescent="0.25">
      <c r="A1048" s="156">
        <v>45058</v>
      </c>
      <c r="B1048" s="136" t="s">
        <v>26</v>
      </c>
      <c r="C1048" s="157" t="str">
        <f t="shared" si="32"/>
        <v>12.05.2023_GRU1</v>
      </c>
      <c r="D1048" s="190">
        <f t="shared" si="33"/>
        <v>0</v>
      </c>
      <c r="E1048" s="133">
        <v>7.46</v>
      </c>
      <c r="F1048" s="134"/>
      <c r="G1048" s="135">
        <v>122.2</v>
      </c>
      <c r="H1048" s="137">
        <v>11.5</v>
      </c>
      <c r="I1048" s="134"/>
      <c r="J1048" s="137">
        <v>12.9</v>
      </c>
      <c r="K1048" s="134"/>
      <c r="L1048" s="136">
        <v>35</v>
      </c>
      <c r="M1048" s="181"/>
      <c r="N1048" s="159"/>
      <c r="O1048" s="159"/>
      <c r="P1048" s="136"/>
    </row>
    <row r="1049" spans="1:16" ht="16.5" customHeight="1" x14ac:dyDescent="0.25">
      <c r="A1049" s="156">
        <v>45058</v>
      </c>
      <c r="B1049" s="136" t="s">
        <v>28</v>
      </c>
      <c r="C1049" s="157" t="str">
        <f t="shared" si="32"/>
        <v>12.05.2023_GRU2</v>
      </c>
      <c r="D1049" s="190">
        <f t="shared" si="33"/>
        <v>0</v>
      </c>
      <c r="E1049" s="183">
        <v>7.37</v>
      </c>
      <c r="F1049" s="161" t="s">
        <v>269</v>
      </c>
      <c r="G1049" s="135">
        <v>142.6</v>
      </c>
      <c r="H1049" s="137">
        <v>11.8</v>
      </c>
      <c r="I1049" s="161"/>
      <c r="J1049" s="137">
        <v>12.4</v>
      </c>
      <c r="K1049" s="161"/>
      <c r="L1049" s="136">
        <v>50</v>
      </c>
      <c r="M1049" s="181"/>
      <c r="N1049" s="159" t="s">
        <v>317</v>
      </c>
      <c r="O1049" s="159"/>
      <c r="P1049" s="136"/>
    </row>
    <row r="1050" spans="1:16" ht="16.5" customHeight="1" x14ac:dyDescent="0.25">
      <c r="A1050" s="156">
        <v>45058</v>
      </c>
      <c r="B1050" s="136" t="s">
        <v>34</v>
      </c>
      <c r="C1050" s="157" t="str">
        <f t="shared" si="32"/>
        <v>12.05.2023_KRE1</v>
      </c>
      <c r="D1050" s="190">
        <f t="shared" si="33"/>
        <v>0</v>
      </c>
      <c r="E1050" s="183">
        <v>8.01</v>
      </c>
      <c r="F1050" s="161" t="s">
        <v>269</v>
      </c>
      <c r="G1050" s="135">
        <v>683</v>
      </c>
      <c r="H1050" s="137">
        <v>10.6</v>
      </c>
      <c r="I1050" s="161"/>
      <c r="J1050" s="137">
        <v>13.4</v>
      </c>
      <c r="K1050" s="161"/>
      <c r="L1050" s="136">
        <v>55.000000000000007</v>
      </c>
      <c r="M1050" s="181"/>
      <c r="N1050" s="159" t="s">
        <v>318</v>
      </c>
      <c r="O1050" s="159"/>
      <c r="P1050" s="136"/>
    </row>
    <row r="1051" spans="1:16" ht="16.5" customHeight="1" x14ac:dyDescent="0.25">
      <c r="A1051" s="156">
        <v>45058</v>
      </c>
      <c r="B1051" s="136" t="s">
        <v>37</v>
      </c>
      <c r="C1051" s="157" t="str">
        <f t="shared" si="32"/>
        <v>12.05.2023_KRE2</v>
      </c>
      <c r="D1051" s="190">
        <f t="shared" si="33"/>
        <v>0</v>
      </c>
      <c r="E1051" s="133">
        <v>7.95</v>
      </c>
      <c r="F1051" s="134"/>
      <c r="G1051" s="135">
        <v>688</v>
      </c>
      <c r="H1051" s="137">
        <v>8.9</v>
      </c>
      <c r="I1051" s="134"/>
      <c r="J1051" s="137">
        <v>13.5</v>
      </c>
      <c r="K1051" s="134"/>
      <c r="L1051" s="136">
        <v>50</v>
      </c>
      <c r="M1051" s="181"/>
      <c r="N1051" s="159"/>
      <c r="O1051" s="159"/>
      <c r="P1051" s="136"/>
    </row>
    <row r="1052" spans="1:16" ht="16.5" customHeight="1" x14ac:dyDescent="0.25">
      <c r="A1052" s="156">
        <v>45058</v>
      </c>
      <c r="B1052" s="136" t="s">
        <v>14</v>
      </c>
      <c r="C1052" s="157" t="str">
        <f t="shared" si="32"/>
        <v>12.05.2023_BRA1</v>
      </c>
      <c r="D1052" s="190">
        <f t="shared" si="33"/>
        <v>0</v>
      </c>
      <c r="E1052" s="133">
        <v>7.61</v>
      </c>
      <c r="F1052" s="134"/>
      <c r="G1052" s="135">
        <v>158.69999999999999</v>
      </c>
      <c r="H1052" s="137">
        <v>10.7</v>
      </c>
      <c r="I1052" s="134"/>
      <c r="J1052" s="137">
        <v>13.8</v>
      </c>
      <c r="K1052" s="134"/>
      <c r="L1052" s="136">
        <v>25</v>
      </c>
      <c r="M1052" s="181"/>
      <c r="N1052" s="159"/>
      <c r="O1052" s="159"/>
      <c r="P1052" s="136" t="s">
        <v>173</v>
      </c>
    </row>
    <row r="1053" spans="1:16" ht="16.5" customHeight="1" x14ac:dyDescent="0.25">
      <c r="A1053" s="156">
        <v>45058</v>
      </c>
      <c r="B1053" s="136" t="s">
        <v>17</v>
      </c>
      <c r="C1053" s="157" t="str">
        <f t="shared" si="32"/>
        <v>12.05.2023_BRA2</v>
      </c>
      <c r="D1053" s="190">
        <f t="shared" si="33"/>
        <v>0</v>
      </c>
      <c r="E1053" s="133">
        <v>7.96</v>
      </c>
      <c r="F1053" s="134"/>
      <c r="G1053" s="135">
        <v>179</v>
      </c>
      <c r="H1053" s="137">
        <v>10.199999999999999</v>
      </c>
      <c r="I1053" s="134"/>
      <c r="J1053" s="137">
        <v>14.4</v>
      </c>
      <c r="K1053" s="134"/>
      <c r="L1053" s="136">
        <v>45</v>
      </c>
      <c r="M1053" s="181"/>
      <c r="N1053" s="159"/>
      <c r="O1053" s="159"/>
      <c r="P1053" s="136" t="s">
        <v>173</v>
      </c>
    </row>
    <row r="1054" spans="1:16" ht="16.5" customHeight="1" x14ac:dyDescent="0.25">
      <c r="A1054" s="156">
        <v>45058</v>
      </c>
      <c r="B1054" s="136" t="s">
        <v>0</v>
      </c>
      <c r="C1054" s="157" t="str">
        <f t="shared" si="32"/>
        <v>12.05.2023_KIN1</v>
      </c>
      <c r="D1054" s="190">
        <f t="shared" si="33"/>
        <v>0</v>
      </c>
      <c r="E1054" s="133">
        <v>8.34</v>
      </c>
      <c r="F1054" s="134"/>
      <c r="G1054" s="135">
        <v>398</v>
      </c>
      <c r="H1054" s="137">
        <v>10.8</v>
      </c>
      <c r="I1054" s="134"/>
      <c r="J1054" s="137">
        <v>11.8</v>
      </c>
      <c r="K1054" s="134"/>
      <c r="L1054" s="136">
        <v>35</v>
      </c>
      <c r="M1054" s="181"/>
      <c r="N1054" s="159"/>
      <c r="O1054" s="159"/>
      <c r="P1054" s="136" t="s">
        <v>215</v>
      </c>
    </row>
    <row r="1055" spans="1:16" ht="16.5" customHeight="1" x14ac:dyDescent="0.25">
      <c r="A1055" s="156">
        <v>45058</v>
      </c>
      <c r="B1055" s="136" t="s">
        <v>2</v>
      </c>
      <c r="C1055" s="157" t="str">
        <f t="shared" si="32"/>
        <v>12.05.2023_KIN2</v>
      </c>
      <c r="D1055" s="190">
        <f t="shared" si="33"/>
        <v>0</v>
      </c>
      <c r="E1055" s="133">
        <v>8.1999999999999993</v>
      </c>
      <c r="F1055" s="134"/>
      <c r="G1055" s="135">
        <v>484</v>
      </c>
      <c r="H1055" s="137">
        <v>10.5</v>
      </c>
      <c r="I1055" s="134"/>
      <c r="J1055" s="137">
        <v>12</v>
      </c>
      <c r="K1055" s="134"/>
      <c r="L1055" s="136">
        <v>40</v>
      </c>
      <c r="M1055" s="181"/>
      <c r="N1055" s="159"/>
      <c r="O1055" s="159"/>
      <c r="P1055" s="136" t="s">
        <v>173</v>
      </c>
    </row>
    <row r="1056" spans="1:16" ht="16.5" customHeight="1" x14ac:dyDescent="0.25">
      <c r="A1056" s="156">
        <v>45058</v>
      </c>
      <c r="B1056" s="136" t="s">
        <v>4</v>
      </c>
      <c r="C1056" s="157" t="str">
        <f t="shared" si="32"/>
        <v>12.05.2023_KIN3</v>
      </c>
      <c r="D1056" s="190">
        <f t="shared" si="33"/>
        <v>0</v>
      </c>
      <c r="E1056" s="133">
        <v>8.2799999999999994</v>
      </c>
      <c r="F1056" s="134"/>
      <c r="G1056" s="135">
        <v>472</v>
      </c>
      <c r="H1056" s="137">
        <v>10.5</v>
      </c>
      <c r="I1056" s="134"/>
      <c r="J1056" s="137">
        <v>12.4</v>
      </c>
      <c r="K1056" s="134"/>
      <c r="L1056" s="136">
        <v>80</v>
      </c>
      <c r="M1056" s="181"/>
      <c r="N1056" s="159"/>
      <c r="O1056" s="159"/>
      <c r="P1056" s="136" t="s">
        <v>174</v>
      </c>
    </row>
    <row r="1057" spans="1:16" ht="16.5" customHeight="1" x14ac:dyDescent="0.25">
      <c r="A1057" s="156">
        <v>45058</v>
      </c>
      <c r="B1057" s="136" t="s">
        <v>6</v>
      </c>
      <c r="C1057" s="157" t="str">
        <f t="shared" si="32"/>
        <v>12.05.2023_KIN4</v>
      </c>
      <c r="D1057" s="190">
        <f t="shared" si="33"/>
        <v>0</v>
      </c>
      <c r="E1057" s="133">
        <v>8.16</v>
      </c>
      <c r="F1057" s="134"/>
      <c r="G1057" s="135">
        <v>473</v>
      </c>
      <c r="H1057" s="137">
        <v>10.199999999999999</v>
      </c>
      <c r="I1057" s="134"/>
      <c r="J1057" s="137">
        <v>12.7</v>
      </c>
      <c r="K1057" s="134"/>
      <c r="L1057" s="136">
        <v>60</v>
      </c>
      <c r="M1057" s="181"/>
      <c r="N1057" s="159"/>
      <c r="O1057" s="159"/>
      <c r="P1057" s="136" t="s">
        <v>174</v>
      </c>
    </row>
    <row r="1058" spans="1:16" ht="16.5" customHeight="1" x14ac:dyDescent="0.25">
      <c r="A1058" s="156">
        <v>45058</v>
      </c>
      <c r="B1058" s="136" t="s">
        <v>18</v>
      </c>
      <c r="C1058" s="157" t="str">
        <f t="shared" si="32"/>
        <v>12.05.2023_ORB1</v>
      </c>
      <c r="D1058" s="190">
        <f t="shared" si="33"/>
        <v>0</v>
      </c>
      <c r="E1058" s="133">
        <v>7.37</v>
      </c>
      <c r="F1058" s="134"/>
      <c r="G1058" s="135">
        <v>123.1</v>
      </c>
      <c r="H1058" s="137">
        <v>10.7</v>
      </c>
      <c r="I1058" s="134"/>
      <c r="J1058" s="137">
        <v>13.2</v>
      </c>
      <c r="K1058" s="134"/>
      <c r="L1058" s="136">
        <v>25</v>
      </c>
      <c r="M1058" s="181"/>
      <c r="N1058" s="159"/>
      <c r="O1058" s="159"/>
      <c r="P1058" s="136" t="s">
        <v>174</v>
      </c>
    </row>
    <row r="1059" spans="1:16" ht="16.5" customHeight="1" x14ac:dyDescent="0.25">
      <c r="A1059" s="156">
        <v>45058</v>
      </c>
      <c r="B1059" s="136" t="s">
        <v>21</v>
      </c>
      <c r="C1059" s="157" t="str">
        <f t="shared" si="32"/>
        <v>12.05.2023_ORB2</v>
      </c>
      <c r="D1059" s="190">
        <f t="shared" si="33"/>
        <v>0</v>
      </c>
      <c r="E1059" s="133">
        <v>7.26</v>
      </c>
      <c r="F1059" s="134"/>
      <c r="G1059" s="135">
        <v>136.19999999999999</v>
      </c>
      <c r="H1059" s="137">
        <v>10.6</v>
      </c>
      <c r="I1059" s="134"/>
      <c r="J1059" s="137">
        <v>13.1</v>
      </c>
      <c r="K1059" s="134"/>
      <c r="L1059" s="136">
        <v>30</v>
      </c>
      <c r="M1059" s="181"/>
      <c r="N1059" s="159"/>
      <c r="O1059" s="159"/>
      <c r="P1059" s="136" t="s">
        <v>173</v>
      </c>
    </row>
    <row r="1060" spans="1:16" ht="16.5" customHeight="1" x14ac:dyDescent="0.25">
      <c r="A1060" s="156">
        <v>45058</v>
      </c>
      <c r="B1060" s="136" t="s">
        <v>10</v>
      </c>
      <c r="C1060" s="157" t="str">
        <f t="shared" si="32"/>
        <v>12.05.2023_SAL1</v>
      </c>
      <c r="D1060" s="190">
        <f t="shared" si="33"/>
        <v>0</v>
      </c>
      <c r="E1060" s="133">
        <v>7.95</v>
      </c>
      <c r="F1060" s="134"/>
      <c r="G1060" s="135">
        <v>169.5</v>
      </c>
      <c r="H1060" s="137">
        <v>10.6</v>
      </c>
      <c r="I1060" s="134"/>
      <c r="J1060" s="137">
        <v>13.4</v>
      </c>
      <c r="K1060" s="134"/>
      <c r="L1060" s="136">
        <v>40</v>
      </c>
      <c r="M1060" s="181"/>
      <c r="N1060" s="159"/>
      <c r="O1060" s="159"/>
      <c r="P1060" s="136" t="s">
        <v>174</v>
      </c>
    </row>
    <row r="1061" spans="1:16" ht="16.5" customHeight="1" x14ac:dyDescent="0.25">
      <c r="A1061" s="156">
        <v>45058</v>
      </c>
      <c r="B1061" s="136" t="s">
        <v>12</v>
      </c>
      <c r="C1061" s="157" t="str">
        <f t="shared" si="32"/>
        <v>12.05.2023_SAL2</v>
      </c>
      <c r="D1061" s="190">
        <f t="shared" si="33"/>
        <v>0</v>
      </c>
      <c r="E1061" s="133">
        <v>8.09</v>
      </c>
      <c r="F1061" s="134"/>
      <c r="G1061" s="135">
        <v>182.5</v>
      </c>
      <c r="H1061" s="137">
        <v>10.8</v>
      </c>
      <c r="I1061" s="134"/>
      <c r="J1061" s="137">
        <v>13.4</v>
      </c>
      <c r="K1061" s="134"/>
      <c r="L1061" s="136">
        <v>45</v>
      </c>
      <c r="M1061" s="181"/>
      <c r="N1061" s="159"/>
      <c r="O1061" s="159"/>
      <c r="P1061" s="136" t="s">
        <v>174</v>
      </c>
    </row>
    <row r="1062" spans="1:16" ht="16.5" customHeight="1" x14ac:dyDescent="0.25">
      <c r="A1062" s="156">
        <v>45058</v>
      </c>
      <c r="B1062" s="136" t="s">
        <v>7</v>
      </c>
      <c r="C1062" s="157" t="str">
        <f t="shared" si="32"/>
        <v>12.05.2023_STE1</v>
      </c>
      <c r="D1062" s="190">
        <f t="shared" si="33"/>
        <v>0</v>
      </c>
      <c r="E1062" s="133">
        <v>8.0399999999999991</v>
      </c>
      <c r="F1062" s="134"/>
      <c r="G1062" s="135">
        <v>321</v>
      </c>
      <c r="H1062" s="137">
        <v>10.199999999999999</v>
      </c>
      <c r="I1062" s="134"/>
      <c r="J1062" s="137">
        <v>12.7</v>
      </c>
      <c r="K1062" s="134"/>
      <c r="L1062" s="136">
        <v>50</v>
      </c>
      <c r="M1062" s="181"/>
      <c r="N1062" s="159"/>
      <c r="O1062" s="159"/>
      <c r="P1062" s="136" t="s">
        <v>173</v>
      </c>
    </row>
    <row r="1063" spans="1:16" ht="16.5" customHeight="1" x14ac:dyDescent="0.25">
      <c r="A1063" s="156">
        <v>45058</v>
      </c>
      <c r="B1063" s="136" t="s">
        <v>9</v>
      </c>
      <c r="C1063" s="157" t="str">
        <f t="shared" si="32"/>
        <v>12.05.2023_STE2</v>
      </c>
      <c r="D1063" s="190">
        <f t="shared" si="33"/>
        <v>0</v>
      </c>
      <c r="E1063" s="133">
        <v>8.27</v>
      </c>
      <c r="F1063" s="134"/>
      <c r="G1063" s="135">
        <v>327</v>
      </c>
      <c r="H1063" s="137">
        <v>10.4</v>
      </c>
      <c r="I1063" s="134"/>
      <c r="J1063" s="137">
        <v>14.1</v>
      </c>
      <c r="K1063" s="134"/>
      <c r="L1063" s="136">
        <v>50</v>
      </c>
      <c r="M1063" s="181"/>
      <c r="N1063" s="159"/>
      <c r="O1063" s="159"/>
      <c r="P1063" s="136" t="s">
        <v>174</v>
      </c>
    </row>
    <row r="1064" spans="1:16" ht="16.5" customHeight="1" x14ac:dyDescent="0.25">
      <c r="A1064" s="156">
        <v>45071</v>
      </c>
      <c r="B1064" s="136" t="s">
        <v>22</v>
      </c>
      <c r="C1064" s="157" t="str">
        <f t="shared" si="32"/>
        <v>25.05.2023_BIE1</v>
      </c>
      <c r="D1064" s="190">
        <f t="shared" si="33"/>
        <v>0</v>
      </c>
      <c r="E1064" s="185">
        <v>7.9</v>
      </c>
      <c r="F1064" s="161" t="s">
        <v>269</v>
      </c>
      <c r="G1064" s="135">
        <v>161.30000000000001</v>
      </c>
      <c r="H1064" s="137">
        <v>11.6</v>
      </c>
      <c r="I1064" s="161"/>
      <c r="J1064" s="137">
        <v>13.3</v>
      </c>
      <c r="K1064" s="161"/>
      <c r="L1064" s="136">
        <v>30</v>
      </c>
      <c r="M1064" s="181"/>
      <c r="N1064" s="159" t="s">
        <v>319</v>
      </c>
      <c r="O1064" s="159"/>
      <c r="P1064" s="136"/>
    </row>
    <row r="1065" spans="1:16" ht="16.5" customHeight="1" x14ac:dyDescent="0.25">
      <c r="A1065" s="156">
        <v>45071</v>
      </c>
      <c r="B1065" s="136" t="s">
        <v>25</v>
      </c>
      <c r="C1065" s="157" t="str">
        <f t="shared" si="32"/>
        <v>25.05.2023_BIE2</v>
      </c>
      <c r="D1065" s="190">
        <f t="shared" si="33"/>
        <v>0</v>
      </c>
      <c r="E1065" s="185">
        <v>7.8</v>
      </c>
      <c r="F1065" s="161" t="s">
        <v>269</v>
      </c>
      <c r="G1065" s="135">
        <v>166.6</v>
      </c>
      <c r="H1065" s="137">
        <v>11.3</v>
      </c>
      <c r="I1065" s="161"/>
      <c r="J1065" s="137">
        <v>13.3</v>
      </c>
      <c r="K1065" s="161"/>
      <c r="L1065" s="136">
        <v>50</v>
      </c>
      <c r="M1065" s="181"/>
      <c r="N1065" s="159" t="s">
        <v>320</v>
      </c>
      <c r="O1065" s="159"/>
      <c r="P1065" s="136"/>
    </row>
    <row r="1066" spans="1:16" ht="16.5" customHeight="1" x14ac:dyDescent="0.25">
      <c r="A1066" s="156">
        <v>45071</v>
      </c>
      <c r="B1066" s="136" t="s">
        <v>30</v>
      </c>
      <c r="C1066" s="157" t="str">
        <f t="shared" si="32"/>
        <v>25.05.2023_FAL1</v>
      </c>
      <c r="D1066" s="190">
        <f t="shared" si="33"/>
        <v>0</v>
      </c>
      <c r="E1066" s="185">
        <v>8.07</v>
      </c>
      <c r="F1066" s="161" t="s">
        <v>269</v>
      </c>
      <c r="G1066" s="135">
        <v>775</v>
      </c>
      <c r="H1066" s="137">
        <v>10.199999999999999</v>
      </c>
      <c r="I1066" s="161"/>
      <c r="J1066" s="137">
        <v>15.3</v>
      </c>
      <c r="K1066" s="161"/>
      <c r="L1066" s="136">
        <v>40</v>
      </c>
      <c r="M1066" s="181"/>
      <c r="N1066" s="159" t="s">
        <v>321</v>
      </c>
      <c r="O1066" s="159"/>
      <c r="P1066" s="136"/>
    </row>
    <row r="1067" spans="1:16" ht="16.5" customHeight="1" x14ac:dyDescent="0.25">
      <c r="A1067" s="156">
        <v>45071</v>
      </c>
      <c r="B1067" s="136" t="s">
        <v>32</v>
      </c>
      <c r="C1067" s="157" t="str">
        <f t="shared" si="32"/>
        <v>25.05.2023_FAL2</v>
      </c>
      <c r="D1067" s="190">
        <f t="shared" si="33"/>
        <v>0</v>
      </c>
      <c r="E1067" s="133">
        <v>8.3000000000000007</v>
      </c>
      <c r="F1067" s="134"/>
      <c r="G1067" s="135">
        <v>820</v>
      </c>
      <c r="H1067" s="137">
        <v>11.4</v>
      </c>
      <c r="I1067" s="134"/>
      <c r="J1067" s="137">
        <v>15.8</v>
      </c>
      <c r="K1067" s="134"/>
      <c r="L1067" s="136">
        <v>50</v>
      </c>
      <c r="M1067" s="181"/>
      <c r="N1067" s="159"/>
      <c r="O1067" s="159"/>
      <c r="P1067" s="136"/>
    </row>
    <row r="1068" spans="1:16" ht="16.5" customHeight="1" x14ac:dyDescent="0.25">
      <c r="A1068" s="156">
        <v>45071</v>
      </c>
      <c r="B1068" s="136" t="s">
        <v>26</v>
      </c>
      <c r="C1068" s="157" t="str">
        <f t="shared" si="32"/>
        <v>25.05.2023_GRU1</v>
      </c>
      <c r="D1068" s="190">
        <f t="shared" si="33"/>
        <v>0</v>
      </c>
      <c r="E1068" s="185">
        <v>7.3</v>
      </c>
      <c r="F1068" s="161" t="s">
        <v>269</v>
      </c>
      <c r="G1068" s="135">
        <v>138.30000000000001</v>
      </c>
      <c r="H1068" s="137">
        <v>11</v>
      </c>
      <c r="I1068" s="161"/>
      <c r="J1068" s="137">
        <v>14.6</v>
      </c>
      <c r="K1068" s="161"/>
      <c r="L1068" s="136">
        <v>30</v>
      </c>
      <c r="M1068" s="181"/>
      <c r="N1068" s="159" t="s">
        <v>322</v>
      </c>
      <c r="O1068" s="159"/>
      <c r="P1068" s="136"/>
    </row>
    <row r="1069" spans="1:16" ht="16.5" customHeight="1" x14ac:dyDescent="0.25">
      <c r="A1069" s="156">
        <v>45071</v>
      </c>
      <c r="B1069" s="136" t="s">
        <v>28</v>
      </c>
      <c r="C1069" s="157" t="str">
        <f t="shared" si="32"/>
        <v>25.05.2023_GRU2</v>
      </c>
      <c r="D1069" s="190">
        <f t="shared" si="33"/>
        <v>0</v>
      </c>
      <c r="E1069" s="133">
        <v>7.35</v>
      </c>
      <c r="F1069" s="134"/>
      <c r="G1069" s="135">
        <v>169.2</v>
      </c>
      <c r="H1069" s="137">
        <v>10.199999999999999</v>
      </c>
      <c r="I1069" s="134"/>
      <c r="J1069" s="137">
        <v>15.2</v>
      </c>
      <c r="K1069" s="134"/>
      <c r="L1069" s="136">
        <v>45</v>
      </c>
      <c r="M1069" s="181"/>
      <c r="N1069" s="159"/>
      <c r="O1069" s="159" t="s">
        <v>392</v>
      </c>
      <c r="P1069" s="136"/>
    </row>
    <row r="1070" spans="1:16" ht="16.5" customHeight="1" x14ac:dyDescent="0.25">
      <c r="A1070" s="156">
        <v>45071</v>
      </c>
      <c r="B1070" s="136" t="s">
        <v>34</v>
      </c>
      <c r="C1070" s="157" t="str">
        <f t="shared" si="32"/>
        <v>25.05.2023_KRE1</v>
      </c>
      <c r="D1070" s="190">
        <f t="shared" si="33"/>
        <v>0</v>
      </c>
      <c r="E1070" s="185">
        <v>8.0299999999999994</v>
      </c>
      <c r="F1070" s="161" t="s">
        <v>269</v>
      </c>
      <c r="G1070" s="135">
        <v>882</v>
      </c>
      <c r="H1070" s="137">
        <v>8.6999999999999993</v>
      </c>
      <c r="I1070" s="161"/>
      <c r="J1070" s="137">
        <v>17.600000000000001</v>
      </c>
      <c r="K1070" s="161"/>
      <c r="L1070" s="136">
        <v>40</v>
      </c>
      <c r="M1070" s="181"/>
      <c r="N1070" s="159" t="s">
        <v>323</v>
      </c>
      <c r="O1070" s="159"/>
      <c r="P1070" s="136"/>
    </row>
    <row r="1071" spans="1:16" ht="16.5" customHeight="1" x14ac:dyDescent="0.25">
      <c r="A1071" s="156">
        <v>45071</v>
      </c>
      <c r="B1071" s="136" t="s">
        <v>37</v>
      </c>
      <c r="C1071" s="157" t="str">
        <f t="shared" si="32"/>
        <v>25.05.2023_KRE2</v>
      </c>
      <c r="D1071" s="190">
        <f t="shared" si="33"/>
        <v>0</v>
      </c>
      <c r="E1071" s="185">
        <v>8.0399999999999991</v>
      </c>
      <c r="F1071" s="161" t="s">
        <v>269</v>
      </c>
      <c r="G1071" s="135">
        <v>881</v>
      </c>
      <c r="H1071" s="137">
        <v>8.1999999999999993</v>
      </c>
      <c r="I1071" s="161"/>
      <c r="J1071" s="137">
        <v>16.7</v>
      </c>
      <c r="K1071" s="161"/>
      <c r="L1071" s="136">
        <v>55.000000000000007</v>
      </c>
      <c r="M1071" s="181"/>
      <c r="N1071" s="159" t="s">
        <v>324</v>
      </c>
      <c r="O1071" s="159"/>
      <c r="P1071" s="136"/>
    </row>
    <row r="1072" spans="1:16" ht="16.5" customHeight="1" x14ac:dyDescent="0.25">
      <c r="A1072" s="156">
        <v>45071</v>
      </c>
      <c r="B1072" s="136" t="s">
        <v>14</v>
      </c>
      <c r="C1072" s="157" t="str">
        <f t="shared" si="32"/>
        <v>25.05.2023_BRA1</v>
      </c>
      <c r="D1072" s="190">
        <f t="shared" si="33"/>
        <v>0</v>
      </c>
      <c r="E1072" s="133">
        <v>7.97</v>
      </c>
      <c r="F1072" s="134"/>
      <c r="G1072" s="135">
        <v>183.1</v>
      </c>
      <c r="H1072" s="137">
        <v>9.8000000000000007</v>
      </c>
      <c r="I1072" s="134"/>
      <c r="J1072" s="137">
        <v>16.100000000000001</v>
      </c>
      <c r="K1072" s="134"/>
      <c r="L1072" s="136">
        <v>15</v>
      </c>
      <c r="M1072" s="181"/>
      <c r="N1072" s="159"/>
      <c r="O1072" s="159"/>
      <c r="P1072" s="136" t="s">
        <v>174</v>
      </c>
    </row>
    <row r="1073" spans="1:16" ht="16.5" customHeight="1" x14ac:dyDescent="0.25">
      <c r="A1073" s="156">
        <v>45071</v>
      </c>
      <c r="B1073" s="136" t="s">
        <v>17</v>
      </c>
      <c r="C1073" s="157" t="str">
        <f t="shared" si="32"/>
        <v>25.05.2023_BRA2</v>
      </c>
      <c r="D1073" s="190">
        <f t="shared" si="33"/>
        <v>0</v>
      </c>
      <c r="E1073" s="133">
        <v>8.11</v>
      </c>
      <c r="F1073" s="134"/>
      <c r="G1073" s="135">
        <v>180</v>
      </c>
      <c r="H1073" s="137">
        <v>10.199999999999999</v>
      </c>
      <c r="I1073" s="134"/>
      <c r="J1073" s="137">
        <v>14.4</v>
      </c>
      <c r="K1073" s="134"/>
      <c r="L1073" s="136">
        <v>35</v>
      </c>
      <c r="M1073" s="181"/>
      <c r="N1073" s="159"/>
      <c r="O1073" s="159"/>
      <c r="P1073" s="136" t="s">
        <v>173</v>
      </c>
    </row>
    <row r="1074" spans="1:16" ht="16.5" customHeight="1" x14ac:dyDescent="0.25">
      <c r="A1074" s="156">
        <v>45071</v>
      </c>
      <c r="B1074" s="136" t="s">
        <v>0</v>
      </c>
      <c r="C1074" s="157" t="str">
        <f t="shared" si="32"/>
        <v>25.05.2023_KIN1</v>
      </c>
      <c r="D1074" s="190">
        <f t="shared" si="33"/>
        <v>0</v>
      </c>
      <c r="E1074" s="133">
        <v>8.2799999999999994</v>
      </c>
      <c r="F1074" s="134"/>
      <c r="G1074" s="135">
        <v>396</v>
      </c>
      <c r="H1074" s="137">
        <v>11.2</v>
      </c>
      <c r="I1074" s="134"/>
      <c r="J1074" s="137">
        <v>10.6</v>
      </c>
      <c r="K1074" s="134"/>
      <c r="L1074" s="136">
        <v>45</v>
      </c>
      <c r="M1074" s="181"/>
      <c r="N1074" s="159"/>
      <c r="O1074" s="159"/>
      <c r="P1074" s="136" t="s">
        <v>215</v>
      </c>
    </row>
    <row r="1075" spans="1:16" ht="16.5" customHeight="1" x14ac:dyDescent="0.25">
      <c r="A1075" s="156">
        <v>45071</v>
      </c>
      <c r="B1075" s="136" t="s">
        <v>2</v>
      </c>
      <c r="C1075" s="157" t="str">
        <f t="shared" si="32"/>
        <v>25.05.2023_KIN2</v>
      </c>
      <c r="D1075" s="190">
        <f t="shared" si="33"/>
        <v>0</v>
      </c>
      <c r="E1075" s="133">
        <v>8.17</v>
      </c>
      <c r="F1075" s="134"/>
      <c r="G1075" s="135">
        <v>498</v>
      </c>
      <c r="H1075" s="137">
        <v>11.3</v>
      </c>
      <c r="I1075" s="134"/>
      <c r="J1075" s="137">
        <v>11.3</v>
      </c>
      <c r="K1075" s="134"/>
      <c r="L1075" s="136">
        <v>40</v>
      </c>
      <c r="M1075" s="181"/>
      <c r="N1075" s="159"/>
      <c r="O1075" s="159"/>
      <c r="P1075" s="136" t="s">
        <v>173</v>
      </c>
    </row>
    <row r="1076" spans="1:16" ht="16.5" customHeight="1" x14ac:dyDescent="0.25">
      <c r="A1076" s="156">
        <v>45071</v>
      </c>
      <c r="B1076" s="136" t="s">
        <v>4</v>
      </c>
      <c r="C1076" s="157" t="str">
        <f t="shared" si="32"/>
        <v>25.05.2023_KIN3</v>
      </c>
      <c r="D1076" s="190">
        <f t="shared" si="33"/>
        <v>0</v>
      </c>
      <c r="E1076" s="133">
        <v>8.2799999999999994</v>
      </c>
      <c r="F1076" s="134"/>
      <c r="G1076" s="135">
        <v>417</v>
      </c>
      <c r="H1076" s="137">
        <v>11.6</v>
      </c>
      <c r="I1076" s="134"/>
      <c r="J1076" s="137">
        <v>11.3</v>
      </c>
      <c r="K1076" s="134"/>
      <c r="L1076" s="136">
        <v>70</v>
      </c>
      <c r="M1076" s="181"/>
      <c r="N1076" s="159"/>
      <c r="O1076" s="159"/>
      <c r="P1076" s="136" t="s">
        <v>174</v>
      </c>
    </row>
    <row r="1077" spans="1:16" ht="16.5" customHeight="1" x14ac:dyDescent="0.25">
      <c r="A1077" s="156">
        <v>45071</v>
      </c>
      <c r="B1077" s="136" t="s">
        <v>6</v>
      </c>
      <c r="C1077" s="157" t="str">
        <f t="shared" si="32"/>
        <v>25.05.2023_KIN4</v>
      </c>
      <c r="D1077" s="190">
        <f t="shared" si="33"/>
        <v>0</v>
      </c>
      <c r="E1077" s="133">
        <v>8.17</v>
      </c>
      <c r="F1077" s="134"/>
      <c r="G1077" s="135">
        <v>445</v>
      </c>
      <c r="H1077" s="137">
        <v>11.3</v>
      </c>
      <c r="I1077" s="134"/>
      <c r="J1077" s="137">
        <v>11.5</v>
      </c>
      <c r="K1077" s="134"/>
      <c r="L1077" s="136">
        <v>50</v>
      </c>
      <c r="M1077" s="181"/>
      <c r="N1077" s="159"/>
      <c r="O1077" s="159"/>
      <c r="P1077" s="136" t="s">
        <v>174</v>
      </c>
    </row>
    <row r="1078" spans="1:16" ht="16.5" customHeight="1" x14ac:dyDescent="0.25">
      <c r="A1078" s="156">
        <v>45071</v>
      </c>
      <c r="B1078" s="136" t="s">
        <v>18</v>
      </c>
      <c r="C1078" s="157" t="str">
        <f t="shared" si="32"/>
        <v>25.05.2023_ORB1</v>
      </c>
      <c r="D1078" s="190">
        <f t="shared" si="33"/>
        <v>0</v>
      </c>
      <c r="E1078" s="133">
        <v>7.56</v>
      </c>
      <c r="F1078" s="134"/>
      <c r="G1078" s="135">
        <v>108.2</v>
      </c>
      <c r="H1078" s="137">
        <v>11</v>
      </c>
      <c r="I1078" s="134"/>
      <c r="J1078" s="137">
        <v>13.8</v>
      </c>
      <c r="K1078" s="134"/>
      <c r="L1078" s="136">
        <v>25</v>
      </c>
      <c r="M1078" s="181"/>
      <c r="N1078" s="159"/>
      <c r="O1078" s="159"/>
      <c r="P1078" s="136" t="s">
        <v>174</v>
      </c>
    </row>
    <row r="1079" spans="1:16" ht="16.5" customHeight="1" x14ac:dyDescent="0.25">
      <c r="A1079" s="156">
        <v>45071</v>
      </c>
      <c r="B1079" s="136" t="s">
        <v>21</v>
      </c>
      <c r="C1079" s="157" t="str">
        <f t="shared" si="32"/>
        <v>25.05.2023_ORB2</v>
      </c>
      <c r="D1079" s="190">
        <f t="shared" si="33"/>
        <v>0</v>
      </c>
      <c r="E1079" s="133">
        <v>7.41</v>
      </c>
      <c r="F1079" s="134"/>
      <c r="G1079" s="135">
        <v>130.6</v>
      </c>
      <c r="H1079" s="137">
        <v>10.5</v>
      </c>
      <c r="I1079" s="134"/>
      <c r="J1079" s="137">
        <v>13.9</v>
      </c>
      <c r="K1079" s="134"/>
      <c r="L1079" s="136">
        <v>30</v>
      </c>
      <c r="M1079" s="181"/>
      <c r="N1079" s="159"/>
      <c r="O1079" s="159"/>
      <c r="P1079" s="136" t="s">
        <v>173</v>
      </c>
    </row>
    <row r="1080" spans="1:16" ht="16.5" customHeight="1" x14ac:dyDescent="0.25">
      <c r="A1080" s="156">
        <v>45071</v>
      </c>
      <c r="B1080" s="136" t="s">
        <v>10</v>
      </c>
      <c r="C1080" s="157" t="str">
        <f t="shared" si="32"/>
        <v>25.05.2023_SAL1</v>
      </c>
      <c r="D1080" s="190">
        <f t="shared" si="33"/>
        <v>0</v>
      </c>
      <c r="E1080" s="133">
        <v>8.0399999999999991</v>
      </c>
      <c r="F1080" s="134"/>
      <c r="G1080" s="135">
        <v>178</v>
      </c>
      <c r="H1080" s="137">
        <v>11.9</v>
      </c>
      <c r="I1080" s="134"/>
      <c r="J1080" s="137">
        <v>13</v>
      </c>
      <c r="K1080" s="134"/>
      <c r="L1080" s="136">
        <v>35</v>
      </c>
      <c r="M1080" s="181"/>
      <c r="N1080" s="159"/>
      <c r="O1080" s="159"/>
      <c r="P1080" s="136" t="s">
        <v>174</v>
      </c>
    </row>
    <row r="1081" spans="1:16" ht="16.5" customHeight="1" x14ac:dyDescent="0.25">
      <c r="A1081" s="156">
        <v>45071</v>
      </c>
      <c r="B1081" s="136" t="s">
        <v>12</v>
      </c>
      <c r="C1081" s="157" t="str">
        <f t="shared" si="32"/>
        <v>25.05.2023_SAL2</v>
      </c>
      <c r="D1081" s="190">
        <f t="shared" si="33"/>
        <v>0</v>
      </c>
      <c r="E1081" s="133">
        <v>8.1</v>
      </c>
      <c r="F1081" s="134"/>
      <c r="G1081" s="135">
        <v>196</v>
      </c>
      <c r="H1081" s="137">
        <v>10.5</v>
      </c>
      <c r="I1081" s="134"/>
      <c r="J1081" s="137">
        <v>13.1</v>
      </c>
      <c r="K1081" s="134"/>
      <c r="L1081" s="136">
        <v>30</v>
      </c>
      <c r="M1081" s="181"/>
      <c r="N1081" s="159"/>
      <c r="O1081" s="159"/>
      <c r="P1081" s="136" t="s">
        <v>174</v>
      </c>
    </row>
    <row r="1082" spans="1:16" ht="16.5" customHeight="1" x14ac:dyDescent="0.25">
      <c r="A1082" s="156">
        <v>45071</v>
      </c>
      <c r="B1082" s="136" t="s">
        <v>7</v>
      </c>
      <c r="C1082" s="157" t="str">
        <f t="shared" si="32"/>
        <v>25.05.2023_STE1</v>
      </c>
      <c r="D1082" s="190">
        <f t="shared" si="33"/>
        <v>0</v>
      </c>
      <c r="E1082" s="133">
        <v>8.2100000000000009</v>
      </c>
      <c r="F1082" s="134"/>
      <c r="G1082" s="135">
        <v>313</v>
      </c>
      <c r="H1082" s="137">
        <v>11.6</v>
      </c>
      <c r="I1082" s="134"/>
      <c r="J1082" s="137">
        <v>11.4</v>
      </c>
      <c r="K1082" s="134"/>
      <c r="L1082" s="136">
        <v>45</v>
      </c>
      <c r="M1082" s="181"/>
      <c r="N1082" s="159"/>
      <c r="O1082" s="159"/>
      <c r="P1082" s="136" t="s">
        <v>173</v>
      </c>
    </row>
    <row r="1083" spans="1:16" ht="16.5" customHeight="1" x14ac:dyDescent="0.25">
      <c r="A1083" s="156">
        <v>45071</v>
      </c>
      <c r="B1083" s="136" t="s">
        <v>9</v>
      </c>
      <c r="C1083" s="157" t="str">
        <f t="shared" si="32"/>
        <v>25.05.2023_STE2</v>
      </c>
      <c r="D1083" s="190">
        <f t="shared" si="33"/>
        <v>0</v>
      </c>
      <c r="E1083" s="133">
        <v>8.3800000000000008</v>
      </c>
      <c r="F1083" s="134"/>
      <c r="G1083" s="135">
        <v>316</v>
      </c>
      <c r="H1083" s="137">
        <v>11</v>
      </c>
      <c r="I1083" s="134"/>
      <c r="J1083" s="137">
        <v>12.3</v>
      </c>
      <c r="K1083" s="134"/>
      <c r="L1083" s="136">
        <v>40</v>
      </c>
      <c r="M1083" s="181"/>
      <c r="N1083" s="159"/>
      <c r="O1083" s="159"/>
      <c r="P1083" s="136" t="s">
        <v>174</v>
      </c>
    </row>
    <row r="1084" spans="1:16" ht="16.5" customHeight="1" x14ac:dyDescent="0.25">
      <c r="A1084" s="156">
        <v>45083</v>
      </c>
      <c r="B1084" s="136" t="s">
        <v>22</v>
      </c>
      <c r="C1084" s="157" t="str">
        <f t="shared" si="32"/>
        <v>06.06.2023_BIE1</v>
      </c>
      <c r="D1084" s="190">
        <f t="shared" si="33"/>
        <v>0</v>
      </c>
      <c r="E1084" s="185">
        <v>7.9</v>
      </c>
      <c r="F1084" s="161" t="s">
        <v>269</v>
      </c>
      <c r="G1084" s="135">
        <v>207</v>
      </c>
      <c r="H1084" s="137">
        <v>9.6999999999999993</v>
      </c>
      <c r="I1084" s="161"/>
      <c r="J1084" s="137">
        <v>15.1</v>
      </c>
      <c r="K1084" s="161"/>
      <c r="L1084" s="136">
        <v>30</v>
      </c>
      <c r="M1084" s="181"/>
      <c r="N1084" s="159" t="s">
        <v>325</v>
      </c>
      <c r="O1084" s="159"/>
      <c r="P1084" s="136"/>
    </row>
    <row r="1085" spans="1:16" ht="16.5" customHeight="1" x14ac:dyDescent="0.25">
      <c r="A1085" s="156">
        <v>45083</v>
      </c>
      <c r="B1085" s="136" t="s">
        <v>25</v>
      </c>
      <c r="C1085" s="157" t="str">
        <f t="shared" si="32"/>
        <v>06.06.2023_BIE2</v>
      </c>
      <c r="D1085" s="190">
        <f t="shared" si="33"/>
        <v>0</v>
      </c>
      <c r="E1085" s="185">
        <v>7.9</v>
      </c>
      <c r="F1085" s="161" t="s">
        <v>269</v>
      </c>
      <c r="G1085" s="135">
        <v>215</v>
      </c>
      <c r="H1085" s="137">
        <v>9.6</v>
      </c>
      <c r="I1085" s="161"/>
      <c r="J1085" s="137">
        <v>14.9</v>
      </c>
      <c r="K1085" s="161"/>
      <c r="L1085" s="136">
        <v>40</v>
      </c>
      <c r="M1085" s="181"/>
      <c r="N1085" s="159" t="s">
        <v>325</v>
      </c>
      <c r="O1085" s="159"/>
      <c r="P1085" s="136"/>
    </row>
    <row r="1086" spans="1:16" ht="16.5" customHeight="1" x14ac:dyDescent="0.25">
      <c r="A1086" s="156">
        <v>45083</v>
      </c>
      <c r="B1086" s="136" t="s">
        <v>30</v>
      </c>
      <c r="C1086" s="157" t="str">
        <f t="shared" si="32"/>
        <v>06.06.2023_FAL1</v>
      </c>
      <c r="D1086" s="190">
        <f t="shared" si="33"/>
        <v>0</v>
      </c>
      <c r="E1086" s="185">
        <v>8.1</v>
      </c>
      <c r="F1086" s="161" t="s">
        <v>269</v>
      </c>
      <c r="G1086" s="135">
        <v>839</v>
      </c>
      <c r="H1086" s="137">
        <v>9.5</v>
      </c>
      <c r="I1086" s="161"/>
      <c r="J1086" s="137">
        <v>14.4</v>
      </c>
      <c r="K1086" s="161"/>
      <c r="L1086" s="136">
        <v>35</v>
      </c>
      <c r="M1086" s="181"/>
      <c r="N1086" s="159" t="s">
        <v>326</v>
      </c>
      <c r="O1086" s="159"/>
      <c r="P1086" s="136"/>
    </row>
    <row r="1087" spans="1:16" ht="16.5" customHeight="1" x14ac:dyDescent="0.25">
      <c r="A1087" s="156">
        <v>45083</v>
      </c>
      <c r="B1087" s="136" t="s">
        <v>32</v>
      </c>
      <c r="C1087" s="157" t="str">
        <f t="shared" si="32"/>
        <v>06.06.2023_FAL2</v>
      </c>
      <c r="D1087" s="190">
        <f t="shared" si="33"/>
        <v>0</v>
      </c>
      <c r="E1087" s="133">
        <v>8.3000000000000007</v>
      </c>
      <c r="F1087" s="134"/>
      <c r="G1087" s="135">
        <v>850</v>
      </c>
      <c r="H1087" s="137">
        <v>9.5</v>
      </c>
      <c r="I1087" s="134"/>
      <c r="J1087" s="137">
        <v>14.4</v>
      </c>
      <c r="K1087" s="134"/>
      <c r="L1087" s="136">
        <v>45</v>
      </c>
      <c r="M1087" s="181"/>
      <c r="N1087" s="159"/>
      <c r="O1087" s="159"/>
      <c r="P1087" s="136"/>
    </row>
    <row r="1088" spans="1:16" ht="16.5" customHeight="1" x14ac:dyDescent="0.25">
      <c r="A1088" s="156">
        <v>45083</v>
      </c>
      <c r="B1088" s="136" t="s">
        <v>26</v>
      </c>
      <c r="C1088" s="157" t="str">
        <f t="shared" si="32"/>
        <v>06.06.2023_GRU1</v>
      </c>
      <c r="D1088" s="190">
        <f t="shared" si="33"/>
        <v>0</v>
      </c>
      <c r="E1088" s="185">
        <v>7.4</v>
      </c>
      <c r="F1088" s="161" t="s">
        <v>269</v>
      </c>
      <c r="G1088" s="135">
        <v>155.1</v>
      </c>
      <c r="H1088" s="137">
        <v>9.3000000000000007</v>
      </c>
      <c r="I1088" s="161"/>
      <c r="J1088" s="137">
        <v>15.9</v>
      </c>
      <c r="K1088" s="161"/>
      <c r="L1088" s="136">
        <v>30</v>
      </c>
      <c r="M1088" s="181"/>
      <c r="N1088" s="159" t="s">
        <v>327</v>
      </c>
      <c r="O1088" s="159"/>
      <c r="P1088" s="136"/>
    </row>
    <row r="1089" spans="1:16" ht="16.5" customHeight="1" x14ac:dyDescent="0.25">
      <c r="A1089" s="156">
        <v>45083</v>
      </c>
      <c r="B1089" s="136" t="s">
        <v>28</v>
      </c>
      <c r="C1089" s="157" t="str">
        <f t="shared" si="32"/>
        <v>06.06.2023_GRU2</v>
      </c>
      <c r="D1089" s="190">
        <f t="shared" si="33"/>
        <v>0</v>
      </c>
      <c r="E1089" s="185">
        <v>7.25</v>
      </c>
      <c r="F1089" s="161" t="s">
        <v>269</v>
      </c>
      <c r="G1089" s="135">
        <v>184.1</v>
      </c>
      <c r="H1089" s="137">
        <v>8.9</v>
      </c>
      <c r="I1089" s="161"/>
      <c r="J1089" s="137">
        <v>15.9</v>
      </c>
      <c r="K1089" s="161"/>
      <c r="L1089" s="136">
        <v>40</v>
      </c>
      <c r="M1089" s="181"/>
      <c r="N1089" s="159" t="s">
        <v>328</v>
      </c>
      <c r="O1089" s="159"/>
      <c r="P1089" s="136"/>
    </row>
    <row r="1090" spans="1:16" ht="16.5" customHeight="1" x14ac:dyDescent="0.25">
      <c r="A1090" s="156">
        <v>45083</v>
      </c>
      <c r="B1090" s="136" t="s">
        <v>34</v>
      </c>
      <c r="C1090" s="157" t="str">
        <f t="shared" si="32"/>
        <v>06.06.2023_KRE1</v>
      </c>
      <c r="D1090" s="190">
        <f t="shared" si="33"/>
        <v>0</v>
      </c>
      <c r="E1090" s="133">
        <v>8.0299999999999994</v>
      </c>
      <c r="F1090" s="134"/>
      <c r="G1090" s="135">
        <v>948</v>
      </c>
      <c r="H1090" s="137">
        <v>7.6</v>
      </c>
      <c r="I1090" s="134"/>
      <c r="J1090" s="137">
        <v>15.7</v>
      </c>
      <c r="K1090" s="134"/>
      <c r="L1090" s="136">
        <v>35</v>
      </c>
      <c r="M1090" s="181"/>
      <c r="N1090" s="159"/>
      <c r="O1090" s="159"/>
      <c r="P1090" s="136"/>
    </row>
    <row r="1091" spans="1:16" ht="16.5" customHeight="1" x14ac:dyDescent="0.25">
      <c r="A1091" s="156">
        <v>45083</v>
      </c>
      <c r="B1091" s="136" t="s">
        <v>37</v>
      </c>
      <c r="C1091" s="157" t="str">
        <f t="shared" si="32"/>
        <v>06.06.2023_KRE2</v>
      </c>
      <c r="D1091" s="190">
        <f t="shared" si="33"/>
        <v>0</v>
      </c>
      <c r="E1091" s="185">
        <v>7.9</v>
      </c>
      <c r="F1091" s="161" t="s">
        <v>269</v>
      </c>
      <c r="G1091" s="135">
        <v>967</v>
      </c>
      <c r="H1091" s="137">
        <v>6.6</v>
      </c>
      <c r="I1091" s="161"/>
      <c r="J1091" s="137">
        <v>14.7</v>
      </c>
      <c r="K1091" s="161"/>
      <c r="L1091" s="136">
        <v>45</v>
      </c>
      <c r="M1091" s="181"/>
      <c r="N1091" s="159" t="s">
        <v>325</v>
      </c>
      <c r="O1091" s="159"/>
      <c r="P1091" s="136"/>
    </row>
    <row r="1092" spans="1:16" ht="16.5" customHeight="1" x14ac:dyDescent="0.25">
      <c r="A1092" s="156">
        <v>45083</v>
      </c>
      <c r="B1092" s="136" t="s">
        <v>14</v>
      </c>
      <c r="C1092" s="157" t="str">
        <f t="shared" si="32"/>
        <v>06.06.2023_BRA1</v>
      </c>
      <c r="D1092" s="190">
        <f t="shared" si="33"/>
        <v>0</v>
      </c>
      <c r="E1092" s="133">
        <v>7.93</v>
      </c>
      <c r="F1092" s="134"/>
      <c r="G1092" s="135">
        <v>198</v>
      </c>
      <c r="H1092" s="137">
        <v>9.1</v>
      </c>
      <c r="I1092" s="134"/>
      <c r="J1092" s="137">
        <v>18.5</v>
      </c>
      <c r="K1092" s="134"/>
      <c r="L1092" s="136">
        <v>20</v>
      </c>
      <c r="M1092" s="181"/>
      <c r="N1092" s="159"/>
      <c r="O1092" s="159"/>
      <c r="P1092" s="136" t="s">
        <v>174</v>
      </c>
    </row>
    <row r="1093" spans="1:16" ht="16.5" customHeight="1" x14ac:dyDescent="0.25">
      <c r="A1093" s="156">
        <v>45083</v>
      </c>
      <c r="B1093" s="136" t="s">
        <v>17</v>
      </c>
      <c r="C1093" s="157" t="str">
        <f t="shared" ref="C1093:C1156" si="34">CONCATENATE(TEXT(A1093,"TT.MM.JJJJ"),"_",B1093)</f>
        <v>06.06.2023_BRA2</v>
      </c>
      <c r="D1093" s="190">
        <f t="shared" ref="D1093:D1156" si="35">COUNTBLANK(E1093)+COUNTBLANK(G1093:H1093)+COUNTBLANK(J1093)+COUNTBLANK(L1093)</f>
        <v>0</v>
      </c>
      <c r="E1093" s="133">
        <v>8.0399999999999991</v>
      </c>
      <c r="F1093" s="134"/>
      <c r="G1093" s="135">
        <v>211</v>
      </c>
      <c r="H1093" s="137">
        <v>9.6</v>
      </c>
      <c r="I1093" s="134"/>
      <c r="J1093" s="137">
        <v>16.3</v>
      </c>
      <c r="K1093" s="134"/>
      <c r="L1093" s="136">
        <v>30</v>
      </c>
      <c r="M1093" s="181"/>
      <c r="N1093" s="159"/>
      <c r="O1093" s="159"/>
      <c r="P1093" s="136" t="s">
        <v>173</v>
      </c>
    </row>
    <row r="1094" spans="1:16" ht="16.5" customHeight="1" x14ac:dyDescent="0.25">
      <c r="A1094" s="156">
        <v>45083</v>
      </c>
      <c r="B1094" s="136" t="s">
        <v>0</v>
      </c>
      <c r="C1094" s="157" t="str">
        <f t="shared" si="34"/>
        <v>06.06.2023_KIN1</v>
      </c>
      <c r="D1094" s="190">
        <f t="shared" si="35"/>
        <v>0</v>
      </c>
      <c r="E1094" s="133">
        <v>8.32</v>
      </c>
      <c r="F1094" s="134"/>
      <c r="G1094" s="135">
        <v>453</v>
      </c>
      <c r="H1094" s="137">
        <v>10.199999999999999</v>
      </c>
      <c r="I1094" s="134"/>
      <c r="J1094" s="137">
        <v>13.6</v>
      </c>
      <c r="K1094" s="134"/>
      <c r="L1094" s="136">
        <v>45</v>
      </c>
      <c r="M1094" s="181"/>
      <c r="N1094" s="159"/>
      <c r="O1094" s="159"/>
      <c r="P1094" s="136" t="s">
        <v>215</v>
      </c>
    </row>
    <row r="1095" spans="1:16" ht="16.5" customHeight="1" x14ac:dyDescent="0.25">
      <c r="A1095" s="156">
        <v>45083</v>
      </c>
      <c r="B1095" s="136" t="s">
        <v>2</v>
      </c>
      <c r="C1095" s="157" t="str">
        <f t="shared" si="34"/>
        <v>06.06.2023_KIN2</v>
      </c>
      <c r="D1095" s="190">
        <f t="shared" si="35"/>
        <v>0</v>
      </c>
      <c r="E1095" s="133">
        <v>8.15</v>
      </c>
      <c r="F1095" s="134"/>
      <c r="G1095" s="135">
        <v>489</v>
      </c>
      <c r="H1095" s="137">
        <v>10.3</v>
      </c>
      <c r="I1095" s="134"/>
      <c r="J1095" s="137">
        <v>14.1</v>
      </c>
      <c r="K1095" s="134"/>
      <c r="L1095" s="136">
        <v>40</v>
      </c>
      <c r="M1095" s="181"/>
      <c r="N1095" s="159"/>
      <c r="O1095" s="159"/>
      <c r="P1095" s="136" t="s">
        <v>173</v>
      </c>
    </row>
    <row r="1096" spans="1:16" ht="16.5" customHeight="1" x14ac:dyDescent="0.25">
      <c r="A1096" s="156">
        <v>45083</v>
      </c>
      <c r="B1096" s="136" t="s">
        <v>4</v>
      </c>
      <c r="C1096" s="157" t="str">
        <f t="shared" si="34"/>
        <v>06.06.2023_KIN3</v>
      </c>
      <c r="D1096" s="190">
        <f t="shared" si="35"/>
        <v>0</v>
      </c>
      <c r="E1096" s="133">
        <v>8.23</v>
      </c>
      <c r="F1096" s="134"/>
      <c r="G1096" s="135">
        <v>498</v>
      </c>
      <c r="H1096" s="137">
        <v>10.6</v>
      </c>
      <c r="I1096" s="134"/>
      <c r="J1096" s="137">
        <v>14.4</v>
      </c>
      <c r="K1096" s="134"/>
      <c r="L1096" s="136">
        <v>70</v>
      </c>
      <c r="M1096" s="181"/>
      <c r="N1096" s="159"/>
      <c r="O1096" s="159"/>
      <c r="P1096" s="136" t="s">
        <v>174</v>
      </c>
    </row>
    <row r="1097" spans="1:16" ht="16.5" customHeight="1" x14ac:dyDescent="0.25">
      <c r="A1097" s="156">
        <v>45083</v>
      </c>
      <c r="B1097" s="136" t="s">
        <v>6</v>
      </c>
      <c r="C1097" s="157" t="str">
        <f t="shared" si="34"/>
        <v>06.06.2023_KIN4</v>
      </c>
      <c r="D1097" s="190">
        <f t="shared" si="35"/>
        <v>0</v>
      </c>
      <c r="E1097" s="133">
        <v>8.08</v>
      </c>
      <c r="F1097" s="134"/>
      <c r="G1097" s="135">
        <v>513</v>
      </c>
      <c r="H1097" s="137">
        <v>10.199999999999999</v>
      </c>
      <c r="I1097" s="134"/>
      <c r="J1097" s="137">
        <v>14.9</v>
      </c>
      <c r="K1097" s="134"/>
      <c r="L1097" s="136">
        <v>50</v>
      </c>
      <c r="M1097" s="181"/>
      <c r="N1097" s="159"/>
      <c r="O1097" s="159"/>
      <c r="P1097" s="136" t="s">
        <v>174</v>
      </c>
    </row>
    <row r="1098" spans="1:16" ht="16.5" customHeight="1" x14ac:dyDescent="0.25">
      <c r="A1098" s="156">
        <v>45083</v>
      </c>
      <c r="B1098" s="136" t="s">
        <v>18</v>
      </c>
      <c r="C1098" s="157" t="str">
        <f t="shared" si="34"/>
        <v>06.06.2023_ORB1</v>
      </c>
      <c r="D1098" s="190">
        <f t="shared" si="35"/>
        <v>0</v>
      </c>
      <c r="E1098" s="133">
        <v>7.35</v>
      </c>
      <c r="F1098" s="134"/>
      <c r="G1098" s="135">
        <v>133</v>
      </c>
      <c r="H1098" s="137">
        <v>10.6</v>
      </c>
      <c r="I1098" s="134"/>
      <c r="J1098" s="137">
        <v>15.2</v>
      </c>
      <c r="K1098" s="134"/>
      <c r="L1098" s="136">
        <v>20</v>
      </c>
      <c r="M1098" s="181"/>
      <c r="N1098" s="159"/>
      <c r="O1098" s="159"/>
      <c r="P1098" s="136" t="s">
        <v>174</v>
      </c>
    </row>
    <row r="1099" spans="1:16" ht="16.5" customHeight="1" x14ac:dyDescent="0.25">
      <c r="A1099" s="156">
        <v>45083</v>
      </c>
      <c r="B1099" s="136" t="s">
        <v>21</v>
      </c>
      <c r="C1099" s="157" t="str">
        <f t="shared" si="34"/>
        <v>06.06.2023_ORB2</v>
      </c>
      <c r="D1099" s="190">
        <f t="shared" si="35"/>
        <v>0</v>
      </c>
      <c r="E1099" s="133">
        <v>7.07</v>
      </c>
      <c r="F1099" s="134"/>
      <c r="G1099" s="135">
        <v>148.6</v>
      </c>
      <c r="H1099" s="137">
        <v>10.3</v>
      </c>
      <c r="I1099" s="134"/>
      <c r="J1099" s="137">
        <v>15.7</v>
      </c>
      <c r="K1099" s="134"/>
      <c r="L1099" s="136">
        <v>20</v>
      </c>
      <c r="M1099" s="181"/>
      <c r="N1099" s="159"/>
      <c r="O1099" s="159"/>
      <c r="P1099" s="136" t="s">
        <v>173</v>
      </c>
    </row>
    <row r="1100" spans="1:16" ht="16.5" customHeight="1" x14ac:dyDescent="0.25">
      <c r="A1100" s="156">
        <v>45083</v>
      </c>
      <c r="B1100" s="136" t="s">
        <v>10</v>
      </c>
      <c r="C1100" s="157" t="str">
        <f t="shared" si="34"/>
        <v>06.06.2023_SAL1</v>
      </c>
      <c r="D1100" s="190">
        <f t="shared" si="35"/>
        <v>0</v>
      </c>
      <c r="E1100" s="133">
        <v>8.07</v>
      </c>
      <c r="F1100" s="134"/>
      <c r="G1100" s="135">
        <v>224</v>
      </c>
      <c r="H1100" s="137">
        <v>10</v>
      </c>
      <c r="I1100" s="134"/>
      <c r="J1100" s="137">
        <v>15.3</v>
      </c>
      <c r="K1100" s="134"/>
      <c r="L1100" s="136">
        <v>40</v>
      </c>
      <c r="M1100" s="181"/>
      <c r="N1100" s="159"/>
      <c r="O1100" s="159"/>
      <c r="P1100" s="136" t="s">
        <v>174</v>
      </c>
    </row>
    <row r="1101" spans="1:16" ht="16.5" customHeight="1" x14ac:dyDescent="0.25">
      <c r="A1101" s="156">
        <v>45083</v>
      </c>
      <c r="B1101" s="136" t="s">
        <v>12</v>
      </c>
      <c r="C1101" s="157" t="str">
        <f t="shared" si="34"/>
        <v>06.06.2023_SAL2</v>
      </c>
      <c r="D1101" s="190">
        <f t="shared" si="35"/>
        <v>0</v>
      </c>
      <c r="E1101" s="133">
        <v>8.09</v>
      </c>
      <c r="F1101" s="134"/>
      <c r="G1101" s="135">
        <v>243</v>
      </c>
      <c r="H1101" s="137">
        <v>10.1</v>
      </c>
      <c r="I1101" s="134"/>
      <c r="J1101" s="137">
        <v>15.6</v>
      </c>
      <c r="K1101" s="134"/>
      <c r="L1101" s="136">
        <v>35</v>
      </c>
      <c r="M1101" s="181"/>
      <c r="N1101" s="159"/>
      <c r="O1101" s="159"/>
      <c r="P1101" s="136" t="s">
        <v>174</v>
      </c>
    </row>
    <row r="1102" spans="1:16" ht="16.5" customHeight="1" x14ac:dyDescent="0.25">
      <c r="A1102" s="156">
        <v>45083</v>
      </c>
      <c r="B1102" s="136" t="s">
        <v>7</v>
      </c>
      <c r="C1102" s="157" t="str">
        <f t="shared" si="34"/>
        <v>06.06.2023_STE1</v>
      </c>
      <c r="D1102" s="190">
        <f t="shared" si="35"/>
        <v>0</v>
      </c>
      <c r="E1102" s="133">
        <v>8.15</v>
      </c>
      <c r="F1102" s="134"/>
      <c r="G1102" s="135">
        <v>375</v>
      </c>
      <c r="H1102" s="137">
        <v>10.8</v>
      </c>
      <c r="I1102" s="134"/>
      <c r="J1102" s="137">
        <v>13.9</v>
      </c>
      <c r="K1102" s="134"/>
      <c r="L1102" s="136">
        <v>40</v>
      </c>
      <c r="M1102" s="181"/>
      <c r="N1102" s="159"/>
      <c r="O1102" s="159"/>
      <c r="P1102" s="136" t="s">
        <v>173</v>
      </c>
    </row>
    <row r="1103" spans="1:16" ht="16.5" customHeight="1" x14ac:dyDescent="0.25">
      <c r="A1103" s="156">
        <v>45083</v>
      </c>
      <c r="B1103" s="136" t="s">
        <v>9</v>
      </c>
      <c r="C1103" s="157" t="str">
        <f t="shared" si="34"/>
        <v>06.06.2023_STE2</v>
      </c>
      <c r="D1103" s="190">
        <f t="shared" si="35"/>
        <v>0</v>
      </c>
      <c r="E1103" s="133">
        <v>8.32</v>
      </c>
      <c r="F1103" s="134"/>
      <c r="G1103" s="135">
        <v>377</v>
      </c>
      <c r="H1103" s="137">
        <v>10.4</v>
      </c>
      <c r="I1103" s="134"/>
      <c r="J1103" s="137">
        <v>14.8</v>
      </c>
      <c r="K1103" s="134"/>
      <c r="L1103" s="136">
        <v>35</v>
      </c>
      <c r="M1103" s="181"/>
      <c r="N1103" s="159"/>
      <c r="O1103" s="159"/>
      <c r="P1103" s="136" t="s">
        <v>174</v>
      </c>
    </row>
    <row r="1104" spans="1:16" ht="16.5" customHeight="1" x14ac:dyDescent="0.25">
      <c r="A1104" s="156">
        <v>45099</v>
      </c>
      <c r="B1104" s="136" t="s">
        <v>22</v>
      </c>
      <c r="C1104" s="157" t="str">
        <f t="shared" si="34"/>
        <v>22.06.2023_BIE1</v>
      </c>
      <c r="D1104" s="190">
        <f t="shared" si="35"/>
        <v>0</v>
      </c>
      <c r="E1104" s="133">
        <v>7.75</v>
      </c>
      <c r="F1104" s="134"/>
      <c r="G1104" s="135">
        <v>193.3</v>
      </c>
      <c r="H1104" s="137">
        <v>9</v>
      </c>
      <c r="I1104" s="134"/>
      <c r="J1104" s="137">
        <v>18.399999999999999</v>
      </c>
      <c r="K1104" s="134"/>
      <c r="L1104" s="136">
        <v>25</v>
      </c>
      <c r="M1104" s="181"/>
      <c r="N1104" s="159"/>
      <c r="O1104" s="159"/>
      <c r="P1104" s="136"/>
    </row>
    <row r="1105" spans="1:16" ht="16.5" customHeight="1" x14ac:dyDescent="0.25">
      <c r="A1105" s="156">
        <v>45099</v>
      </c>
      <c r="B1105" s="136" t="s">
        <v>25</v>
      </c>
      <c r="C1105" s="157" t="str">
        <f t="shared" si="34"/>
        <v>22.06.2023_BIE2</v>
      </c>
      <c r="D1105" s="190">
        <f t="shared" si="35"/>
        <v>0</v>
      </c>
      <c r="E1105" s="133">
        <v>7.7</v>
      </c>
      <c r="F1105" s="134"/>
      <c r="G1105" s="135">
        <v>183.8</v>
      </c>
      <c r="H1105" s="137">
        <v>8.9</v>
      </c>
      <c r="I1105" s="134"/>
      <c r="J1105" s="137">
        <v>18.7</v>
      </c>
      <c r="K1105" s="134"/>
      <c r="L1105" s="136">
        <v>50</v>
      </c>
      <c r="M1105" s="181"/>
      <c r="N1105" s="159"/>
      <c r="O1105" s="159"/>
      <c r="P1105" s="136"/>
    </row>
    <row r="1106" spans="1:16" ht="16.5" customHeight="1" x14ac:dyDescent="0.25">
      <c r="A1106" s="156">
        <v>45099</v>
      </c>
      <c r="B1106" s="136" t="s">
        <v>30</v>
      </c>
      <c r="C1106" s="157" t="str">
        <f t="shared" si="34"/>
        <v>22.06.2023_FAL1</v>
      </c>
      <c r="D1106" s="190">
        <f t="shared" si="35"/>
        <v>0</v>
      </c>
      <c r="E1106" s="185">
        <v>8</v>
      </c>
      <c r="F1106" s="161" t="s">
        <v>269</v>
      </c>
      <c r="G1106" s="135">
        <v>782</v>
      </c>
      <c r="H1106" s="137">
        <v>8.6</v>
      </c>
      <c r="I1106" s="161"/>
      <c r="J1106" s="137">
        <v>18.600000000000001</v>
      </c>
      <c r="K1106" s="161"/>
      <c r="L1106" s="136">
        <v>35</v>
      </c>
      <c r="M1106" s="181"/>
      <c r="N1106" s="159" t="s">
        <v>329</v>
      </c>
      <c r="O1106" s="159"/>
      <c r="P1106" s="136"/>
    </row>
    <row r="1107" spans="1:16" ht="16.5" customHeight="1" x14ac:dyDescent="0.25">
      <c r="A1107" s="156">
        <v>45099</v>
      </c>
      <c r="B1107" s="136" t="s">
        <v>32</v>
      </c>
      <c r="C1107" s="157" t="str">
        <f t="shared" si="34"/>
        <v>22.06.2023_FAL2</v>
      </c>
      <c r="D1107" s="190">
        <f t="shared" si="35"/>
        <v>0</v>
      </c>
      <c r="E1107" s="185">
        <v>8.15</v>
      </c>
      <c r="F1107" s="161" t="s">
        <v>269</v>
      </c>
      <c r="G1107" s="135">
        <v>800</v>
      </c>
      <c r="H1107" s="137">
        <v>8.1999999999999993</v>
      </c>
      <c r="I1107" s="161"/>
      <c r="J1107" s="137">
        <v>19.7</v>
      </c>
      <c r="K1107" s="161"/>
      <c r="L1107" s="136">
        <v>40</v>
      </c>
      <c r="M1107" s="181"/>
      <c r="N1107" s="159" t="s">
        <v>330</v>
      </c>
      <c r="O1107" s="159"/>
      <c r="P1107" s="136"/>
    </row>
    <row r="1108" spans="1:16" ht="16.5" customHeight="1" x14ac:dyDescent="0.25">
      <c r="A1108" s="156">
        <v>45099</v>
      </c>
      <c r="B1108" s="136" t="s">
        <v>26</v>
      </c>
      <c r="C1108" s="157" t="str">
        <f t="shared" si="34"/>
        <v>22.06.2023_GRU1</v>
      </c>
      <c r="D1108" s="190">
        <f t="shared" si="35"/>
        <v>0</v>
      </c>
      <c r="E1108" s="133">
        <v>7.2</v>
      </c>
      <c r="F1108" s="134"/>
      <c r="G1108" s="135">
        <v>168.9</v>
      </c>
      <c r="H1108" s="137">
        <v>9</v>
      </c>
      <c r="I1108" s="134"/>
      <c r="J1108" s="137">
        <v>18.8</v>
      </c>
      <c r="K1108" s="134"/>
      <c r="L1108" s="136">
        <v>25</v>
      </c>
      <c r="M1108" s="181"/>
      <c r="N1108" s="159"/>
      <c r="O1108" s="159"/>
      <c r="P1108" s="136"/>
    </row>
    <row r="1109" spans="1:16" ht="16.5" customHeight="1" x14ac:dyDescent="0.25">
      <c r="A1109" s="156">
        <v>45099</v>
      </c>
      <c r="B1109" s="136" t="s">
        <v>28</v>
      </c>
      <c r="C1109" s="157" t="str">
        <f t="shared" si="34"/>
        <v>22.06.2023_GRU2</v>
      </c>
      <c r="D1109" s="190">
        <f t="shared" si="35"/>
        <v>0</v>
      </c>
      <c r="E1109" s="133">
        <v>7.25</v>
      </c>
      <c r="F1109" s="134"/>
      <c r="G1109" s="135">
        <v>170.9</v>
      </c>
      <c r="H1109" s="137">
        <v>8.1999999999999993</v>
      </c>
      <c r="I1109" s="134"/>
      <c r="J1109" s="137">
        <v>19.600000000000001</v>
      </c>
      <c r="K1109" s="134"/>
      <c r="L1109" s="136">
        <v>40</v>
      </c>
      <c r="M1109" s="181"/>
      <c r="N1109" s="159"/>
      <c r="O1109" s="159"/>
      <c r="P1109" s="136"/>
    </row>
    <row r="1110" spans="1:16" ht="16.5" customHeight="1" x14ac:dyDescent="0.25">
      <c r="A1110" s="156">
        <v>45099</v>
      </c>
      <c r="B1110" s="136" t="s">
        <v>34</v>
      </c>
      <c r="C1110" s="157" t="str">
        <f t="shared" si="34"/>
        <v>22.06.2023_KRE1</v>
      </c>
      <c r="D1110" s="190">
        <f t="shared" si="35"/>
        <v>0</v>
      </c>
      <c r="E1110" s="133">
        <v>7.89</v>
      </c>
      <c r="F1110" s="134"/>
      <c r="G1110" s="135">
        <v>895</v>
      </c>
      <c r="H1110" s="137">
        <v>5.9</v>
      </c>
      <c r="I1110" s="134"/>
      <c r="J1110" s="137">
        <v>21.2</v>
      </c>
      <c r="K1110" s="134"/>
      <c r="L1110" s="136">
        <v>30</v>
      </c>
      <c r="M1110" s="181"/>
      <c r="N1110" s="159"/>
      <c r="O1110" s="159"/>
      <c r="P1110" s="136"/>
    </row>
    <row r="1111" spans="1:16" ht="16.5" customHeight="1" x14ac:dyDescent="0.25">
      <c r="A1111" s="156">
        <v>45099</v>
      </c>
      <c r="B1111" s="136" t="s">
        <v>37</v>
      </c>
      <c r="C1111" s="157" t="str">
        <f t="shared" si="34"/>
        <v>22.06.2023_KRE2</v>
      </c>
      <c r="D1111" s="190">
        <f t="shared" si="35"/>
        <v>0</v>
      </c>
      <c r="E1111" s="133">
        <v>7.8</v>
      </c>
      <c r="F1111" s="134"/>
      <c r="G1111" s="135">
        <v>873</v>
      </c>
      <c r="H1111" s="137">
        <v>6.2</v>
      </c>
      <c r="I1111" s="134"/>
      <c r="J1111" s="137">
        <v>20.6</v>
      </c>
      <c r="K1111" s="134"/>
      <c r="L1111" s="136">
        <v>35</v>
      </c>
      <c r="M1111" s="181"/>
      <c r="N1111" s="159"/>
      <c r="O1111" s="159"/>
      <c r="P1111" s="136"/>
    </row>
    <row r="1112" spans="1:16" ht="16.5" customHeight="1" x14ac:dyDescent="0.25">
      <c r="A1112" s="156">
        <v>45099</v>
      </c>
      <c r="B1112" s="136" t="s">
        <v>14</v>
      </c>
      <c r="C1112" s="157" t="str">
        <f t="shared" si="34"/>
        <v>22.06.2023_BRA1</v>
      </c>
      <c r="D1112" s="190">
        <f t="shared" si="35"/>
        <v>0</v>
      </c>
      <c r="E1112" s="133">
        <v>7.84</v>
      </c>
      <c r="F1112" s="134"/>
      <c r="G1112" s="135">
        <v>183</v>
      </c>
      <c r="H1112" s="137">
        <v>10.3</v>
      </c>
      <c r="I1112" s="134"/>
      <c r="J1112" s="137">
        <v>18.5</v>
      </c>
      <c r="K1112" s="134"/>
      <c r="L1112" s="136">
        <v>20</v>
      </c>
      <c r="M1112" s="181"/>
      <c r="N1112" s="159"/>
      <c r="O1112" s="159"/>
      <c r="P1112" s="136" t="s">
        <v>174</v>
      </c>
    </row>
    <row r="1113" spans="1:16" ht="16.5" customHeight="1" x14ac:dyDescent="0.25">
      <c r="A1113" s="156">
        <v>45099</v>
      </c>
      <c r="B1113" s="136" t="s">
        <v>17</v>
      </c>
      <c r="C1113" s="157" t="str">
        <f t="shared" si="34"/>
        <v>22.06.2023_BRA2</v>
      </c>
      <c r="D1113" s="190">
        <f t="shared" si="35"/>
        <v>0</v>
      </c>
      <c r="E1113" s="133">
        <v>8.11</v>
      </c>
      <c r="F1113" s="134"/>
      <c r="G1113" s="135">
        <v>197</v>
      </c>
      <c r="H1113" s="137">
        <v>10.7</v>
      </c>
      <c r="I1113" s="134"/>
      <c r="J1113" s="137">
        <v>17.100000000000001</v>
      </c>
      <c r="K1113" s="134"/>
      <c r="L1113" s="136">
        <v>30</v>
      </c>
      <c r="M1113" s="181"/>
      <c r="N1113" s="159"/>
      <c r="O1113" s="159"/>
      <c r="P1113" s="136" t="s">
        <v>173</v>
      </c>
    </row>
    <row r="1114" spans="1:16" ht="16.5" customHeight="1" x14ac:dyDescent="0.25">
      <c r="A1114" s="156">
        <v>45099</v>
      </c>
      <c r="B1114" s="136" t="s">
        <v>0</v>
      </c>
      <c r="C1114" s="157" t="str">
        <f t="shared" si="34"/>
        <v>22.06.2023_KIN1</v>
      </c>
      <c r="D1114" s="190">
        <f t="shared" si="35"/>
        <v>0</v>
      </c>
      <c r="E1114" s="133">
        <v>8.31</v>
      </c>
      <c r="F1114" s="134"/>
      <c r="G1114" s="135">
        <v>425</v>
      </c>
      <c r="H1114" s="137">
        <v>9.9</v>
      </c>
      <c r="I1114" s="134"/>
      <c r="J1114" s="137">
        <v>17</v>
      </c>
      <c r="K1114" s="134"/>
      <c r="L1114" s="136">
        <v>40</v>
      </c>
      <c r="M1114" s="181"/>
      <c r="N1114" s="159"/>
      <c r="O1114" s="159"/>
      <c r="P1114" s="136" t="s">
        <v>215</v>
      </c>
    </row>
    <row r="1115" spans="1:16" ht="16.5" customHeight="1" x14ac:dyDescent="0.25">
      <c r="A1115" s="156">
        <v>45099</v>
      </c>
      <c r="B1115" s="136" t="s">
        <v>2</v>
      </c>
      <c r="C1115" s="157" t="str">
        <f t="shared" si="34"/>
        <v>22.06.2023_KIN2</v>
      </c>
      <c r="D1115" s="190">
        <f t="shared" si="35"/>
        <v>0</v>
      </c>
      <c r="E1115" s="133">
        <v>8.18</v>
      </c>
      <c r="F1115" s="134"/>
      <c r="G1115" s="135">
        <v>463</v>
      </c>
      <c r="H1115" s="137">
        <v>11.2</v>
      </c>
      <c r="I1115" s="134"/>
      <c r="J1115" s="137">
        <v>18.399999999999999</v>
      </c>
      <c r="K1115" s="134"/>
      <c r="L1115" s="136">
        <v>30</v>
      </c>
      <c r="M1115" s="181"/>
      <c r="N1115" s="159"/>
      <c r="O1115" s="159"/>
      <c r="P1115" s="136" t="s">
        <v>173</v>
      </c>
    </row>
    <row r="1116" spans="1:16" ht="16.5" customHeight="1" x14ac:dyDescent="0.25">
      <c r="A1116" s="156">
        <v>45099</v>
      </c>
      <c r="B1116" s="136" t="s">
        <v>4</v>
      </c>
      <c r="C1116" s="157" t="str">
        <f t="shared" si="34"/>
        <v>22.06.2023_KIN3</v>
      </c>
      <c r="D1116" s="190">
        <f t="shared" si="35"/>
        <v>0</v>
      </c>
      <c r="E1116" s="133">
        <v>8.1999999999999993</v>
      </c>
      <c r="F1116" s="134"/>
      <c r="G1116" s="135">
        <v>462</v>
      </c>
      <c r="H1116" s="137">
        <v>10</v>
      </c>
      <c r="I1116" s="134"/>
      <c r="J1116" s="137">
        <v>19</v>
      </c>
      <c r="K1116" s="134"/>
      <c r="L1116" s="136">
        <v>65</v>
      </c>
      <c r="M1116" s="181"/>
      <c r="N1116" s="159"/>
      <c r="O1116" s="159"/>
      <c r="P1116" s="136" t="s">
        <v>174</v>
      </c>
    </row>
    <row r="1117" spans="1:16" ht="16.5" customHeight="1" x14ac:dyDescent="0.25">
      <c r="A1117" s="156">
        <v>45099</v>
      </c>
      <c r="B1117" s="136" t="s">
        <v>6</v>
      </c>
      <c r="C1117" s="157" t="str">
        <f t="shared" si="34"/>
        <v>22.06.2023_KIN4</v>
      </c>
      <c r="D1117" s="190">
        <f t="shared" si="35"/>
        <v>0</v>
      </c>
      <c r="E1117" s="133">
        <v>8.0399999999999991</v>
      </c>
      <c r="F1117" s="134"/>
      <c r="G1117" s="135">
        <v>491</v>
      </c>
      <c r="H1117" s="137">
        <v>9.5</v>
      </c>
      <c r="I1117" s="134"/>
      <c r="J1117" s="137">
        <v>19.2</v>
      </c>
      <c r="K1117" s="134"/>
      <c r="L1117" s="136">
        <v>45</v>
      </c>
      <c r="M1117" s="181"/>
      <c r="N1117" s="159"/>
      <c r="O1117" s="159"/>
      <c r="P1117" s="136" t="s">
        <v>174</v>
      </c>
    </row>
    <row r="1118" spans="1:16" ht="16.5" customHeight="1" x14ac:dyDescent="0.25">
      <c r="A1118" s="156">
        <v>45099</v>
      </c>
      <c r="B1118" s="136" t="s">
        <v>18</v>
      </c>
      <c r="C1118" s="157" t="str">
        <f t="shared" si="34"/>
        <v>22.06.2023_ORB1</v>
      </c>
      <c r="D1118" s="190">
        <f t="shared" si="35"/>
        <v>1</v>
      </c>
      <c r="E1118" s="283"/>
      <c r="F1118" s="161" t="s">
        <v>270</v>
      </c>
      <c r="G1118" s="135">
        <v>156.1</v>
      </c>
      <c r="H1118" s="137">
        <v>11.6</v>
      </c>
      <c r="I1118" s="161"/>
      <c r="J1118" s="137">
        <v>15.7</v>
      </c>
      <c r="K1118" s="161"/>
      <c r="L1118" s="136">
        <v>20</v>
      </c>
      <c r="M1118" s="181"/>
      <c r="N1118" s="159" t="s">
        <v>276</v>
      </c>
      <c r="O1118" s="159"/>
      <c r="P1118" s="136" t="s">
        <v>174</v>
      </c>
    </row>
    <row r="1119" spans="1:16" ht="16.5" customHeight="1" x14ac:dyDescent="0.25">
      <c r="A1119" s="156">
        <v>45099</v>
      </c>
      <c r="B1119" s="136" t="s">
        <v>21</v>
      </c>
      <c r="C1119" s="157" t="str">
        <f t="shared" si="34"/>
        <v>22.06.2023_ORB2</v>
      </c>
      <c r="D1119" s="190">
        <f t="shared" si="35"/>
        <v>0</v>
      </c>
      <c r="E1119" s="133">
        <v>7.26</v>
      </c>
      <c r="F1119" s="134"/>
      <c r="G1119" s="135">
        <v>167.1</v>
      </c>
      <c r="H1119" s="137">
        <v>10.9</v>
      </c>
      <c r="I1119" s="134"/>
      <c r="J1119" s="137">
        <v>15.4</v>
      </c>
      <c r="K1119" s="134"/>
      <c r="L1119" s="136">
        <v>25</v>
      </c>
      <c r="M1119" s="181"/>
      <c r="N1119" s="159"/>
      <c r="O1119" s="159"/>
      <c r="P1119" s="136" t="s">
        <v>173</v>
      </c>
    </row>
    <row r="1120" spans="1:16" ht="16.5" customHeight="1" x14ac:dyDescent="0.25">
      <c r="A1120" s="156">
        <v>45099</v>
      </c>
      <c r="B1120" s="136" t="s">
        <v>10</v>
      </c>
      <c r="C1120" s="157" t="str">
        <f t="shared" si="34"/>
        <v>22.06.2023_SAL1</v>
      </c>
      <c r="D1120" s="190">
        <f t="shared" si="35"/>
        <v>0</v>
      </c>
      <c r="E1120" s="133">
        <v>8.02</v>
      </c>
      <c r="F1120" s="134"/>
      <c r="G1120" s="135">
        <v>204</v>
      </c>
      <c r="H1120" s="137">
        <v>9.3000000000000007</v>
      </c>
      <c r="I1120" s="134"/>
      <c r="J1120" s="137">
        <v>16.899999999999999</v>
      </c>
      <c r="K1120" s="134"/>
      <c r="L1120" s="136">
        <v>35</v>
      </c>
      <c r="M1120" s="181"/>
      <c r="N1120" s="159"/>
      <c r="O1120" s="159"/>
      <c r="P1120" s="136" t="s">
        <v>174</v>
      </c>
    </row>
    <row r="1121" spans="1:16" ht="16.5" customHeight="1" x14ac:dyDescent="0.25">
      <c r="A1121" s="156">
        <v>45099</v>
      </c>
      <c r="B1121" s="136" t="s">
        <v>12</v>
      </c>
      <c r="C1121" s="157" t="str">
        <f t="shared" si="34"/>
        <v>22.06.2023_SAL2</v>
      </c>
      <c r="D1121" s="190">
        <f t="shared" si="35"/>
        <v>0</v>
      </c>
      <c r="E1121" s="133">
        <v>8.0399999999999991</v>
      </c>
      <c r="F1121" s="134"/>
      <c r="G1121" s="135">
        <v>224</v>
      </c>
      <c r="H1121" s="137">
        <v>10.4</v>
      </c>
      <c r="I1121" s="134"/>
      <c r="J1121" s="137">
        <v>17.5</v>
      </c>
      <c r="K1121" s="134"/>
      <c r="L1121" s="136">
        <v>35</v>
      </c>
      <c r="M1121" s="181"/>
      <c r="N1121" s="159"/>
      <c r="O1121" s="159"/>
      <c r="P1121" s="136" t="s">
        <v>174</v>
      </c>
    </row>
    <row r="1122" spans="1:16" ht="16.5" customHeight="1" x14ac:dyDescent="0.25">
      <c r="A1122" s="156">
        <v>45099</v>
      </c>
      <c r="B1122" s="136" t="s">
        <v>7</v>
      </c>
      <c r="C1122" s="157" t="str">
        <f t="shared" si="34"/>
        <v>22.06.2023_STE1</v>
      </c>
      <c r="D1122" s="190">
        <f t="shared" si="35"/>
        <v>0</v>
      </c>
      <c r="E1122" s="133">
        <v>8.1300000000000008</v>
      </c>
      <c r="F1122" s="134"/>
      <c r="G1122" s="135">
        <v>355</v>
      </c>
      <c r="H1122" s="137">
        <v>10.199999999999999</v>
      </c>
      <c r="I1122" s="134"/>
      <c r="J1122" s="137">
        <v>17.899999999999999</v>
      </c>
      <c r="K1122" s="134"/>
      <c r="L1122" s="136">
        <v>35</v>
      </c>
      <c r="M1122" s="181"/>
      <c r="N1122" s="159"/>
      <c r="O1122" s="159"/>
      <c r="P1122" s="136" t="s">
        <v>173</v>
      </c>
    </row>
    <row r="1123" spans="1:16" ht="16.5" customHeight="1" x14ac:dyDescent="0.25">
      <c r="A1123" s="156">
        <v>45099</v>
      </c>
      <c r="B1123" s="136" t="s">
        <v>9</v>
      </c>
      <c r="C1123" s="157" t="str">
        <f t="shared" si="34"/>
        <v>22.06.2023_STE2</v>
      </c>
      <c r="D1123" s="190">
        <f t="shared" si="35"/>
        <v>0</v>
      </c>
      <c r="E1123" s="133">
        <v>8.32</v>
      </c>
      <c r="F1123" s="134"/>
      <c r="G1123" s="135">
        <v>360</v>
      </c>
      <c r="H1123" s="137">
        <v>10.1</v>
      </c>
      <c r="I1123" s="134"/>
      <c r="J1123" s="137">
        <v>19.5</v>
      </c>
      <c r="K1123" s="134"/>
      <c r="L1123" s="136">
        <v>30</v>
      </c>
      <c r="M1123" s="181"/>
      <c r="N1123" s="159"/>
      <c r="O1123" s="159"/>
      <c r="P1123" s="136" t="s">
        <v>174</v>
      </c>
    </row>
    <row r="1124" spans="1:16" ht="16.5" customHeight="1" x14ac:dyDescent="0.25">
      <c r="A1124" s="156">
        <v>45113</v>
      </c>
      <c r="B1124" s="136" t="s">
        <v>22</v>
      </c>
      <c r="C1124" s="157" t="str">
        <f t="shared" si="34"/>
        <v>06.07.2023_BIE1</v>
      </c>
      <c r="D1124" s="190">
        <f t="shared" si="35"/>
        <v>0</v>
      </c>
      <c r="E1124" s="185">
        <v>8.0500000000000007</v>
      </c>
      <c r="F1124" s="161" t="s">
        <v>269</v>
      </c>
      <c r="G1124" s="135">
        <v>205</v>
      </c>
      <c r="H1124" s="137">
        <v>9.4</v>
      </c>
      <c r="I1124" s="161"/>
      <c r="J1124" s="137">
        <v>16.3</v>
      </c>
      <c r="K1124" s="161"/>
      <c r="L1124" s="136">
        <v>30</v>
      </c>
      <c r="M1124" s="181"/>
      <c r="N1124" s="159" t="s">
        <v>331</v>
      </c>
      <c r="O1124" s="159"/>
      <c r="P1124" s="136"/>
    </row>
    <row r="1125" spans="1:16" ht="16.5" customHeight="1" x14ac:dyDescent="0.25">
      <c r="A1125" s="156">
        <v>45113</v>
      </c>
      <c r="B1125" s="136" t="s">
        <v>25</v>
      </c>
      <c r="C1125" s="157" t="str">
        <f t="shared" si="34"/>
        <v>06.07.2023_BIE2</v>
      </c>
      <c r="D1125" s="190">
        <f t="shared" si="35"/>
        <v>0</v>
      </c>
      <c r="E1125" s="133">
        <v>7.9</v>
      </c>
      <c r="F1125" s="134"/>
      <c r="G1125" s="135">
        <v>202</v>
      </c>
      <c r="H1125" s="137">
        <v>9.3000000000000007</v>
      </c>
      <c r="I1125" s="134"/>
      <c r="J1125" s="137">
        <v>16.100000000000001</v>
      </c>
      <c r="K1125" s="134"/>
      <c r="L1125" s="136">
        <v>50</v>
      </c>
      <c r="M1125" s="181"/>
      <c r="N1125" s="159"/>
      <c r="O1125" s="159"/>
      <c r="P1125" s="136"/>
    </row>
    <row r="1126" spans="1:16" ht="16.5" customHeight="1" x14ac:dyDescent="0.25">
      <c r="A1126" s="156">
        <v>45113</v>
      </c>
      <c r="B1126" s="136" t="s">
        <v>30</v>
      </c>
      <c r="C1126" s="157" t="str">
        <f t="shared" si="34"/>
        <v>06.07.2023_FAL1</v>
      </c>
      <c r="D1126" s="190">
        <f t="shared" si="35"/>
        <v>0</v>
      </c>
      <c r="E1126" s="133">
        <v>8.1</v>
      </c>
      <c r="F1126" s="134"/>
      <c r="G1126" s="135">
        <v>833</v>
      </c>
      <c r="H1126" s="137">
        <v>7.8</v>
      </c>
      <c r="I1126" s="134"/>
      <c r="J1126" s="137">
        <v>15.7</v>
      </c>
      <c r="K1126" s="134"/>
      <c r="L1126" s="136">
        <v>35</v>
      </c>
      <c r="M1126" s="181"/>
      <c r="N1126" s="159"/>
      <c r="O1126" s="159"/>
      <c r="P1126" s="136"/>
    </row>
    <row r="1127" spans="1:16" ht="16.5" customHeight="1" x14ac:dyDescent="0.25">
      <c r="A1127" s="156">
        <v>45113</v>
      </c>
      <c r="B1127" s="136" t="s">
        <v>32</v>
      </c>
      <c r="C1127" s="157" t="str">
        <f t="shared" si="34"/>
        <v>06.07.2023_FAL2</v>
      </c>
      <c r="D1127" s="190">
        <f t="shared" si="35"/>
        <v>0</v>
      </c>
      <c r="E1127" s="185">
        <v>8.25</v>
      </c>
      <c r="F1127" s="161" t="s">
        <v>269</v>
      </c>
      <c r="G1127" s="135">
        <v>804</v>
      </c>
      <c r="H1127" s="137">
        <v>8.6</v>
      </c>
      <c r="I1127" s="161"/>
      <c r="J1127" s="137">
        <v>16.3</v>
      </c>
      <c r="K1127" s="161"/>
      <c r="L1127" s="136">
        <v>30</v>
      </c>
      <c r="M1127" s="181"/>
      <c r="N1127" s="159" t="s">
        <v>332</v>
      </c>
      <c r="O1127" s="159"/>
      <c r="P1127" s="136"/>
    </row>
    <row r="1128" spans="1:16" ht="16.5" customHeight="1" x14ac:dyDescent="0.25">
      <c r="A1128" s="156">
        <v>45113</v>
      </c>
      <c r="B1128" s="136" t="s">
        <v>26</v>
      </c>
      <c r="C1128" s="157" t="str">
        <f t="shared" si="34"/>
        <v>06.07.2023_GRU1</v>
      </c>
      <c r="D1128" s="190">
        <f t="shared" si="35"/>
        <v>0</v>
      </c>
      <c r="E1128" s="185">
        <v>7.5</v>
      </c>
      <c r="F1128" s="161" t="s">
        <v>269</v>
      </c>
      <c r="G1128" s="135">
        <v>176.8</v>
      </c>
      <c r="H1128" s="137">
        <v>9.6999999999999993</v>
      </c>
      <c r="I1128" s="161"/>
      <c r="J1128" s="137">
        <v>15.8</v>
      </c>
      <c r="K1128" s="161"/>
      <c r="L1128" s="136">
        <v>30</v>
      </c>
      <c r="M1128" s="181"/>
      <c r="N1128" s="159" t="s">
        <v>333</v>
      </c>
      <c r="O1128" s="159"/>
      <c r="P1128" s="136"/>
    </row>
    <row r="1129" spans="1:16" ht="16.5" customHeight="1" x14ac:dyDescent="0.25">
      <c r="A1129" s="156">
        <v>45113</v>
      </c>
      <c r="B1129" s="136" t="s">
        <v>28</v>
      </c>
      <c r="C1129" s="157" t="str">
        <f t="shared" si="34"/>
        <v>06.07.2023_GRU2</v>
      </c>
      <c r="D1129" s="190">
        <f t="shared" si="35"/>
        <v>0</v>
      </c>
      <c r="E1129" s="133">
        <v>7.45</v>
      </c>
      <c r="F1129" s="134"/>
      <c r="G1129" s="135">
        <v>189.7</v>
      </c>
      <c r="H1129" s="137">
        <v>8.9</v>
      </c>
      <c r="I1129" s="134"/>
      <c r="J1129" s="137">
        <v>16.3</v>
      </c>
      <c r="K1129" s="134"/>
      <c r="L1129" s="136">
        <v>40</v>
      </c>
      <c r="M1129" s="181"/>
      <c r="N1129" s="159"/>
      <c r="O1129" s="159"/>
      <c r="P1129" s="136"/>
    </row>
    <row r="1130" spans="1:16" ht="16.5" customHeight="1" x14ac:dyDescent="0.25">
      <c r="A1130" s="156">
        <v>45113</v>
      </c>
      <c r="B1130" s="136" t="s">
        <v>34</v>
      </c>
      <c r="C1130" s="157" t="str">
        <f t="shared" si="34"/>
        <v>06.07.2023_KRE1</v>
      </c>
      <c r="D1130" s="190">
        <f t="shared" si="35"/>
        <v>0</v>
      </c>
      <c r="E1130" s="185">
        <v>8</v>
      </c>
      <c r="F1130" s="161" t="s">
        <v>269</v>
      </c>
      <c r="G1130" s="135">
        <v>934</v>
      </c>
      <c r="H1130" s="137">
        <v>6.8</v>
      </c>
      <c r="I1130" s="161"/>
      <c r="J1130" s="137">
        <v>17.2</v>
      </c>
      <c r="K1130" s="161"/>
      <c r="L1130" s="136">
        <v>30</v>
      </c>
      <c r="M1130" s="181"/>
      <c r="N1130" s="159" t="s">
        <v>334</v>
      </c>
      <c r="O1130" s="159"/>
      <c r="P1130" s="136"/>
    </row>
    <row r="1131" spans="1:16" ht="16.5" customHeight="1" x14ac:dyDescent="0.25">
      <c r="A1131" s="156">
        <v>45113</v>
      </c>
      <c r="B1131" s="136" t="s">
        <v>37</v>
      </c>
      <c r="C1131" s="157" t="str">
        <f t="shared" si="34"/>
        <v>06.07.2023_KRE2</v>
      </c>
      <c r="D1131" s="190">
        <f t="shared" si="35"/>
        <v>0</v>
      </c>
      <c r="E1131" s="133">
        <v>7.95</v>
      </c>
      <c r="F1131" s="134"/>
      <c r="G1131" s="135">
        <v>932</v>
      </c>
      <c r="H1131" s="137">
        <v>6.2</v>
      </c>
      <c r="I1131" s="134"/>
      <c r="J1131" s="137">
        <v>16.3</v>
      </c>
      <c r="K1131" s="134"/>
      <c r="L1131" s="136">
        <v>35</v>
      </c>
      <c r="M1131" s="181"/>
      <c r="N1131" s="159"/>
      <c r="O1131" s="159"/>
      <c r="P1131" s="136"/>
    </row>
    <row r="1132" spans="1:16" ht="16.5" customHeight="1" x14ac:dyDescent="0.25">
      <c r="A1132" s="156">
        <v>45113</v>
      </c>
      <c r="B1132" s="136" t="s">
        <v>14</v>
      </c>
      <c r="C1132" s="157" t="str">
        <f t="shared" si="34"/>
        <v>06.07.2023_BRA1</v>
      </c>
      <c r="D1132" s="190">
        <f t="shared" si="35"/>
        <v>0</v>
      </c>
      <c r="E1132" s="133">
        <v>7.98</v>
      </c>
      <c r="F1132" s="134"/>
      <c r="G1132" s="135">
        <v>202</v>
      </c>
      <c r="H1132" s="137">
        <v>9.3000000000000007</v>
      </c>
      <c r="I1132" s="134"/>
      <c r="J1132" s="137">
        <v>19.8</v>
      </c>
      <c r="K1132" s="134"/>
      <c r="L1132" s="136">
        <v>20</v>
      </c>
      <c r="M1132" s="181"/>
      <c r="N1132" s="159"/>
      <c r="O1132" s="159"/>
      <c r="P1132" s="136" t="s">
        <v>174</v>
      </c>
    </row>
    <row r="1133" spans="1:16" ht="16.5" customHeight="1" x14ac:dyDescent="0.25">
      <c r="A1133" s="156">
        <v>45113</v>
      </c>
      <c r="B1133" s="136" t="s">
        <v>17</v>
      </c>
      <c r="C1133" s="157" t="str">
        <f t="shared" si="34"/>
        <v>06.07.2023_BRA2</v>
      </c>
      <c r="D1133" s="190">
        <f t="shared" si="35"/>
        <v>0</v>
      </c>
      <c r="E1133" s="133">
        <v>8.11</v>
      </c>
      <c r="F1133" s="134"/>
      <c r="G1133" s="135">
        <v>225</v>
      </c>
      <c r="H1133" s="137">
        <v>10.1</v>
      </c>
      <c r="I1133" s="134"/>
      <c r="J1133" s="137">
        <v>17.100000000000001</v>
      </c>
      <c r="K1133" s="134"/>
      <c r="L1133" s="136">
        <v>30</v>
      </c>
      <c r="M1133" s="181"/>
      <c r="N1133" s="159"/>
      <c r="O1133" s="159"/>
      <c r="P1133" s="136" t="s">
        <v>173</v>
      </c>
    </row>
    <row r="1134" spans="1:16" ht="16.5" customHeight="1" x14ac:dyDescent="0.25">
      <c r="A1134" s="156">
        <v>45113</v>
      </c>
      <c r="B1134" s="136" t="s">
        <v>0</v>
      </c>
      <c r="C1134" s="157" t="str">
        <f t="shared" si="34"/>
        <v>06.07.2023_KIN1</v>
      </c>
      <c r="D1134" s="190">
        <f t="shared" si="35"/>
        <v>0</v>
      </c>
      <c r="E1134" s="133">
        <v>8.27</v>
      </c>
      <c r="F1134" s="134"/>
      <c r="G1134" s="135">
        <v>486</v>
      </c>
      <c r="H1134" s="137">
        <v>10.5</v>
      </c>
      <c r="I1134" s="134"/>
      <c r="J1134" s="137">
        <v>14.4</v>
      </c>
      <c r="K1134" s="134"/>
      <c r="L1134" s="136">
        <v>30</v>
      </c>
      <c r="M1134" s="181"/>
      <c r="N1134" s="159"/>
      <c r="O1134" s="159"/>
      <c r="P1134" s="136" t="s">
        <v>215</v>
      </c>
    </row>
    <row r="1135" spans="1:16" ht="16.5" customHeight="1" x14ac:dyDescent="0.25">
      <c r="A1135" s="156">
        <v>45113</v>
      </c>
      <c r="B1135" s="136" t="s">
        <v>2</v>
      </c>
      <c r="C1135" s="157" t="str">
        <f t="shared" si="34"/>
        <v>06.07.2023_KIN2</v>
      </c>
      <c r="D1135" s="190">
        <f t="shared" si="35"/>
        <v>0</v>
      </c>
      <c r="E1135" s="133">
        <v>8.19</v>
      </c>
      <c r="F1135" s="134"/>
      <c r="G1135" s="135">
        <v>528</v>
      </c>
      <c r="H1135" s="137">
        <v>11</v>
      </c>
      <c r="I1135" s="134"/>
      <c r="J1135" s="137">
        <v>14.6</v>
      </c>
      <c r="K1135" s="134"/>
      <c r="L1135" s="136">
        <v>35</v>
      </c>
      <c r="M1135" s="181"/>
      <c r="N1135" s="159"/>
      <c r="O1135" s="159"/>
      <c r="P1135" s="136" t="s">
        <v>173</v>
      </c>
    </row>
    <row r="1136" spans="1:16" ht="16.5" customHeight="1" x14ac:dyDescent="0.25">
      <c r="A1136" s="156">
        <v>45113</v>
      </c>
      <c r="B1136" s="136" t="s">
        <v>4</v>
      </c>
      <c r="C1136" s="157" t="str">
        <f t="shared" si="34"/>
        <v>06.07.2023_KIN3</v>
      </c>
      <c r="D1136" s="190">
        <f t="shared" si="35"/>
        <v>0</v>
      </c>
      <c r="E1136" s="133">
        <v>8.26</v>
      </c>
      <c r="F1136" s="134"/>
      <c r="G1136" s="135">
        <v>530</v>
      </c>
      <c r="H1136" s="137">
        <v>10.8</v>
      </c>
      <c r="I1136" s="134"/>
      <c r="J1136" s="137">
        <v>14.8</v>
      </c>
      <c r="K1136" s="134"/>
      <c r="L1136" s="136">
        <v>65</v>
      </c>
      <c r="M1136" s="181"/>
      <c r="N1136" s="159"/>
      <c r="O1136" s="159"/>
      <c r="P1136" s="136" t="s">
        <v>174</v>
      </c>
    </row>
    <row r="1137" spans="1:16" ht="16.5" customHeight="1" x14ac:dyDescent="0.25">
      <c r="A1137" s="156">
        <v>45113</v>
      </c>
      <c r="B1137" s="136" t="s">
        <v>6</v>
      </c>
      <c r="C1137" s="157" t="str">
        <f t="shared" si="34"/>
        <v>06.07.2023_KIN4</v>
      </c>
      <c r="D1137" s="190">
        <f t="shared" si="35"/>
        <v>0</v>
      </c>
      <c r="E1137" s="133">
        <v>8.11</v>
      </c>
      <c r="F1137" s="134"/>
      <c r="G1137" s="135">
        <v>568</v>
      </c>
      <c r="H1137" s="137">
        <v>10.3</v>
      </c>
      <c r="I1137" s="134"/>
      <c r="J1137" s="137">
        <v>15.8</v>
      </c>
      <c r="K1137" s="134"/>
      <c r="L1137" s="136">
        <v>45</v>
      </c>
      <c r="M1137" s="181"/>
      <c r="N1137" s="159"/>
      <c r="O1137" s="159"/>
      <c r="P1137" s="136" t="s">
        <v>174</v>
      </c>
    </row>
    <row r="1138" spans="1:16" ht="16.5" customHeight="1" x14ac:dyDescent="0.25">
      <c r="A1138" s="156">
        <v>45113</v>
      </c>
      <c r="B1138" s="136" t="s">
        <v>18</v>
      </c>
      <c r="C1138" s="157" t="str">
        <f t="shared" si="34"/>
        <v>06.07.2023_ORB1</v>
      </c>
      <c r="D1138" s="190">
        <f t="shared" si="35"/>
        <v>0</v>
      </c>
      <c r="E1138" s="133">
        <v>7.43</v>
      </c>
      <c r="F1138" s="134"/>
      <c r="G1138" s="135">
        <v>121.7</v>
      </c>
      <c r="H1138" s="137">
        <v>10.3</v>
      </c>
      <c r="I1138" s="134"/>
      <c r="J1138" s="137">
        <v>17.7</v>
      </c>
      <c r="K1138" s="134"/>
      <c r="L1138" s="136">
        <v>20</v>
      </c>
      <c r="M1138" s="181"/>
      <c r="N1138" s="159"/>
      <c r="O1138" s="159"/>
      <c r="P1138" s="136" t="s">
        <v>174</v>
      </c>
    </row>
    <row r="1139" spans="1:16" ht="16.5" customHeight="1" x14ac:dyDescent="0.25">
      <c r="A1139" s="156">
        <v>45113</v>
      </c>
      <c r="B1139" s="136" t="s">
        <v>21</v>
      </c>
      <c r="C1139" s="157" t="str">
        <f t="shared" si="34"/>
        <v>06.07.2023_ORB2</v>
      </c>
      <c r="D1139" s="190">
        <f t="shared" si="35"/>
        <v>0</v>
      </c>
      <c r="E1139" s="133">
        <v>7.13</v>
      </c>
      <c r="F1139" s="134"/>
      <c r="G1139" s="135">
        <v>177</v>
      </c>
      <c r="H1139" s="137">
        <v>9.6999999999999993</v>
      </c>
      <c r="I1139" s="134"/>
      <c r="J1139" s="137">
        <v>17.600000000000001</v>
      </c>
      <c r="K1139" s="134"/>
      <c r="L1139" s="136">
        <v>15</v>
      </c>
      <c r="M1139" s="181"/>
      <c r="N1139" s="159"/>
      <c r="O1139" s="159"/>
      <c r="P1139" s="136" t="s">
        <v>173</v>
      </c>
    </row>
    <row r="1140" spans="1:16" ht="16.5" customHeight="1" x14ac:dyDescent="0.25">
      <c r="A1140" s="156">
        <v>45113</v>
      </c>
      <c r="B1140" s="136" t="s">
        <v>10</v>
      </c>
      <c r="C1140" s="157" t="str">
        <f t="shared" si="34"/>
        <v>06.07.2023_SAL1</v>
      </c>
      <c r="D1140" s="190">
        <f t="shared" si="35"/>
        <v>0</v>
      </c>
      <c r="E1140" s="133">
        <v>8.11</v>
      </c>
      <c r="F1140" s="134"/>
      <c r="G1140" s="135">
        <v>240</v>
      </c>
      <c r="H1140" s="137">
        <v>10.5</v>
      </c>
      <c r="I1140" s="134"/>
      <c r="J1140" s="137">
        <v>16.3</v>
      </c>
      <c r="K1140" s="134"/>
      <c r="L1140" s="136">
        <v>30</v>
      </c>
      <c r="M1140" s="181"/>
      <c r="N1140" s="159"/>
      <c r="O1140" s="159"/>
      <c r="P1140" s="136" t="s">
        <v>174</v>
      </c>
    </row>
    <row r="1141" spans="1:16" ht="16.5" customHeight="1" x14ac:dyDescent="0.25">
      <c r="A1141" s="156">
        <v>45113</v>
      </c>
      <c r="B1141" s="136" t="s">
        <v>12</v>
      </c>
      <c r="C1141" s="157" t="str">
        <f t="shared" si="34"/>
        <v>06.07.2023_SAL2</v>
      </c>
      <c r="D1141" s="190">
        <f t="shared" si="35"/>
        <v>0</v>
      </c>
      <c r="E1141" s="133">
        <v>8.23</v>
      </c>
      <c r="F1141" s="134"/>
      <c r="G1141" s="135">
        <v>264</v>
      </c>
      <c r="H1141" s="137">
        <v>10.7</v>
      </c>
      <c r="I1141" s="134"/>
      <c r="J1141" s="137">
        <v>16.8</v>
      </c>
      <c r="K1141" s="134"/>
      <c r="L1141" s="136">
        <v>30</v>
      </c>
      <c r="M1141" s="181"/>
      <c r="N1141" s="159"/>
      <c r="O1141" s="159"/>
      <c r="P1141" s="136" t="s">
        <v>174</v>
      </c>
    </row>
    <row r="1142" spans="1:16" ht="16.5" customHeight="1" x14ac:dyDescent="0.25">
      <c r="A1142" s="156">
        <v>45113</v>
      </c>
      <c r="B1142" s="136" t="s">
        <v>7</v>
      </c>
      <c r="C1142" s="157" t="str">
        <f t="shared" si="34"/>
        <v>06.07.2023_STE1</v>
      </c>
      <c r="D1142" s="190">
        <f t="shared" si="35"/>
        <v>0</v>
      </c>
      <c r="E1142" s="133">
        <v>8.07</v>
      </c>
      <c r="F1142" s="134"/>
      <c r="G1142" s="135">
        <v>389</v>
      </c>
      <c r="H1142" s="137">
        <v>10.8</v>
      </c>
      <c r="I1142" s="134"/>
      <c r="J1142" s="137">
        <v>14</v>
      </c>
      <c r="K1142" s="134"/>
      <c r="L1142" s="136">
        <v>40</v>
      </c>
      <c r="M1142" s="181"/>
      <c r="N1142" s="159"/>
      <c r="O1142" s="159"/>
      <c r="P1142" s="136" t="s">
        <v>173</v>
      </c>
    </row>
    <row r="1143" spans="1:16" ht="16.5" customHeight="1" x14ac:dyDescent="0.25">
      <c r="A1143" s="156">
        <v>45113</v>
      </c>
      <c r="B1143" s="136" t="s">
        <v>9</v>
      </c>
      <c r="C1143" s="157" t="str">
        <f t="shared" si="34"/>
        <v>06.07.2023_STE2</v>
      </c>
      <c r="D1143" s="190">
        <f t="shared" si="35"/>
        <v>0</v>
      </c>
      <c r="E1143" s="133">
        <v>8.32</v>
      </c>
      <c r="F1143" s="134"/>
      <c r="G1143" s="135">
        <v>394</v>
      </c>
      <c r="H1143" s="137">
        <v>10.6</v>
      </c>
      <c r="I1143" s="134"/>
      <c r="J1143" s="137">
        <v>15.3</v>
      </c>
      <c r="K1143" s="134"/>
      <c r="L1143" s="136">
        <v>35</v>
      </c>
      <c r="M1143" s="181"/>
      <c r="N1143" s="159"/>
      <c r="O1143" s="159"/>
      <c r="P1143" s="136" t="s">
        <v>174</v>
      </c>
    </row>
    <row r="1144" spans="1:16" ht="16.5" customHeight="1" x14ac:dyDescent="0.25">
      <c r="A1144" s="156">
        <v>45127</v>
      </c>
      <c r="B1144" s="136" t="s">
        <v>22</v>
      </c>
      <c r="C1144" s="157" t="str">
        <f t="shared" si="34"/>
        <v>20.07.2023_BIE1</v>
      </c>
      <c r="D1144" s="190">
        <f t="shared" si="35"/>
        <v>0</v>
      </c>
      <c r="E1144" s="133">
        <v>8.01</v>
      </c>
      <c r="F1144" s="134"/>
      <c r="G1144" s="135">
        <v>206</v>
      </c>
      <c r="H1144" s="137">
        <v>9.4</v>
      </c>
      <c r="I1144" s="134"/>
      <c r="J1144" s="137">
        <v>16.600000000000001</v>
      </c>
      <c r="K1144" s="134"/>
      <c r="L1144" s="136">
        <v>25</v>
      </c>
      <c r="M1144" s="181"/>
      <c r="N1144" s="159"/>
      <c r="O1144" s="159"/>
      <c r="P1144" s="136"/>
    </row>
    <row r="1145" spans="1:16" ht="16.5" customHeight="1" x14ac:dyDescent="0.25">
      <c r="A1145" s="156">
        <v>45127</v>
      </c>
      <c r="B1145" s="136" t="s">
        <v>25</v>
      </c>
      <c r="C1145" s="157" t="str">
        <f t="shared" si="34"/>
        <v>20.07.2023_BIE2</v>
      </c>
      <c r="D1145" s="190">
        <f t="shared" si="35"/>
        <v>0</v>
      </c>
      <c r="E1145" s="133">
        <v>7.85</v>
      </c>
      <c r="F1145" s="134"/>
      <c r="G1145" s="135">
        <v>213</v>
      </c>
      <c r="H1145" s="137">
        <v>9.1999999999999993</v>
      </c>
      <c r="I1145" s="134"/>
      <c r="J1145" s="137">
        <v>16.399999999999999</v>
      </c>
      <c r="K1145" s="134"/>
      <c r="L1145" s="136">
        <v>40</v>
      </c>
      <c r="M1145" s="181"/>
      <c r="N1145" s="159"/>
      <c r="O1145" s="159"/>
      <c r="P1145" s="136"/>
    </row>
    <row r="1146" spans="1:16" ht="16.5" customHeight="1" x14ac:dyDescent="0.25">
      <c r="A1146" s="156">
        <v>45127</v>
      </c>
      <c r="B1146" s="136" t="s">
        <v>30</v>
      </c>
      <c r="C1146" s="157" t="str">
        <f t="shared" si="34"/>
        <v>20.07.2023_FAL1</v>
      </c>
      <c r="D1146" s="190">
        <f t="shared" si="35"/>
        <v>0</v>
      </c>
      <c r="E1146" s="133">
        <v>8.0500000000000007</v>
      </c>
      <c r="F1146" s="134"/>
      <c r="G1146" s="135">
        <v>881</v>
      </c>
      <c r="H1146" s="137">
        <v>8.8000000000000007</v>
      </c>
      <c r="I1146" s="134"/>
      <c r="J1146" s="137">
        <v>15.9</v>
      </c>
      <c r="K1146" s="134"/>
      <c r="L1146" s="136">
        <v>25</v>
      </c>
      <c r="M1146" s="181"/>
      <c r="N1146" s="159"/>
      <c r="O1146" s="159"/>
      <c r="P1146" s="136"/>
    </row>
    <row r="1147" spans="1:16" ht="16.5" customHeight="1" x14ac:dyDescent="0.25">
      <c r="A1147" s="156">
        <v>45127</v>
      </c>
      <c r="B1147" s="136" t="s">
        <v>32</v>
      </c>
      <c r="C1147" s="157" t="str">
        <f t="shared" si="34"/>
        <v>20.07.2023_FAL2</v>
      </c>
      <c r="D1147" s="190">
        <f t="shared" si="35"/>
        <v>0</v>
      </c>
      <c r="E1147" s="185">
        <v>8.1999999999999993</v>
      </c>
      <c r="F1147" s="161" t="s">
        <v>269</v>
      </c>
      <c r="G1147" s="135">
        <v>841</v>
      </c>
      <c r="H1147" s="137">
        <v>8.6</v>
      </c>
      <c r="I1147" s="161"/>
      <c r="J1147" s="137">
        <v>16.5</v>
      </c>
      <c r="K1147" s="161"/>
      <c r="L1147" s="136">
        <v>25</v>
      </c>
      <c r="M1147" s="181"/>
      <c r="N1147" s="159" t="s">
        <v>335</v>
      </c>
      <c r="O1147" s="159"/>
      <c r="P1147" s="136"/>
    </row>
    <row r="1148" spans="1:16" ht="16.5" customHeight="1" x14ac:dyDescent="0.25">
      <c r="A1148" s="156">
        <v>45127</v>
      </c>
      <c r="B1148" s="136" t="s">
        <v>26</v>
      </c>
      <c r="C1148" s="157" t="str">
        <f t="shared" si="34"/>
        <v>20.07.2023_GRU1</v>
      </c>
      <c r="D1148" s="190">
        <f t="shared" si="35"/>
        <v>0</v>
      </c>
      <c r="E1148" s="133">
        <v>7.55</v>
      </c>
      <c r="F1148" s="134"/>
      <c r="G1148" s="135">
        <v>161.69999999999999</v>
      </c>
      <c r="H1148" s="137">
        <v>9.6</v>
      </c>
      <c r="I1148" s="134"/>
      <c r="J1148" s="137">
        <v>16.399999999999999</v>
      </c>
      <c r="K1148" s="134"/>
      <c r="L1148" s="136">
        <v>30</v>
      </c>
      <c r="M1148" s="181"/>
      <c r="N1148" s="159"/>
      <c r="O1148" s="159"/>
      <c r="P1148" s="136"/>
    </row>
    <row r="1149" spans="1:16" ht="16.5" customHeight="1" x14ac:dyDescent="0.25">
      <c r="A1149" s="156">
        <v>45127</v>
      </c>
      <c r="B1149" s="136" t="s">
        <v>28</v>
      </c>
      <c r="C1149" s="157" t="str">
        <f t="shared" si="34"/>
        <v>20.07.2023_GRU2</v>
      </c>
      <c r="D1149" s="190">
        <f t="shared" si="35"/>
        <v>0</v>
      </c>
      <c r="E1149" s="133">
        <v>7.4</v>
      </c>
      <c r="F1149" s="134"/>
      <c r="G1149" s="135">
        <v>186.7</v>
      </c>
      <c r="H1149" s="137">
        <v>8.6</v>
      </c>
      <c r="I1149" s="134"/>
      <c r="J1149" s="137">
        <v>16.8</v>
      </c>
      <c r="K1149" s="134"/>
      <c r="L1149" s="136">
        <v>40</v>
      </c>
      <c r="M1149" s="181"/>
      <c r="N1149" s="159"/>
      <c r="O1149" s="159"/>
      <c r="P1149" s="136"/>
    </row>
    <row r="1150" spans="1:16" ht="16.5" customHeight="1" x14ac:dyDescent="0.25">
      <c r="A1150" s="156">
        <v>45127</v>
      </c>
      <c r="B1150" s="136" t="s">
        <v>34</v>
      </c>
      <c r="C1150" s="157" t="str">
        <f t="shared" si="34"/>
        <v>20.07.2023_KRE1</v>
      </c>
      <c r="D1150" s="190">
        <f t="shared" si="35"/>
        <v>0</v>
      </c>
      <c r="E1150" s="133">
        <v>8.0299999999999994</v>
      </c>
      <c r="F1150" s="134"/>
      <c r="G1150" s="135">
        <v>988</v>
      </c>
      <c r="H1150" s="137">
        <v>6.8</v>
      </c>
      <c r="I1150" s="134"/>
      <c r="J1150" s="137">
        <v>17.899999999999999</v>
      </c>
      <c r="K1150" s="134"/>
      <c r="L1150" s="136">
        <v>30</v>
      </c>
      <c r="M1150" s="181"/>
      <c r="N1150" s="159"/>
      <c r="O1150" s="159"/>
      <c r="P1150" s="136"/>
    </row>
    <row r="1151" spans="1:16" ht="16.5" customHeight="1" x14ac:dyDescent="0.25">
      <c r="A1151" s="156">
        <v>45127</v>
      </c>
      <c r="B1151" s="136" t="s">
        <v>37</v>
      </c>
      <c r="C1151" s="157" t="str">
        <f t="shared" si="34"/>
        <v>20.07.2023_KRE2</v>
      </c>
      <c r="D1151" s="190">
        <f t="shared" si="35"/>
        <v>0</v>
      </c>
      <c r="E1151" s="133">
        <v>7.95</v>
      </c>
      <c r="F1151" s="134"/>
      <c r="G1151" s="135">
        <v>959</v>
      </c>
      <c r="H1151" s="137">
        <v>6.6</v>
      </c>
      <c r="I1151" s="134"/>
      <c r="J1151" s="137">
        <v>16.5</v>
      </c>
      <c r="K1151" s="134"/>
      <c r="L1151" s="136">
        <v>20</v>
      </c>
      <c r="M1151" s="181"/>
      <c r="N1151" s="159"/>
      <c r="O1151" s="159"/>
      <c r="P1151" s="136"/>
    </row>
    <row r="1152" spans="1:16" ht="16.5" customHeight="1" x14ac:dyDescent="0.25">
      <c r="A1152" s="156">
        <v>45127</v>
      </c>
      <c r="B1152" s="136" t="s">
        <v>14</v>
      </c>
      <c r="C1152" s="157" t="str">
        <f t="shared" si="34"/>
        <v>20.07.2023_BRA1</v>
      </c>
      <c r="D1152" s="190">
        <f t="shared" si="35"/>
        <v>0</v>
      </c>
      <c r="E1152" s="133">
        <v>7.95</v>
      </c>
      <c r="F1152" s="134"/>
      <c r="G1152" s="135">
        <v>165</v>
      </c>
      <c r="H1152" s="137">
        <v>9.6999999999999993</v>
      </c>
      <c r="I1152" s="134"/>
      <c r="J1152" s="137">
        <v>17.7</v>
      </c>
      <c r="K1152" s="134"/>
      <c r="L1152" s="136">
        <v>20</v>
      </c>
      <c r="M1152" s="181"/>
      <c r="N1152" s="159"/>
      <c r="O1152" s="159"/>
      <c r="P1152" s="136" t="s">
        <v>174</v>
      </c>
    </row>
    <row r="1153" spans="1:16" ht="16.5" customHeight="1" x14ac:dyDescent="0.25">
      <c r="A1153" s="156">
        <v>45127</v>
      </c>
      <c r="B1153" s="136" t="s">
        <v>17</v>
      </c>
      <c r="C1153" s="157" t="str">
        <f t="shared" si="34"/>
        <v>20.07.2023_BRA2</v>
      </c>
      <c r="D1153" s="190">
        <f t="shared" si="35"/>
        <v>0</v>
      </c>
      <c r="E1153" s="133">
        <v>8.14</v>
      </c>
      <c r="F1153" s="134"/>
      <c r="G1153" s="135">
        <v>177</v>
      </c>
      <c r="H1153" s="137">
        <v>10.199999999999999</v>
      </c>
      <c r="I1153" s="134"/>
      <c r="J1153" s="137">
        <v>16.3</v>
      </c>
      <c r="K1153" s="134"/>
      <c r="L1153" s="136">
        <v>30</v>
      </c>
      <c r="M1153" s="181"/>
      <c r="N1153" s="159"/>
      <c r="O1153" s="159"/>
      <c r="P1153" s="136" t="s">
        <v>173</v>
      </c>
    </row>
    <row r="1154" spans="1:16" ht="16.5" customHeight="1" x14ac:dyDescent="0.25">
      <c r="A1154" s="156">
        <v>45127</v>
      </c>
      <c r="B1154" s="136" t="s">
        <v>0</v>
      </c>
      <c r="C1154" s="157" t="str">
        <f t="shared" si="34"/>
        <v>20.07.2023_KIN1</v>
      </c>
      <c r="D1154" s="190">
        <f t="shared" si="35"/>
        <v>0</v>
      </c>
      <c r="E1154" s="133">
        <v>8.32</v>
      </c>
      <c r="F1154" s="134"/>
      <c r="G1154" s="135">
        <v>384</v>
      </c>
      <c r="H1154" s="137">
        <v>10.199999999999999</v>
      </c>
      <c r="I1154" s="134"/>
      <c r="J1154" s="137">
        <v>15.8</v>
      </c>
      <c r="K1154" s="134"/>
      <c r="L1154" s="136">
        <v>35</v>
      </c>
      <c r="M1154" s="181"/>
      <c r="N1154" s="159"/>
      <c r="O1154" s="159"/>
      <c r="P1154" s="136" t="s">
        <v>215</v>
      </c>
    </row>
    <row r="1155" spans="1:16" ht="16.5" customHeight="1" x14ac:dyDescent="0.25">
      <c r="A1155" s="156">
        <v>45127</v>
      </c>
      <c r="B1155" s="136" t="s">
        <v>2</v>
      </c>
      <c r="C1155" s="157" t="str">
        <f t="shared" si="34"/>
        <v>20.07.2023_KIN2</v>
      </c>
      <c r="D1155" s="190">
        <f t="shared" si="35"/>
        <v>0</v>
      </c>
      <c r="E1155" s="133">
        <v>8.18</v>
      </c>
      <c r="F1155" s="134"/>
      <c r="G1155" s="135">
        <v>434</v>
      </c>
      <c r="H1155" s="137">
        <v>10.4</v>
      </c>
      <c r="I1155" s="134"/>
      <c r="J1155" s="137">
        <v>15.4</v>
      </c>
      <c r="K1155" s="134"/>
      <c r="L1155" s="136">
        <v>35</v>
      </c>
      <c r="M1155" s="181"/>
      <c r="N1155" s="159"/>
      <c r="O1155" s="159"/>
      <c r="P1155" s="136" t="s">
        <v>173</v>
      </c>
    </row>
    <row r="1156" spans="1:16" ht="16.5" customHeight="1" x14ac:dyDescent="0.25">
      <c r="A1156" s="156">
        <v>45127</v>
      </c>
      <c r="B1156" s="136" t="s">
        <v>4</v>
      </c>
      <c r="C1156" s="157" t="str">
        <f t="shared" si="34"/>
        <v>20.07.2023_KIN3</v>
      </c>
      <c r="D1156" s="190">
        <f t="shared" si="35"/>
        <v>0</v>
      </c>
      <c r="E1156" s="133">
        <v>8.24</v>
      </c>
      <c r="F1156" s="134"/>
      <c r="G1156" s="135">
        <v>433</v>
      </c>
      <c r="H1156" s="137">
        <v>10.1</v>
      </c>
      <c r="I1156" s="134"/>
      <c r="J1156" s="137">
        <v>16.100000000000001</v>
      </c>
      <c r="K1156" s="134"/>
      <c r="L1156" s="136">
        <v>65</v>
      </c>
      <c r="M1156" s="181"/>
      <c r="N1156" s="159"/>
      <c r="O1156" s="159"/>
      <c r="P1156" s="136" t="s">
        <v>174</v>
      </c>
    </row>
    <row r="1157" spans="1:16" ht="16.5" customHeight="1" x14ac:dyDescent="0.25">
      <c r="A1157" s="156">
        <v>45127</v>
      </c>
      <c r="B1157" s="136" t="s">
        <v>6</v>
      </c>
      <c r="C1157" s="157" t="str">
        <f t="shared" ref="C1157:C1220" si="36">CONCATENATE(TEXT(A1157,"TT.MM.JJJJ"),"_",B1157)</f>
        <v>20.07.2023_KIN4</v>
      </c>
      <c r="D1157" s="190">
        <f t="shared" ref="D1157:D1220" si="37">COUNTBLANK(E1157)+COUNTBLANK(G1157:H1157)+COUNTBLANK(J1157)+COUNTBLANK(L1157)</f>
        <v>0</v>
      </c>
      <c r="E1157" s="133">
        <v>8.11</v>
      </c>
      <c r="F1157" s="134"/>
      <c r="G1157" s="135">
        <v>473</v>
      </c>
      <c r="H1157" s="137">
        <v>9.6</v>
      </c>
      <c r="I1157" s="134"/>
      <c r="J1157" s="137">
        <v>16.899999999999999</v>
      </c>
      <c r="K1157" s="134"/>
      <c r="L1157" s="136">
        <v>45</v>
      </c>
      <c r="M1157" s="181"/>
      <c r="N1157" s="159"/>
      <c r="O1157" s="159"/>
      <c r="P1157" s="136" t="s">
        <v>174</v>
      </c>
    </row>
    <row r="1158" spans="1:16" ht="16.5" customHeight="1" x14ac:dyDescent="0.25">
      <c r="A1158" s="156">
        <v>45127</v>
      </c>
      <c r="B1158" s="136" t="s">
        <v>18</v>
      </c>
      <c r="C1158" s="157" t="str">
        <f t="shared" si="36"/>
        <v>20.07.2023_ORB1</v>
      </c>
      <c r="D1158" s="190">
        <f t="shared" si="37"/>
        <v>0</v>
      </c>
      <c r="E1158" s="133">
        <v>8.02</v>
      </c>
      <c r="F1158" s="134"/>
      <c r="G1158" s="135">
        <v>118.3</v>
      </c>
      <c r="H1158" s="137">
        <v>10.3</v>
      </c>
      <c r="I1158" s="134"/>
      <c r="J1158" s="137">
        <v>16</v>
      </c>
      <c r="K1158" s="134"/>
      <c r="L1158" s="136">
        <v>20</v>
      </c>
      <c r="M1158" s="181"/>
      <c r="N1158" s="159"/>
      <c r="O1158" s="159"/>
      <c r="P1158" s="136" t="s">
        <v>174</v>
      </c>
    </row>
    <row r="1159" spans="1:16" ht="16.5" customHeight="1" x14ac:dyDescent="0.25">
      <c r="A1159" s="156">
        <v>45127</v>
      </c>
      <c r="B1159" s="136" t="s">
        <v>21</v>
      </c>
      <c r="C1159" s="157" t="str">
        <f t="shared" si="36"/>
        <v>20.07.2023_ORB2</v>
      </c>
      <c r="D1159" s="190">
        <f t="shared" si="37"/>
        <v>0</v>
      </c>
      <c r="E1159" s="133">
        <v>7.2</v>
      </c>
      <c r="F1159" s="134"/>
      <c r="G1159" s="135">
        <v>168.2</v>
      </c>
      <c r="H1159" s="137">
        <v>9.8000000000000007</v>
      </c>
      <c r="I1159" s="134"/>
      <c r="J1159" s="137">
        <v>15.8</v>
      </c>
      <c r="K1159" s="134"/>
      <c r="L1159" s="136">
        <v>25</v>
      </c>
      <c r="M1159" s="181"/>
      <c r="N1159" s="159"/>
      <c r="O1159" s="159"/>
      <c r="P1159" s="136" t="s">
        <v>173</v>
      </c>
    </row>
    <row r="1160" spans="1:16" ht="16.5" customHeight="1" x14ac:dyDescent="0.25">
      <c r="A1160" s="156">
        <v>45127</v>
      </c>
      <c r="B1160" s="136" t="s">
        <v>10</v>
      </c>
      <c r="C1160" s="157" t="str">
        <f t="shared" si="36"/>
        <v>20.07.2023_SAL1</v>
      </c>
      <c r="D1160" s="190">
        <f t="shared" si="37"/>
        <v>0</v>
      </c>
      <c r="E1160" s="133">
        <v>8.08</v>
      </c>
      <c r="F1160" s="134"/>
      <c r="G1160" s="135">
        <v>192</v>
      </c>
      <c r="H1160" s="137">
        <v>10.5</v>
      </c>
      <c r="I1160" s="134"/>
      <c r="J1160" s="137">
        <v>15.7</v>
      </c>
      <c r="K1160" s="134"/>
      <c r="L1160" s="136">
        <v>30</v>
      </c>
      <c r="M1160" s="181"/>
      <c r="N1160" s="159"/>
      <c r="O1160" s="159"/>
      <c r="P1160" s="136" t="s">
        <v>174</v>
      </c>
    </row>
    <row r="1161" spans="1:16" ht="16.5" customHeight="1" x14ac:dyDescent="0.25">
      <c r="A1161" s="156">
        <v>45127</v>
      </c>
      <c r="B1161" s="136" t="s">
        <v>12</v>
      </c>
      <c r="C1161" s="157" t="str">
        <f t="shared" si="36"/>
        <v>20.07.2023_SAL2</v>
      </c>
      <c r="D1161" s="190">
        <f t="shared" si="37"/>
        <v>0</v>
      </c>
      <c r="E1161" s="133">
        <v>8.23</v>
      </c>
      <c r="F1161" s="134"/>
      <c r="G1161" s="135">
        <v>205</v>
      </c>
      <c r="H1161" s="137">
        <v>10.8</v>
      </c>
      <c r="I1161" s="134"/>
      <c r="J1161" s="137">
        <v>16</v>
      </c>
      <c r="K1161" s="134"/>
      <c r="L1161" s="136">
        <v>30</v>
      </c>
      <c r="M1161" s="181"/>
      <c r="N1161" s="159"/>
      <c r="O1161" s="159"/>
      <c r="P1161" s="136" t="s">
        <v>174</v>
      </c>
    </row>
    <row r="1162" spans="1:16" ht="16.5" customHeight="1" x14ac:dyDescent="0.25">
      <c r="A1162" s="156">
        <v>45127</v>
      </c>
      <c r="B1162" s="136" t="s">
        <v>7</v>
      </c>
      <c r="C1162" s="157" t="str">
        <f t="shared" si="36"/>
        <v>20.07.2023_STE1</v>
      </c>
      <c r="D1162" s="190">
        <f t="shared" si="37"/>
        <v>0</v>
      </c>
      <c r="E1162" s="133">
        <v>8.1300000000000008</v>
      </c>
      <c r="F1162" s="134"/>
      <c r="G1162" s="135">
        <v>304</v>
      </c>
      <c r="H1162" s="137">
        <v>10.5</v>
      </c>
      <c r="I1162" s="134"/>
      <c r="J1162" s="137">
        <v>14.9</v>
      </c>
      <c r="K1162" s="134"/>
      <c r="L1162" s="136">
        <v>40</v>
      </c>
      <c r="M1162" s="181"/>
      <c r="N1162" s="159"/>
      <c r="O1162" s="159"/>
      <c r="P1162" s="136" t="s">
        <v>173</v>
      </c>
    </row>
    <row r="1163" spans="1:16" ht="16.5" customHeight="1" x14ac:dyDescent="0.25">
      <c r="A1163" s="156">
        <v>45127</v>
      </c>
      <c r="B1163" s="136" t="s">
        <v>9</v>
      </c>
      <c r="C1163" s="157" t="str">
        <f t="shared" si="36"/>
        <v>20.07.2023_STE2</v>
      </c>
      <c r="D1163" s="190">
        <f t="shared" si="37"/>
        <v>0</v>
      </c>
      <c r="E1163" s="133">
        <v>8.35</v>
      </c>
      <c r="F1163" s="134"/>
      <c r="G1163" s="135">
        <v>314</v>
      </c>
      <c r="H1163" s="137">
        <v>10.3</v>
      </c>
      <c r="I1163" s="134"/>
      <c r="J1163" s="137">
        <v>15.9</v>
      </c>
      <c r="K1163" s="134"/>
      <c r="L1163" s="136">
        <v>35</v>
      </c>
      <c r="M1163" s="181"/>
      <c r="N1163" s="159"/>
      <c r="O1163" s="159"/>
      <c r="P1163" s="136" t="s">
        <v>174</v>
      </c>
    </row>
    <row r="1164" spans="1:16" ht="16.5" customHeight="1" x14ac:dyDescent="0.25">
      <c r="A1164" s="156">
        <v>45142</v>
      </c>
      <c r="B1164" s="136" t="s">
        <v>22</v>
      </c>
      <c r="C1164" s="157" t="str">
        <f t="shared" si="36"/>
        <v>04.08.2023_BIE1</v>
      </c>
      <c r="D1164" s="190">
        <f t="shared" si="37"/>
        <v>0</v>
      </c>
      <c r="E1164" s="133">
        <v>7.84</v>
      </c>
      <c r="F1164" s="134"/>
      <c r="G1164" s="135">
        <v>182</v>
      </c>
      <c r="H1164" s="137">
        <v>9.3000000000000007</v>
      </c>
      <c r="I1164" s="134"/>
      <c r="J1164" s="137">
        <v>15.4</v>
      </c>
      <c r="K1164" s="134"/>
      <c r="L1164" s="136">
        <v>30</v>
      </c>
      <c r="M1164" s="181"/>
      <c r="N1164" s="159"/>
      <c r="O1164" s="159"/>
      <c r="P1164" s="136"/>
    </row>
    <row r="1165" spans="1:16" ht="16.5" customHeight="1" x14ac:dyDescent="0.25">
      <c r="A1165" s="156">
        <v>45142</v>
      </c>
      <c r="B1165" s="136" t="s">
        <v>25</v>
      </c>
      <c r="C1165" s="157" t="str">
        <f t="shared" si="36"/>
        <v>04.08.2023_BIE2</v>
      </c>
      <c r="D1165" s="190">
        <f t="shared" si="37"/>
        <v>0</v>
      </c>
      <c r="E1165" s="185">
        <v>7.8</v>
      </c>
      <c r="F1165" s="161" t="s">
        <v>269</v>
      </c>
      <c r="G1165" s="135">
        <v>192</v>
      </c>
      <c r="H1165" s="137">
        <v>9</v>
      </c>
      <c r="I1165" s="161"/>
      <c r="J1165" s="137">
        <v>15.6</v>
      </c>
      <c r="K1165" s="161"/>
      <c r="L1165" s="136">
        <v>50</v>
      </c>
      <c r="M1165" s="181"/>
      <c r="N1165" s="159" t="s">
        <v>336</v>
      </c>
      <c r="O1165" s="159"/>
      <c r="P1165" s="136"/>
    </row>
    <row r="1166" spans="1:16" ht="16.5" customHeight="1" x14ac:dyDescent="0.25">
      <c r="A1166" s="156">
        <v>45142</v>
      </c>
      <c r="B1166" s="136" t="s">
        <v>30</v>
      </c>
      <c r="C1166" s="157" t="str">
        <f t="shared" si="36"/>
        <v>04.08.2023_FAL1</v>
      </c>
      <c r="D1166" s="190">
        <f t="shared" si="37"/>
        <v>0</v>
      </c>
      <c r="E1166" s="133">
        <v>7.9</v>
      </c>
      <c r="F1166" s="134"/>
      <c r="G1166" s="135">
        <v>568</v>
      </c>
      <c r="H1166" s="137">
        <v>8.6</v>
      </c>
      <c r="I1166" s="134"/>
      <c r="J1166" s="137">
        <v>16.7</v>
      </c>
      <c r="K1166" s="134"/>
      <c r="L1166" s="136">
        <v>45</v>
      </c>
      <c r="M1166" s="181"/>
      <c r="N1166" s="159"/>
      <c r="O1166" s="159"/>
      <c r="P1166" s="136"/>
    </row>
    <row r="1167" spans="1:16" ht="16.5" customHeight="1" x14ac:dyDescent="0.25">
      <c r="A1167" s="156">
        <v>45142</v>
      </c>
      <c r="B1167" s="136" t="s">
        <v>32</v>
      </c>
      <c r="C1167" s="157" t="str">
        <f t="shared" si="36"/>
        <v>04.08.2023_FAL2</v>
      </c>
      <c r="D1167" s="190">
        <f t="shared" si="37"/>
        <v>0</v>
      </c>
      <c r="E1167" s="133">
        <v>7.84</v>
      </c>
      <c r="F1167" s="134"/>
      <c r="G1167" s="135">
        <v>480</v>
      </c>
      <c r="H1167" s="137">
        <v>6.3</v>
      </c>
      <c r="I1167" s="134"/>
      <c r="J1167" s="137">
        <v>16.899999999999999</v>
      </c>
      <c r="K1167" s="134"/>
      <c r="L1167" s="136">
        <v>75</v>
      </c>
      <c r="M1167" s="181"/>
      <c r="N1167" s="159"/>
      <c r="O1167" s="159"/>
      <c r="P1167" s="136"/>
    </row>
    <row r="1168" spans="1:16" ht="16.5" customHeight="1" x14ac:dyDescent="0.25">
      <c r="A1168" s="156">
        <v>45142</v>
      </c>
      <c r="B1168" s="136" t="s">
        <v>26</v>
      </c>
      <c r="C1168" s="157" t="str">
        <f t="shared" si="36"/>
        <v>04.08.2023_GRU1</v>
      </c>
      <c r="D1168" s="190">
        <f t="shared" si="37"/>
        <v>0</v>
      </c>
      <c r="E1168" s="185">
        <v>7.6</v>
      </c>
      <c r="F1168" s="161" t="s">
        <v>269</v>
      </c>
      <c r="G1168" s="135">
        <v>168.3</v>
      </c>
      <c r="H1168" s="137">
        <v>9.5</v>
      </c>
      <c r="I1168" s="161"/>
      <c r="J1168" s="137">
        <v>16.3</v>
      </c>
      <c r="K1168" s="161"/>
      <c r="L1168" s="136">
        <v>35</v>
      </c>
      <c r="M1168" s="181"/>
      <c r="N1168" s="159" t="s">
        <v>337</v>
      </c>
      <c r="O1168" s="159"/>
      <c r="P1168" s="136"/>
    </row>
    <row r="1169" spans="1:16" ht="16.5" customHeight="1" x14ac:dyDescent="0.25">
      <c r="A1169" s="156">
        <v>45142</v>
      </c>
      <c r="B1169" s="136" t="s">
        <v>28</v>
      </c>
      <c r="C1169" s="157" t="str">
        <f t="shared" si="36"/>
        <v>04.08.2023_GRU2</v>
      </c>
      <c r="D1169" s="190">
        <f t="shared" si="37"/>
        <v>0</v>
      </c>
      <c r="E1169" s="133">
        <v>7.65</v>
      </c>
      <c r="F1169" s="134"/>
      <c r="G1169" s="135">
        <v>161.30000000000001</v>
      </c>
      <c r="H1169" s="137">
        <v>8.9</v>
      </c>
      <c r="I1169" s="134"/>
      <c r="J1169" s="137">
        <v>16.100000000000001</v>
      </c>
      <c r="K1169" s="134"/>
      <c r="L1169" s="136">
        <v>50</v>
      </c>
      <c r="M1169" s="181"/>
      <c r="N1169" s="159"/>
      <c r="O1169" s="159"/>
      <c r="P1169" s="136"/>
    </row>
    <row r="1170" spans="1:16" ht="16.5" customHeight="1" x14ac:dyDescent="0.25">
      <c r="A1170" s="156">
        <v>45142</v>
      </c>
      <c r="B1170" s="136" t="s">
        <v>34</v>
      </c>
      <c r="C1170" s="157" t="str">
        <f t="shared" si="36"/>
        <v>04.08.2023_KRE1</v>
      </c>
      <c r="D1170" s="190">
        <f t="shared" si="37"/>
        <v>0</v>
      </c>
      <c r="E1170" s="133">
        <v>7.8</v>
      </c>
      <c r="F1170" s="134"/>
      <c r="G1170" s="135">
        <v>524</v>
      </c>
      <c r="H1170" s="137">
        <v>7.4</v>
      </c>
      <c r="I1170" s="134"/>
      <c r="J1170" s="137">
        <v>17.399999999999999</v>
      </c>
      <c r="K1170" s="134"/>
      <c r="L1170" s="136">
        <v>50</v>
      </c>
      <c r="M1170" s="181"/>
      <c r="N1170" s="159"/>
      <c r="O1170" s="159"/>
      <c r="P1170" s="136"/>
    </row>
    <row r="1171" spans="1:16" ht="16.5" customHeight="1" x14ac:dyDescent="0.25">
      <c r="A1171" s="156">
        <v>45142</v>
      </c>
      <c r="B1171" s="136" t="s">
        <v>37</v>
      </c>
      <c r="C1171" s="157" t="str">
        <f t="shared" si="36"/>
        <v>04.08.2023_KRE2</v>
      </c>
      <c r="D1171" s="190">
        <f t="shared" si="37"/>
        <v>0</v>
      </c>
      <c r="E1171" s="185">
        <v>7.6</v>
      </c>
      <c r="F1171" s="161" t="s">
        <v>269</v>
      </c>
      <c r="G1171" s="135">
        <v>329</v>
      </c>
      <c r="H1171" s="137">
        <v>6</v>
      </c>
      <c r="I1171" s="161"/>
      <c r="J1171" s="137">
        <v>17.399999999999999</v>
      </c>
      <c r="K1171" s="161"/>
      <c r="L1171" s="136">
        <v>60</v>
      </c>
      <c r="M1171" s="181"/>
      <c r="N1171" s="159" t="s">
        <v>337</v>
      </c>
      <c r="O1171" s="159"/>
      <c r="P1171" s="136"/>
    </row>
    <row r="1172" spans="1:16" ht="16.5" customHeight="1" x14ac:dyDescent="0.25">
      <c r="A1172" s="156">
        <v>45142</v>
      </c>
      <c r="B1172" s="136" t="s">
        <v>14</v>
      </c>
      <c r="C1172" s="157" t="str">
        <f t="shared" si="36"/>
        <v>04.08.2023_BRA1</v>
      </c>
      <c r="D1172" s="190">
        <f t="shared" si="37"/>
        <v>0</v>
      </c>
      <c r="E1172" s="133">
        <v>7.48</v>
      </c>
      <c r="F1172" s="134"/>
      <c r="G1172" s="135">
        <v>150.9</v>
      </c>
      <c r="H1172" s="137">
        <v>10.1</v>
      </c>
      <c r="I1172" s="134"/>
      <c r="J1172" s="137">
        <v>15.4</v>
      </c>
      <c r="K1172" s="134"/>
      <c r="L1172" s="136">
        <v>25</v>
      </c>
      <c r="M1172" s="181"/>
      <c r="N1172" s="159"/>
      <c r="O1172" s="159"/>
      <c r="P1172" s="136" t="s">
        <v>174</v>
      </c>
    </row>
    <row r="1173" spans="1:16" ht="16.5" customHeight="1" x14ac:dyDescent="0.25">
      <c r="A1173" s="156">
        <v>45142</v>
      </c>
      <c r="B1173" s="136" t="s">
        <v>17</v>
      </c>
      <c r="C1173" s="157" t="str">
        <f t="shared" si="36"/>
        <v>04.08.2023_BRA2</v>
      </c>
      <c r="D1173" s="190">
        <f t="shared" si="37"/>
        <v>0</v>
      </c>
      <c r="E1173" s="133">
        <v>7.86</v>
      </c>
      <c r="F1173" s="134"/>
      <c r="G1173" s="135">
        <v>170.1</v>
      </c>
      <c r="H1173" s="137">
        <v>9.9</v>
      </c>
      <c r="I1173" s="134"/>
      <c r="J1173" s="137">
        <v>16</v>
      </c>
      <c r="K1173" s="134"/>
      <c r="L1173" s="136">
        <v>40</v>
      </c>
      <c r="M1173" s="181"/>
      <c r="N1173" s="159"/>
      <c r="O1173" s="159"/>
      <c r="P1173" s="136" t="s">
        <v>173</v>
      </c>
    </row>
    <row r="1174" spans="1:16" ht="16.5" customHeight="1" x14ac:dyDescent="0.25">
      <c r="A1174" s="156">
        <v>45142</v>
      </c>
      <c r="B1174" s="136" t="s">
        <v>0</v>
      </c>
      <c r="C1174" s="157" t="str">
        <f t="shared" si="36"/>
        <v>04.08.2023_KIN1</v>
      </c>
      <c r="D1174" s="190">
        <f t="shared" si="37"/>
        <v>0</v>
      </c>
      <c r="E1174" s="133">
        <v>8.25</v>
      </c>
      <c r="F1174" s="134"/>
      <c r="G1174" s="135">
        <v>271</v>
      </c>
      <c r="H1174" s="137">
        <v>9.6999999999999993</v>
      </c>
      <c r="I1174" s="134"/>
      <c r="J1174" s="137">
        <v>15.1</v>
      </c>
      <c r="K1174" s="134"/>
      <c r="L1174" s="136">
        <v>45</v>
      </c>
      <c r="M1174" s="181"/>
      <c r="N1174" s="159"/>
      <c r="O1174" s="159"/>
      <c r="P1174" s="136" t="s">
        <v>215</v>
      </c>
    </row>
    <row r="1175" spans="1:16" ht="16.5" customHeight="1" x14ac:dyDescent="0.25">
      <c r="A1175" s="156">
        <v>45142</v>
      </c>
      <c r="B1175" s="136" t="s">
        <v>2</v>
      </c>
      <c r="C1175" s="157" t="str">
        <f t="shared" si="36"/>
        <v>04.08.2023_KIN2</v>
      </c>
      <c r="D1175" s="190">
        <f t="shared" si="37"/>
        <v>0</v>
      </c>
      <c r="E1175" s="133">
        <v>8.1</v>
      </c>
      <c r="F1175" s="134"/>
      <c r="G1175" s="135">
        <v>297</v>
      </c>
      <c r="H1175" s="137">
        <v>9.8000000000000007</v>
      </c>
      <c r="I1175" s="134"/>
      <c r="J1175" s="137">
        <v>15</v>
      </c>
      <c r="K1175" s="134"/>
      <c r="L1175" s="136">
        <v>45</v>
      </c>
      <c r="M1175" s="181"/>
      <c r="N1175" s="159"/>
      <c r="O1175" s="159"/>
      <c r="P1175" s="136" t="s">
        <v>173</v>
      </c>
    </row>
    <row r="1176" spans="1:16" ht="16.5" customHeight="1" x14ac:dyDescent="0.25">
      <c r="A1176" s="156">
        <v>45142</v>
      </c>
      <c r="B1176" s="136" t="s">
        <v>4</v>
      </c>
      <c r="C1176" s="157" t="str">
        <f t="shared" si="36"/>
        <v>04.08.2023_KIN3</v>
      </c>
      <c r="D1176" s="190">
        <f t="shared" si="37"/>
        <v>0</v>
      </c>
      <c r="E1176" s="133">
        <v>8.15</v>
      </c>
      <c r="F1176" s="134"/>
      <c r="G1176" s="135">
        <v>270</v>
      </c>
      <c r="H1176" s="137">
        <v>9.8000000000000007</v>
      </c>
      <c r="I1176" s="134"/>
      <c r="J1176" s="137">
        <v>15.1</v>
      </c>
      <c r="K1176" s="134"/>
      <c r="L1176" s="136">
        <v>80</v>
      </c>
      <c r="M1176" s="181"/>
      <c r="N1176" s="159"/>
      <c r="O1176" s="159"/>
      <c r="P1176" s="136" t="s">
        <v>174</v>
      </c>
    </row>
    <row r="1177" spans="1:16" ht="16.5" customHeight="1" x14ac:dyDescent="0.25">
      <c r="A1177" s="156">
        <v>45142</v>
      </c>
      <c r="B1177" s="136" t="s">
        <v>6</v>
      </c>
      <c r="C1177" s="157" t="str">
        <f t="shared" si="36"/>
        <v>04.08.2023_KIN4</v>
      </c>
      <c r="D1177" s="190">
        <f t="shared" si="37"/>
        <v>0</v>
      </c>
      <c r="E1177" s="133">
        <v>8.0299999999999994</v>
      </c>
      <c r="F1177" s="134"/>
      <c r="G1177" s="135">
        <v>275</v>
      </c>
      <c r="H1177" s="137">
        <v>9.4</v>
      </c>
      <c r="I1177" s="134"/>
      <c r="J1177" s="137">
        <v>15.4</v>
      </c>
      <c r="K1177" s="134"/>
      <c r="L1177" s="136">
        <v>70</v>
      </c>
      <c r="M1177" s="181"/>
      <c r="N1177" s="159"/>
      <c r="O1177" s="159"/>
      <c r="P1177" s="136" t="s">
        <v>174</v>
      </c>
    </row>
    <row r="1178" spans="1:16" ht="16.5" customHeight="1" x14ac:dyDescent="0.25">
      <c r="A1178" s="156">
        <v>45142</v>
      </c>
      <c r="B1178" s="136" t="s">
        <v>18</v>
      </c>
      <c r="C1178" s="157" t="str">
        <f t="shared" si="36"/>
        <v>04.08.2023_ORB1</v>
      </c>
      <c r="D1178" s="190">
        <f t="shared" si="37"/>
        <v>0</v>
      </c>
      <c r="E1178" s="133">
        <v>7.61</v>
      </c>
      <c r="F1178" s="134"/>
      <c r="G1178" s="135">
        <v>136.30000000000001</v>
      </c>
      <c r="H1178" s="137">
        <v>10.8</v>
      </c>
      <c r="I1178" s="134"/>
      <c r="J1178" s="137">
        <v>15.4</v>
      </c>
      <c r="K1178" s="134"/>
      <c r="L1178" s="136">
        <v>15</v>
      </c>
      <c r="M1178" s="181"/>
      <c r="N1178" s="159"/>
      <c r="O1178" s="159"/>
      <c r="P1178" s="136" t="s">
        <v>174</v>
      </c>
    </row>
    <row r="1179" spans="1:16" ht="16.5" customHeight="1" x14ac:dyDescent="0.25">
      <c r="A1179" s="156">
        <v>45142</v>
      </c>
      <c r="B1179" s="136" t="s">
        <v>21</v>
      </c>
      <c r="C1179" s="157" t="str">
        <f t="shared" si="36"/>
        <v>04.08.2023_ORB2</v>
      </c>
      <c r="D1179" s="190">
        <f t="shared" si="37"/>
        <v>0</v>
      </c>
      <c r="E1179" s="133">
        <v>7.32</v>
      </c>
      <c r="F1179" s="134"/>
      <c r="G1179" s="135">
        <v>178.8</v>
      </c>
      <c r="H1179" s="137">
        <v>9.9</v>
      </c>
      <c r="I1179" s="134"/>
      <c r="J1179" s="137">
        <v>18.100000000000001</v>
      </c>
      <c r="K1179" s="134"/>
      <c r="L1179" s="136">
        <v>20</v>
      </c>
      <c r="M1179" s="181"/>
      <c r="N1179" s="159"/>
      <c r="O1179" s="159"/>
      <c r="P1179" s="136" t="s">
        <v>173</v>
      </c>
    </row>
    <row r="1180" spans="1:16" ht="16.5" customHeight="1" x14ac:dyDescent="0.25">
      <c r="A1180" s="156">
        <v>45142</v>
      </c>
      <c r="B1180" s="136" t="s">
        <v>10</v>
      </c>
      <c r="C1180" s="157" t="str">
        <f t="shared" si="36"/>
        <v>04.08.2023_SAL1</v>
      </c>
      <c r="D1180" s="190">
        <f t="shared" si="37"/>
        <v>0</v>
      </c>
      <c r="E1180" s="133">
        <v>7.87</v>
      </c>
      <c r="F1180" s="134"/>
      <c r="G1180" s="135">
        <v>169.9</v>
      </c>
      <c r="H1180" s="137">
        <v>10</v>
      </c>
      <c r="I1180" s="134"/>
      <c r="J1180" s="137">
        <v>15.5</v>
      </c>
      <c r="K1180" s="134"/>
      <c r="L1180" s="136">
        <v>50</v>
      </c>
      <c r="M1180" s="181"/>
      <c r="N1180" s="159"/>
      <c r="O1180" s="159"/>
      <c r="P1180" s="136" t="s">
        <v>174</v>
      </c>
    </row>
    <row r="1181" spans="1:16" ht="16.5" customHeight="1" x14ac:dyDescent="0.25">
      <c r="A1181" s="156">
        <v>45142</v>
      </c>
      <c r="B1181" s="136" t="s">
        <v>12</v>
      </c>
      <c r="C1181" s="157" t="str">
        <f t="shared" si="36"/>
        <v>04.08.2023_SAL2</v>
      </c>
      <c r="D1181" s="190">
        <f t="shared" si="37"/>
        <v>0</v>
      </c>
      <c r="E1181" s="133">
        <v>7.91</v>
      </c>
      <c r="F1181" s="134"/>
      <c r="G1181" s="135">
        <v>183.9</v>
      </c>
      <c r="H1181" s="137">
        <v>9.9</v>
      </c>
      <c r="I1181" s="134"/>
      <c r="J1181" s="137">
        <v>15.5</v>
      </c>
      <c r="K1181" s="134"/>
      <c r="L1181" s="136">
        <v>40</v>
      </c>
      <c r="M1181" s="181"/>
      <c r="N1181" s="159"/>
      <c r="O1181" s="159"/>
      <c r="P1181" s="136" t="s">
        <v>174</v>
      </c>
    </row>
    <row r="1182" spans="1:16" ht="16.5" customHeight="1" x14ac:dyDescent="0.25">
      <c r="A1182" s="156">
        <v>45142</v>
      </c>
      <c r="B1182" s="136" t="s">
        <v>7</v>
      </c>
      <c r="C1182" s="157" t="str">
        <f t="shared" si="36"/>
        <v>04.08.2023_STE1</v>
      </c>
      <c r="D1182" s="190">
        <f t="shared" si="37"/>
        <v>0</v>
      </c>
      <c r="E1182" s="133">
        <v>7.96</v>
      </c>
      <c r="F1182" s="134"/>
      <c r="G1182" s="135">
        <v>185</v>
      </c>
      <c r="H1182" s="137">
        <v>9.8000000000000007</v>
      </c>
      <c r="I1182" s="134"/>
      <c r="J1182" s="137">
        <v>14.8</v>
      </c>
      <c r="K1182" s="134"/>
      <c r="L1182" s="136">
        <v>50</v>
      </c>
      <c r="M1182" s="181"/>
      <c r="N1182" s="159"/>
      <c r="O1182" s="159"/>
      <c r="P1182" s="136" t="s">
        <v>173</v>
      </c>
    </row>
    <row r="1183" spans="1:16" ht="16.5" customHeight="1" x14ac:dyDescent="0.25">
      <c r="A1183" s="156">
        <v>45142</v>
      </c>
      <c r="B1183" s="136" t="s">
        <v>9</v>
      </c>
      <c r="C1183" s="157" t="str">
        <f t="shared" si="36"/>
        <v>04.08.2023_STE2</v>
      </c>
      <c r="D1183" s="190">
        <f t="shared" si="37"/>
        <v>0</v>
      </c>
      <c r="E1183" s="133">
        <v>8.1</v>
      </c>
      <c r="F1183" s="134"/>
      <c r="G1183" s="135">
        <v>194</v>
      </c>
      <c r="H1183" s="137">
        <v>10</v>
      </c>
      <c r="I1183" s="134"/>
      <c r="J1183" s="137">
        <v>15.2</v>
      </c>
      <c r="K1183" s="134"/>
      <c r="L1183" s="136">
        <v>50</v>
      </c>
      <c r="M1183" s="181"/>
      <c r="N1183" s="159"/>
      <c r="O1183" s="159"/>
      <c r="P1183" s="136" t="s">
        <v>174</v>
      </c>
    </row>
    <row r="1184" spans="1:16" ht="16.5" customHeight="1" x14ac:dyDescent="0.25">
      <c r="A1184" s="156">
        <v>45155</v>
      </c>
      <c r="B1184" s="136" t="s">
        <v>22</v>
      </c>
      <c r="C1184" s="157" t="str">
        <f t="shared" si="36"/>
        <v>17.08.2023_BIE1</v>
      </c>
      <c r="D1184" s="190">
        <f t="shared" si="37"/>
        <v>0</v>
      </c>
      <c r="E1184" s="133">
        <v>7.77</v>
      </c>
      <c r="F1184" s="134"/>
      <c r="G1184" s="135">
        <v>1206</v>
      </c>
      <c r="H1184" s="137">
        <v>9.3000000000000007</v>
      </c>
      <c r="I1184" s="134"/>
      <c r="J1184" s="137">
        <v>17.600000000000001</v>
      </c>
      <c r="K1184" s="134"/>
      <c r="L1184" s="136">
        <v>35</v>
      </c>
      <c r="M1184" s="181"/>
      <c r="N1184" s="159"/>
      <c r="O1184" s="159"/>
      <c r="P1184" s="136"/>
    </row>
    <row r="1185" spans="1:16" ht="16.5" customHeight="1" x14ac:dyDescent="0.25">
      <c r="A1185" s="156">
        <v>45155</v>
      </c>
      <c r="B1185" s="136" t="s">
        <v>25</v>
      </c>
      <c r="C1185" s="157" t="str">
        <f t="shared" si="36"/>
        <v>17.08.2023_BIE2</v>
      </c>
      <c r="D1185" s="190">
        <f t="shared" si="37"/>
        <v>0</v>
      </c>
      <c r="E1185" s="133">
        <v>7.76</v>
      </c>
      <c r="F1185" s="134"/>
      <c r="G1185" s="135">
        <v>187.1</v>
      </c>
      <c r="H1185" s="137">
        <v>8.9</v>
      </c>
      <c r="I1185" s="134"/>
      <c r="J1185" s="137">
        <v>17.5</v>
      </c>
      <c r="K1185" s="134"/>
      <c r="L1185" s="136">
        <v>50</v>
      </c>
      <c r="M1185" s="181"/>
      <c r="N1185" s="159"/>
      <c r="O1185" s="159"/>
      <c r="P1185" s="136"/>
    </row>
    <row r="1186" spans="1:16" ht="16.5" customHeight="1" x14ac:dyDescent="0.25">
      <c r="A1186" s="156">
        <v>45155</v>
      </c>
      <c r="B1186" s="136" t="s">
        <v>30</v>
      </c>
      <c r="C1186" s="157" t="str">
        <f t="shared" si="36"/>
        <v>17.08.2023_FAL1</v>
      </c>
      <c r="D1186" s="190">
        <f t="shared" si="37"/>
        <v>0</v>
      </c>
      <c r="E1186" s="133">
        <v>7.8</v>
      </c>
      <c r="F1186" s="134"/>
      <c r="G1186" s="135">
        <v>710</v>
      </c>
      <c r="H1186" s="137">
        <v>8.1999999999999993</v>
      </c>
      <c r="I1186" s="134"/>
      <c r="J1186" s="137">
        <v>18.899999999999999</v>
      </c>
      <c r="K1186" s="134"/>
      <c r="L1186" s="136">
        <v>50</v>
      </c>
      <c r="M1186" s="181"/>
      <c r="N1186" s="159"/>
      <c r="O1186" s="159"/>
      <c r="P1186" s="136"/>
    </row>
    <row r="1187" spans="1:16" ht="16.5" customHeight="1" x14ac:dyDescent="0.25">
      <c r="A1187" s="156">
        <v>45155</v>
      </c>
      <c r="B1187" s="136" t="s">
        <v>32</v>
      </c>
      <c r="C1187" s="157" t="str">
        <f t="shared" si="36"/>
        <v>17.08.2023_FAL2</v>
      </c>
      <c r="D1187" s="190">
        <f t="shared" si="37"/>
        <v>0</v>
      </c>
      <c r="E1187" s="185">
        <v>7.7</v>
      </c>
      <c r="F1187" s="161" t="s">
        <v>269</v>
      </c>
      <c r="G1187" s="135">
        <v>734</v>
      </c>
      <c r="H1187" s="137">
        <v>7.9</v>
      </c>
      <c r="I1187" s="161"/>
      <c r="J1187" s="137">
        <v>19.2</v>
      </c>
      <c r="K1187" s="161"/>
      <c r="L1187" s="136">
        <v>75</v>
      </c>
      <c r="M1187" s="181"/>
      <c r="N1187" s="159" t="s">
        <v>338</v>
      </c>
      <c r="O1187" s="159"/>
      <c r="P1187" s="136"/>
    </row>
    <row r="1188" spans="1:16" ht="16.5" customHeight="1" x14ac:dyDescent="0.25">
      <c r="A1188" s="156">
        <v>45155</v>
      </c>
      <c r="B1188" s="136" t="s">
        <v>26</v>
      </c>
      <c r="C1188" s="157" t="str">
        <f t="shared" si="36"/>
        <v>17.08.2023_GRU1</v>
      </c>
      <c r="D1188" s="190">
        <f t="shared" si="37"/>
        <v>0</v>
      </c>
      <c r="E1188" s="185">
        <v>7.58</v>
      </c>
      <c r="F1188" s="161" t="s">
        <v>269</v>
      </c>
      <c r="G1188" s="135">
        <v>133.1</v>
      </c>
      <c r="H1188" s="137">
        <v>9</v>
      </c>
      <c r="I1188" s="161"/>
      <c r="J1188" s="137">
        <v>19.2</v>
      </c>
      <c r="K1188" s="161"/>
      <c r="L1188" s="136">
        <v>30</v>
      </c>
      <c r="M1188" s="181"/>
      <c r="N1188" s="159" t="s">
        <v>339</v>
      </c>
      <c r="O1188" s="159"/>
      <c r="P1188" s="136"/>
    </row>
    <row r="1189" spans="1:16" ht="16.5" customHeight="1" x14ac:dyDescent="0.25">
      <c r="A1189" s="156">
        <v>45155</v>
      </c>
      <c r="B1189" s="136" t="s">
        <v>28</v>
      </c>
      <c r="C1189" s="157" t="str">
        <f t="shared" si="36"/>
        <v>17.08.2023_GRU2</v>
      </c>
      <c r="D1189" s="190">
        <f t="shared" si="37"/>
        <v>0</v>
      </c>
      <c r="E1189" s="133">
        <v>7.5</v>
      </c>
      <c r="F1189" s="134"/>
      <c r="G1189" s="135">
        <v>168.6</v>
      </c>
      <c r="H1189" s="137">
        <v>8.8000000000000007</v>
      </c>
      <c r="I1189" s="134"/>
      <c r="J1189" s="137">
        <v>18.899999999999999</v>
      </c>
      <c r="K1189" s="134"/>
      <c r="L1189" s="136">
        <v>40</v>
      </c>
      <c r="M1189" s="181"/>
      <c r="N1189" s="159"/>
      <c r="O1189" s="159"/>
      <c r="P1189" s="136"/>
    </row>
    <row r="1190" spans="1:16" ht="16.5" customHeight="1" x14ac:dyDescent="0.25">
      <c r="A1190" s="156">
        <v>45155</v>
      </c>
      <c r="B1190" s="136" t="s">
        <v>34</v>
      </c>
      <c r="C1190" s="157" t="str">
        <f t="shared" si="36"/>
        <v>17.08.2023_KRE1</v>
      </c>
      <c r="D1190" s="190">
        <f t="shared" si="37"/>
        <v>0</v>
      </c>
      <c r="E1190" s="185">
        <v>7.65</v>
      </c>
      <c r="F1190" s="161" t="s">
        <v>269</v>
      </c>
      <c r="G1190" s="135">
        <v>323</v>
      </c>
      <c r="H1190" s="137">
        <v>6.5</v>
      </c>
      <c r="I1190" s="161"/>
      <c r="J1190" s="137">
        <v>20</v>
      </c>
      <c r="K1190" s="161"/>
      <c r="L1190" s="136">
        <v>50</v>
      </c>
      <c r="M1190" s="181"/>
      <c r="N1190" s="159" t="s">
        <v>340</v>
      </c>
      <c r="O1190" s="159"/>
      <c r="P1190" s="136"/>
    </row>
    <row r="1191" spans="1:16" ht="16.5" customHeight="1" x14ac:dyDescent="0.25">
      <c r="A1191" s="156">
        <v>45155</v>
      </c>
      <c r="B1191" s="136" t="s">
        <v>37</v>
      </c>
      <c r="C1191" s="157" t="str">
        <f t="shared" si="36"/>
        <v>17.08.2023_KRE2</v>
      </c>
      <c r="D1191" s="190">
        <f t="shared" si="37"/>
        <v>0</v>
      </c>
      <c r="E1191" s="185">
        <v>7.7</v>
      </c>
      <c r="F1191" s="161" t="s">
        <v>269</v>
      </c>
      <c r="G1191" s="135">
        <v>330</v>
      </c>
      <c r="H1191" s="137">
        <v>5.7</v>
      </c>
      <c r="I1191" s="161"/>
      <c r="J1191" s="137">
        <v>20.399999999999999</v>
      </c>
      <c r="K1191" s="161"/>
      <c r="L1191" s="136">
        <v>70</v>
      </c>
      <c r="M1191" s="181"/>
      <c r="N1191" s="159" t="s">
        <v>341</v>
      </c>
      <c r="O1191" s="159"/>
      <c r="P1191" s="136"/>
    </row>
    <row r="1192" spans="1:16" ht="16.5" customHeight="1" x14ac:dyDescent="0.25">
      <c r="A1192" s="156">
        <v>45155</v>
      </c>
      <c r="B1192" s="136" t="s">
        <v>14</v>
      </c>
      <c r="C1192" s="157" t="str">
        <f t="shared" si="36"/>
        <v>17.08.2023_BRA1</v>
      </c>
      <c r="D1192" s="190">
        <f t="shared" si="37"/>
        <v>0</v>
      </c>
      <c r="E1192" s="133">
        <v>7.85</v>
      </c>
      <c r="F1192" s="134"/>
      <c r="G1192" s="135">
        <v>144.30000000000001</v>
      </c>
      <c r="H1192" s="137">
        <v>9.9</v>
      </c>
      <c r="I1192" s="134"/>
      <c r="J1192" s="137">
        <v>17.8</v>
      </c>
      <c r="K1192" s="134"/>
      <c r="L1192" s="136">
        <v>40</v>
      </c>
      <c r="M1192" s="181"/>
      <c r="N1192" s="159"/>
      <c r="O1192" s="159"/>
      <c r="P1192" s="136" t="s">
        <v>174</v>
      </c>
    </row>
    <row r="1193" spans="1:16" ht="16.5" customHeight="1" x14ac:dyDescent="0.25">
      <c r="A1193" s="156">
        <v>45155</v>
      </c>
      <c r="B1193" s="136" t="s">
        <v>17</v>
      </c>
      <c r="C1193" s="157" t="str">
        <f t="shared" si="36"/>
        <v>17.08.2023_BRA2</v>
      </c>
      <c r="D1193" s="190">
        <f t="shared" si="37"/>
        <v>0</v>
      </c>
      <c r="E1193" s="133">
        <v>8.81</v>
      </c>
      <c r="F1193" s="134"/>
      <c r="G1193" s="135">
        <v>163.6</v>
      </c>
      <c r="H1193" s="137">
        <v>9.8000000000000007</v>
      </c>
      <c r="I1193" s="134"/>
      <c r="J1193" s="137">
        <v>18.100000000000001</v>
      </c>
      <c r="K1193" s="134"/>
      <c r="L1193" s="136">
        <v>50</v>
      </c>
      <c r="M1193" s="181"/>
      <c r="N1193" s="159"/>
      <c r="O1193" s="159"/>
      <c r="P1193" s="136" t="s">
        <v>173</v>
      </c>
    </row>
    <row r="1194" spans="1:16" ht="16.5" customHeight="1" x14ac:dyDescent="0.25">
      <c r="A1194" s="156">
        <v>45155</v>
      </c>
      <c r="B1194" s="136" t="s">
        <v>0</v>
      </c>
      <c r="C1194" s="157" t="str">
        <f t="shared" si="36"/>
        <v>17.08.2023_KIN1</v>
      </c>
      <c r="D1194" s="190">
        <f t="shared" si="37"/>
        <v>0</v>
      </c>
      <c r="E1194" s="133">
        <v>7.97</v>
      </c>
      <c r="F1194" s="134"/>
      <c r="G1194" s="135">
        <v>254</v>
      </c>
      <c r="H1194" s="137">
        <v>9.4</v>
      </c>
      <c r="I1194" s="134"/>
      <c r="J1194" s="137">
        <v>17.8</v>
      </c>
      <c r="K1194" s="134"/>
      <c r="L1194" s="136">
        <v>85</v>
      </c>
      <c r="M1194" s="181"/>
      <c r="N1194" s="159"/>
      <c r="O1194" s="159"/>
      <c r="P1194" s="136" t="s">
        <v>215</v>
      </c>
    </row>
    <row r="1195" spans="1:16" ht="16.5" customHeight="1" x14ac:dyDescent="0.25">
      <c r="A1195" s="156">
        <v>45155</v>
      </c>
      <c r="B1195" s="136" t="s">
        <v>2</v>
      </c>
      <c r="C1195" s="157" t="str">
        <f t="shared" si="36"/>
        <v>17.08.2023_KIN2</v>
      </c>
      <c r="D1195" s="190">
        <f t="shared" si="37"/>
        <v>0</v>
      </c>
      <c r="E1195" s="133">
        <v>8.9600000000000009</v>
      </c>
      <c r="F1195" s="134"/>
      <c r="G1195" s="135">
        <v>238</v>
      </c>
      <c r="H1195" s="137">
        <v>9.5</v>
      </c>
      <c r="I1195" s="134"/>
      <c r="J1195" s="137">
        <v>18.600000000000001</v>
      </c>
      <c r="K1195" s="134"/>
      <c r="L1195" s="136">
        <v>85</v>
      </c>
      <c r="M1195" s="181"/>
      <c r="N1195" s="159"/>
      <c r="O1195" s="159"/>
      <c r="P1195" s="136" t="s">
        <v>173</v>
      </c>
    </row>
    <row r="1196" spans="1:16" ht="16.5" customHeight="1" x14ac:dyDescent="0.25">
      <c r="A1196" s="156">
        <v>45155</v>
      </c>
      <c r="B1196" s="136" t="s">
        <v>4</v>
      </c>
      <c r="C1196" s="157" t="str">
        <f t="shared" si="36"/>
        <v>17.08.2023_KIN3</v>
      </c>
      <c r="D1196" s="190">
        <f t="shared" si="37"/>
        <v>0</v>
      </c>
      <c r="E1196" s="133">
        <v>8.9499999999999993</v>
      </c>
      <c r="F1196" s="134"/>
      <c r="G1196" s="135">
        <v>228</v>
      </c>
      <c r="H1196" s="137">
        <v>9.6</v>
      </c>
      <c r="I1196" s="134"/>
      <c r="J1196" s="137">
        <v>17.399999999999999</v>
      </c>
      <c r="K1196" s="134"/>
      <c r="L1196" s="136">
        <v>125</v>
      </c>
      <c r="M1196" s="181"/>
      <c r="N1196" s="159"/>
      <c r="O1196" s="159"/>
      <c r="P1196" s="136" t="s">
        <v>174</v>
      </c>
    </row>
    <row r="1197" spans="1:16" ht="16.5" customHeight="1" x14ac:dyDescent="0.25">
      <c r="A1197" s="156">
        <v>45155</v>
      </c>
      <c r="B1197" s="136" t="s">
        <v>6</v>
      </c>
      <c r="C1197" s="157" t="str">
        <f t="shared" si="36"/>
        <v>17.08.2023_KIN4</v>
      </c>
      <c r="D1197" s="190">
        <f t="shared" si="37"/>
        <v>0</v>
      </c>
      <c r="E1197" s="133">
        <v>8.85</v>
      </c>
      <c r="F1197" s="134"/>
      <c r="G1197" s="135">
        <v>273</v>
      </c>
      <c r="H1197" s="137">
        <v>9.6</v>
      </c>
      <c r="I1197" s="134"/>
      <c r="J1197" s="137">
        <v>17.8</v>
      </c>
      <c r="K1197" s="134"/>
      <c r="L1197" s="136">
        <v>130</v>
      </c>
      <c r="M1197" s="181"/>
      <c r="N1197" s="159"/>
      <c r="O1197" s="159"/>
      <c r="P1197" s="136" t="s">
        <v>174</v>
      </c>
    </row>
    <row r="1198" spans="1:16" ht="16.5" customHeight="1" x14ac:dyDescent="0.25">
      <c r="A1198" s="156">
        <v>45155</v>
      </c>
      <c r="B1198" s="136" t="s">
        <v>18</v>
      </c>
      <c r="C1198" s="157" t="str">
        <f t="shared" si="36"/>
        <v>17.08.2023_ORB1</v>
      </c>
      <c r="D1198" s="190">
        <f t="shared" si="37"/>
        <v>0</v>
      </c>
      <c r="E1198" s="133">
        <v>8.51</v>
      </c>
      <c r="F1198" s="134"/>
      <c r="G1198" s="135">
        <v>134.69999999999999</v>
      </c>
      <c r="H1198" s="137">
        <v>10.3</v>
      </c>
      <c r="I1198" s="134"/>
      <c r="J1198" s="137">
        <v>16.3</v>
      </c>
      <c r="K1198" s="134"/>
      <c r="L1198" s="136">
        <v>25</v>
      </c>
      <c r="M1198" s="181"/>
      <c r="N1198" s="159"/>
      <c r="O1198" s="159"/>
      <c r="P1198" s="136" t="s">
        <v>174</v>
      </c>
    </row>
    <row r="1199" spans="1:16" ht="16.5" customHeight="1" x14ac:dyDescent="0.25">
      <c r="A1199" s="156">
        <v>45155</v>
      </c>
      <c r="B1199" s="136" t="s">
        <v>21</v>
      </c>
      <c r="C1199" s="157" t="str">
        <f t="shared" si="36"/>
        <v>17.08.2023_ORB2</v>
      </c>
      <c r="D1199" s="190">
        <f t="shared" si="37"/>
        <v>0</v>
      </c>
      <c r="E1199" s="133">
        <v>7.22</v>
      </c>
      <c r="F1199" s="134"/>
      <c r="G1199" s="135">
        <v>178.3</v>
      </c>
      <c r="H1199" s="137">
        <v>9.6</v>
      </c>
      <c r="I1199" s="134"/>
      <c r="J1199" s="137">
        <v>17.3</v>
      </c>
      <c r="K1199" s="134"/>
      <c r="L1199" s="136">
        <v>15</v>
      </c>
      <c r="M1199" s="181"/>
      <c r="N1199" s="159"/>
      <c r="O1199" s="159"/>
      <c r="P1199" s="136" t="s">
        <v>173</v>
      </c>
    </row>
    <row r="1200" spans="1:16" ht="16.5" customHeight="1" x14ac:dyDescent="0.25">
      <c r="A1200" s="156">
        <v>45155</v>
      </c>
      <c r="B1200" s="136" t="s">
        <v>10</v>
      </c>
      <c r="C1200" s="157" t="str">
        <f t="shared" si="36"/>
        <v>17.08.2023_SAL1</v>
      </c>
      <c r="D1200" s="190">
        <f t="shared" si="37"/>
        <v>0</v>
      </c>
      <c r="E1200" s="133">
        <v>8.82</v>
      </c>
      <c r="F1200" s="134"/>
      <c r="G1200" s="135">
        <v>156.4</v>
      </c>
      <c r="H1200" s="137">
        <v>10.5</v>
      </c>
      <c r="I1200" s="134"/>
      <c r="J1200" s="137">
        <v>18.7</v>
      </c>
      <c r="K1200" s="134"/>
      <c r="L1200" s="136">
        <v>45</v>
      </c>
      <c r="M1200" s="181"/>
      <c r="N1200" s="159"/>
      <c r="O1200" s="159"/>
      <c r="P1200" s="136" t="s">
        <v>174</v>
      </c>
    </row>
    <row r="1201" spans="1:16" ht="16.5" customHeight="1" x14ac:dyDescent="0.25">
      <c r="A1201" s="156">
        <v>45155</v>
      </c>
      <c r="B1201" s="136" t="s">
        <v>12</v>
      </c>
      <c r="C1201" s="157" t="str">
        <f t="shared" si="36"/>
        <v>17.08.2023_SAL2</v>
      </c>
      <c r="D1201" s="190">
        <f t="shared" si="37"/>
        <v>0</v>
      </c>
      <c r="E1201" s="133">
        <v>8.89</v>
      </c>
      <c r="F1201" s="134"/>
      <c r="G1201" s="135">
        <v>158.9</v>
      </c>
      <c r="H1201" s="137">
        <v>9.9</v>
      </c>
      <c r="I1201" s="134"/>
      <c r="J1201" s="137">
        <v>18</v>
      </c>
      <c r="K1201" s="134"/>
      <c r="L1201" s="136">
        <v>55.000000000000007</v>
      </c>
      <c r="M1201" s="181"/>
      <c r="N1201" s="159"/>
      <c r="O1201" s="159"/>
      <c r="P1201" s="136" t="s">
        <v>174</v>
      </c>
    </row>
    <row r="1202" spans="1:16" ht="16.5" customHeight="1" x14ac:dyDescent="0.25">
      <c r="A1202" s="156">
        <v>45155</v>
      </c>
      <c r="B1202" s="136" t="s">
        <v>7</v>
      </c>
      <c r="C1202" s="157" t="str">
        <f t="shared" si="36"/>
        <v>17.08.2023_STE1</v>
      </c>
      <c r="D1202" s="190">
        <f t="shared" si="37"/>
        <v>0</v>
      </c>
      <c r="E1202" s="133">
        <v>7.67</v>
      </c>
      <c r="F1202" s="134"/>
      <c r="G1202" s="135">
        <v>188.8</v>
      </c>
      <c r="H1202" s="137">
        <v>9.6999999999999993</v>
      </c>
      <c r="I1202" s="134"/>
      <c r="J1202" s="137">
        <v>20.6</v>
      </c>
      <c r="K1202" s="134"/>
      <c r="L1202" s="136">
        <v>0</v>
      </c>
      <c r="M1202" s="181"/>
      <c r="N1202" s="159"/>
      <c r="O1202" s="159"/>
      <c r="P1202" s="136" t="s">
        <v>245</v>
      </c>
    </row>
    <row r="1203" spans="1:16" ht="16.5" customHeight="1" x14ac:dyDescent="0.25">
      <c r="A1203" s="156">
        <v>45155</v>
      </c>
      <c r="B1203" s="136" t="s">
        <v>9</v>
      </c>
      <c r="C1203" s="157" t="str">
        <f t="shared" si="36"/>
        <v>17.08.2023_STE2</v>
      </c>
      <c r="D1203" s="190">
        <f t="shared" si="37"/>
        <v>0</v>
      </c>
      <c r="E1203" s="133">
        <v>8.11</v>
      </c>
      <c r="F1203" s="134"/>
      <c r="G1203" s="135">
        <v>189.2</v>
      </c>
      <c r="H1203" s="137">
        <v>9.1999999999999993</v>
      </c>
      <c r="I1203" s="134"/>
      <c r="J1203" s="137">
        <v>20.8</v>
      </c>
      <c r="K1203" s="134"/>
      <c r="L1203" s="136">
        <v>80</v>
      </c>
      <c r="M1203" s="181"/>
      <c r="N1203" s="159"/>
      <c r="O1203" s="159"/>
      <c r="P1203" s="136" t="s">
        <v>174</v>
      </c>
    </row>
    <row r="1204" spans="1:16" ht="16.5" customHeight="1" x14ac:dyDescent="0.25">
      <c r="A1204" s="156">
        <v>45169</v>
      </c>
      <c r="B1204" s="136" t="s">
        <v>22</v>
      </c>
      <c r="C1204" s="157" t="str">
        <f t="shared" si="36"/>
        <v>31.08.2023_BIE1</v>
      </c>
      <c r="D1204" s="190">
        <f t="shared" si="37"/>
        <v>0</v>
      </c>
      <c r="E1204" s="133">
        <v>8.99</v>
      </c>
      <c r="F1204" s="134"/>
      <c r="G1204" s="135">
        <v>192.9</v>
      </c>
      <c r="H1204" s="137">
        <v>10.6</v>
      </c>
      <c r="I1204" s="134"/>
      <c r="J1204" s="137">
        <v>14.7</v>
      </c>
      <c r="K1204" s="134"/>
      <c r="L1204" s="136">
        <v>30</v>
      </c>
      <c r="M1204" s="181"/>
      <c r="N1204" s="159" t="s">
        <v>342</v>
      </c>
      <c r="O1204" s="159"/>
      <c r="P1204" s="136"/>
    </row>
    <row r="1205" spans="1:16" ht="16.5" customHeight="1" x14ac:dyDescent="0.25">
      <c r="A1205" s="156">
        <v>45169</v>
      </c>
      <c r="B1205" s="136" t="s">
        <v>25</v>
      </c>
      <c r="C1205" s="157" t="str">
        <f t="shared" si="36"/>
        <v>31.08.2023_BIE2</v>
      </c>
      <c r="D1205" s="190">
        <f t="shared" si="37"/>
        <v>0</v>
      </c>
      <c r="E1205" s="133">
        <v>9.1</v>
      </c>
      <c r="F1205" s="134"/>
      <c r="G1205" s="135">
        <v>187</v>
      </c>
      <c r="H1205" s="137">
        <v>10.4</v>
      </c>
      <c r="I1205" s="134"/>
      <c r="J1205" s="137">
        <v>14.8</v>
      </c>
      <c r="K1205" s="134"/>
      <c r="L1205" s="136">
        <v>50</v>
      </c>
      <c r="M1205" s="181"/>
      <c r="N1205" s="159" t="s">
        <v>273</v>
      </c>
      <c r="O1205" s="159"/>
      <c r="P1205" s="136"/>
    </row>
    <row r="1206" spans="1:16" ht="16.5" customHeight="1" x14ac:dyDescent="0.25">
      <c r="A1206" s="156">
        <v>45169</v>
      </c>
      <c r="B1206" s="136" t="s">
        <v>30</v>
      </c>
      <c r="C1206" s="157" t="str">
        <f t="shared" si="36"/>
        <v>31.08.2023_FAL1</v>
      </c>
      <c r="D1206" s="190">
        <f t="shared" si="37"/>
        <v>0</v>
      </c>
      <c r="E1206" s="133">
        <v>8.68</v>
      </c>
      <c r="F1206" s="134"/>
      <c r="G1206" s="135">
        <v>724</v>
      </c>
      <c r="H1206" s="137">
        <v>9.9</v>
      </c>
      <c r="I1206" s="134"/>
      <c r="J1206" s="137">
        <v>16.100000000000001</v>
      </c>
      <c r="K1206" s="134"/>
      <c r="L1206" s="136">
        <v>40</v>
      </c>
      <c r="M1206" s="181"/>
      <c r="N1206" s="159" t="s">
        <v>342</v>
      </c>
      <c r="O1206" s="159"/>
      <c r="P1206" s="136"/>
    </row>
    <row r="1207" spans="1:16" ht="16.5" customHeight="1" x14ac:dyDescent="0.25">
      <c r="A1207" s="156">
        <v>45169</v>
      </c>
      <c r="B1207" s="136" t="s">
        <v>32</v>
      </c>
      <c r="C1207" s="157" t="str">
        <f t="shared" si="36"/>
        <v>31.08.2023_FAL2</v>
      </c>
      <c r="D1207" s="190">
        <f t="shared" si="37"/>
        <v>0</v>
      </c>
      <c r="E1207" s="133">
        <v>9.42</v>
      </c>
      <c r="F1207" s="134"/>
      <c r="G1207" s="135">
        <v>724</v>
      </c>
      <c r="H1207" s="137">
        <v>9.5</v>
      </c>
      <c r="I1207" s="134"/>
      <c r="J1207" s="137">
        <v>16.399999999999999</v>
      </c>
      <c r="K1207" s="134"/>
      <c r="L1207" s="136">
        <v>90</v>
      </c>
      <c r="M1207" s="181"/>
      <c r="N1207" s="159" t="s">
        <v>273</v>
      </c>
      <c r="O1207" s="159"/>
      <c r="P1207" s="136"/>
    </row>
    <row r="1208" spans="1:16" ht="16.5" customHeight="1" x14ac:dyDescent="0.25">
      <c r="A1208" s="156">
        <v>45169</v>
      </c>
      <c r="B1208" s="136" t="s">
        <v>26</v>
      </c>
      <c r="C1208" s="157" t="str">
        <f t="shared" si="36"/>
        <v>31.08.2023_GRU1</v>
      </c>
      <c r="D1208" s="190">
        <f t="shared" si="37"/>
        <v>0</v>
      </c>
      <c r="E1208" s="133">
        <v>8.51</v>
      </c>
      <c r="F1208" s="134"/>
      <c r="G1208" s="135">
        <v>151.9</v>
      </c>
      <c r="H1208" s="137">
        <v>10.6</v>
      </c>
      <c r="I1208" s="134"/>
      <c r="J1208" s="137">
        <v>15.6</v>
      </c>
      <c r="K1208" s="134"/>
      <c r="L1208" s="136">
        <v>35</v>
      </c>
      <c r="M1208" s="181"/>
      <c r="N1208" s="159" t="s">
        <v>342</v>
      </c>
      <c r="O1208" s="159"/>
      <c r="P1208" s="136"/>
    </row>
    <row r="1209" spans="1:16" ht="16.5" customHeight="1" x14ac:dyDescent="0.25">
      <c r="A1209" s="156">
        <v>45169</v>
      </c>
      <c r="B1209" s="136" t="s">
        <v>28</v>
      </c>
      <c r="C1209" s="157" t="str">
        <f t="shared" si="36"/>
        <v>31.08.2023_GRU2</v>
      </c>
      <c r="D1209" s="190">
        <f t="shared" si="37"/>
        <v>0</v>
      </c>
      <c r="E1209" s="133">
        <v>8.32</v>
      </c>
      <c r="F1209" s="134"/>
      <c r="G1209" s="135">
        <v>165.5</v>
      </c>
      <c r="H1209" s="137">
        <v>10.199999999999999</v>
      </c>
      <c r="I1209" s="134"/>
      <c r="J1209" s="137">
        <v>15.5</v>
      </c>
      <c r="K1209" s="134"/>
      <c r="L1209" s="136">
        <v>35</v>
      </c>
      <c r="M1209" s="181"/>
      <c r="N1209" s="159" t="s">
        <v>342</v>
      </c>
      <c r="O1209" s="159"/>
      <c r="P1209" s="136"/>
    </row>
    <row r="1210" spans="1:16" ht="16.5" customHeight="1" x14ac:dyDescent="0.25">
      <c r="A1210" s="156">
        <v>45169</v>
      </c>
      <c r="B1210" s="136" t="s">
        <v>34</v>
      </c>
      <c r="C1210" s="157" t="str">
        <f t="shared" si="36"/>
        <v>31.08.2023_KRE1</v>
      </c>
      <c r="D1210" s="190">
        <f t="shared" si="37"/>
        <v>0</v>
      </c>
      <c r="E1210" s="133">
        <v>8.6</v>
      </c>
      <c r="F1210" s="134"/>
      <c r="G1210" s="135">
        <v>771</v>
      </c>
      <c r="H1210" s="137">
        <v>8.6</v>
      </c>
      <c r="I1210" s="134"/>
      <c r="J1210" s="137">
        <v>16.5</v>
      </c>
      <c r="K1210" s="134"/>
      <c r="L1210" s="136">
        <v>40</v>
      </c>
      <c r="M1210" s="181"/>
      <c r="N1210" s="159" t="s">
        <v>342</v>
      </c>
      <c r="O1210" s="159"/>
      <c r="P1210" s="136"/>
    </row>
    <row r="1211" spans="1:16" ht="16.5" customHeight="1" x14ac:dyDescent="0.25">
      <c r="A1211" s="156">
        <v>45169</v>
      </c>
      <c r="B1211" s="136" t="s">
        <v>37</v>
      </c>
      <c r="C1211" s="157" t="str">
        <f t="shared" si="36"/>
        <v>31.08.2023_KRE2</v>
      </c>
      <c r="D1211" s="190">
        <f t="shared" si="37"/>
        <v>0</v>
      </c>
      <c r="E1211" s="133">
        <v>8.14</v>
      </c>
      <c r="F1211" s="134"/>
      <c r="G1211" s="135">
        <v>741</v>
      </c>
      <c r="H1211" s="137">
        <v>9.5</v>
      </c>
      <c r="I1211" s="134"/>
      <c r="J1211" s="137">
        <v>16.399999999999999</v>
      </c>
      <c r="K1211" s="134"/>
      <c r="L1211" s="136">
        <v>50</v>
      </c>
      <c r="M1211" s="181"/>
      <c r="N1211" s="159" t="s">
        <v>342</v>
      </c>
      <c r="O1211" s="159"/>
      <c r="P1211" s="136"/>
    </row>
    <row r="1212" spans="1:16" ht="16.5" customHeight="1" x14ac:dyDescent="0.25">
      <c r="A1212" s="156">
        <v>45169</v>
      </c>
      <c r="B1212" s="136" t="s">
        <v>14</v>
      </c>
      <c r="C1212" s="157" t="str">
        <f t="shared" si="36"/>
        <v>31.08.2023_BRA1</v>
      </c>
      <c r="D1212" s="190">
        <f t="shared" si="37"/>
        <v>0</v>
      </c>
      <c r="E1212" s="133">
        <v>7.8</v>
      </c>
      <c r="F1212" s="134"/>
      <c r="G1212" s="135">
        <v>164</v>
      </c>
      <c r="H1212" s="137">
        <v>9.3000000000000007</v>
      </c>
      <c r="I1212" s="134"/>
      <c r="J1212" s="137">
        <v>15.2</v>
      </c>
      <c r="K1212" s="134"/>
      <c r="L1212" s="136">
        <v>19</v>
      </c>
      <c r="M1212" s="181"/>
      <c r="N1212" s="159"/>
      <c r="O1212" s="159"/>
      <c r="P1212" s="136" t="s">
        <v>246</v>
      </c>
    </row>
    <row r="1213" spans="1:16" ht="16.5" customHeight="1" x14ac:dyDescent="0.25">
      <c r="A1213" s="156">
        <v>45169</v>
      </c>
      <c r="B1213" s="136" t="s">
        <v>17</v>
      </c>
      <c r="C1213" s="157" t="str">
        <f t="shared" si="36"/>
        <v>31.08.2023_BRA2</v>
      </c>
      <c r="D1213" s="190">
        <f t="shared" si="37"/>
        <v>0</v>
      </c>
      <c r="E1213" s="133">
        <v>7.9</v>
      </c>
      <c r="F1213" s="134"/>
      <c r="G1213" s="135">
        <v>180</v>
      </c>
      <c r="H1213" s="137">
        <v>9.6</v>
      </c>
      <c r="I1213" s="134"/>
      <c r="J1213" s="137">
        <v>14.7</v>
      </c>
      <c r="K1213" s="134"/>
      <c r="L1213" s="136">
        <v>21</v>
      </c>
      <c r="M1213" s="181"/>
      <c r="N1213" s="159"/>
      <c r="O1213" s="159"/>
      <c r="P1213" s="136" t="s">
        <v>246</v>
      </c>
    </row>
    <row r="1214" spans="1:16" ht="16.5" customHeight="1" x14ac:dyDescent="0.25">
      <c r="A1214" s="156">
        <v>45169</v>
      </c>
      <c r="B1214" s="136" t="s">
        <v>0</v>
      </c>
      <c r="C1214" s="157" t="str">
        <f t="shared" si="36"/>
        <v>31.08.2023_KIN1</v>
      </c>
      <c r="D1214" s="190">
        <f t="shared" si="37"/>
        <v>0</v>
      </c>
      <c r="E1214" s="133">
        <v>8.25</v>
      </c>
      <c r="F1214" s="134"/>
      <c r="G1214" s="135">
        <v>325</v>
      </c>
      <c r="H1214" s="137">
        <v>9.6</v>
      </c>
      <c r="I1214" s="134"/>
      <c r="J1214" s="137">
        <v>14.4</v>
      </c>
      <c r="K1214" s="134"/>
      <c r="L1214" s="136">
        <v>47</v>
      </c>
      <c r="M1214" s="181"/>
      <c r="N1214" s="159"/>
      <c r="O1214" s="159"/>
      <c r="P1214" s="136" t="s">
        <v>247</v>
      </c>
    </row>
    <row r="1215" spans="1:16" ht="16.5" customHeight="1" x14ac:dyDescent="0.25">
      <c r="A1215" s="156">
        <v>45169</v>
      </c>
      <c r="B1215" s="136" t="s">
        <v>2</v>
      </c>
      <c r="C1215" s="157" t="str">
        <f t="shared" si="36"/>
        <v>31.08.2023_KIN2</v>
      </c>
      <c r="D1215" s="190">
        <f t="shared" si="37"/>
        <v>0</v>
      </c>
      <c r="E1215" s="133">
        <v>8.14</v>
      </c>
      <c r="F1215" s="134"/>
      <c r="G1215" s="135">
        <v>388</v>
      </c>
      <c r="H1215" s="137">
        <v>9.6</v>
      </c>
      <c r="I1215" s="134"/>
      <c r="J1215" s="137">
        <v>14.1</v>
      </c>
      <c r="K1215" s="134"/>
      <c r="L1215" s="136">
        <v>18</v>
      </c>
      <c r="M1215" s="181"/>
      <c r="N1215" s="159"/>
      <c r="O1215" s="159"/>
      <c r="P1215" s="136" t="s">
        <v>246</v>
      </c>
    </row>
    <row r="1216" spans="1:16" ht="16.5" customHeight="1" x14ac:dyDescent="0.25">
      <c r="A1216" s="156">
        <v>45169</v>
      </c>
      <c r="B1216" s="136" t="s">
        <v>4</v>
      </c>
      <c r="C1216" s="157" t="str">
        <f t="shared" si="36"/>
        <v>31.08.2023_KIN3</v>
      </c>
      <c r="D1216" s="190">
        <f t="shared" si="37"/>
        <v>0</v>
      </c>
      <c r="E1216" s="133">
        <v>8.1999999999999993</v>
      </c>
      <c r="F1216" s="134"/>
      <c r="G1216" s="135">
        <v>353</v>
      </c>
      <c r="H1216" s="137">
        <v>10.199999999999999</v>
      </c>
      <c r="I1216" s="134"/>
      <c r="J1216" s="137">
        <v>14.3</v>
      </c>
      <c r="K1216" s="134"/>
      <c r="L1216" s="136">
        <v>66</v>
      </c>
      <c r="M1216" s="181"/>
      <c r="N1216" s="159"/>
      <c r="O1216" s="159"/>
      <c r="P1216" s="136" t="s">
        <v>247</v>
      </c>
    </row>
    <row r="1217" spans="1:17" ht="16.5" customHeight="1" x14ac:dyDescent="0.25">
      <c r="A1217" s="156">
        <v>45169</v>
      </c>
      <c r="B1217" s="136" t="s">
        <v>6</v>
      </c>
      <c r="C1217" s="157" t="str">
        <f t="shared" si="36"/>
        <v>31.08.2023_KIN4</v>
      </c>
      <c r="D1217" s="190">
        <f t="shared" si="37"/>
        <v>0</v>
      </c>
      <c r="E1217" s="133">
        <v>8.11</v>
      </c>
      <c r="F1217" s="134"/>
      <c r="G1217" s="135">
        <v>387</v>
      </c>
      <c r="H1217" s="137">
        <v>9.5</v>
      </c>
      <c r="I1217" s="134"/>
      <c r="J1217" s="137">
        <v>14.8</v>
      </c>
      <c r="K1217" s="134"/>
      <c r="L1217" s="136">
        <v>45</v>
      </c>
      <c r="M1217" s="181"/>
      <c r="N1217" s="159"/>
      <c r="O1217" s="159"/>
      <c r="P1217" s="136" t="s">
        <v>246</v>
      </c>
    </row>
    <row r="1218" spans="1:17" ht="16.5" customHeight="1" x14ac:dyDescent="0.25">
      <c r="A1218" s="156">
        <v>45169</v>
      </c>
      <c r="B1218" s="136" t="s">
        <v>18</v>
      </c>
      <c r="C1218" s="157" t="str">
        <f t="shared" si="36"/>
        <v>31.08.2023_ORB1</v>
      </c>
      <c r="D1218" s="190">
        <f t="shared" si="37"/>
        <v>0</v>
      </c>
      <c r="E1218" s="133">
        <v>6.1</v>
      </c>
      <c r="F1218" s="134"/>
      <c r="G1218" s="135">
        <v>114</v>
      </c>
      <c r="H1218" s="137">
        <v>10.1</v>
      </c>
      <c r="I1218" s="134"/>
      <c r="J1218" s="137">
        <v>14.5</v>
      </c>
      <c r="K1218" s="134"/>
      <c r="L1218" s="136">
        <v>21</v>
      </c>
      <c r="M1218" s="181"/>
      <c r="N1218" s="159"/>
      <c r="O1218" s="159"/>
      <c r="P1218" s="136" t="s">
        <v>247</v>
      </c>
    </row>
    <row r="1219" spans="1:17" ht="16.5" customHeight="1" x14ac:dyDescent="0.25">
      <c r="A1219" s="156">
        <v>45169</v>
      </c>
      <c r="B1219" s="136" t="s">
        <v>21</v>
      </c>
      <c r="C1219" s="157" t="str">
        <f t="shared" si="36"/>
        <v>31.08.2023_ORB2</v>
      </c>
      <c r="D1219" s="190">
        <f t="shared" si="37"/>
        <v>1</v>
      </c>
      <c r="E1219" s="283"/>
      <c r="F1219" s="161" t="s">
        <v>270</v>
      </c>
      <c r="G1219" s="135">
        <v>146</v>
      </c>
      <c r="H1219" s="137">
        <v>9.9</v>
      </c>
      <c r="I1219" s="161"/>
      <c r="J1219" s="137">
        <v>14.7</v>
      </c>
      <c r="K1219" s="161"/>
      <c r="L1219" s="136">
        <v>30</v>
      </c>
      <c r="M1219" s="181"/>
      <c r="N1219" s="159" t="s">
        <v>343</v>
      </c>
      <c r="O1219" s="159"/>
      <c r="P1219" s="136" t="s">
        <v>247</v>
      </c>
    </row>
    <row r="1220" spans="1:17" ht="16.5" customHeight="1" x14ac:dyDescent="0.25">
      <c r="A1220" s="156">
        <v>45169</v>
      </c>
      <c r="B1220" s="136" t="s">
        <v>10</v>
      </c>
      <c r="C1220" s="157" t="str">
        <f t="shared" si="36"/>
        <v>31.08.2023_SAL1</v>
      </c>
      <c r="D1220" s="190">
        <f t="shared" si="37"/>
        <v>0</v>
      </c>
      <c r="E1220" s="133">
        <v>8.02</v>
      </c>
      <c r="F1220" s="134"/>
      <c r="G1220" s="135">
        <v>187.4</v>
      </c>
      <c r="H1220" s="137">
        <v>9.6</v>
      </c>
      <c r="I1220" s="134"/>
      <c r="J1220" s="137">
        <v>15</v>
      </c>
      <c r="K1220" s="134"/>
      <c r="L1220" s="136">
        <v>37</v>
      </c>
      <c r="M1220" s="181"/>
      <c r="N1220" s="159"/>
      <c r="O1220" s="159"/>
      <c r="P1220" s="136" t="s">
        <v>248</v>
      </c>
      <c r="Q1220" s="197"/>
    </row>
    <row r="1221" spans="1:17" ht="16.5" customHeight="1" x14ac:dyDescent="0.25">
      <c r="A1221" s="156">
        <v>45169</v>
      </c>
      <c r="B1221" s="136" t="s">
        <v>12</v>
      </c>
      <c r="C1221" s="157" t="str">
        <f t="shared" ref="C1221:C1284" si="38">CONCATENATE(TEXT(A1221,"TT.MM.JJJJ"),"_",B1221)</f>
        <v>31.08.2023_SAL2</v>
      </c>
      <c r="D1221" s="190">
        <f t="shared" ref="D1221:D1284" si="39">COUNTBLANK(E1221)+COUNTBLANK(G1221:H1221)+COUNTBLANK(J1221)+COUNTBLANK(L1221)</f>
        <v>1</v>
      </c>
      <c r="E1221" s="283"/>
      <c r="F1221" s="161" t="s">
        <v>270</v>
      </c>
      <c r="G1221" s="135">
        <v>195</v>
      </c>
      <c r="H1221" s="137">
        <v>8.34</v>
      </c>
      <c r="I1221" s="161"/>
      <c r="J1221" s="137">
        <v>15</v>
      </c>
      <c r="K1221" s="161"/>
      <c r="L1221" s="136">
        <v>24</v>
      </c>
      <c r="M1221" s="181"/>
      <c r="N1221" s="159" t="s">
        <v>344</v>
      </c>
      <c r="O1221" s="159"/>
      <c r="P1221" s="136" t="s">
        <v>247</v>
      </c>
      <c r="Q1221" s="197"/>
    </row>
    <row r="1222" spans="1:17" ht="16.5" customHeight="1" x14ac:dyDescent="0.25">
      <c r="A1222" s="156">
        <v>45169</v>
      </c>
      <c r="B1222" s="136" t="s">
        <v>7</v>
      </c>
      <c r="C1222" s="157" t="str">
        <f t="shared" si="38"/>
        <v>31.08.2023_STE1</v>
      </c>
      <c r="D1222" s="190">
        <f t="shared" si="39"/>
        <v>0</v>
      </c>
      <c r="E1222" s="133">
        <v>8.1</v>
      </c>
      <c r="F1222" s="134"/>
      <c r="G1222" s="135">
        <v>301</v>
      </c>
      <c r="H1222" s="137">
        <v>10</v>
      </c>
      <c r="I1222" s="134"/>
      <c r="J1222" s="137">
        <v>13.6</v>
      </c>
      <c r="K1222" s="134"/>
      <c r="L1222" s="136">
        <v>23</v>
      </c>
      <c r="M1222" s="181"/>
      <c r="N1222" s="159"/>
      <c r="O1222" s="159"/>
      <c r="P1222" s="136" t="s">
        <v>246</v>
      </c>
      <c r="Q1222" s="197"/>
    </row>
    <row r="1223" spans="1:17" ht="16.5" customHeight="1" x14ac:dyDescent="0.25">
      <c r="A1223" s="156">
        <v>45169</v>
      </c>
      <c r="B1223" s="136" t="s">
        <v>9</v>
      </c>
      <c r="C1223" s="157" t="str">
        <f t="shared" si="38"/>
        <v>31.08.2023_STE2</v>
      </c>
      <c r="D1223" s="190">
        <f t="shared" si="39"/>
        <v>0</v>
      </c>
      <c r="E1223" s="133">
        <v>8.2100000000000009</v>
      </c>
      <c r="F1223" s="134"/>
      <c r="G1223" s="135">
        <v>310</v>
      </c>
      <c r="H1223" s="137">
        <v>10</v>
      </c>
      <c r="I1223" s="134"/>
      <c r="J1223" s="137">
        <v>14.3</v>
      </c>
      <c r="K1223" s="134"/>
      <c r="L1223" s="136">
        <v>35</v>
      </c>
      <c r="M1223" s="181"/>
      <c r="N1223" s="159"/>
      <c r="O1223" s="159"/>
      <c r="P1223" s="136" t="s">
        <v>248</v>
      </c>
      <c r="Q1223" s="197"/>
    </row>
    <row r="1224" spans="1:17" ht="16.5" customHeight="1" x14ac:dyDescent="0.25">
      <c r="A1224" s="156">
        <v>45183</v>
      </c>
      <c r="B1224" s="136" t="s">
        <v>22</v>
      </c>
      <c r="C1224" s="157" t="str">
        <f t="shared" si="38"/>
        <v>14.09.2023_BIE1</v>
      </c>
      <c r="D1224" s="190">
        <f t="shared" si="39"/>
        <v>0</v>
      </c>
      <c r="E1224" s="133">
        <v>7.8</v>
      </c>
      <c r="F1224" s="134"/>
      <c r="G1224" s="135">
        <v>210</v>
      </c>
      <c r="H1224" s="137">
        <v>9.4</v>
      </c>
      <c r="I1224" s="134"/>
      <c r="J1224" s="137">
        <v>16.100000000000001</v>
      </c>
      <c r="K1224" s="134"/>
      <c r="L1224" s="136">
        <v>11</v>
      </c>
      <c r="M1224" s="181"/>
      <c r="N1224" s="159"/>
      <c r="O1224" s="159"/>
      <c r="P1224" s="136"/>
      <c r="Q1224" s="197"/>
    </row>
    <row r="1225" spans="1:17" ht="16.5" customHeight="1" x14ac:dyDescent="0.25">
      <c r="A1225" s="156">
        <v>45183</v>
      </c>
      <c r="B1225" s="136" t="s">
        <v>25</v>
      </c>
      <c r="C1225" s="157" t="str">
        <f t="shared" si="38"/>
        <v>14.09.2023_BIE2</v>
      </c>
      <c r="D1225" s="190">
        <f t="shared" si="39"/>
        <v>0</v>
      </c>
      <c r="E1225" s="133">
        <v>7.8</v>
      </c>
      <c r="F1225" s="134"/>
      <c r="G1225" s="135">
        <v>209</v>
      </c>
      <c r="H1225" s="137">
        <v>10.1</v>
      </c>
      <c r="I1225" s="134"/>
      <c r="J1225" s="137">
        <v>14.8</v>
      </c>
      <c r="K1225" s="134"/>
      <c r="L1225" s="136">
        <v>20</v>
      </c>
      <c r="M1225" s="181"/>
      <c r="N1225" s="159"/>
      <c r="O1225" s="159"/>
      <c r="P1225" s="136"/>
      <c r="Q1225" s="197"/>
    </row>
    <row r="1226" spans="1:17" ht="16.5" customHeight="1" x14ac:dyDescent="0.25">
      <c r="A1226" s="156">
        <v>45183</v>
      </c>
      <c r="B1226" s="136" t="s">
        <v>30</v>
      </c>
      <c r="C1226" s="157" t="str">
        <f t="shared" si="38"/>
        <v>14.09.2023_FAL1</v>
      </c>
      <c r="D1226" s="190">
        <f t="shared" si="39"/>
        <v>0</v>
      </c>
      <c r="E1226" s="133">
        <v>8.01</v>
      </c>
      <c r="F1226" s="134"/>
      <c r="G1226" s="135">
        <v>842</v>
      </c>
      <c r="H1226" s="137">
        <v>8.6999999999999993</v>
      </c>
      <c r="I1226" s="134"/>
      <c r="J1226" s="137">
        <v>19.3</v>
      </c>
      <c r="K1226" s="134"/>
      <c r="L1226" s="136">
        <v>28.999999999999996</v>
      </c>
      <c r="M1226" s="181"/>
      <c r="N1226" s="159"/>
      <c r="O1226" s="159"/>
      <c r="P1226" s="136"/>
      <c r="Q1226" s="197"/>
    </row>
    <row r="1227" spans="1:17" ht="16.5" customHeight="1" x14ac:dyDescent="0.25">
      <c r="A1227" s="156">
        <v>45183</v>
      </c>
      <c r="B1227" s="136" t="s">
        <v>32</v>
      </c>
      <c r="C1227" s="157" t="str">
        <f t="shared" si="38"/>
        <v>14.09.2023_FAL2</v>
      </c>
      <c r="D1227" s="190">
        <f t="shared" si="39"/>
        <v>0</v>
      </c>
      <c r="E1227" s="133">
        <v>8.15</v>
      </c>
      <c r="F1227" s="134"/>
      <c r="G1227" s="135">
        <v>854</v>
      </c>
      <c r="H1227" s="137">
        <v>8.1</v>
      </c>
      <c r="I1227" s="134"/>
      <c r="J1227" s="137">
        <v>18.8</v>
      </c>
      <c r="K1227" s="134"/>
      <c r="L1227" s="136">
        <v>80</v>
      </c>
      <c r="M1227" s="181"/>
      <c r="N1227" s="159"/>
      <c r="O1227" s="159"/>
      <c r="P1227" s="136" t="s">
        <v>249</v>
      </c>
      <c r="Q1227" s="197"/>
    </row>
    <row r="1228" spans="1:17" ht="16.5" customHeight="1" x14ac:dyDescent="0.25">
      <c r="A1228" s="156">
        <v>45183</v>
      </c>
      <c r="B1228" s="136" t="s">
        <v>26</v>
      </c>
      <c r="C1228" s="157" t="str">
        <f t="shared" si="38"/>
        <v>14.09.2023_GRU1</v>
      </c>
      <c r="D1228" s="190">
        <f t="shared" si="39"/>
        <v>0</v>
      </c>
      <c r="E1228" s="133">
        <v>7.4</v>
      </c>
      <c r="F1228" s="134"/>
      <c r="G1228" s="135">
        <v>162</v>
      </c>
      <c r="H1228" s="137">
        <v>8.9</v>
      </c>
      <c r="I1228" s="134"/>
      <c r="J1228" s="137">
        <v>17</v>
      </c>
      <c r="K1228" s="134"/>
      <c r="L1228" s="136">
        <v>10</v>
      </c>
      <c r="M1228" s="181"/>
      <c r="N1228" s="159"/>
      <c r="O1228" s="159"/>
      <c r="P1228" s="136" t="s">
        <v>250</v>
      </c>
      <c r="Q1228" s="197"/>
    </row>
    <row r="1229" spans="1:17" ht="16.5" customHeight="1" x14ac:dyDescent="0.25">
      <c r="A1229" s="156">
        <v>45183</v>
      </c>
      <c r="B1229" s="136" t="s">
        <v>28</v>
      </c>
      <c r="C1229" s="157" t="str">
        <f t="shared" si="38"/>
        <v>14.09.2023_GRU2</v>
      </c>
      <c r="D1229" s="190">
        <f t="shared" si="39"/>
        <v>0</v>
      </c>
      <c r="E1229" s="133">
        <v>7.2</v>
      </c>
      <c r="F1229" s="134"/>
      <c r="G1229" s="135">
        <v>168</v>
      </c>
      <c r="H1229" s="137">
        <v>8.6</v>
      </c>
      <c r="I1229" s="134"/>
      <c r="J1229" s="137">
        <v>17.8</v>
      </c>
      <c r="K1229" s="134"/>
      <c r="L1229" s="136">
        <v>22</v>
      </c>
      <c r="M1229" s="181"/>
      <c r="N1229" s="159"/>
      <c r="O1229" s="159"/>
      <c r="P1229" s="136"/>
      <c r="Q1229" s="197"/>
    </row>
    <row r="1230" spans="1:17" ht="16.5" customHeight="1" x14ac:dyDescent="0.25">
      <c r="A1230" s="156">
        <v>45183</v>
      </c>
      <c r="B1230" s="136" t="s">
        <v>34</v>
      </c>
      <c r="C1230" s="157" t="str">
        <f t="shared" si="38"/>
        <v>14.09.2023_KRE1</v>
      </c>
      <c r="D1230" s="190">
        <f t="shared" si="39"/>
        <v>0</v>
      </c>
      <c r="E1230" s="133">
        <v>7.9</v>
      </c>
      <c r="F1230" s="134"/>
      <c r="G1230" s="135">
        <v>930</v>
      </c>
      <c r="H1230" s="137">
        <v>6.9</v>
      </c>
      <c r="I1230" s="134"/>
      <c r="J1230" s="137">
        <v>21</v>
      </c>
      <c r="K1230" s="134"/>
      <c r="L1230" s="136">
        <v>55.000000000000007</v>
      </c>
      <c r="M1230" s="181"/>
      <c r="N1230" s="159"/>
      <c r="O1230" s="159"/>
      <c r="P1230" s="136" t="s">
        <v>250</v>
      </c>
      <c r="Q1230" s="197"/>
    </row>
    <row r="1231" spans="1:17" ht="16.5" customHeight="1" x14ac:dyDescent="0.25">
      <c r="A1231" s="156">
        <v>45183</v>
      </c>
      <c r="B1231" s="136" t="s">
        <v>37</v>
      </c>
      <c r="C1231" s="157" t="str">
        <f t="shared" si="38"/>
        <v>14.09.2023_KRE2</v>
      </c>
      <c r="D1231" s="190">
        <f t="shared" si="39"/>
        <v>0</v>
      </c>
      <c r="E1231" s="133">
        <v>8</v>
      </c>
      <c r="F1231" s="134"/>
      <c r="G1231" s="135">
        <v>988</v>
      </c>
      <c r="H1231" s="137">
        <v>7.4</v>
      </c>
      <c r="I1231" s="134"/>
      <c r="J1231" s="137">
        <v>21.2</v>
      </c>
      <c r="K1231" s="134"/>
      <c r="L1231" s="136">
        <v>17</v>
      </c>
      <c r="M1231" s="181"/>
      <c r="N1231" s="159"/>
      <c r="O1231" s="159"/>
      <c r="P1231" s="136"/>
      <c r="Q1231" s="197"/>
    </row>
    <row r="1232" spans="1:17" ht="16.5" customHeight="1" x14ac:dyDescent="0.25">
      <c r="A1232" s="156">
        <v>45183</v>
      </c>
      <c r="B1232" s="136" t="s">
        <v>14</v>
      </c>
      <c r="C1232" s="157" t="str">
        <f t="shared" si="38"/>
        <v>14.09.2023_BRA1</v>
      </c>
      <c r="D1232" s="190">
        <f t="shared" si="39"/>
        <v>0</v>
      </c>
      <c r="E1232" s="133">
        <v>7.79</v>
      </c>
      <c r="F1232" s="134"/>
      <c r="G1232" s="135">
        <v>188</v>
      </c>
      <c r="H1232" s="137">
        <v>9.1999999999999993</v>
      </c>
      <c r="I1232" s="134"/>
      <c r="J1232" s="137">
        <v>15.4</v>
      </c>
      <c r="K1232" s="134"/>
      <c r="L1232" s="136">
        <v>22</v>
      </c>
      <c r="M1232" s="181"/>
      <c r="N1232" s="159"/>
      <c r="O1232" s="159"/>
      <c r="P1232" s="136" t="s">
        <v>174</v>
      </c>
      <c r="Q1232" s="197"/>
    </row>
    <row r="1233" spans="1:17" ht="16.5" customHeight="1" x14ac:dyDescent="0.25">
      <c r="A1233" s="156">
        <v>45183</v>
      </c>
      <c r="B1233" s="136" t="s">
        <v>17</v>
      </c>
      <c r="C1233" s="157" t="str">
        <f t="shared" si="38"/>
        <v>14.09.2023_BRA2</v>
      </c>
      <c r="D1233" s="190">
        <f t="shared" si="39"/>
        <v>0</v>
      </c>
      <c r="E1233" s="133">
        <v>7.98</v>
      </c>
      <c r="F1233" s="134"/>
      <c r="G1233" s="135">
        <v>170</v>
      </c>
      <c r="H1233" s="137">
        <v>9.6</v>
      </c>
      <c r="I1233" s="134"/>
      <c r="J1233" s="137">
        <v>14.4</v>
      </c>
      <c r="K1233" s="134"/>
      <c r="L1233" s="136">
        <v>25</v>
      </c>
      <c r="M1233" s="181"/>
      <c r="N1233" s="159"/>
      <c r="O1233" s="159"/>
      <c r="P1233" s="136" t="s">
        <v>173</v>
      </c>
      <c r="Q1233" s="197"/>
    </row>
    <row r="1234" spans="1:17" ht="16.5" customHeight="1" x14ac:dyDescent="0.25">
      <c r="A1234" s="156">
        <v>45183</v>
      </c>
      <c r="B1234" s="136" t="s">
        <v>0</v>
      </c>
      <c r="C1234" s="157" t="str">
        <f t="shared" si="38"/>
        <v>14.09.2023_KIN1</v>
      </c>
      <c r="D1234" s="190">
        <f t="shared" si="39"/>
        <v>0</v>
      </c>
      <c r="E1234" s="133">
        <v>8.36</v>
      </c>
      <c r="F1234" s="134"/>
      <c r="G1234" s="135">
        <v>333</v>
      </c>
      <c r="H1234" s="137">
        <v>9.6999999999999993</v>
      </c>
      <c r="I1234" s="134"/>
      <c r="J1234" s="137">
        <v>14.1</v>
      </c>
      <c r="K1234" s="134"/>
      <c r="L1234" s="136">
        <v>25</v>
      </c>
      <c r="M1234" s="181"/>
      <c r="N1234" s="159"/>
      <c r="O1234" s="159"/>
      <c r="P1234" s="136" t="s">
        <v>215</v>
      </c>
      <c r="Q1234" s="197"/>
    </row>
    <row r="1235" spans="1:17" ht="16.5" customHeight="1" x14ac:dyDescent="0.25">
      <c r="A1235" s="156">
        <v>45183</v>
      </c>
      <c r="B1235" s="136" t="s">
        <v>2</v>
      </c>
      <c r="C1235" s="157" t="str">
        <f t="shared" si="38"/>
        <v>14.09.2023_KIN2</v>
      </c>
      <c r="D1235" s="190">
        <f t="shared" si="39"/>
        <v>0</v>
      </c>
      <c r="E1235" s="133">
        <v>8.23</v>
      </c>
      <c r="F1235" s="134"/>
      <c r="G1235" s="135">
        <v>393</v>
      </c>
      <c r="H1235" s="137">
        <v>9.9</v>
      </c>
      <c r="I1235" s="134"/>
      <c r="J1235" s="137">
        <v>14.6</v>
      </c>
      <c r="K1235" s="134"/>
      <c r="L1235" s="136">
        <v>40</v>
      </c>
      <c r="M1235" s="181"/>
      <c r="N1235" s="159"/>
      <c r="O1235" s="159"/>
      <c r="P1235" s="136" t="s">
        <v>173</v>
      </c>
      <c r="Q1235" s="197"/>
    </row>
    <row r="1236" spans="1:17" ht="16.5" customHeight="1" x14ac:dyDescent="0.25">
      <c r="A1236" s="156">
        <v>45183</v>
      </c>
      <c r="B1236" s="136" t="s">
        <v>4</v>
      </c>
      <c r="C1236" s="157" t="str">
        <f t="shared" si="38"/>
        <v>14.09.2023_KIN3</v>
      </c>
      <c r="D1236" s="190">
        <f t="shared" si="39"/>
        <v>0</v>
      </c>
      <c r="E1236" s="133">
        <v>8.3000000000000007</v>
      </c>
      <c r="F1236" s="134"/>
      <c r="G1236" s="135">
        <v>386</v>
      </c>
      <c r="H1236" s="137">
        <v>10</v>
      </c>
      <c r="I1236" s="134"/>
      <c r="J1236" s="137">
        <v>14.9</v>
      </c>
      <c r="K1236" s="134"/>
      <c r="L1236" s="136">
        <v>70</v>
      </c>
      <c r="M1236" s="181"/>
      <c r="N1236" s="159"/>
      <c r="O1236" s="159"/>
      <c r="P1236" s="136" t="s">
        <v>174</v>
      </c>
      <c r="Q1236" s="197"/>
    </row>
    <row r="1237" spans="1:17" ht="16.5" customHeight="1" x14ac:dyDescent="0.25">
      <c r="A1237" s="156">
        <v>45183</v>
      </c>
      <c r="B1237" s="136" t="s">
        <v>6</v>
      </c>
      <c r="C1237" s="157" t="str">
        <f t="shared" si="38"/>
        <v>14.09.2023_KIN4</v>
      </c>
      <c r="D1237" s="190">
        <f t="shared" si="39"/>
        <v>0</v>
      </c>
      <c r="E1237" s="133">
        <v>8.15</v>
      </c>
      <c r="F1237" s="134"/>
      <c r="G1237" s="135">
        <v>413</v>
      </c>
      <c r="H1237" s="137">
        <v>9.6</v>
      </c>
      <c r="I1237" s="134"/>
      <c r="J1237" s="137">
        <v>15.1</v>
      </c>
      <c r="K1237" s="134"/>
      <c r="L1237" s="136">
        <v>50</v>
      </c>
      <c r="M1237" s="181"/>
      <c r="N1237" s="159"/>
      <c r="O1237" s="159"/>
      <c r="P1237" s="136" t="s">
        <v>174</v>
      </c>
      <c r="Q1237" s="197"/>
    </row>
    <row r="1238" spans="1:17" ht="16.5" customHeight="1" x14ac:dyDescent="0.25">
      <c r="A1238" s="156">
        <v>45183</v>
      </c>
      <c r="B1238" s="136" t="s">
        <v>18</v>
      </c>
      <c r="C1238" s="157" t="str">
        <f t="shared" si="38"/>
        <v>14.09.2023_ORB1</v>
      </c>
      <c r="D1238" s="190">
        <f t="shared" si="39"/>
        <v>0</v>
      </c>
      <c r="E1238" s="133">
        <v>7.33</v>
      </c>
      <c r="F1238" s="134"/>
      <c r="G1238" s="135">
        <v>126.8</v>
      </c>
      <c r="H1238" s="137">
        <v>10.1</v>
      </c>
      <c r="I1238" s="134"/>
      <c r="J1238" s="137">
        <v>15.4</v>
      </c>
      <c r="K1238" s="134"/>
      <c r="L1238" s="136">
        <v>20</v>
      </c>
      <c r="M1238" s="181"/>
      <c r="N1238" s="159"/>
      <c r="O1238" s="159"/>
      <c r="P1238" s="136" t="s">
        <v>174</v>
      </c>
      <c r="Q1238" s="197"/>
    </row>
    <row r="1239" spans="1:17" ht="16.5" customHeight="1" x14ac:dyDescent="0.25">
      <c r="A1239" s="156">
        <v>45183</v>
      </c>
      <c r="B1239" s="136" t="s">
        <v>21</v>
      </c>
      <c r="C1239" s="157" t="str">
        <f t="shared" si="38"/>
        <v>14.09.2023_ORB2</v>
      </c>
      <c r="D1239" s="190">
        <f t="shared" si="39"/>
        <v>0</v>
      </c>
      <c r="E1239" s="133">
        <v>6.97</v>
      </c>
      <c r="F1239" s="134"/>
      <c r="G1239" s="135">
        <v>172.2</v>
      </c>
      <c r="H1239" s="137">
        <v>9.6999999999999993</v>
      </c>
      <c r="I1239" s="134"/>
      <c r="J1239" s="137">
        <v>13.6</v>
      </c>
      <c r="K1239" s="134"/>
      <c r="L1239" s="136">
        <v>30</v>
      </c>
      <c r="M1239" s="181"/>
      <c r="N1239" s="159"/>
      <c r="O1239" s="159"/>
      <c r="P1239" s="136" t="s">
        <v>173</v>
      </c>
      <c r="Q1239" s="197"/>
    </row>
    <row r="1240" spans="1:17" ht="16.5" customHeight="1" x14ac:dyDescent="0.25">
      <c r="A1240" s="156">
        <v>45183</v>
      </c>
      <c r="B1240" s="136" t="s">
        <v>10</v>
      </c>
      <c r="C1240" s="157" t="str">
        <f t="shared" si="38"/>
        <v>14.09.2023_SAL1</v>
      </c>
      <c r="D1240" s="190">
        <f t="shared" si="39"/>
        <v>0</v>
      </c>
      <c r="E1240" s="133">
        <v>7.99</v>
      </c>
      <c r="F1240" s="134"/>
      <c r="G1240" s="135">
        <v>167</v>
      </c>
      <c r="H1240" s="137">
        <v>10.199999999999999</v>
      </c>
      <c r="I1240" s="134"/>
      <c r="J1240" s="137">
        <v>13</v>
      </c>
      <c r="K1240" s="134"/>
      <c r="L1240" s="136">
        <v>30</v>
      </c>
      <c r="M1240" s="181"/>
      <c r="N1240" s="159"/>
      <c r="O1240" s="159"/>
      <c r="P1240" s="136" t="s">
        <v>174</v>
      </c>
      <c r="Q1240" s="197"/>
    </row>
    <row r="1241" spans="1:17" ht="16.5" customHeight="1" x14ac:dyDescent="0.25">
      <c r="A1241" s="156">
        <v>45183</v>
      </c>
      <c r="B1241" s="136" t="s">
        <v>12</v>
      </c>
      <c r="C1241" s="157" t="str">
        <f t="shared" si="38"/>
        <v>14.09.2023_SAL2</v>
      </c>
      <c r="D1241" s="190">
        <f t="shared" si="39"/>
        <v>0</v>
      </c>
      <c r="E1241" s="133">
        <v>8.0399999999999991</v>
      </c>
      <c r="F1241" s="134"/>
      <c r="G1241" s="135">
        <v>183</v>
      </c>
      <c r="H1241" s="137">
        <v>10</v>
      </c>
      <c r="I1241" s="134"/>
      <c r="J1241" s="137">
        <v>13.6</v>
      </c>
      <c r="K1241" s="134"/>
      <c r="L1241" s="136">
        <v>40</v>
      </c>
      <c r="M1241" s="181"/>
      <c r="N1241" s="159"/>
      <c r="O1241" s="159"/>
      <c r="P1241" s="136" t="s">
        <v>174</v>
      </c>
      <c r="Q1241" s="197"/>
    </row>
    <row r="1242" spans="1:17" ht="16.5" customHeight="1" x14ac:dyDescent="0.25">
      <c r="A1242" s="156">
        <v>45183</v>
      </c>
      <c r="B1242" s="136" t="s">
        <v>7</v>
      </c>
      <c r="C1242" s="157" t="str">
        <f t="shared" si="38"/>
        <v>14.09.2023_STE1</v>
      </c>
      <c r="D1242" s="190">
        <f t="shared" si="39"/>
        <v>0</v>
      </c>
      <c r="E1242" s="133">
        <v>8.0500000000000007</v>
      </c>
      <c r="F1242" s="134"/>
      <c r="G1242" s="135">
        <v>279</v>
      </c>
      <c r="H1242" s="137">
        <v>9.6</v>
      </c>
      <c r="I1242" s="134"/>
      <c r="J1242" s="137">
        <v>13.8</v>
      </c>
      <c r="K1242" s="134"/>
      <c r="L1242" s="136">
        <v>45</v>
      </c>
      <c r="M1242" s="181"/>
      <c r="N1242" s="159"/>
      <c r="O1242" s="159"/>
      <c r="P1242" s="136" t="s">
        <v>173</v>
      </c>
      <c r="Q1242" s="197"/>
    </row>
    <row r="1243" spans="1:17" ht="16.5" customHeight="1" x14ac:dyDescent="0.25">
      <c r="A1243" s="156">
        <v>45183</v>
      </c>
      <c r="B1243" s="136" t="s">
        <v>9</v>
      </c>
      <c r="C1243" s="157" t="str">
        <f t="shared" si="38"/>
        <v>14.09.2023_STE2</v>
      </c>
      <c r="D1243" s="190">
        <f t="shared" si="39"/>
        <v>0</v>
      </c>
      <c r="E1243" s="133">
        <v>8.31</v>
      </c>
      <c r="F1243" s="134"/>
      <c r="G1243" s="135">
        <v>282</v>
      </c>
      <c r="H1243" s="137">
        <v>10</v>
      </c>
      <c r="I1243" s="134"/>
      <c r="J1243" s="137">
        <v>15.5</v>
      </c>
      <c r="K1243" s="134"/>
      <c r="L1243" s="136">
        <v>35</v>
      </c>
      <c r="M1243" s="181"/>
      <c r="N1243" s="159"/>
      <c r="O1243" s="159"/>
      <c r="P1243" s="136" t="s">
        <v>174</v>
      </c>
      <c r="Q1243" s="197"/>
    </row>
    <row r="1244" spans="1:17" ht="16.5" customHeight="1" x14ac:dyDescent="0.25">
      <c r="A1244" s="156">
        <v>45197</v>
      </c>
      <c r="B1244" s="136" t="s">
        <v>22</v>
      </c>
      <c r="C1244" s="157" t="str">
        <f t="shared" si="38"/>
        <v>28.09.2023_BIE1</v>
      </c>
      <c r="D1244" s="190">
        <f t="shared" si="39"/>
        <v>0</v>
      </c>
      <c r="E1244" s="133">
        <v>7.9</v>
      </c>
      <c r="F1244" s="134"/>
      <c r="G1244" s="135">
        <v>198</v>
      </c>
      <c r="H1244" s="137">
        <v>11</v>
      </c>
      <c r="I1244" s="134"/>
      <c r="J1244" s="137">
        <v>12.9</v>
      </c>
      <c r="K1244" s="134"/>
      <c r="L1244" s="136">
        <v>30</v>
      </c>
      <c r="M1244" s="181"/>
      <c r="N1244" s="159"/>
      <c r="O1244" s="159"/>
      <c r="P1244" s="136"/>
      <c r="Q1244" s="197"/>
    </row>
    <row r="1245" spans="1:17" ht="16.5" customHeight="1" x14ac:dyDescent="0.25">
      <c r="A1245" s="156">
        <v>45197</v>
      </c>
      <c r="B1245" s="136" t="s">
        <v>25</v>
      </c>
      <c r="C1245" s="157" t="str">
        <f t="shared" si="38"/>
        <v>28.09.2023_BIE2</v>
      </c>
      <c r="D1245" s="190">
        <f t="shared" si="39"/>
        <v>0</v>
      </c>
      <c r="E1245" s="133">
        <v>7.85</v>
      </c>
      <c r="F1245" s="134"/>
      <c r="G1245" s="135">
        <v>198</v>
      </c>
      <c r="H1245" s="137">
        <v>10.5</v>
      </c>
      <c r="I1245" s="134"/>
      <c r="J1245" s="137">
        <v>12.7</v>
      </c>
      <c r="K1245" s="134"/>
      <c r="L1245" s="136">
        <v>45</v>
      </c>
      <c r="M1245" s="181"/>
      <c r="N1245" s="159"/>
      <c r="O1245" s="159"/>
      <c r="P1245" s="136"/>
      <c r="Q1245" s="197"/>
    </row>
    <row r="1246" spans="1:17" ht="16.5" customHeight="1" x14ac:dyDescent="0.25">
      <c r="A1246" s="156">
        <v>45197</v>
      </c>
      <c r="B1246" s="136" t="s">
        <v>30</v>
      </c>
      <c r="C1246" s="157" t="str">
        <f t="shared" si="38"/>
        <v>28.09.2023_FAL1</v>
      </c>
      <c r="D1246" s="190">
        <f t="shared" si="39"/>
        <v>0</v>
      </c>
      <c r="E1246" s="133">
        <v>8.06</v>
      </c>
      <c r="F1246" s="134"/>
      <c r="G1246" s="135">
        <v>827</v>
      </c>
      <c r="H1246" s="137">
        <v>10.3</v>
      </c>
      <c r="I1246" s="134"/>
      <c r="J1246" s="137">
        <v>13.3</v>
      </c>
      <c r="K1246" s="134"/>
      <c r="L1246" s="136">
        <v>35</v>
      </c>
      <c r="M1246" s="181"/>
      <c r="N1246" s="159"/>
      <c r="O1246" s="159"/>
      <c r="P1246" s="136"/>
      <c r="Q1246" s="197"/>
    </row>
    <row r="1247" spans="1:17" ht="16.5" customHeight="1" x14ac:dyDescent="0.25">
      <c r="A1247" s="156">
        <v>45197</v>
      </c>
      <c r="B1247" s="136" t="s">
        <v>32</v>
      </c>
      <c r="C1247" s="157" t="str">
        <f t="shared" si="38"/>
        <v>28.09.2023_FAL2</v>
      </c>
      <c r="D1247" s="190">
        <f t="shared" si="39"/>
        <v>0</v>
      </c>
      <c r="E1247" s="133">
        <v>8.1999999999999993</v>
      </c>
      <c r="F1247" s="134"/>
      <c r="G1247" s="135">
        <v>798</v>
      </c>
      <c r="H1247" s="137">
        <v>9.5</v>
      </c>
      <c r="I1247" s="134"/>
      <c r="J1247" s="137">
        <v>13.8</v>
      </c>
      <c r="K1247" s="134"/>
      <c r="L1247" s="136">
        <v>70</v>
      </c>
      <c r="M1247" s="181"/>
      <c r="N1247" s="159"/>
      <c r="O1247" s="159"/>
      <c r="P1247" s="136"/>
      <c r="Q1247" s="197"/>
    </row>
    <row r="1248" spans="1:17" ht="16.5" customHeight="1" x14ac:dyDescent="0.25">
      <c r="A1248" s="156">
        <v>45197</v>
      </c>
      <c r="B1248" s="136" t="s">
        <v>26</v>
      </c>
      <c r="C1248" s="157" t="str">
        <f t="shared" si="38"/>
        <v>28.09.2023_GRU1</v>
      </c>
      <c r="D1248" s="190">
        <f t="shared" si="39"/>
        <v>0</v>
      </c>
      <c r="E1248" s="133">
        <v>7.63</v>
      </c>
      <c r="F1248" s="134"/>
      <c r="G1248" s="135">
        <v>152</v>
      </c>
      <c r="H1248" s="137">
        <v>10.4</v>
      </c>
      <c r="I1248" s="134"/>
      <c r="J1248" s="137">
        <v>13.9</v>
      </c>
      <c r="K1248" s="134"/>
      <c r="L1248" s="136">
        <v>32</v>
      </c>
      <c r="M1248" s="181"/>
      <c r="N1248" s="159"/>
      <c r="O1248" s="159"/>
      <c r="P1248" s="136"/>
      <c r="Q1248" s="197"/>
    </row>
    <row r="1249" spans="1:17" ht="16.5" customHeight="1" x14ac:dyDescent="0.25">
      <c r="A1249" s="156">
        <v>45197</v>
      </c>
      <c r="B1249" s="136" t="s">
        <v>28</v>
      </c>
      <c r="C1249" s="157" t="str">
        <f t="shared" si="38"/>
        <v>28.09.2023_GRU2</v>
      </c>
      <c r="D1249" s="190">
        <f t="shared" si="39"/>
        <v>0</v>
      </c>
      <c r="E1249" s="133">
        <v>7.51</v>
      </c>
      <c r="F1249" s="134"/>
      <c r="G1249" s="135">
        <v>178</v>
      </c>
      <c r="H1249" s="137">
        <v>10.7</v>
      </c>
      <c r="I1249" s="134"/>
      <c r="J1249" s="137">
        <v>13.4</v>
      </c>
      <c r="K1249" s="134"/>
      <c r="L1249" s="136">
        <v>35</v>
      </c>
      <c r="M1249" s="181"/>
      <c r="N1249" s="159"/>
      <c r="O1249" s="159"/>
      <c r="P1249" s="136"/>
      <c r="Q1249" s="197"/>
    </row>
    <row r="1250" spans="1:17" ht="16.5" customHeight="1" x14ac:dyDescent="0.25">
      <c r="A1250" s="156">
        <v>45197</v>
      </c>
      <c r="B1250" s="136" t="s">
        <v>34</v>
      </c>
      <c r="C1250" s="157" t="str">
        <f t="shared" si="38"/>
        <v>28.09.2023_KRE1</v>
      </c>
      <c r="D1250" s="190">
        <f t="shared" si="39"/>
        <v>0</v>
      </c>
      <c r="E1250" s="133">
        <v>7.96</v>
      </c>
      <c r="F1250" s="134"/>
      <c r="G1250" s="135">
        <v>792</v>
      </c>
      <c r="H1250" s="137">
        <v>8.9</v>
      </c>
      <c r="I1250" s="134"/>
      <c r="J1250" s="137">
        <v>13.3</v>
      </c>
      <c r="K1250" s="134"/>
      <c r="L1250" s="136">
        <v>39</v>
      </c>
      <c r="M1250" s="181"/>
      <c r="N1250" s="159"/>
      <c r="O1250" s="159"/>
      <c r="P1250" s="136"/>
      <c r="Q1250" s="197"/>
    </row>
    <row r="1251" spans="1:17" ht="16.5" customHeight="1" x14ac:dyDescent="0.25">
      <c r="A1251" s="156">
        <v>45197</v>
      </c>
      <c r="B1251" s="136" t="s">
        <v>37</v>
      </c>
      <c r="C1251" s="157" t="str">
        <f t="shared" si="38"/>
        <v>28.09.2023_KRE2</v>
      </c>
      <c r="D1251" s="190">
        <f t="shared" si="39"/>
        <v>0</v>
      </c>
      <c r="E1251" s="133">
        <v>7.92</v>
      </c>
      <c r="F1251" s="134"/>
      <c r="G1251" s="135">
        <v>763</v>
      </c>
      <c r="H1251" s="137">
        <v>8.6</v>
      </c>
      <c r="I1251" s="134"/>
      <c r="J1251" s="137">
        <v>12.8</v>
      </c>
      <c r="K1251" s="134"/>
      <c r="L1251" s="136">
        <v>50</v>
      </c>
      <c r="M1251" s="181"/>
      <c r="N1251" s="159"/>
      <c r="O1251" s="159"/>
      <c r="P1251" s="136"/>
      <c r="Q1251" s="197"/>
    </row>
    <row r="1252" spans="1:17" ht="16.5" customHeight="1" x14ac:dyDescent="0.25">
      <c r="A1252" s="156">
        <v>45197</v>
      </c>
      <c r="B1252" s="136" t="s">
        <v>14</v>
      </c>
      <c r="C1252" s="157" t="str">
        <f t="shared" si="38"/>
        <v>28.09.2023_BRA1</v>
      </c>
      <c r="D1252" s="190">
        <f t="shared" si="39"/>
        <v>0</v>
      </c>
      <c r="E1252" s="133">
        <v>7.96</v>
      </c>
      <c r="F1252" s="134"/>
      <c r="G1252" s="135">
        <v>145</v>
      </c>
      <c r="H1252" s="137">
        <v>9.5</v>
      </c>
      <c r="I1252" s="134"/>
      <c r="J1252" s="137">
        <v>15.8</v>
      </c>
      <c r="K1252" s="134"/>
      <c r="L1252" s="136">
        <v>20</v>
      </c>
      <c r="M1252" s="181"/>
      <c r="N1252" s="159"/>
      <c r="O1252" s="159"/>
      <c r="P1252" s="136" t="s">
        <v>174</v>
      </c>
      <c r="Q1252" s="197"/>
    </row>
    <row r="1253" spans="1:17" ht="16.5" customHeight="1" x14ac:dyDescent="0.25">
      <c r="A1253" s="156">
        <v>45197</v>
      </c>
      <c r="B1253" s="136" t="s">
        <v>17</v>
      </c>
      <c r="C1253" s="157" t="str">
        <f t="shared" si="38"/>
        <v>28.09.2023_BRA2</v>
      </c>
      <c r="D1253" s="190">
        <f t="shared" si="39"/>
        <v>0</v>
      </c>
      <c r="E1253" s="133">
        <v>8.08</v>
      </c>
      <c r="F1253" s="134"/>
      <c r="G1253" s="135">
        <v>165</v>
      </c>
      <c r="H1253" s="137">
        <v>9.8000000000000007</v>
      </c>
      <c r="I1253" s="134"/>
      <c r="J1253" s="137">
        <v>14.7</v>
      </c>
      <c r="K1253" s="134"/>
      <c r="L1253" s="136">
        <v>30</v>
      </c>
      <c r="M1253" s="181"/>
      <c r="N1253" s="159"/>
      <c r="O1253" s="159"/>
      <c r="P1253" s="136" t="s">
        <v>173</v>
      </c>
      <c r="Q1253" s="197"/>
    </row>
    <row r="1254" spans="1:17" ht="16.5" customHeight="1" x14ac:dyDescent="0.25">
      <c r="A1254" s="156">
        <v>45197</v>
      </c>
      <c r="B1254" s="136" t="s">
        <v>0</v>
      </c>
      <c r="C1254" s="157" t="str">
        <f t="shared" si="38"/>
        <v>28.09.2023_KIN1</v>
      </c>
      <c r="D1254" s="190">
        <f t="shared" si="39"/>
        <v>0</v>
      </c>
      <c r="E1254" s="133">
        <v>8.4</v>
      </c>
      <c r="F1254" s="134"/>
      <c r="G1254" s="135">
        <v>331</v>
      </c>
      <c r="H1254" s="137">
        <v>9.5</v>
      </c>
      <c r="I1254" s="134"/>
      <c r="J1254" s="137">
        <v>14.5</v>
      </c>
      <c r="K1254" s="134"/>
      <c r="L1254" s="136">
        <v>20</v>
      </c>
      <c r="M1254" s="181"/>
      <c r="N1254" s="159"/>
      <c r="O1254" s="159"/>
      <c r="P1254" s="136" t="s">
        <v>215</v>
      </c>
      <c r="Q1254" s="197"/>
    </row>
    <row r="1255" spans="1:17" ht="16.5" customHeight="1" x14ac:dyDescent="0.25">
      <c r="A1255" s="156">
        <v>45197</v>
      </c>
      <c r="B1255" s="136" t="s">
        <v>2</v>
      </c>
      <c r="C1255" s="157" t="str">
        <f t="shared" si="38"/>
        <v>28.09.2023_KIN2</v>
      </c>
      <c r="D1255" s="190">
        <f t="shared" si="39"/>
        <v>0</v>
      </c>
      <c r="E1255" s="133">
        <v>8.27</v>
      </c>
      <c r="F1255" s="134"/>
      <c r="G1255" s="135">
        <v>382</v>
      </c>
      <c r="H1255" s="137">
        <v>10.4</v>
      </c>
      <c r="I1255" s="134"/>
      <c r="J1255" s="137">
        <v>14.1</v>
      </c>
      <c r="K1255" s="134"/>
      <c r="L1255" s="136">
        <v>30</v>
      </c>
      <c r="M1255" s="181"/>
      <c r="N1255" s="159"/>
      <c r="O1255" s="159"/>
      <c r="P1255" s="136" t="s">
        <v>173</v>
      </c>
      <c r="Q1255" s="197"/>
    </row>
    <row r="1256" spans="1:17" ht="16.5" customHeight="1" x14ac:dyDescent="0.25">
      <c r="A1256" s="156">
        <v>45197</v>
      </c>
      <c r="B1256" s="136" t="s">
        <v>4</v>
      </c>
      <c r="C1256" s="157" t="str">
        <f t="shared" si="38"/>
        <v>28.09.2023_KIN3</v>
      </c>
      <c r="D1256" s="190">
        <f t="shared" si="39"/>
        <v>0</v>
      </c>
      <c r="E1256" s="133">
        <v>8.34</v>
      </c>
      <c r="F1256" s="134"/>
      <c r="G1256" s="135">
        <v>380</v>
      </c>
      <c r="H1256" s="137">
        <v>10.3</v>
      </c>
      <c r="I1256" s="134"/>
      <c r="J1256" s="137">
        <v>14.3</v>
      </c>
      <c r="K1256" s="134"/>
      <c r="L1256" s="136">
        <v>75</v>
      </c>
      <c r="M1256" s="181"/>
      <c r="N1256" s="159"/>
      <c r="O1256" s="159"/>
      <c r="P1256" s="136" t="s">
        <v>174</v>
      </c>
      <c r="Q1256" s="197"/>
    </row>
    <row r="1257" spans="1:17" ht="16.5" customHeight="1" x14ac:dyDescent="0.25">
      <c r="A1257" s="156">
        <v>45197</v>
      </c>
      <c r="B1257" s="136" t="s">
        <v>6</v>
      </c>
      <c r="C1257" s="157" t="str">
        <f t="shared" si="38"/>
        <v>28.09.2023_KIN4</v>
      </c>
      <c r="D1257" s="190">
        <f t="shared" si="39"/>
        <v>0</v>
      </c>
      <c r="E1257" s="133">
        <v>8.16</v>
      </c>
      <c r="F1257" s="134"/>
      <c r="G1257" s="135">
        <v>401</v>
      </c>
      <c r="H1257" s="137">
        <v>9.6</v>
      </c>
      <c r="I1257" s="134"/>
      <c r="J1257" s="137">
        <v>14.8</v>
      </c>
      <c r="K1257" s="134"/>
      <c r="L1257" s="136">
        <v>45</v>
      </c>
      <c r="M1257" s="181"/>
      <c r="N1257" s="159"/>
      <c r="O1257" s="159"/>
      <c r="P1257" s="136" t="s">
        <v>174</v>
      </c>
      <c r="Q1257" s="197"/>
    </row>
    <row r="1258" spans="1:17" ht="16.5" customHeight="1" x14ac:dyDescent="0.25">
      <c r="A1258" s="156">
        <v>45197</v>
      </c>
      <c r="B1258" s="136" t="s">
        <v>18</v>
      </c>
      <c r="C1258" s="157" t="str">
        <f t="shared" si="38"/>
        <v>28.09.2023_ORB1</v>
      </c>
      <c r="D1258" s="190">
        <f t="shared" si="39"/>
        <v>0</v>
      </c>
      <c r="E1258" s="133">
        <v>7.46</v>
      </c>
      <c r="F1258" s="134"/>
      <c r="G1258" s="135">
        <v>128.19999999999999</v>
      </c>
      <c r="H1258" s="137">
        <v>10.199999999999999</v>
      </c>
      <c r="I1258" s="134"/>
      <c r="J1258" s="137">
        <v>14.6</v>
      </c>
      <c r="K1258" s="134"/>
      <c r="L1258" s="136">
        <v>15</v>
      </c>
      <c r="M1258" s="181"/>
      <c r="N1258" s="159"/>
      <c r="O1258" s="159"/>
      <c r="P1258" s="136" t="s">
        <v>174</v>
      </c>
      <c r="Q1258" s="197"/>
    </row>
    <row r="1259" spans="1:17" ht="16.5" customHeight="1" x14ac:dyDescent="0.25">
      <c r="A1259" s="156">
        <v>45197</v>
      </c>
      <c r="B1259" s="136" t="s">
        <v>21</v>
      </c>
      <c r="C1259" s="157" t="str">
        <f t="shared" si="38"/>
        <v>28.09.2023_ORB2</v>
      </c>
      <c r="D1259" s="190">
        <f t="shared" si="39"/>
        <v>0</v>
      </c>
      <c r="E1259" s="133">
        <v>7.07</v>
      </c>
      <c r="F1259" s="134"/>
      <c r="G1259" s="135">
        <v>171.4</v>
      </c>
      <c r="H1259" s="137">
        <v>9.6</v>
      </c>
      <c r="I1259" s="134"/>
      <c r="J1259" s="137">
        <v>15.4</v>
      </c>
      <c r="K1259" s="134"/>
      <c r="L1259" s="136">
        <v>30</v>
      </c>
      <c r="M1259" s="181"/>
      <c r="N1259" s="159"/>
      <c r="O1259" s="159"/>
      <c r="P1259" s="136" t="s">
        <v>173</v>
      </c>
      <c r="Q1259" s="197"/>
    </row>
    <row r="1260" spans="1:17" ht="16.5" customHeight="1" x14ac:dyDescent="0.25">
      <c r="A1260" s="156">
        <v>45197</v>
      </c>
      <c r="B1260" s="136" t="s">
        <v>10</v>
      </c>
      <c r="C1260" s="157" t="str">
        <f t="shared" si="38"/>
        <v>28.09.2023_SAL1</v>
      </c>
      <c r="D1260" s="190">
        <f t="shared" si="39"/>
        <v>0</v>
      </c>
      <c r="E1260" s="133">
        <v>8.06</v>
      </c>
      <c r="F1260" s="134"/>
      <c r="G1260" s="135">
        <v>165</v>
      </c>
      <c r="H1260" s="137">
        <v>10.199999999999999</v>
      </c>
      <c r="I1260" s="134"/>
      <c r="J1260" s="137">
        <v>14.2</v>
      </c>
      <c r="K1260" s="134"/>
      <c r="L1260" s="136">
        <v>30</v>
      </c>
      <c r="M1260" s="181"/>
      <c r="N1260" s="159"/>
      <c r="O1260" s="159"/>
      <c r="P1260" s="136" t="s">
        <v>174</v>
      </c>
      <c r="Q1260" s="197"/>
    </row>
    <row r="1261" spans="1:17" ht="16.5" customHeight="1" x14ac:dyDescent="0.25">
      <c r="A1261" s="156">
        <v>45197</v>
      </c>
      <c r="B1261" s="136" t="s">
        <v>12</v>
      </c>
      <c r="C1261" s="157" t="str">
        <f t="shared" si="38"/>
        <v>28.09.2023_SAL2</v>
      </c>
      <c r="D1261" s="190">
        <f t="shared" si="39"/>
        <v>0</v>
      </c>
      <c r="E1261" s="133">
        <v>8.18</v>
      </c>
      <c r="F1261" s="134"/>
      <c r="G1261" s="135">
        <v>185</v>
      </c>
      <c r="H1261" s="137">
        <v>10</v>
      </c>
      <c r="I1261" s="134"/>
      <c r="J1261" s="137">
        <v>14.5</v>
      </c>
      <c r="K1261" s="134"/>
      <c r="L1261" s="136">
        <v>35</v>
      </c>
      <c r="M1261" s="181"/>
      <c r="N1261" s="159"/>
      <c r="O1261" s="159"/>
      <c r="P1261" s="136" t="s">
        <v>174</v>
      </c>
      <c r="Q1261" s="197"/>
    </row>
    <row r="1262" spans="1:17" ht="16.5" customHeight="1" x14ac:dyDescent="0.25">
      <c r="A1262" s="156">
        <v>45197</v>
      </c>
      <c r="B1262" s="136" t="s">
        <v>7</v>
      </c>
      <c r="C1262" s="157" t="str">
        <f t="shared" si="38"/>
        <v>28.09.2023_STE1</v>
      </c>
      <c r="D1262" s="190">
        <f t="shared" si="39"/>
        <v>0</v>
      </c>
      <c r="E1262" s="133">
        <v>8.1300000000000008</v>
      </c>
      <c r="F1262" s="134"/>
      <c r="G1262" s="135">
        <v>278</v>
      </c>
      <c r="H1262" s="137">
        <v>9.8000000000000007</v>
      </c>
      <c r="I1262" s="134"/>
      <c r="J1262" s="137">
        <v>13.3</v>
      </c>
      <c r="K1262" s="134"/>
      <c r="L1262" s="136">
        <v>40</v>
      </c>
      <c r="M1262" s="181"/>
      <c r="N1262" s="159"/>
      <c r="O1262" s="159"/>
      <c r="P1262" s="136" t="s">
        <v>173</v>
      </c>
      <c r="Q1262" s="197"/>
    </row>
    <row r="1263" spans="1:17" ht="16.5" customHeight="1" x14ac:dyDescent="0.25">
      <c r="A1263" s="156">
        <v>45197</v>
      </c>
      <c r="B1263" s="136" t="s">
        <v>9</v>
      </c>
      <c r="C1263" s="157" t="str">
        <f t="shared" si="38"/>
        <v>28.09.2023_STE2</v>
      </c>
      <c r="D1263" s="190">
        <f t="shared" si="39"/>
        <v>0</v>
      </c>
      <c r="E1263" s="133">
        <v>8.36</v>
      </c>
      <c r="F1263" s="134"/>
      <c r="G1263" s="135">
        <v>226</v>
      </c>
      <c r="H1263" s="137">
        <v>10.1</v>
      </c>
      <c r="I1263" s="134"/>
      <c r="J1263" s="137">
        <v>14.6</v>
      </c>
      <c r="K1263" s="134"/>
      <c r="L1263" s="136">
        <v>30</v>
      </c>
      <c r="M1263" s="181"/>
      <c r="N1263" s="159"/>
      <c r="O1263" s="159"/>
      <c r="P1263" s="136" t="s">
        <v>174</v>
      </c>
      <c r="Q1263" s="197"/>
    </row>
    <row r="1264" spans="1:17" ht="16.5" customHeight="1" x14ac:dyDescent="0.25">
      <c r="A1264" s="156">
        <v>45211</v>
      </c>
      <c r="B1264" s="136" t="s">
        <v>22</v>
      </c>
      <c r="C1264" s="157" t="str">
        <f t="shared" si="38"/>
        <v>12.10.2023_BIE1</v>
      </c>
      <c r="D1264" s="190">
        <f t="shared" si="39"/>
        <v>0</v>
      </c>
      <c r="E1264" s="133">
        <v>8.01</v>
      </c>
      <c r="F1264" s="134"/>
      <c r="G1264" s="135">
        <v>220</v>
      </c>
      <c r="H1264" s="137">
        <v>10.8</v>
      </c>
      <c r="I1264" s="134"/>
      <c r="J1264" s="137">
        <v>13.6</v>
      </c>
      <c r="K1264" s="134"/>
      <c r="L1264" s="136">
        <v>25</v>
      </c>
      <c r="M1264" s="181"/>
      <c r="N1264" s="159"/>
      <c r="O1264" s="159"/>
      <c r="P1264" s="136"/>
      <c r="Q1264" s="197"/>
    </row>
    <row r="1265" spans="1:17" ht="16.5" customHeight="1" x14ac:dyDescent="0.25">
      <c r="A1265" s="156">
        <v>45211</v>
      </c>
      <c r="B1265" s="136" t="s">
        <v>25</v>
      </c>
      <c r="C1265" s="157" t="str">
        <f t="shared" si="38"/>
        <v>12.10.2023_BIE2</v>
      </c>
      <c r="D1265" s="190">
        <f t="shared" si="39"/>
        <v>0</v>
      </c>
      <c r="E1265" s="133">
        <v>7.99</v>
      </c>
      <c r="F1265" s="134"/>
      <c r="G1265" s="135">
        <v>230</v>
      </c>
      <c r="H1265" s="137">
        <v>10.3</v>
      </c>
      <c r="I1265" s="134"/>
      <c r="J1265" s="137">
        <v>13.7</v>
      </c>
      <c r="K1265" s="134"/>
      <c r="L1265" s="136">
        <v>35</v>
      </c>
      <c r="M1265" s="181"/>
      <c r="N1265" s="159"/>
      <c r="O1265" s="159"/>
      <c r="P1265" s="136"/>
      <c r="Q1265" s="197"/>
    </row>
    <row r="1266" spans="1:17" ht="16.5" customHeight="1" x14ac:dyDescent="0.25">
      <c r="A1266" s="156">
        <v>45211</v>
      </c>
      <c r="B1266" s="136" t="s">
        <v>30</v>
      </c>
      <c r="C1266" s="157" t="str">
        <f t="shared" si="38"/>
        <v>12.10.2023_FAL1</v>
      </c>
      <c r="D1266" s="190">
        <f t="shared" si="39"/>
        <v>0</v>
      </c>
      <c r="E1266" s="133">
        <v>8.06</v>
      </c>
      <c r="F1266" s="134"/>
      <c r="G1266" s="135">
        <v>879</v>
      </c>
      <c r="H1266" s="137">
        <v>9.5</v>
      </c>
      <c r="I1266" s="134"/>
      <c r="J1266" s="137">
        <v>13.6</v>
      </c>
      <c r="K1266" s="134"/>
      <c r="L1266" s="136">
        <v>40</v>
      </c>
      <c r="M1266" s="181"/>
      <c r="N1266" s="159"/>
      <c r="O1266" s="159"/>
      <c r="P1266" s="136"/>
      <c r="Q1266" s="197"/>
    </row>
    <row r="1267" spans="1:17" ht="16.5" customHeight="1" x14ac:dyDescent="0.25">
      <c r="A1267" s="156">
        <v>45211</v>
      </c>
      <c r="B1267" s="136" t="s">
        <v>32</v>
      </c>
      <c r="C1267" s="157" t="str">
        <f t="shared" si="38"/>
        <v>12.10.2023_FAL2</v>
      </c>
      <c r="D1267" s="190">
        <f t="shared" si="39"/>
        <v>0</v>
      </c>
      <c r="E1267" s="133">
        <v>8.0399999999999991</v>
      </c>
      <c r="F1267" s="134"/>
      <c r="G1267" s="135">
        <v>864</v>
      </c>
      <c r="H1267" s="137">
        <v>8.6999999999999993</v>
      </c>
      <c r="I1267" s="134"/>
      <c r="J1267" s="137">
        <v>13.2</v>
      </c>
      <c r="K1267" s="134"/>
      <c r="L1267" s="136">
        <v>20</v>
      </c>
      <c r="M1267" s="181"/>
      <c r="N1267" s="159"/>
      <c r="O1267" s="159"/>
      <c r="P1267" s="136"/>
      <c r="Q1267" s="197"/>
    </row>
    <row r="1268" spans="1:17" ht="16.5" customHeight="1" x14ac:dyDescent="0.25">
      <c r="A1268" s="156">
        <v>45211</v>
      </c>
      <c r="B1268" s="136" t="s">
        <v>26</v>
      </c>
      <c r="C1268" s="157" t="str">
        <f t="shared" si="38"/>
        <v>12.10.2023_GRU1</v>
      </c>
      <c r="D1268" s="190">
        <f t="shared" si="39"/>
        <v>0</v>
      </c>
      <c r="E1268" s="133">
        <v>7.64</v>
      </c>
      <c r="F1268" s="134"/>
      <c r="G1268" s="135">
        <v>178.9</v>
      </c>
      <c r="H1268" s="137">
        <v>10.4</v>
      </c>
      <c r="I1268" s="134"/>
      <c r="J1268" s="137">
        <v>13.9</v>
      </c>
      <c r="K1268" s="134"/>
      <c r="L1268" s="136">
        <v>35</v>
      </c>
      <c r="M1268" s="181"/>
      <c r="N1268" s="159"/>
      <c r="O1268" s="159"/>
      <c r="P1268" s="136"/>
      <c r="Q1268" s="197"/>
    </row>
    <row r="1269" spans="1:17" ht="16.5" customHeight="1" x14ac:dyDescent="0.25">
      <c r="A1269" s="156">
        <v>45211</v>
      </c>
      <c r="B1269" s="136" t="s">
        <v>28</v>
      </c>
      <c r="C1269" s="157" t="str">
        <f t="shared" si="38"/>
        <v>12.10.2023_GRU2</v>
      </c>
      <c r="D1269" s="190">
        <f t="shared" si="39"/>
        <v>0</v>
      </c>
      <c r="E1269" s="133">
        <v>7.58</v>
      </c>
      <c r="F1269" s="134"/>
      <c r="G1269" s="135">
        <v>195</v>
      </c>
      <c r="H1269" s="137">
        <v>10.1</v>
      </c>
      <c r="I1269" s="134"/>
      <c r="J1269" s="137">
        <v>13.5</v>
      </c>
      <c r="K1269" s="134"/>
      <c r="L1269" s="136">
        <v>40</v>
      </c>
      <c r="M1269" s="181"/>
      <c r="N1269" s="159"/>
      <c r="O1269" s="159"/>
      <c r="P1269" s="136"/>
      <c r="Q1269" s="197"/>
    </row>
    <row r="1270" spans="1:17" ht="16.5" customHeight="1" x14ac:dyDescent="0.25">
      <c r="A1270" s="156">
        <v>45211</v>
      </c>
      <c r="B1270" s="136" t="s">
        <v>34</v>
      </c>
      <c r="C1270" s="157" t="str">
        <f t="shared" si="38"/>
        <v>12.10.2023_KRE1</v>
      </c>
      <c r="D1270" s="190">
        <f t="shared" si="39"/>
        <v>0</v>
      </c>
      <c r="E1270" s="133">
        <v>7.96</v>
      </c>
      <c r="F1270" s="134"/>
      <c r="G1270" s="135">
        <v>905</v>
      </c>
      <c r="H1270" s="137">
        <v>8.5</v>
      </c>
      <c r="I1270" s="134"/>
      <c r="J1270" s="137">
        <v>13.7</v>
      </c>
      <c r="K1270" s="134"/>
      <c r="L1270" s="136">
        <v>40</v>
      </c>
      <c r="M1270" s="181"/>
      <c r="N1270" s="159"/>
      <c r="O1270" s="159"/>
      <c r="P1270" s="136"/>
      <c r="Q1270" s="197"/>
    </row>
    <row r="1271" spans="1:17" ht="16.5" customHeight="1" x14ac:dyDescent="0.25">
      <c r="A1271" s="156">
        <v>45211</v>
      </c>
      <c r="B1271" s="136" t="s">
        <v>37</v>
      </c>
      <c r="C1271" s="157" t="str">
        <f t="shared" si="38"/>
        <v>12.10.2023_KRE2</v>
      </c>
      <c r="D1271" s="190">
        <f t="shared" si="39"/>
        <v>0</v>
      </c>
      <c r="E1271" s="133">
        <v>7.95</v>
      </c>
      <c r="F1271" s="134"/>
      <c r="G1271" s="135">
        <v>925</v>
      </c>
      <c r="H1271" s="137">
        <v>7.8</v>
      </c>
      <c r="I1271" s="134"/>
      <c r="J1271" s="137">
        <v>13.6</v>
      </c>
      <c r="K1271" s="134"/>
      <c r="L1271" s="136">
        <v>35</v>
      </c>
      <c r="M1271" s="181"/>
      <c r="N1271" s="159"/>
      <c r="O1271" s="159"/>
      <c r="P1271" s="136"/>
      <c r="Q1271" s="197"/>
    </row>
    <row r="1272" spans="1:17" ht="16.5" customHeight="1" x14ac:dyDescent="0.25">
      <c r="A1272" s="156">
        <v>45211</v>
      </c>
      <c r="B1272" s="136" t="s">
        <v>14</v>
      </c>
      <c r="C1272" s="157" t="str">
        <f t="shared" si="38"/>
        <v>12.10.2023_BRA1</v>
      </c>
      <c r="D1272" s="190">
        <f t="shared" si="39"/>
        <v>0</v>
      </c>
      <c r="E1272" s="133">
        <v>7.88</v>
      </c>
      <c r="F1272" s="134"/>
      <c r="G1272" s="135">
        <v>273</v>
      </c>
      <c r="H1272" s="137">
        <v>9.6999999999999993</v>
      </c>
      <c r="I1272" s="134"/>
      <c r="J1272" s="137">
        <v>14.7</v>
      </c>
      <c r="K1272" s="134"/>
      <c r="L1272" s="136">
        <v>20</v>
      </c>
      <c r="M1272" s="181"/>
      <c r="N1272" s="159"/>
      <c r="O1272" s="159"/>
      <c r="P1272" s="136" t="s">
        <v>174</v>
      </c>
      <c r="Q1272" s="197"/>
    </row>
    <row r="1273" spans="1:17" ht="16.5" customHeight="1" x14ac:dyDescent="0.25">
      <c r="A1273" s="156">
        <v>45211</v>
      </c>
      <c r="B1273" s="136" t="s">
        <v>17</v>
      </c>
      <c r="C1273" s="157" t="str">
        <f t="shared" si="38"/>
        <v>12.10.2023_BRA2</v>
      </c>
      <c r="D1273" s="190">
        <f t="shared" si="39"/>
        <v>0</v>
      </c>
      <c r="E1273" s="133">
        <v>8.07</v>
      </c>
      <c r="F1273" s="134"/>
      <c r="G1273" s="135">
        <v>294</v>
      </c>
      <c r="H1273" s="137">
        <v>9.9</v>
      </c>
      <c r="I1273" s="134"/>
      <c r="J1273" s="137">
        <v>14.3</v>
      </c>
      <c r="K1273" s="134"/>
      <c r="L1273" s="136">
        <v>32</v>
      </c>
      <c r="M1273" s="181"/>
      <c r="N1273" s="159"/>
      <c r="O1273" s="159"/>
      <c r="P1273" s="136" t="s">
        <v>173</v>
      </c>
      <c r="Q1273" s="197"/>
    </row>
    <row r="1274" spans="1:17" ht="16.5" customHeight="1" x14ac:dyDescent="0.25">
      <c r="A1274" s="156">
        <v>45211</v>
      </c>
      <c r="B1274" s="136" t="s">
        <v>0</v>
      </c>
      <c r="C1274" s="157" t="str">
        <f t="shared" si="38"/>
        <v>12.10.2023_KIN1</v>
      </c>
      <c r="D1274" s="190">
        <f t="shared" si="39"/>
        <v>0</v>
      </c>
      <c r="E1274" s="133">
        <v>8.4600000000000009</v>
      </c>
      <c r="F1274" s="134"/>
      <c r="G1274" s="135">
        <v>470</v>
      </c>
      <c r="H1274" s="137">
        <v>10.199999999999999</v>
      </c>
      <c r="I1274" s="134"/>
      <c r="J1274" s="137">
        <v>13.3</v>
      </c>
      <c r="K1274" s="134"/>
      <c r="L1274" s="136">
        <v>17</v>
      </c>
      <c r="M1274" s="181"/>
      <c r="N1274" s="159" t="s">
        <v>342</v>
      </c>
      <c r="O1274" s="159"/>
      <c r="P1274" s="136"/>
      <c r="Q1274" s="197"/>
    </row>
    <row r="1275" spans="1:17" ht="16.5" customHeight="1" x14ac:dyDescent="0.25">
      <c r="A1275" s="156">
        <v>45211</v>
      </c>
      <c r="B1275" s="136" t="s">
        <v>2</v>
      </c>
      <c r="C1275" s="157" t="str">
        <f t="shared" si="38"/>
        <v>12.10.2023_KIN2</v>
      </c>
      <c r="D1275" s="190">
        <f t="shared" si="39"/>
        <v>0</v>
      </c>
      <c r="E1275" s="133">
        <v>8.11</v>
      </c>
      <c r="F1275" s="134"/>
      <c r="G1275" s="135">
        <v>530</v>
      </c>
      <c r="H1275" s="137">
        <v>10.4</v>
      </c>
      <c r="I1275" s="134"/>
      <c r="J1275" s="137">
        <v>13.3</v>
      </c>
      <c r="K1275" s="134"/>
      <c r="L1275" s="136">
        <v>28.000000000000004</v>
      </c>
      <c r="M1275" s="181"/>
      <c r="N1275" s="159" t="s">
        <v>342</v>
      </c>
      <c r="O1275" s="159"/>
      <c r="P1275" s="136"/>
      <c r="Q1275" s="197"/>
    </row>
    <row r="1276" spans="1:17" ht="16.5" customHeight="1" x14ac:dyDescent="0.25">
      <c r="A1276" s="156">
        <v>45211</v>
      </c>
      <c r="B1276" s="136" t="s">
        <v>4</v>
      </c>
      <c r="C1276" s="157" t="str">
        <f t="shared" si="38"/>
        <v>12.10.2023_KIN3</v>
      </c>
      <c r="D1276" s="190">
        <f t="shared" si="39"/>
        <v>0</v>
      </c>
      <c r="E1276" s="133">
        <v>8.23</v>
      </c>
      <c r="F1276" s="134"/>
      <c r="G1276" s="135">
        <v>529</v>
      </c>
      <c r="H1276" s="137">
        <v>10.5</v>
      </c>
      <c r="I1276" s="134"/>
      <c r="J1276" s="137">
        <v>13.5</v>
      </c>
      <c r="K1276" s="134"/>
      <c r="L1276" s="136">
        <v>55.000000000000007</v>
      </c>
      <c r="M1276" s="181"/>
      <c r="N1276" s="159" t="s">
        <v>345</v>
      </c>
      <c r="O1276" s="159"/>
      <c r="P1276" s="159" t="s">
        <v>174</v>
      </c>
      <c r="Q1276" s="197"/>
    </row>
    <row r="1277" spans="1:17" ht="16.5" customHeight="1" x14ac:dyDescent="0.25">
      <c r="A1277" s="156">
        <v>45211</v>
      </c>
      <c r="B1277" s="136" t="s">
        <v>6</v>
      </c>
      <c r="C1277" s="157" t="str">
        <f t="shared" si="38"/>
        <v>12.10.2023_KIN4</v>
      </c>
      <c r="D1277" s="190">
        <f t="shared" si="39"/>
        <v>0</v>
      </c>
      <c r="E1277" s="133">
        <v>8.0399999999999991</v>
      </c>
      <c r="F1277" s="134"/>
      <c r="G1277" s="135">
        <v>558</v>
      </c>
      <c r="H1277" s="137">
        <v>9.6999999999999993</v>
      </c>
      <c r="I1277" s="134"/>
      <c r="J1277" s="137">
        <v>13.6</v>
      </c>
      <c r="K1277" s="134"/>
      <c r="L1277" s="136">
        <v>45</v>
      </c>
      <c r="M1277" s="181"/>
      <c r="N1277" s="159" t="s">
        <v>346</v>
      </c>
      <c r="O1277" s="159"/>
      <c r="P1277" s="159" t="s">
        <v>174</v>
      </c>
      <c r="Q1277" s="197"/>
    </row>
    <row r="1278" spans="1:17" ht="16.5" customHeight="1" x14ac:dyDescent="0.25">
      <c r="A1278" s="156">
        <v>45211</v>
      </c>
      <c r="B1278" s="136" t="s">
        <v>18</v>
      </c>
      <c r="C1278" s="157" t="str">
        <f t="shared" si="38"/>
        <v>12.10.2023_ORB1</v>
      </c>
      <c r="D1278" s="190">
        <f t="shared" si="39"/>
        <v>0</v>
      </c>
      <c r="E1278" s="133">
        <v>7.5</v>
      </c>
      <c r="F1278" s="134"/>
      <c r="G1278" s="135">
        <v>164</v>
      </c>
      <c r="H1278" s="137">
        <v>10.199999999999999</v>
      </c>
      <c r="I1278" s="134"/>
      <c r="J1278" s="137">
        <v>14.3</v>
      </c>
      <c r="K1278" s="134"/>
      <c r="L1278" s="136">
        <v>16</v>
      </c>
      <c r="M1278" s="181"/>
      <c r="N1278" s="159"/>
      <c r="O1278" s="159"/>
      <c r="P1278" s="136" t="s">
        <v>174</v>
      </c>
      <c r="Q1278" s="197"/>
    </row>
    <row r="1279" spans="1:17" ht="16.5" customHeight="1" x14ac:dyDescent="0.25">
      <c r="A1279" s="156">
        <v>45211</v>
      </c>
      <c r="B1279" s="136" t="s">
        <v>21</v>
      </c>
      <c r="C1279" s="157" t="str">
        <f t="shared" si="38"/>
        <v>12.10.2023_ORB2</v>
      </c>
      <c r="D1279" s="190">
        <f t="shared" si="39"/>
        <v>0</v>
      </c>
      <c r="E1279" s="133">
        <v>7.14</v>
      </c>
      <c r="F1279" s="134"/>
      <c r="G1279" s="135">
        <v>240</v>
      </c>
      <c r="H1279" s="137">
        <v>9.6</v>
      </c>
      <c r="I1279" s="134"/>
      <c r="J1279" s="137">
        <v>14.5</v>
      </c>
      <c r="K1279" s="134"/>
      <c r="L1279" s="136">
        <v>25</v>
      </c>
      <c r="M1279" s="181"/>
      <c r="N1279" s="159"/>
      <c r="O1279" s="159"/>
      <c r="P1279" s="136" t="s">
        <v>173</v>
      </c>
      <c r="Q1279" s="197"/>
    </row>
    <row r="1280" spans="1:17" ht="16.5" customHeight="1" x14ac:dyDescent="0.25">
      <c r="A1280" s="156">
        <v>45211</v>
      </c>
      <c r="B1280" s="136" t="s">
        <v>10</v>
      </c>
      <c r="C1280" s="157" t="str">
        <f t="shared" si="38"/>
        <v>12.10.2023_SAL1</v>
      </c>
      <c r="D1280" s="190">
        <f t="shared" si="39"/>
        <v>0</v>
      </c>
      <c r="E1280" s="133">
        <v>7.99</v>
      </c>
      <c r="F1280" s="134"/>
      <c r="G1280" s="135">
        <v>304</v>
      </c>
      <c r="H1280" s="137">
        <v>10.199999999999999</v>
      </c>
      <c r="I1280" s="134"/>
      <c r="J1280" s="137">
        <v>14.1</v>
      </c>
      <c r="K1280" s="134"/>
      <c r="L1280" s="136">
        <v>35</v>
      </c>
      <c r="M1280" s="181"/>
      <c r="N1280" s="159"/>
      <c r="O1280" s="159"/>
      <c r="P1280" s="136" t="s">
        <v>174</v>
      </c>
      <c r="Q1280" s="197"/>
    </row>
    <row r="1281" spans="1:17" ht="16.5" customHeight="1" x14ac:dyDescent="0.25">
      <c r="A1281" s="156">
        <v>45211</v>
      </c>
      <c r="B1281" s="136" t="s">
        <v>12</v>
      </c>
      <c r="C1281" s="157" t="str">
        <f t="shared" si="38"/>
        <v>12.10.2023_SAL2</v>
      </c>
      <c r="D1281" s="190">
        <f t="shared" si="39"/>
        <v>0</v>
      </c>
      <c r="E1281" s="133">
        <v>8.1199999999999992</v>
      </c>
      <c r="F1281" s="134"/>
      <c r="G1281" s="135">
        <v>341</v>
      </c>
      <c r="H1281" s="137">
        <v>10.4</v>
      </c>
      <c r="I1281" s="134"/>
      <c r="J1281" s="137">
        <v>14.2</v>
      </c>
      <c r="K1281" s="134"/>
      <c r="L1281" s="136">
        <v>35</v>
      </c>
      <c r="M1281" s="181"/>
      <c r="N1281" s="159"/>
      <c r="O1281" s="159"/>
      <c r="P1281" s="136" t="s">
        <v>174</v>
      </c>
      <c r="Q1281" s="197"/>
    </row>
    <row r="1282" spans="1:17" ht="16.5" customHeight="1" x14ac:dyDescent="0.25">
      <c r="A1282" s="156">
        <v>45211</v>
      </c>
      <c r="B1282" s="136" t="s">
        <v>7</v>
      </c>
      <c r="C1282" s="157" t="str">
        <f t="shared" si="38"/>
        <v>12.10.2023_STE1</v>
      </c>
      <c r="D1282" s="190">
        <f t="shared" si="39"/>
        <v>0</v>
      </c>
      <c r="E1282" s="133">
        <v>7.94</v>
      </c>
      <c r="F1282" s="134"/>
      <c r="G1282" s="135">
        <v>377</v>
      </c>
      <c r="H1282" s="137">
        <v>10</v>
      </c>
      <c r="I1282" s="134"/>
      <c r="J1282" s="137">
        <v>12.7</v>
      </c>
      <c r="K1282" s="134"/>
      <c r="L1282" s="136">
        <v>37</v>
      </c>
      <c r="M1282" s="181"/>
      <c r="N1282" s="159" t="s">
        <v>347</v>
      </c>
      <c r="O1282" s="159"/>
      <c r="P1282" s="159" t="s">
        <v>174</v>
      </c>
      <c r="Q1282" s="197"/>
    </row>
    <row r="1283" spans="1:17" ht="16.5" customHeight="1" x14ac:dyDescent="0.25">
      <c r="A1283" s="156">
        <v>45211</v>
      </c>
      <c r="B1283" s="136" t="s">
        <v>9</v>
      </c>
      <c r="C1283" s="157" t="str">
        <f t="shared" si="38"/>
        <v>12.10.2023_STE2</v>
      </c>
      <c r="D1283" s="190">
        <f t="shared" si="39"/>
        <v>0</v>
      </c>
      <c r="E1283" s="133">
        <v>8.24</v>
      </c>
      <c r="F1283" s="134"/>
      <c r="G1283" s="135">
        <v>377</v>
      </c>
      <c r="H1283" s="137">
        <v>10.7</v>
      </c>
      <c r="I1283" s="134"/>
      <c r="J1283" s="137">
        <v>13</v>
      </c>
      <c r="K1283" s="134"/>
      <c r="L1283" s="136">
        <v>30</v>
      </c>
      <c r="M1283" s="181"/>
      <c r="N1283" s="159" t="s">
        <v>348</v>
      </c>
      <c r="O1283" s="159"/>
      <c r="P1283" s="159" t="s">
        <v>174</v>
      </c>
      <c r="Q1283" s="197"/>
    </row>
    <row r="1284" spans="1:17" ht="16.5" customHeight="1" x14ac:dyDescent="0.25">
      <c r="A1284" s="156">
        <v>45225</v>
      </c>
      <c r="B1284" s="136" t="s">
        <v>22</v>
      </c>
      <c r="C1284" s="157" t="str">
        <f t="shared" si="38"/>
        <v>26.10.2023_BIE1</v>
      </c>
      <c r="D1284" s="190">
        <f t="shared" si="39"/>
        <v>1</v>
      </c>
      <c r="E1284" s="283"/>
      <c r="F1284" s="161" t="s">
        <v>270</v>
      </c>
      <c r="G1284" s="135">
        <v>151.69999999999999</v>
      </c>
      <c r="H1284" s="137">
        <v>12</v>
      </c>
      <c r="I1284" s="161"/>
      <c r="J1284" s="137">
        <v>13.6</v>
      </c>
      <c r="K1284" s="161"/>
      <c r="L1284" s="136">
        <v>30</v>
      </c>
      <c r="M1284" s="181"/>
      <c r="N1284" s="159" t="s">
        <v>349</v>
      </c>
      <c r="O1284" s="159"/>
      <c r="P1284" s="136"/>
      <c r="Q1284" s="197"/>
    </row>
    <row r="1285" spans="1:17" ht="16.5" customHeight="1" x14ac:dyDescent="0.25">
      <c r="A1285" s="156">
        <v>45225</v>
      </c>
      <c r="B1285" s="136" t="s">
        <v>25</v>
      </c>
      <c r="C1285" s="157" t="str">
        <f t="shared" ref="C1285:C1348" si="40">CONCATENATE(TEXT(A1285,"TT.MM.JJJJ"),"_",B1285)</f>
        <v>26.10.2023_BIE2</v>
      </c>
      <c r="D1285" s="190">
        <f t="shared" ref="D1285:D1348" si="41">COUNTBLANK(E1285)+COUNTBLANK(G1285:H1285)+COUNTBLANK(J1285)+COUNTBLANK(L1285)</f>
        <v>1</v>
      </c>
      <c r="E1285" s="283"/>
      <c r="F1285" s="161" t="s">
        <v>270</v>
      </c>
      <c r="G1285" s="135">
        <v>200</v>
      </c>
      <c r="H1285" s="137">
        <v>11.7</v>
      </c>
      <c r="I1285" s="161"/>
      <c r="J1285" s="137">
        <v>12.9</v>
      </c>
      <c r="K1285" s="161"/>
      <c r="L1285" s="136">
        <v>55.000000000000007</v>
      </c>
      <c r="M1285" s="181"/>
      <c r="N1285" s="159" t="s">
        <v>350</v>
      </c>
      <c r="O1285" s="159"/>
      <c r="P1285" s="136"/>
      <c r="Q1285" s="197"/>
    </row>
    <row r="1286" spans="1:17" ht="16.5" customHeight="1" x14ac:dyDescent="0.25">
      <c r="A1286" s="156">
        <v>45225</v>
      </c>
      <c r="B1286" s="136" t="s">
        <v>30</v>
      </c>
      <c r="C1286" s="157" t="str">
        <f t="shared" si="40"/>
        <v>26.10.2023_FAL1</v>
      </c>
      <c r="D1286" s="190">
        <f t="shared" si="41"/>
        <v>0</v>
      </c>
      <c r="E1286" s="133">
        <v>7.85</v>
      </c>
      <c r="F1286" s="134"/>
      <c r="G1286" s="135">
        <v>722</v>
      </c>
      <c r="H1286" s="137">
        <v>9.9</v>
      </c>
      <c r="I1286" s="134"/>
      <c r="J1286" s="137">
        <v>14.4</v>
      </c>
      <c r="K1286" s="134"/>
      <c r="L1286" s="136">
        <v>40</v>
      </c>
      <c r="M1286" s="181"/>
      <c r="N1286" s="159"/>
      <c r="O1286" s="159"/>
      <c r="P1286" s="136"/>
      <c r="Q1286" s="197"/>
    </row>
    <row r="1287" spans="1:17" ht="16.5" customHeight="1" x14ac:dyDescent="0.25">
      <c r="A1287" s="156">
        <v>45225</v>
      </c>
      <c r="B1287" s="136" t="s">
        <v>32</v>
      </c>
      <c r="C1287" s="157" t="str">
        <f t="shared" si="40"/>
        <v>26.10.2023_FAL2</v>
      </c>
      <c r="D1287" s="190">
        <f t="shared" si="41"/>
        <v>0</v>
      </c>
      <c r="E1287" s="133">
        <v>8.0500000000000007</v>
      </c>
      <c r="F1287" s="134"/>
      <c r="G1287" s="135">
        <v>721</v>
      </c>
      <c r="H1287" s="137">
        <v>9.4</v>
      </c>
      <c r="I1287" s="134"/>
      <c r="J1287" s="137">
        <v>12.8</v>
      </c>
      <c r="K1287" s="134"/>
      <c r="L1287" s="136">
        <v>30</v>
      </c>
      <c r="M1287" s="181"/>
      <c r="N1287" s="159"/>
      <c r="O1287" s="159"/>
      <c r="P1287" s="136"/>
      <c r="Q1287" s="197"/>
    </row>
    <row r="1288" spans="1:17" ht="16.5" customHeight="1" x14ac:dyDescent="0.25">
      <c r="A1288" s="156">
        <v>45225</v>
      </c>
      <c r="B1288" s="136" t="s">
        <v>26</v>
      </c>
      <c r="C1288" s="157" t="str">
        <f t="shared" si="40"/>
        <v>26.10.2023_GRU1</v>
      </c>
      <c r="D1288" s="190">
        <f t="shared" si="41"/>
        <v>1</v>
      </c>
      <c r="E1288" s="283"/>
      <c r="F1288" s="161" t="s">
        <v>270</v>
      </c>
      <c r="G1288" s="135">
        <v>163.9</v>
      </c>
      <c r="H1288" s="137">
        <v>11.8</v>
      </c>
      <c r="I1288" s="161"/>
      <c r="J1288" s="137">
        <v>12.5</v>
      </c>
      <c r="K1288" s="161"/>
      <c r="L1288" s="136">
        <v>35</v>
      </c>
      <c r="M1288" s="181"/>
      <c r="N1288" s="159" t="s">
        <v>351</v>
      </c>
      <c r="O1288" s="159"/>
      <c r="P1288" s="136"/>
      <c r="Q1288" s="197"/>
    </row>
    <row r="1289" spans="1:17" ht="16.5" customHeight="1" x14ac:dyDescent="0.25">
      <c r="A1289" s="156">
        <v>45225</v>
      </c>
      <c r="B1289" s="136" t="s">
        <v>28</v>
      </c>
      <c r="C1289" s="157" t="str">
        <f t="shared" si="40"/>
        <v>26.10.2023_GRU2</v>
      </c>
      <c r="D1289" s="190">
        <f t="shared" si="41"/>
        <v>1</v>
      </c>
      <c r="E1289" s="283"/>
      <c r="F1289" s="161" t="s">
        <v>270</v>
      </c>
      <c r="G1289" s="135">
        <v>201</v>
      </c>
      <c r="H1289" s="137">
        <v>10.8</v>
      </c>
      <c r="I1289" s="161"/>
      <c r="J1289" s="137">
        <v>12.1</v>
      </c>
      <c r="K1289" s="161"/>
      <c r="L1289" s="136">
        <v>45</v>
      </c>
      <c r="M1289" s="181"/>
      <c r="N1289" s="159" t="s">
        <v>352</v>
      </c>
      <c r="O1289" s="159"/>
      <c r="P1289" s="136"/>
      <c r="Q1289" s="197"/>
    </row>
    <row r="1290" spans="1:17" ht="16.5" customHeight="1" x14ac:dyDescent="0.25">
      <c r="A1290" s="156">
        <v>45225</v>
      </c>
      <c r="B1290" s="136" t="s">
        <v>34</v>
      </c>
      <c r="C1290" s="157" t="str">
        <f t="shared" si="40"/>
        <v>26.10.2023_KRE1</v>
      </c>
      <c r="D1290" s="190">
        <f t="shared" si="41"/>
        <v>0</v>
      </c>
      <c r="E1290" s="133">
        <v>7.95</v>
      </c>
      <c r="F1290" s="134"/>
      <c r="G1290" s="135">
        <v>804</v>
      </c>
      <c r="H1290" s="137">
        <v>9.5</v>
      </c>
      <c r="I1290" s="134"/>
      <c r="J1290" s="137">
        <v>12.1</v>
      </c>
      <c r="K1290" s="134"/>
      <c r="L1290" s="136">
        <v>45</v>
      </c>
      <c r="M1290" s="181"/>
      <c r="N1290" s="159"/>
      <c r="O1290" s="159"/>
      <c r="P1290" s="136"/>
      <c r="Q1290" s="197"/>
    </row>
    <row r="1291" spans="1:17" ht="16.5" customHeight="1" x14ac:dyDescent="0.25">
      <c r="A1291" s="156">
        <v>45225</v>
      </c>
      <c r="B1291" s="136" t="s">
        <v>37</v>
      </c>
      <c r="C1291" s="157" t="str">
        <f t="shared" si="40"/>
        <v>26.10.2023_KRE2</v>
      </c>
      <c r="D1291" s="190">
        <f t="shared" si="41"/>
        <v>0</v>
      </c>
      <c r="E1291" s="133">
        <v>7.85</v>
      </c>
      <c r="F1291" s="134"/>
      <c r="G1291" s="135">
        <v>770</v>
      </c>
      <c r="H1291" s="137">
        <v>8.6999999999999993</v>
      </c>
      <c r="I1291" s="134"/>
      <c r="J1291" s="137">
        <v>12.3</v>
      </c>
      <c r="K1291" s="134"/>
      <c r="L1291" s="136">
        <v>45</v>
      </c>
      <c r="M1291" s="181"/>
      <c r="N1291" s="159"/>
      <c r="O1291" s="159"/>
      <c r="P1291" s="136"/>
      <c r="Q1291" s="197"/>
    </row>
    <row r="1292" spans="1:17" ht="16.5" customHeight="1" x14ac:dyDescent="0.25">
      <c r="A1292" s="156">
        <v>45225</v>
      </c>
      <c r="B1292" s="136" t="s">
        <v>14</v>
      </c>
      <c r="C1292" s="157" t="str">
        <f t="shared" si="40"/>
        <v>26.10.2023_BRA1</v>
      </c>
      <c r="D1292" s="190">
        <f t="shared" si="41"/>
        <v>0</v>
      </c>
      <c r="E1292" s="133">
        <v>7.49</v>
      </c>
      <c r="F1292" s="134"/>
      <c r="G1292" s="135">
        <v>166.2</v>
      </c>
      <c r="H1292" s="137">
        <v>9.6</v>
      </c>
      <c r="I1292" s="134"/>
      <c r="J1292" s="137">
        <v>11.1</v>
      </c>
      <c r="K1292" s="134"/>
      <c r="L1292" s="136">
        <v>45</v>
      </c>
      <c r="M1292" s="181"/>
      <c r="N1292" s="159"/>
      <c r="O1292" s="159"/>
      <c r="P1292" s="159" t="s">
        <v>253</v>
      </c>
      <c r="Q1292" s="197"/>
    </row>
    <row r="1293" spans="1:17" ht="16.5" customHeight="1" x14ac:dyDescent="0.25">
      <c r="A1293" s="156">
        <v>45225</v>
      </c>
      <c r="B1293" s="136" t="s">
        <v>17</v>
      </c>
      <c r="C1293" s="157" t="str">
        <f t="shared" si="40"/>
        <v>26.10.2023_BRA2</v>
      </c>
      <c r="D1293" s="190">
        <f t="shared" si="41"/>
        <v>0</v>
      </c>
      <c r="E1293" s="133">
        <v>7.88</v>
      </c>
      <c r="F1293" s="134"/>
      <c r="G1293" s="135">
        <v>197.5</v>
      </c>
      <c r="H1293" s="137">
        <v>10.3</v>
      </c>
      <c r="I1293" s="134"/>
      <c r="J1293" s="137">
        <v>11.4</v>
      </c>
      <c r="K1293" s="134"/>
      <c r="L1293" s="136">
        <v>40</v>
      </c>
      <c r="M1293" s="181"/>
      <c r="N1293" s="159"/>
      <c r="O1293" s="159"/>
      <c r="P1293" s="159" t="s">
        <v>253</v>
      </c>
      <c r="Q1293" s="197"/>
    </row>
    <row r="1294" spans="1:17" ht="16.5" customHeight="1" x14ac:dyDescent="0.25">
      <c r="A1294" s="156">
        <v>45225</v>
      </c>
      <c r="B1294" s="136" t="s">
        <v>0</v>
      </c>
      <c r="C1294" s="157" t="str">
        <f t="shared" si="40"/>
        <v>26.10.2023_KIN1</v>
      </c>
      <c r="D1294" s="190">
        <f t="shared" si="41"/>
        <v>0</v>
      </c>
      <c r="E1294" s="133">
        <v>8.23</v>
      </c>
      <c r="F1294" s="134"/>
      <c r="G1294" s="135">
        <v>360</v>
      </c>
      <c r="H1294" s="137">
        <v>10</v>
      </c>
      <c r="I1294" s="134"/>
      <c r="J1294" s="137">
        <v>10.8</v>
      </c>
      <c r="K1294" s="134"/>
      <c r="L1294" s="136">
        <v>25</v>
      </c>
      <c r="M1294" s="181"/>
      <c r="N1294" s="159"/>
      <c r="O1294" s="159"/>
      <c r="P1294" s="159" t="s">
        <v>252</v>
      </c>
      <c r="Q1294" s="197"/>
    </row>
    <row r="1295" spans="1:17" ht="16.5" customHeight="1" x14ac:dyDescent="0.25">
      <c r="A1295" s="156">
        <v>45225</v>
      </c>
      <c r="B1295" s="136" t="s">
        <v>2</v>
      </c>
      <c r="C1295" s="157" t="str">
        <f t="shared" si="40"/>
        <v>26.10.2023_KIN2</v>
      </c>
      <c r="D1295" s="190">
        <f t="shared" si="41"/>
        <v>0</v>
      </c>
      <c r="E1295" s="133">
        <v>8.06</v>
      </c>
      <c r="F1295" s="134"/>
      <c r="G1295" s="135">
        <v>408</v>
      </c>
      <c r="H1295" s="137">
        <v>10</v>
      </c>
      <c r="I1295" s="134"/>
      <c r="J1295" s="137">
        <v>11.1</v>
      </c>
      <c r="K1295" s="134"/>
      <c r="L1295" s="136">
        <v>40</v>
      </c>
      <c r="M1295" s="181"/>
      <c r="N1295" s="159"/>
      <c r="O1295" s="159"/>
      <c r="P1295" s="159" t="s">
        <v>252</v>
      </c>
      <c r="Q1295" s="197"/>
    </row>
    <row r="1296" spans="1:17" ht="16.5" customHeight="1" x14ac:dyDescent="0.25">
      <c r="A1296" s="156">
        <v>45225</v>
      </c>
      <c r="B1296" s="136" t="s">
        <v>4</v>
      </c>
      <c r="C1296" s="157" t="str">
        <f t="shared" si="40"/>
        <v>26.10.2023_KIN3</v>
      </c>
      <c r="D1296" s="190">
        <f t="shared" si="41"/>
        <v>0</v>
      </c>
      <c r="E1296" s="133">
        <v>8.15</v>
      </c>
      <c r="F1296" s="134"/>
      <c r="G1296" s="135">
        <v>389</v>
      </c>
      <c r="H1296" s="137">
        <v>9.8000000000000007</v>
      </c>
      <c r="I1296" s="134"/>
      <c r="J1296" s="137">
        <v>11.2</v>
      </c>
      <c r="K1296" s="134"/>
      <c r="L1296" s="136">
        <v>51</v>
      </c>
      <c r="M1296" s="181"/>
      <c r="N1296" s="159"/>
      <c r="O1296" s="159"/>
      <c r="P1296" s="159" t="s">
        <v>252</v>
      </c>
      <c r="Q1296" s="197"/>
    </row>
    <row r="1297" spans="1:17" ht="16.5" customHeight="1" x14ac:dyDescent="0.25">
      <c r="A1297" s="156">
        <v>45225</v>
      </c>
      <c r="B1297" s="136" t="s">
        <v>6</v>
      </c>
      <c r="C1297" s="157" t="str">
        <f t="shared" si="40"/>
        <v>26.10.2023_KIN4</v>
      </c>
      <c r="D1297" s="190">
        <f t="shared" si="41"/>
        <v>0</v>
      </c>
      <c r="E1297" s="133">
        <v>8.0399999999999991</v>
      </c>
      <c r="F1297" s="134"/>
      <c r="G1297" s="135">
        <v>419</v>
      </c>
      <c r="H1297" s="137">
        <v>9.1999999999999993</v>
      </c>
      <c r="I1297" s="134"/>
      <c r="J1297" s="137">
        <v>11.4</v>
      </c>
      <c r="K1297" s="134"/>
      <c r="L1297" s="136">
        <v>55.000000000000007</v>
      </c>
      <c r="M1297" s="181"/>
      <c r="N1297" s="159"/>
      <c r="O1297" s="159"/>
      <c r="P1297" s="159" t="s">
        <v>252</v>
      </c>
      <c r="Q1297" s="197"/>
    </row>
    <row r="1298" spans="1:17" ht="16.5" customHeight="1" x14ac:dyDescent="0.25">
      <c r="A1298" s="156">
        <v>45225</v>
      </c>
      <c r="B1298" s="136" t="s">
        <v>18</v>
      </c>
      <c r="C1298" s="157" t="str">
        <f t="shared" si="40"/>
        <v>26.10.2023_ORB1</v>
      </c>
      <c r="D1298" s="190">
        <f t="shared" si="41"/>
        <v>0</v>
      </c>
      <c r="E1298" s="133">
        <v>7.36</v>
      </c>
      <c r="F1298" s="134"/>
      <c r="G1298" s="135">
        <v>92.7</v>
      </c>
      <c r="H1298" s="137">
        <v>10</v>
      </c>
      <c r="I1298" s="134"/>
      <c r="J1298" s="137">
        <v>12.1</v>
      </c>
      <c r="K1298" s="134"/>
      <c r="L1298" s="136">
        <v>30</v>
      </c>
      <c r="M1298" s="181"/>
      <c r="N1298" s="159"/>
      <c r="O1298" s="159"/>
      <c r="P1298" s="159" t="s">
        <v>253</v>
      </c>
      <c r="Q1298" s="197"/>
    </row>
    <row r="1299" spans="1:17" ht="16.5" customHeight="1" x14ac:dyDescent="0.25">
      <c r="A1299" s="156">
        <v>45225</v>
      </c>
      <c r="B1299" s="136" t="s">
        <v>21</v>
      </c>
      <c r="C1299" s="157" t="str">
        <f t="shared" si="40"/>
        <v>26.10.2023_ORB2</v>
      </c>
      <c r="D1299" s="190">
        <f t="shared" si="41"/>
        <v>0</v>
      </c>
      <c r="E1299" s="133">
        <v>7.18</v>
      </c>
      <c r="F1299" s="134"/>
      <c r="G1299" s="135">
        <v>186.1</v>
      </c>
      <c r="H1299" s="137">
        <v>9.1999999999999993</v>
      </c>
      <c r="I1299" s="134"/>
      <c r="J1299" s="137">
        <v>12.8</v>
      </c>
      <c r="K1299" s="134"/>
      <c r="L1299" s="136">
        <v>56.999999999999993</v>
      </c>
      <c r="M1299" s="181"/>
      <c r="N1299" s="159"/>
      <c r="O1299" s="159"/>
      <c r="P1299" s="159" t="s">
        <v>253</v>
      </c>
      <c r="Q1299" s="197"/>
    </row>
    <row r="1300" spans="1:17" ht="16.5" customHeight="1" x14ac:dyDescent="0.25">
      <c r="A1300" s="156">
        <v>45225</v>
      </c>
      <c r="B1300" s="136" t="s">
        <v>10</v>
      </c>
      <c r="C1300" s="157" t="str">
        <f t="shared" si="40"/>
        <v>26.10.2023_SAL1</v>
      </c>
      <c r="D1300" s="190">
        <f t="shared" si="41"/>
        <v>0</v>
      </c>
      <c r="E1300" s="133">
        <v>7.83</v>
      </c>
      <c r="F1300" s="134"/>
      <c r="G1300" s="135">
        <v>199</v>
      </c>
      <c r="H1300" s="137">
        <v>10.1</v>
      </c>
      <c r="I1300" s="134"/>
      <c r="J1300" s="137">
        <v>11</v>
      </c>
      <c r="K1300" s="134"/>
      <c r="L1300" s="136">
        <v>50</v>
      </c>
      <c r="M1300" s="181"/>
      <c r="N1300" s="159"/>
      <c r="O1300" s="159"/>
      <c r="P1300" s="159" t="s">
        <v>252</v>
      </c>
      <c r="Q1300" s="197"/>
    </row>
    <row r="1301" spans="1:17" ht="16.5" customHeight="1" x14ac:dyDescent="0.25">
      <c r="A1301" s="156">
        <v>45225</v>
      </c>
      <c r="B1301" s="136" t="s">
        <v>12</v>
      </c>
      <c r="C1301" s="157" t="str">
        <f t="shared" si="40"/>
        <v>26.10.2023_SAL2</v>
      </c>
      <c r="D1301" s="190">
        <f t="shared" si="41"/>
        <v>0</v>
      </c>
      <c r="E1301" s="133">
        <v>7.9</v>
      </c>
      <c r="F1301" s="134"/>
      <c r="G1301" s="135">
        <v>192.6</v>
      </c>
      <c r="H1301" s="137">
        <v>10.1</v>
      </c>
      <c r="I1301" s="134"/>
      <c r="J1301" s="137">
        <v>11.2</v>
      </c>
      <c r="K1301" s="134"/>
      <c r="L1301" s="136">
        <v>43</v>
      </c>
      <c r="M1301" s="181"/>
      <c r="N1301" s="159"/>
      <c r="O1301" s="159"/>
      <c r="P1301" s="159" t="s">
        <v>253</v>
      </c>
      <c r="Q1301" s="197"/>
    </row>
    <row r="1302" spans="1:17" ht="16.5" customHeight="1" x14ac:dyDescent="0.25">
      <c r="A1302" s="156">
        <v>45225</v>
      </c>
      <c r="B1302" s="136" t="s">
        <v>7</v>
      </c>
      <c r="C1302" s="157" t="str">
        <f t="shared" si="40"/>
        <v>26.10.2023_STE1</v>
      </c>
      <c r="D1302" s="190">
        <f t="shared" si="41"/>
        <v>0</v>
      </c>
      <c r="E1302" s="133">
        <v>7.92</v>
      </c>
      <c r="F1302" s="134"/>
      <c r="G1302" s="135">
        <v>264</v>
      </c>
      <c r="H1302" s="137">
        <v>9.6999999999999993</v>
      </c>
      <c r="I1302" s="134"/>
      <c r="J1302" s="137">
        <v>11.1</v>
      </c>
      <c r="K1302" s="134"/>
      <c r="L1302" s="136">
        <v>40</v>
      </c>
      <c r="M1302" s="181"/>
      <c r="N1302" s="159"/>
      <c r="O1302" s="159"/>
      <c r="P1302" s="159" t="s">
        <v>252</v>
      </c>
      <c r="Q1302" s="197"/>
    </row>
    <row r="1303" spans="1:17" ht="16.5" customHeight="1" x14ac:dyDescent="0.25">
      <c r="A1303" s="156">
        <v>45225</v>
      </c>
      <c r="B1303" s="136" t="s">
        <v>9</v>
      </c>
      <c r="C1303" s="157" t="str">
        <f t="shared" si="40"/>
        <v>26.10.2023_STE2</v>
      </c>
      <c r="D1303" s="190">
        <f t="shared" si="41"/>
        <v>0</v>
      </c>
      <c r="E1303" s="133">
        <v>8.09</v>
      </c>
      <c r="F1303" s="134"/>
      <c r="G1303" s="135">
        <v>270</v>
      </c>
      <c r="H1303" s="137">
        <v>10</v>
      </c>
      <c r="I1303" s="134"/>
      <c r="J1303" s="137">
        <v>11.2</v>
      </c>
      <c r="K1303" s="134"/>
      <c r="L1303" s="136">
        <v>45</v>
      </c>
      <c r="M1303" s="181"/>
      <c r="N1303" s="159"/>
      <c r="O1303" s="159"/>
      <c r="P1303" s="159" t="s">
        <v>252</v>
      </c>
      <c r="Q1303" s="197"/>
    </row>
    <row r="1304" spans="1:17" ht="16.5" customHeight="1" x14ac:dyDescent="0.25">
      <c r="A1304" s="156">
        <v>45239</v>
      </c>
      <c r="B1304" s="136" t="s">
        <v>22</v>
      </c>
      <c r="C1304" s="157" t="str">
        <f t="shared" si="40"/>
        <v>09.11.2023_BIE1</v>
      </c>
      <c r="D1304" s="190">
        <f t="shared" si="41"/>
        <v>1</v>
      </c>
      <c r="E1304" s="283"/>
      <c r="F1304" s="161" t="s">
        <v>270</v>
      </c>
      <c r="G1304" s="135">
        <v>190.2</v>
      </c>
      <c r="H1304" s="137">
        <v>10.3</v>
      </c>
      <c r="I1304" s="161"/>
      <c r="J1304" s="137">
        <v>11</v>
      </c>
      <c r="K1304" s="161"/>
      <c r="L1304" s="136">
        <v>35</v>
      </c>
      <c r="M1304" s="181"/>
      <c r="N1304" s="159" t="s">
        <v>353</v>
      </c>
      <c r="O1304" s="159"/>
      <c r="P1304" s="136"/>
      <c r="Q1304" s="197"/>
    </row>
    <row r="1305" spans="1:17" ht="16.5" customHeight="1" x14ac:dyDescent="0.25">
      <c r="A1305" s="156">
        <v>45239</v>
      </c>
      <c r="B1305" s="136" t="s">
        <v>25</v>
      </c>
      <c r="C1305" s="157" t="str">
        <f t="shared" si="40"/>
        <v>09.11.2023_BIE2</v>
      </c>
      <c r="D1305" s="190">
        <f t="shared" si="41"/>
        <v>1</v>
      </c>
      <c r="E1305" s="283"/>
      <c r="F1305" s="161" t="s">
        <v>270</v>
      </c>
      <c r="G1305" s="135">
        <v>184.4</v>
      </c>
      <c r="H1305" s="137">
        <v>10.199999999999999</v>
      </c>
      <c r="I1305" s="161"/>
      <c r="J1305" s="137">
        <v>12.2</v>
      </c>
      <c r="K1305" s="161"/>
      <c r="L1305" s="136">
        <v>60</v>
      </c>
      <c r="M1305" s="181"/>
      <c r="N1305" s="159" t="s">
        <v>354</v>
      </c>
      <c r="O1305" s="159"/>
      <c r="P1305" s="136"/>
      <c r="Q1305" s="197"/>
    </row>
    <row r="1306" spans="1:17" ht="16.5" customHeight="1" x14ac:dyDescent="0.25">
      <c r="A1306" s="156">
        <v>45239</v>
      </c>
      <c r="B1306" s="136" t="s">
        <v>30</v>
      </c>
      <c r="C1306" s="157" t="str">
        <f t="shared" si="40"/>
        <v>09.11.2023_FAL1</v>
      </c>
      <c r="D1306" s="190">
        <f t="shared" si="41"/>
        <v>0</v>
      </c>
      <c r="E1306" s="183">
        <v>7.65</v>
      </c>
      <c r="F1306" s="161" t="s">
        <v>269</v>
      </c>
      <c r="G1306" s="135">
        <v>708</v>
      </c>
      <c r="H1306" s="137">
        <v>10.199999999999999</v>
      </c>
      <c r="I1306" s="161"/>
      <c r="J1306" s="137">
        <v>11.3</v>
      </c>
      <c r="K1306" s="161"/>
      <c r="L1306" s="136">
        <v>45</v>
      </c>
      <c r="M1306" s="181"/>
      <c r="N1306" s="159" t="s">
        <v>355</v>
      </c>
      <c r="O1306" s="159"/>
      <c r="P1306" s="136"/>
      <c r="Q1306" s="197"/>
    </row>
    <row r="1307" spans="1:17" ht="16.5" customHeight="1" x14ac:dyDescent="0.25">
      <c r="A1307" s="156">
        <v>45239</v>
      </c>
      <c r="B1307" s="136" t="s">
        <v>32</v>
      </c>
      <c r="C1307" s="157" t="str">
        <f t="shared" si="40"/>
        <v>09.11.2023_FAL2</v>
      </c>
      <c r="D1307" s="190">
        <f t="shared" si="41"/>
        <v>0</v>
      </c>
      <c r="E1307" s="133">
        <v>7.4</v>
      </c>
      <c r="F1307" s="134"/>
      <c r="G1307" s="135">
        <v>831</v>
      </c>
      <c r="H1307" s="137">
        <v>9.3000000000000007</v>
      </c>
      <c r="I1307" s="134"/>
      <c r="J1307" s="137">
        <v>11</v>
      </c>
      <c r="K1307" s="134"/>
      <c r="L1307" s="136">
        <v>100</v>
      </c>
      <c r="M1307" s="181"/>
      <c r="N1307" s="159" t="s">
        <v>288</v>
      </c>
      <c r="O1307" s="159"/>
      <c r="P1307" s="136"/>
      <c r="Q1307" s="197"/>
    </row>
    <row r="1308" spans="1:17" ht="16.5" customHeight="1" x14ac:dyDescent="0.25">
      <c r="A1308" s="156">
        <v>45239</v>
      </c>
      <c r="B1308" s="136" t="s">
        <v>26</v>
      </c>
      <c r="C1308" s="157" t="str">
        <f t="shared" si="40"/>
        <v>09.11.2023_GRU1</v>
      </c>
      <c r="D1308" s="190">
        <f t="shared" si="41"/>
        <v>1</v>
      </c>
      <c r="E1308" s="283"/>
      <c r="F1308" s="161" t="s">
        <v>270</v>
      </c>
      <c r="G1308" s="135">
        <v>175.1</v>
      </c>
      <c r="H1308" s="137">
        <v>10.9</v>
      </c>
      <c r="I1308" s="161"/>
      <c r="J1308" s="137">
        <v>9.9</v>
      </c>
      <c r="K1308" s="161"/>
      <c r="L1308" s="136">
        <v>45</v>
      </c>
      <c r="M1308" s="181"/>
      <c r="N1308" s="159" t="s">
        <v>356</v>
      </c>
      <c r="O1308" s="159"/>
      <c r="P1308" s="136"/>
      <c r="Q1308" s="197"/>
    </row>
    <row r="1309" spans="1:17" ht="16.5" customHeight="1" x14ac:dyDescent="0.25">
      <c r="A1309" s="156">
        <v>45239</v>
      </c>
      <c r="B1309" s="136" t="s">
        <v>28</v>
      </c>
      <c r="C1309" s="157" t="str">
        <f t="shared" si="40"/>
        <v>09.11.2023_GRU2</v>
      </c>
      <c r="D1309" s="190">
        <f t="shared" si="41"/>
        <v>0</v>
      </c>
      <c r="E1309" s="183">
        <v>7</v>
      </c>
      <c r="F1309" s="161" t="s">
        <v>269</v>
      </c>
      <c r="G1309" s="135">
        <v>157.69999999999999</v>
      </c>
      <c r="H1309" s="137">
        <v>10.5</v>
      </c>
      <c r="I1309" s="161"/>
      <c r="J1309" s="137">
        <v>10.1</v>
      </c>
      <c r="K1309" s="161"/>
      <c r="L1309" s="136">
        <v>50</v>
      </c>
      <c r="M1309" s="181"/>
      <c r="N1309" s="159" t="s">
        <v>357</v>
      </c>
      <c r="O1309" s="159"/>
      <c r="P1309" s="136"/>
      <c r="Q1309" s="197"/>
    </row>
    <row r="1310" spans="1:17" ht="16.5" customHeight="1" x14ac:dyDescent="0.25">
      <c r="A1310" s="156">
        <v>45239</v>
      </c>
      <c r="B1310" s="136" t="s">
        <v>34</v>
      </c>
      <c r="C1310" s="157" t="str">
        <f t="shared" si="40"/>
        <v>09.11.2023_KRE1</v>
      </c>
      <c r="D1310" s="190">
        <f t="shared" si="41"/>
        <v>0</v>
      </c>
      <c r="E1310" s="133">
        <v>7.83</v>
      </c>
      <c r="F1310" s="134"/>
      <c r="G1310" s="135">
        <v>625</v>
      </c>
      <c r="H1310" s="137">
        <v>9.6999999999999993</v>
      </c>
      <c r="I1310" s="134"/>
      <c r="J1310" s="137">
        <v>10.8</v>
      </c>
      <c r="K1310" s="134"/>
      <c r="L1310" s="136">
        <v>60</v>
      </c>
      <c r="M1310" s="181"/>
      <c r="N1310" s="159"/>
      <c r="O1310" s="159"/>
      <c r="P1310" s="136"/>
      <c r="Q1310" s="197"/>
    </row>
    <row r="1311" spans="1:17" ht="16.5" customHeight="1" x14ac:dyDescent="0.25">
      <c r="A1311" s="156">
        <v>45239</v>
      </c>
      <c r="B1311" s="136" t="s">
        <v>37</v>
      </c>
      <c r="C1311" s="157" t="str">
        <f t="shared" si="40"/>
        <v>09.11.2023_KRE2</v>
      </c>
      <c r="D1311" s="190">
        <f t="shared" si="41"/>
        <v>0</v>
      </c>
      <c r="E1311" s="133">
        <v>7.92</v>
      </c>
      <c r="F1311" s="134"/>
      <c r="G1311" s="135">
        <v>764</v>
      </c>
      <c r="H1311" s="137">
        <v>9.3000000000000007</v>
      </c>
      <c r="I1311" s="134"/>
      <c r="J1311" s="137">
        <v>10.7</v>
      </c>
      <c r="K1311" s="134"/>
      <c r="L1311" s="136">
        <v>60</v>
      </c>
      <c r="M1311" s="181"/>
      <c r="N1311" s="159"/>
      <c r="O1311" s="159"/>
      <c r="P1311" s="136"/>
      <c r="Q1311" s="197"/>
    </row>
    <row r="1312" spans="1:17" ht="16.5" customHeight="1" x14ac:dyDescent="0.25">
      <c r="A1312" s="156">
        <v>45239</v>
      </c>
      <c r="B1312" s="136" t="s">
        <v>14</v>
      </c>
      <c r="C1312" s="157" t="str">
        <f t="shared" si="40"/>
        <v>09.11.2023_BRA1</v>
      </c>
      <c r="D1312" s="190">
        <f t="shared" si="41"/>
        <v>0</v>
      </c>
      <c r="E1312" s="133">
        <v>7.37</v>
      </c>
      <c r="F1312" s="134"/>
      <c r="G1312" s="135">
        <v>155.9</v>
      </c>
      <c r="H1312" s="137">
        <v>10</v>
      </c>
      <c r="I1312" s="134"/>
      <c r="J1312" s="137">
        <v>10.9</v>
      </c>
      <c r="K1312" s="134"/>
      <c r="L1312" s="136">
        <v>47</v>
      </c>
      <c r="M1312" s="181"/>
      <c r="N1312" s="159" t="s">
        <v>358</v>
      </c>
      <c r="O1312" s="159"/>
      <c r="P1312" s="159" t="s">
        <v>253</v>
      </c>
      <c r="Q1312" s="197"/>
    </row>
    <row r="1313" spans="1:17" ht="16.5" customHeight="1" x14ac:dyDescent="0.25">
      <c r="A1313" s="156">
        <v>45239</v>
      </c>
      <c r="B1313" s="136" t="s">
        <v>17</v>
      </c>
      <c r="C1313" s="157" t="str">
        <f t="shared" si="40"/>
        <v>09.11.2023_BRA2</v>
      </c>
      <c r="D1313" s="190">
        <f t="shared" si="41"/>
        <v>0</v>
      </c>
      <c r="E1313" s="133">
        <v>7.83</v>
      </c>
      <c r="F1313" s="134"/>
      <c r="G1313" s="135">
        <v>162.19999999999999</v>
      </c>
      <c r="H1313" s="137">
        <v>10.3</v>
      </c>
      <c r="I1313" s="134"/>
      <c r="J1313" s="137">
        <v>9.6999999999999993</v>
      </c>
      <c r="K1313" s="134"/>
      <c r="L1313" s="136">
        <v>45</v>
      </c>
      <c r="M1313" s="181"/>
      <c r="N1313" s="159"/>
      <c r="O1313" s="159"/>
      <c r="P1313" s="159" t="s">
        <v>253</v>
      </c>
      <c r="Q1313" s="197"/>
    </row>
    <row r="1314" spans="1:17" ht="16.5" customHeight="1" x14ac:dyDescent="0.25">
      <c r="A1314" s="156">
        <v>45239</v>
      </c>
      <c r="B1314" s="136" t="s">
        <v>0</v>
      </c>
      <c r="C1314" s="157" t="str">
        <f t="shared" si="40"/>
        <v>09.11.2023_KIN1</v>
      </c>
      <c r="D1314" s="190">
        <f t="shared" si="41"/>
        <v>0</v>
      </c>
      <c r="E1314" s="133">
        <v>8.1999999999999993</v>
      </c>
      <c r="F1314" s="134"/>
      <c r="G1314" s="135">
        <v>349</v>
      </c>
      <c r="H1314" s="137">
        <v>10.199999999999999</v>
      </c>
      <c r="I1314" s="134"/>
      <c r="J1314" s="137">
        <v>8.4</v>
      </c>
      <c r="K1314" s="134"/>
      <c r="L1314" s="136">
        <v>31</v>
      </c>
      <c r="M1314" s="181"/>
      <c r="N1314" s="159"/>
      <c r="O1314" s="159"/>
      <c r="P1314" s="136" t="s">
        <v>251</v>
      </c>
      <c r="Q1314" s="197"/>
    </row>
    <row r="1315" spans="1:17" ht="16.5" customHeight="1" x14ac:dyDescent="0.25">
      <c r="A1315" s="156">
        <v>45239</v>
      </c>
      <c r="B1315" s="136" t="s">
        <v>2</v>
      </c>
      <c r="C1315" s="157" t="str">
        <f t="shared" si="40"/>
        <v>09.11.2023_KIN2</v>
      </c>
      <c r="D1315" s="190">
        <f t="shared" si="41"/>
        <v>0</v>
      </c>
      <c r="E1315" s="133">
        <v>8.09</v>
      </c>
      <c r="F1315" s="134"/>
      <c r="G1315" s="135">
        <v>428</v>
      </c>
      <c r="H1315" s="137">
        <v>10.1</v>
      </c>
      <c r="I1315" s="134"/>
      <c r="J1315" s="137">
        <v>9</v>
      </c>
      <c r="K1315" s="134"/>
      <c r="L1315" s="136">
        <v>40</v>
      </c>
      <c r="M1315" s="181"/>
      <c r="N1315" s="159"/>
      <c r="O1315" s="159"/>
      <c r="P1315" s="136" t="s">
        <v>251</v>
      </c>
      <c r="Q1315" s="197"/>
    </row>
    <row r="1316" spans="1:17" ht="16.5" customHeight="1" x14ac:dyDescent="0.25">
      <c r="A1316" s="156">
        <v>45239</v>
      </c>
      <c r="B1316" s="136" t="s">
        <v>4</v>
      </c>
      <c r="C1316" s="157" t="str">
        <f t="shared" si="40"/>
        <v>09.11.2023_KIN3</v>
      </c>
      <c r="D1316" s="190">
        <f t="shared" si="41"/>
        <v>0</v>
      </c>
      <c r="E1316" s="133">
        <v>8.15</v>
      </c>
      <c r="F1316" s="134"/>
      <c r="G1316" s="135">
        <v>391</v>
      </c>
      <c r="H1316" s="137">
        <v>10.1</v>
      </c>
      <c r="I1316" s="134"/>
      <c r="J1316" s="137">
        <v>10.8</v>
      </c>
      <c r="K1316" s="134"/>
      <c r="L1316" s="136">
        <v>63</v>
      </c>
      <c r="M1316" s="181"/>
      <c r="N1316" s="159"/>
      <c r="O1316" s="159"/>
      <c r="P1316" s="136" t="s">
        <v>251</v>
      </c>
      <c r="Q1316" s="197"/>
    </row>
    <row r="1317" spans="1:17" ht="16.5" customHeight="1" x14ac:dyDescent="0.25">
      <c r="A1317" s="156">
        <v>45239</v>
      </c>
      <c r="B1317" s="136" t="s">
        <v>6</v>
      </c>
      <c r="C1317" s="157" t="str">
        <f t="shared" si="40"/>
        <v>09.11.2023_KIN4</v>
      </c>
      <c r="D1317" s="190">
        <f t="shared" si="41"/>
        <v>0</v>
      </c>
      <c r="E1317" s="133">
        <v>8.0299999999999994</v>
      </c>
      <c r="F1317" s="134"/>
      <c r="G1317" s="135">
        <v>401</v>
      </c>
      <c r="H1317" s="137">
        <v>10</v>
      </c>
      <c r="I1317" s="134"/>
      <c r="J1317" s="137">
        <v>11.5</v>
      </c>
      <c r="K1317" s="134"/>
      <c r="L1317" s="136">
        <v>65</v>
      </c>
      <c r="M1317" s="181"/>
      <c r="N1317" s="159"/>
      <c r="O1317" s="159"/>
      <c r="P1317" s="136" t="s">
        <v>251</v>
      </c>
      <c r="Q1317" s="197"/>
    </row>
    <row r="1318" spans="1:17" ht="16.5" customHeight="1" x14ac:dyDescent="0.25">
      <c r="A1318" s="156">
        <v>45239</v>
      </c>
      <c r="B1318" s="136" t="s">
        <v>18</v>
      </c>
      <c r="C1318" s="157" t="str">
        <f t="shared" si="40"/>
        <v>09.11.2023_ORB1</v>
      </c>
      <c r="D1318" s="190">
        <f t="shared" si="41"/>
        <v>0</v>
      </c>
      <c r="E1318" s="133">
        <v>7.44</v>
      </c>
      <c r="F1318" s="134"/>
      <c r="G1318" s="135">
        <v>137.4</v>
      </c>
      <c r="H1318" s="137">
        <v>10.199999999999999</v>
      </c>
      <c r="I1318" s="134"/>
      <c r="J1318" s="137">
        <v>11</v>
      </c>
      <c r="K1318" s="134"/>
      <c r="L1318" s="136">
        <v>22</v>
      </c>
      <c r="M1318" s="181"/>
      <c r="N1318" s="159"/>
      <c r="O1318" s="159"/>
      <c r="P1318" s="159" t="s">
        <v>253</v>
      </c>
      <c r="Q1318" s="197"/>
    </row>
    <row r="1319" spans="1:17" ht="16.5" customHeight="1" x14ac:dyDescent="0.25">
      <c r="A1319" s="156">
        <v>45239</v>
      </c>
      <c r="B1319" s="136" t="s">
        <v>21</v>
      </c>
      <c r="C1319" s="157" t="str">
        <f t="shared" si="40"/>
        <v>09.11.2023_ORB2</v>
      </c>
      <c r="D1319" s="190">
        <f t="shared" si="41"/>
        <v>0</v>
      </c>
      <c r="E1319" s="133">
        <v>7.15</v>
      </c>
      <c r="F1319" s="134"/>
      <c r="G1319" s="135">
        <v>163.1</v>
      </c>
      <c r="H1319" s="137">
        <v>9.9</v>
      </c>
      <c r="I1319" s="134"/>
      <c r="J1319" s="137">
        <v>10.199999999999999</v>
      </c>
      <c r="K1319" s="134"/>
      <c r="L1319" s="136">
        <v>46</v>
      </c>
      <c r="M1319" s="181"/>
      <c r="N1319" s="159"/>
      <c r="O1319" s="159"/>
      <c r="P1319" s="159" t="s">
        <v>253</v>
      </c>
      <c r="Q1319" s="197"/>
    </row>
    <row r="1320" spans="1:17" ht="16.5" customHeight="1" x14ac:dyDescent="0.25">
      <c r="A1320" s="156">
        <v>45239</v>
      </c>
      <c r="B1320" s="136" t="s">
        <v>10</v>
      </c>
      <c r="C1320" s="157" t="str">
        <f t="shared" si="40"/>
        <v>09.11.2023_SAL1</v>
      </c>
      <c r="D1320" s="190">
        <f t="shared" si="41"/>
        <v>0</v>
      </c>
      <c r="E1320" s="133">
        <v>7.77</v>
      </c>
      <c r="F1320" s="134"/>
      <c r="G1320" s="135">
        <v>159.6</v>
      </c>
      <c r="H1320" s="137">
        <v>10.4</v>
      </c>
      <c r="I1320" s="134"/>
      <c r="J1320" s="137">
        <v>9.1</v>
      </c>
      <c r="K1320" s="134"/>
      <c r="L1320" s="136">
        <v>50</v>
      </c>
      <c r="M1320" s="181"/>
      <c r="N1320" s="159"/>
      <c r="O1320" s="159"/>
      <c r="P1320" s="159" t="s">
        <v>253</v>
      </c>
      <c r="Q1320" s="197"/>
    </row>
    <row r="1321" spans="1:17" ht="16.5" customHeight="1" x14ac:dyDescent="0.25">
      <c r="A1321" s="156">
        <v>45239</v>
      </c>
      <c r="B1321" s="136" t="s">
        <v>12</v>
      </c>
      <c r="C1321" s="157" t="str">
        <f t="shared" si="40"/>
        <v>09.11.2023_SAL2</v>
      </c>
      <c r="D1321" s="190">
        <f t="shared" si="41"/>
        <v>0</v>
      </c>
      <c r="E1321" s="133">
        <v>7.87</v>
      </c>
      <c r="F1321" s="134"/>
      <c r="G1321" s="135">
        <v>162.4</v>
      </c>
      <c r="H1321" s="137">
        <v>10.3</v>
      </c>
      <c r="I1321" s="134"/>
      <c r="J1321" s="137">
        <v>9.9</v>
      </c>
      <c r="K1321" s="134"/>
      <c r="L1321" s="136">
        <v>70</v>
      </c>
      <c r="M1321" s="181"/>
      <c r="N1321" s="159"/>
      <c r="O1321" s="159"/>
      <c r="P1321" s="159" t="s">
        <v>253</v>
      </c>
      <c r="Q1321" s="197"/>
    </row>
    <row r="1322" spans="1:17" ht="16.5" customHeight="1" x14ac:dyDescent="0.25">
      <c r="A1322" s="156">
        <v>45239</v>
      </c>
      <c r="B1322" s="136" t="s">
        <v>7</v>
      </c>
      <c r="C1322" s="157" t="str">
        <f t="shared" si="40"/>
        <v>09.11.2023_STE1</v>
      </c>
      <c r="D1322" s="190">
        <f t="shared" si="41"/>
        <v>0</v>
      </c>
      <c r="E1322" s="133">
        <v>7.95</v>
      </c>
      <c r="F1322" s="134"/>
      <c r="G1322" s="135">
        <v>201</v>
      </c>
      <c r="H1322" s="137">
        <v>10.199999999999999</v>
      </c>
      <c r="I1322" s="134"/>
      <c r="J1322" s="137">
        <v>10.3</v>
      </c>
      <c r="K1322" s="134"/>
      <c r="L1322" s="136">
        <v>45</v>
      </c>
      <c r="M1322" s="181"/>
      <c r="N1322" s="159"/>
      <c r="O1322" s="159"/>
      <c r="P1322" s="136" t="s">
        <v>251</v>
      </c>
      <c r="Q1322" s="197"/>
    </row>
    <row r="1323" spans="1:17" ht="16.5" customHeight="1" x14ac:dyDescent="0.25">
      <c r="A1323" s="156">
        <v>45239</v>
      </c>
      <c r="B1323" s="136" t="s">
        <v>9</v>
      </c>
      <c r="C1323" s="157" t="str">
        <f t="shared" si="40"/>
        <v>09.11.2023_STE2</v>
      </c>
      <c r="D1323" s="190">
        <f t="shared" si="41"/>
        <v>0</v>
      </c>
      <c r="E1323" s="133">
        <v>8.14</v>
      </c>
      <c r="F1323" s="134"/>
      <c r="G1323" s="135">
        <v>199.6</v>
      </c>
      <c r="H1323" s="137">
        <v>10.199999999999999</v>
      </c>
      <c r="I1323" s="134"/>
      <c r="J1323" s="137">
        <v>11.2</v>
      </c>
      <c r="K1323" s="134"/>
      <c r="L1323" s="136">
        <v>55.000000000000007</v>
      </c>
      <c r="M1323" s="181"/>
      <c r="N1323" s="159"/>
      <c r="O1323" s="159"/>
      <c r="P1323" s="159" t="s">
        <v>253</v>
      </c>
      <c r="Q1323" s="197"/>
    </row>
    <row r="1324" spans="1:17" ht="16.5" customHeight="1" x14ac:dyDescent="0.25">
      <c r="A1324" s="156">
        <v>45253</v>
      </c>
      <c r="B1324" s="136" t="s">
        <v>22</v>
      </c>
      <c r="C1324" s="157" t="str">
        <f t="shared" si="40"/>
        <v>23.11.2023_BIE1</v>
      </c>
      <c r="D1324" s="190">
        <f t="shared" si="41"/>
        <v>0</v>
      </c>
      <c r="E1324" s="133">
        <v>7.6</v>
      </c>
      <c r="F1324" s="134"/>
      <c r="G1324" s="135">
        <v>174.5</v>
      </c>
      <c r="H1324" s="137">
        <v>10.7</v>
      </c>
      <c r="I1324" s="134"/>
      <c r="J1324" s="137">
        <v>10.199999999999999</v>
      </c>
      <c r="K1324" s="134"/>
      <c r="L1324" s="136">
        <v>50</v>
      </c>
      <c r="M1324" s="181"/>
      <c r="N1324" s="159"/>
      <c r="O1324" s="159"/>
      <c r="P1324" s="136"/>
      <c r="Q1324" s="197"/>
    </row>
    <row r="1325" spans="1:17" ht="16.5" customHeight="1" x14ac:dyDescent="0.25">
      <c r="A1325" s="156">
        <v>45253</v>
      </c>
      <c r="B1325" s="136" t="s">
        <v>25</v>
      </c>
      <c r="C1325" s="157" t="str">
        <f t="shared" si="40"/>
        <v>23.11.2023_BIE2</v>
      </c>
      <c r="D1325" s="190">
        <f t="shared" si="41"/>
        <v>0</v>
      </c>
      <c r="E1325" s="133">
        <v>7.47</v>
      </c>
      <c r="F1325" s="134"/>
      <c r="G1325" s="135">
        <v>143</v>
      </c>
      <c r="H1325" s="137">
        <v>10.5</v>
      </c>
      <c r="I1325" s="134"/>
      <c r="J1325" s="137">
        <v>10.3</v>
      </c>
      <c r="K1325" s="134"/>
      <c r="L1325" s="136">
        <v>60</v>
      </c>
      <c r="M1325" s="181"/>
      <c r="N1325" s="159"/>
      <c r="O1325" s="159"/>
      <c r="P1325" s="136"/>
      <c r="Q1325" s="197"/>
    </row>
    <row r="1326" spans="1:17" ht="16.5" customHeight="1" x14ac:dyDescent="0.25">
      <c r="A1326" s="156">
        <v>45253</v>
      </c>
      <c r="B1326" s="136" t="s">
        <v>30</v>
      </c>
      <c r="C1326" s="157" t="str">
        <f t="shared" si="40"/>
        <v>23.11.2023_FAL1</v>
      </c>
      <c r="D1326" s="190">
        <f t="shared" si="41"/>
        <v>0</v>
      </c>
      <c r="E1326" s="133">
        <v>7.94</v>
      </c>
      <c r="F1326" s="134"/>
      <c r="G1326" s="135">
        <v>638</v>
      </c>
      <c r="H1326" s="137">
        <v>10.4</v>
      </c>
      <c r="I1326" s="134"/>
      <c r="J1326" s="137">
        <v>11.4</v>
      </c>
      <c r="K1326" s="134"/>
      <c r="L1326" s="136">
        <v>70</v>
      </c>
      <c r="M1326" s="181"/>
      <c r="N1326" s="159"/>
      <c r="O1326" s="159"/>
      <c r="P1326" s="136"/>
      <c r="Q1326" s="197"/>
    </row>
    <row r="1327" spans="1:17" ht="16.5" customHeight="1" x14ac:dyDescent="0.25">
      <c r="A1327" s="156">
        <v>45253</v>
      </c>
      <c r="B1327" s="136" t="s">
        <v>32</v>
      </c>
      <c r="C1327" s="157" t="str">
        <f t="shared" si="40"/>
        <v>23.11.2023_FAL2</v>
      </c>
      <c r="D1327" s="190">
        <f t="shared" si="41"/>
        <v>0</v>
      </c>
      <c r="E1327" s="133">
        <v>8.14</v>
      </c>
      <c r="F1327" s="134"/>
      <c r="G1327" s="135">
        <v>668</v>
      </c>
      <c r="H1327" s="137">
        <v>9.5</v>
      </c>
      <c r="I1327" s="134"/>
      <c r="J1327" s="137">
        <v>10.7</v>
      </c>
      <c r="K1327" s="134"/>
      <c r="L1327" s="136">
        <v>100</v>
      </c>
      <c r="M1327" s="181"/>
      <c r="N1327" s="159"/>
      <c r="O1327" s="159"/>
      <c r="P1327" s="136"/>
      <c r="Q1327" s="197"/>
    </row>
    <row r="1328" spans="1:17" ht="16.5" customHeight="1" x14ac:dyDescent="0.25">
      <c r="A1328" s="156">
        <v>45253</v>
      </c>
      <c r="B1328" s="136" t="s">
        <v>26</v>
      </c>
      <c r="C1328" s="157" t="str">
        <f t="shared" si="40"/>
        <v>23.11.2023_GRU1</v>
      </c>
      <c r="D1328" s="190">
        <f t="shared" si="41"/>
        <v>0</v>
      </c>
      <c r="E1328" s="133">
        <v>7.45</v>
      </c>
      <c r="F1328" s="134"/>
      <c r="G1328" s="135">
        <v>122.2</v>
      </c>
      <c r="H1328" s="137">
        <v>11.3</v>
      </c>
      <c r="I1328" s="134"/>
      <c r="J1328" s="137">
        <v>9.4</v>
      </c>
      <c r="K1328" s="134"/>
      <c r="L1328" s="136">
        <v>55.000000000000007</v>
      </c>
      <c r="M1328" s="181"/>
      <c r="N1328" s="159"/>
      <c r="O1328" s="159"/>
      <c r="P1328" s="136"/>
      <c r="Q1328" s="197"/>
    </row>
    <row r="1329" spans="1:17" ht="16.5" customHeight="1" x14ac:dyDescent="0.25">
      <c r="A1329" s="156">
        <v>45253</v>
      </c>
      <c r="B1329" s="136" t="s">
        <v>28</v>
      </c>
      <c r="C1329" s="157" t="str">
        <f t="shared" si="40"/>
        <v>23.11.2023_GRU2</v>
      </c>
      <c r="D1329" s="190">
        <f t="shared" si="41"/>
        <v>0</v>
      </c>
      <c r="E1329" s="133">
        <v>7.34</v>
      </c>
      <c r="F1329" s="134"/>
      <c r="G1329" s="135">
        <v>126</v>
      </c>
      <c r="H1329" s="137">
        <v>10.9</v>
      </c>
      <c r="I1329" s="134"/>
      <c r="J1329" s="137">
        <v>9.9</v>
      </c>
      <c r="K1329" s="134"/>
      <c r="L1329" s="136">
        <v>70</v>
      </c>
      <c r="M1329" s="181"/>
      <c r="N1329" s="159"/>
      <c r="O1329" s="159"/>
      <c r="P1329" s="136"/>
      <c r="Q1329" s="197"/>
    </row>
    <row r="1330" spans="1:17" ht="16.5" customHeight="1" x14ac:dyDescent="0.25">
      <c r="A1330" s="156">
        <v>45253</v>
      </c>
      <c r="B1330" s="136" t="s">
        <v>34</v>
      </c>
      <c r="C1330" s="157" t="str">
        <f t="shared" si="40"/>
        <v>23.11.2023_KRE1</v>
      </c>
      <c r="D1330" s="190">
        <f t="shared" si="41"/>
        <v>0</v>
      </c>
      <c r="E1330" s="133">
        <v>8.01</v>
      </c>
      <c r="F1330" s="134"/>
      <c r="G1330" s="135">
        <v>755</v>
      </c>
      <c r="H1330" s="137">
        <v>9.8000000000000007</v>
      </c>
      <c r="I1330" s="134"/>
      <c r="J1330" s="137">
        <v>10.4</v>
      </c>
      <c r="K1330" s="134"/>
      <c r="L1330" s="136">
        <v>70</v>
      </c>
      <c r="M1330" s="181"/>
      <c r="N1330" s="159"/>
      <c r="O1330" s="159"/>
      <c r="P1330" s="136"/>
      <c r="Q1330" s="197"/>
    </row>
    <row r="1331" spans="1:17" ht="16.5" customHeight="1" x14ac:dyDescent="0.25">
      <c r="A1331" s="156">
        <v>45253</v>
      </c>
      <c r="B1331" s="136" t="s">
        <v>37</v>
      </c>
      <c r="C1331" s="157" t="str">
        <f t="shared" si="40"/>
        <v>23.11.2023_KRE2</v>
      </c>
      <c r="D1331" s="190">
        <f t="shared" si="41"/>
        <v>0</v>
      </c>
      <c r="E1331" s="133">
        <v>8</v>
      </c>
      <c r="F1331" s="134"/>
      <c r="G1331" s="135">
        <v>765</v>
      </c>
      <c r="H1331" s="137">
        <v>8.9</v>
      </c>
      <c r="I1331" s="134"/>
      <c r="J1331" s="137">
        <v>10.4</v>
      </c>
      <c r="K1331" s="134"/>
      <c r="L1331" s="136">
        <v>80</v>
      </c>
      <c r="M1331" s="181"/>
      <c r="N1331" s="159"/>
      <c r="O1331" s="159"/>
      <c r="P1331" s="136"/>
      <c r="Q1331" s="197"/>
    </row>
    <row r="1332" spans="1:17" ht="16.5" customHeight="1" x14ac:dyDescent="0.25">
      <c r="A1332" s="156">
        <v>45253</v>
      </c>
      <c r="B1332" s="136" t="s">
        <v>14</v>
      </c>
      <c r="C1332" s="157" t="str">
        <f t="shared" si="40"/>
        <v>23.11.2023_BRA1</v>
      </c>
      <c r="D1332" s="190">
        <f t="shared" si="41"/>
        <v>0</v>
      </c>
      <c r="E1332" s="133">
        <v>7.24</v>
      </c>
      <c r="F1332" s="134"/>
      <c r="G1332" s="135">
        <v>121.4</v>
      </c>
      <c r="H1332" s="137">
        <v>11.5</v>
      </c>
      <c r="I1332" s="134"/>
      <c r="J1332" s="137">
        <v>7.3</v>
      </c>
      <c r="K1332" s="134"/>
      <c r="L1332" s="136">
        <v>73</v>
      </c>
      <c r="M1332" s="181"/>
      <c r="N1332" s="159"/>
      <c r="O1332" s="159"/>
      <c r="P1332" s="159" t="s">
        <v>253</v>
      </c>
      <c r="Q1332" s="197"/>
    </row>
    <row r="1333" spans="1:17" ht="16.5" customHeight="1" x14ac:dyDescent="0.25">
      <c r="A1333" s="156">
        <v>45253</v>
      </c>
      <c r="B1333" s="136" t="s">
        <v>17</v>
      </c>
      <c r="C1333" s="157" t="str">
        <f t="shared" si="40"/>
        <v>23.11.2023_BRA2</v>
      </c>
      <c r="D1333" s="190">
        <f t="shared" si="41"/>
        <v>0</v>
      </c>
      <c r="E1333" s="133">
        <v>7.64</v>
      </c>
      <c r="F1333" s="134"/>
      <c r="G1333" s="135">
        <v>133.30000000000001</v>
      </c>
      <c r="H1333" s="137">
        <v>11.3</v>
      </c>
      <c r="I1333" s="134"/>
      <c r="J1333" s="137">
        <v>7.8</v>
      </c>
      <c r="K1333" s="134"/>
      <c r="L1333" s="136">
        <v>53</v>
      </c>
      <c r="M1333" s="181"/>
      <c r="N1333" s="159"/>
      <c r="O1333" s="159"/>
      <c r="P1333" s="136" t="s">
        <v>254</v>
      </c>
      <c r="Q1333" s="197"/>
    </row>
    <row r="1334" spans="1:17" ht="16.5" customHeight="1" x14ac:dyDescent="0.25">
      <c r="A1334" s="156">
        <v>45253</v>
      </c>
      <c r="B1334" s="136" t="s">
        <v>0</v>
      </c>
      <c r="C1334" s="157" t="str">
        <f t="shared" si="40"/>
        <v>23.11.2023_KIN1</v>
      </c>
      <c r="D1334" s="190">
        <f t="shared" si="41"/>
        <v>0</v>
      </c>
      <c r="E1334" s="133">
        <v>8.1999999999999993</v>
      </c>
      <c r="F1334" s="134"/>
      <c r="G1334" s="135">
        <v>316</v>
      </c>
      <c r="H1334" s="137">
        <v>12.4</v>
      </c>
      <c r="I1334" s="134"/>
      <c r="J1334" s="137">
        <v>5.9</v>
      </c>
      <c r="K1334" s="134"/>
      <c r="L1334" s="136">
        <v>31</v>
      </c>
      <c r="M1334" s="181"/>
      <c r="N1334" s="159" t="s">
        <v>359</v>
      </c>
      <c r="O1334" s="159"/>
      <c r="P1334" s="159" t="s">
        <v>252</v>
      </c>
      <c r="Q1334" s="197"/>
    </row>
    <row r="1335" spans="1:17" ht="16.5" customHeight="1" x14ac:dyDescent="0.25">
      <c r="A1335" s="156">
        <v>45253</v>
      </c>
      <c r="B1335" s="136" t="s">
        <v>2</v>
      </c>
      <c r="C1335" s="157" t="str">
        <f t="shared" si="40"/>
        <v>23.11.2023_KIN2</v>
      </c>
      <c r="D1335" s="190">
        <f t="shared" si="41"/>
        <v>0</v>
      </c>
      <c r="E1335" s="133">
        <v>8.1300000000000008</v>
      </c>
      <c r="F1335" s="134"/>
      <c r="G1335" s="135">
        <v>375</v>
      </c>
      <c r="H1335" s="137">
        <v>12.4</v>
      </c>
      <c r="I1335" s="134"/>
      <c r="J1335" s="137">
        <v>6.3</v>
      </c>
      <c r="K1335" s="134"/>
      <c r="L1335" s="136">
        <v>50</v>
      </c>
      <c r="M1335" s="181"/>
      <c r="N1335" s="159"/>
      <c r="O1335" s="159"/>
      <c r="P1335" s="136" t="s">
        <v>252</v>
      </c>
      <c r="Q1335" s="197"/>
    </row>
    <row r="1336" spans="1:17" ht="16.5" customHeight="1" x14ac:dyDescent="0.25">
      <c r="A1336" s="156">
        <v>45253</v>
      </c>
      <c r="B1336" s="136" t="s">
        <v>4</v>
      </c>
      <c r="C1336" s="157" t="str">
        <f t="shared" si="40"/>
        <v>23.11.2023_KIN3</v>
      </c>
      <c r="D1336" s="190">
        <f t="shared" si="41"/>
        <v>0</v>
      </c>
      <c r="E1336" s="133">
        <v>8.19</v>
      </c>
      <c r="F1336" s="134"/>
      <c r="G1336" s="135">
        <v>358</v>
      </c>
      <c r="H1336" s="137">
        <v>12.2</v>
      </c>
      <c r="I1336" s="134"/>
      <c r="J1336" s="137">
        <v>6.1</v>
      </c>
      <c r="K1336" s="134"/>
      <c r="L1336" s="136">
        <v>76</v>
      </c>
      <c r="M1336" s="181"/>
      <c r="N1336" s="159"/>
      <c r="O1336" s="159"/>
      <c r="P1336" s="136" t="s">
        <v>252</v>
      </c>
      <c r="Q1336" s="197"/>
    </row>
    <row r="1337" spans="1:17" ht="16.5" customHeight="1" x14ac:dyDescent="0.25">
      <c r="A1337" s="156">
        <v>45253</v>
      </c>
      <c r="B1337" s="136" t="s">
        <v>6</v>
      </c>
      <c r="C1337" s="157" t="str">
        <f t="shared" si="40"/>
        <v>23.11.2023_KIN4</v>
      </c>
      <c r="D1337" s="190">
        <f t="shared" si="41"/>
        <v>0</v>
      </c>
      <c r="E1337" s="133">
        <v>8.11</v>
      </c>
      <c r="F1337" s="134"/>
      <c r="G1337" s="135">
        <v>370</v>
      </c>
      <c r="H1337" s="137">
        <v>12.1</v>
      </c>
      <c r="I1337" s="134"/>
      <c r="J1337" s="137">
        <v>6.3</v>
      </c>
      <c r="K1337" s="134"/>
      <c r="L1337" s="136">
        <v>74</v>
      </c>
      <c r="M1337" s="181"/>
      <c r="N1337" s="159"/>
      <c r="O1337" s="159"/>
      <c r="P1337" s="136" t="s">
        <v>252</v>
      </c>
      <c r="Q1337" s="197"/>
    </row>
    <row r="1338" spans="1:17" ht="16.5" customHeight="1" x14ac:dyDescent="0.25">
      <c r="A1338" s="156">
        <v>45253</v>
      </c>
      <c r="B1338" s="136" t="s">
        <v>18</v>
      </c>
      <c r="C1338" s="157" t="str">
        <f t="shared" si="40"/>
        <v>23.11.2023_ORB1</v>
      </c>
      <c r="D1338" s="190">
        <f t="shared" si="41"/>
        <v>0</v>
      </c>
      <c r="E1338" s="133">
        <v>7.88</v>
      </c>
      <c r="F1338" s="134"/>
      <c r="G1338" s="135">
        <v>150.9</v>
      </c>
      <c r="H1338" s="137">
        <v>11.8</v>
      </c>
      <c r="I1338" s="134"/>
      <c r="J1338" s="137">
        <v>8.9</v>
      </c>
      <c r="K1338" s="134"/>
      <c r="L1338" s="136">
        <v>30</v>
      </c>
      <c r="M1338" s="181"/>
      <c r="N1338" s="159"/>
      <c r="O1338" s="159"/>
      <c r="P1338" s="159" t="s">
        <v>253</v>
      </c>
      <c r="Q1338" s="197"/>
    </row>
    <row r="1339" spans="1:17" ht="16.5" customHeight="1" x14ac:dyDescent="0.25">
      <c r="A1339" s="156">
        <v>45253</v>
      </c>
      <c r="B1339" s="136" t="s">
        <v>21</v>
      </c>
      <c r="C1339" s="157" t="str">
        <f t="shared" si="40"/>
        <v>23.11.2023_ORB2</v>
      </c>
      <c r="D1339" s="190">
        <f t="shared" si="41"/>
        <v>0</v>
      </c>
      <c r="E1339" s="133">
        <v>7.25</v>
      </c>
      <c r="F1339" s="134"/>
      <c r="G1339" s="135">
        <v>138.30000000000001</v>
      </c>
      <c r="H1339" s="137">
        <v>11.4</v>
      </c>
      <c r="I1339" s="134"/>
      <c r="J1339" s="137">
        <v>9.6</v>
      </c>
      <c r="K1339" s="134"/>
      <c r="L1339" s="136">
        <v>50</v>
      </c>
      <c r="M1339" s="181"/>
      <c r="N1339" s="159"/>
      <c r="O1339" s="159"/>
      <c r="P1339" s="159" t="s">
        <v>253</v>
      </c>
      <c r="Q1339" s="197"/>
    </row>
    <row r="1340" spans="1:17" ht="16.5" customHeight="1" x14ac:dyDescent="0.25">
      <c r="A1340" s="156">
        <v>45253</v>
      </c>
      <c r="B1340" s="136" t="s">
        <v>10</v>
      </c>
      <c r="C1340" s="157" t="str">
        <f t="shared" si="40"/>
        <v>23.11.2023_SAL1</v>
      </c>
      <c r="D1340" s="190">
        <f t="shared" si="41"/>
        <v>0</v>
      </c>
      <c r="E1340" s="133">
        <v>7.59</v>
      </c>
      <c r="F1340" s="134"/>
      <c r="G1340" s="135">
        <v>126.3</v>
      </c>
      <c r="H1340" s="137">
        <v>12.3</v>
      </c>
      <c r="I1340" s="134"/>
      <c r="J1340" s="137">
        <v>6.7</v>
      </c>
      <c r="K1340" s="134"/>
      <c r="L1340" s="186">
        <v>88</v>
      </c>
      <c r="M1340" s="181"/>
      <c r="N1340" s="159"/>
      <c r="O1340" s="159"/>
      <c r="P1340" s="136" t="s">
        <v>255</v>
      </c>
      <c r="Q1340" s="197"/>
    </row>
    <row r="1341" spans="1:17" ht="16.5" customHeight="1" x14ac:dyDescent="0.25">
      <c r="A1341" s="156">
        <v>45253</v>
      </c>
      <c r="B1341" s="136" t="s">
        <v>12</v>
      </c>
      <c r="C1341" s="157" t="str">
        <f t="shared" si="40"/>
        <v>23.11.2023_SAL2</v>
      </c>
      <c r="D1341" s="190">
        <f t="shared" si="41"/>
        <v>0</v>
      </c>
      <c r="E1341" s="133">
        <v>7.68</v>
      </c>
      <c r="F1341" s="134"/>
      <c r="G1341" s="135">
        <v>124.6</v>
      </c>
      <c r="H1341" s="137">
        <v>12.2</v>
      </c>
      <c r="I1341" s="134"/>
      <c r="J1341" s="137">
        <v>7</v>
      </c>
      <c r="K1341" s="134"/>
      <c r="L1341" s="136">
        <v>80</v>
      </c>
      <c r="M1341" s="181"/>
      <c r="N1341" s="159"/>
      <c r="O1341" s="159"/>
      <c r="P1341" s="159" t="s">
        <v>253</v>
      </c>
      <c r="Q1341" s="197"/>
    </row>
    <row r="1342" spans="1:17" ht="16.5" customHeight="1" x14ac:dyDescent="0.25">
      <c r="A1342" s="156">
        <v>45253</v>
      </c>
      <c r="B1342" s="136" t="s">
        <v>7</v>
      </c>
      <c r="C1342" s="157" t="str">
        <f t="shared" si="40"/>
        <v>23.11.2023_STE1</v>
      </c>
      <c r="D1342" s="190">
        <f t="shared" si="41"/>
        <v>0</v>
      </c>
      <c r="E1342" s="133">
        <v>7.95</v>
      </c>
      <c r="F1342" s="134"/>
      <c r="G1342" s="135">
        <v>196</v>
      </c>
      <c r="H1342" s="137">
        <v>12.3</v>
      </c>
      <c r="I1342" s="134"/>
      <c r="J1342" s="137">
        <v>8.3000000000000007</v>
      </c>
      <c r="K1342" s="134"/>
      <c r="L1342" s="136">
        <v>45</v>
      </c>
      <c r="M1342" s="181"/>
      <c r="N1342" s="159"/>
      <c r="O1342" s="159"/>
      <c r="P1342" s="136" t="s">
        <v>252</v>
      </c>
      <c r="Q1342" s="197"/>
    </row>
    <row r="1343" spans="1:17" ht="16.5" customHeight="1" x14ac:dyDescent="0.25">
      <c r="A1343" s="156">
        <v>45253</v>
      </c>
      <c r="B1343" s="136" t="s">
        <v>9</v>
      </c>
      <c r="C1343" s="157" t="str">
        <f t="shared" si="40"/>
        <v>23.11.2023_STE2</v>
      </c>
      <c r="D1343" s="190">
        <f t="shared" si="41"/>
        <v>0</v>
      </c>
      <c r="E1343" s="133">
        <v>8.0399999999999991</v>
      </c>
      <c r="F1343" s="134"/>
      <c r="G1343" s="135">
        <v>201</v>
      </c>
      <c r="H1343" s="137">
        <v>12.3</v>
      </c>
      <c r="I1343" s="134"/>
      <c r="J1343" s="137">
        <v>8.4</v>
      </c>
      <c r="K1343" s="134"/>
      <c r="L1343" s="136">
        <v>67</v>
      </c>
      <c r="M1343" s="181"/>
      <c r="N1343" s="159"/>
      <c r="O1343" s="159"/>
      <c r="P1343" s="136" t="s">
        <v>252</v>
      </c>
      <c r="Q1343" s="197"/>
    </row>
    <row r="1344" spans="1:17" ht="16.5" customHeight="1" x14ac:dyDescent="0.25">
      <c r="A1344" s="156">
        <v>45267</v>
      </c>
      <c r="B1344" s="136" t="s">
        <v>22</v>
      </c>
      <c r="C1344" s="157" t="str">
        <f t="shared" si="40"/>
        <v>07.12.2023_BIE1</v>
      </c>
      <c r="D1344" s="190">
        <f t="shared" si="41"/>
        <v>1</v>
      </c>
      <c r="E1344" s="283"/>
      <c r="F1344" s="161" t="s">
        <v>270</v>
      </c>
      <c r="G1344" s="135">
        <v>187</v>
      </c>
      <c r="H1344" s="137">
        <v>12.4</v>
      </c>
      <c r="I1344" s="161"/>
      <c r="J1344" s="137">
        <v>5.7</v>
      </c>
      <c r="K1344" s="161"/>
      <c r="L1344" s="136">
        <v>50</v>
      </c>
      <c r="M1344" s="181"/>
      <c r="N1344" s="159" t="s">
        <v>360</v>
      </c>
      <c r="O1344" s="159"/>
      <c r="P1344" s="136"/>
      <c r="Q1344" s="197"/>
    </row>
    <row r="1345" spans="1:17" ht="16.5" customHeight="1" x14ac:dyDescent="0.25">
      <c r="A1345" s="156">
        <v>45267</v>
      </c>
      <c r="B1345" s="136" t="s">
        <v>25</v>
      </c>
      <c r="C1345" s="157" t="str">
        <f t="shared" si="40"/>
        <v>07.12.2023_BIE2</v>
      </c>
      <c r="D1345" s="190">
        <f t="shared" si="41"/>
        <v>1</v>
      </c>
      <c r="E1345" s="283"/>
      <c r="F1345" s="161" t="s">
        <v>270</v>
      </c>
      <c r="G1345" s="135">
        <v>185</v>
      </c>
      <c r="H1345" s="137">
        <v>12.3</v>
      </c>
      <c r="I1345" s="161"/>
      <c r="J1345" s="137">
        <v>6.4</v>
      </c>
      <c r="K1345" s="161"/>
      <c r="L1345" s="136">
        <v>60</v>
      </c>
      <c r="M1345" s="181"/>
      <c r="N1345" s="159" t="s">
        <v>361</v>
      </c>
      <c r="O1345" s="159"/>
      <c r="P1345" s="136"/>
      <c r="Q1345" s="197"/>
    </row>
    <row r="1346" spans="1:17" ht="16.5" customHeight="1" x14ac:dyDescent="0.25">
      <c r="A1346" s="156">
        <v>45267</v>
      </c>
      <c r="B1346" s="136" t="s">
        <v>30</v>
      </c>
      <c r="C1346" s="157" t="str">
        <f t="shared" si="40"/>
        <v>07.12.2023_FAL1</v>
      </c>
      <c r="D1346" s="190">
        <f t="shared" si="41"/>
        <v>1</v>
      </c>
      <c r="E1346" s="283"/>
      <c r="F1346" s="161" t="s">
        <v>270</v>
      </c>
      <c r="G1346" s="135">
        <v>873</v>
      </c>
      <c r="H1346" s="137">
        <v>11.2</v>
      </c>
      <c r="I1346" s="161"/>
      <c r="J1346" s="137">
        <v>7.7</v>
      </c>
      <c r="K1346" s="161"/>
      <c r="L1346" s="136">
        <v>50</v>
      </c>
      <c r="M1346" s="181"/>
      <c r="N1346" s="159" t="s">
        <v>362</v>
      </c>
      <c r="O1346" s="159"/>
      <c r="P1346" s="136"/>
      <c r="Q1346" s="197"/>
    </row>
    <row r="1347" spans="1:17" ht="16.5" customHeight="1" x14ac:dyDescent="0.25">
      <c r="A1347" s="156">
        <v>45267</v>
      </c>
      <c r="B1347" s="136" t="s">
        <v>32</v>
      </c>
      <c r="C1347" s="157" t="str">
        <f t="shared" si="40"/>
        <v>07.12.2023_FAL2</v>
      </c>
      <c r="D1347" s="190">
        <f t="shared" si="41"/>
        <v>0</v>
      </c>
      <c r="E1347" s="133">
        <v>6.1</v>
      </c>
      <c r="F1347" s="134"/>
      <c r="G1347" s="135">
        <v>833</v>
      </c>
      <c r="H1347" s="137">
        <v>11.2</v>
      </c>
      <c r="I1347" s="134"/>
      <c r="J1347" s="137">
        <v>5.8</v>
      </c>
      <c r="K1347" s="134"/>
      <c r="L1347" s="136">
        <v>105</v>
      </c>
      <c r="M1347" s="181"/>
      <c r="N1347" s="159" t="s">
        <v>288</v>
      </c>
      <c r="O1347" s="159"/>
      <c r="P1347" s="136"/>
      <c r="Q1347" s="197"/>
    </row>
    <row r="1348" spans="1:17" ht="16.5" customHeight="1" x14ac:dyDescent="0.25">
      <c r="A1348" s="156">
        <v>45267</v>
      </c>
      <c r="B1348" s="136" t="s">
        <v>26</v>
      </c>
      <c r="C1348" s="157" t="str">
        <f t="shared" si="40"/>
        <v>07.12.2023_GRU1</v>
      </c>
      <c r="D1348" s="190">
        <f t="shared" si="41"/>
        <v>1</v>
      </c>
      <c r="E1348" s="283"/>
      <c r="F1348" s="161" t="s">
        <v>270</v>
      </c>
      <c r="G1348" s="135">
        <v>161.69999999999999</v>
      </c>
      <c r="H1348" s="137">
        <v>13.2</v>
      </c>
      <c r="I1348" s="161"/>
      <c r="J1348" s="137">
        <v>3.7</v>
      </c>
      <c r="K1348" s="161"/>
      <c r="L1348" s="136">
        <v>45</v>
      </c>
      <c r="M1348" s="181"/>
      <c r="N1348" s="159" t="s">
        <v>363</v>
      </c>
      <c r="O1348" s="159"/>
      <c r="P1348" s="136"/>
      <c r="Q1348" s="197"/>
    </row>
    <row r="1349" spans="1:17" ht="16.5" customHeight="1" x14ac:dyDescent="0.25">
      <c r="A1349" s="156">
        <v>45267</v>
      </c>
      <c r="B1349" s="136" t="s">
        <v>28</v>
      </c>
      <c r="C1349" s="157" t="str">
        <f t="shared" ref="C1349:C1412" si="42">CONCATENATE(TEXT(A1349,"TT.MM.JJJJ"),"_",B1349)</f>
        <v>07.12.2023_GRU2</v>
      </c>
      <c r="D1349" s="190">
        <f t="shared" ref="D1349:D1412" si="43">COUNTBLANK(E1349)+COUNTBLANK(G1349:H1349)+COUNTBLANK(J1349)+COUNTBLANK(L1349)</f>
        <v>1</v>
      </c>
      <c r="E1349" s="283"/>
      <c r="F1349" s="161" t="s">
        <v>270</v>
      </c>
      <c r="G1349" s="135">
        <v>177.6</v>
      </c>
      <c r="H1349" s="137">
        <v>12.6</v>
      </c>
      <c r="I1349" s="161"/>
      <c r="J1349" s="137">
        <v>4.3</v>
      </c>
      <c r="K1349" s="161"/>
      <c r="L1349" s="136">
        <v>50</v>
      </c>
      <c r="M1349" s="181"/>
      <c r="N1349" s="159" t="s">
        <v>360</v>
      </c>
      <c r="O1349" s="159"/>
      <c r="P1349" s="136"/>
      <c r="Q1349" s="197"/>
    </row>
    <row r="1350" spans="1:17" ht="16.5" customHeight="1" x14ac:dyDescent="0.25">
      <c r="A1350" s="156">
        <v>45267</v>
      </c>
      <c r="B1350" s="136" t="s">
        <v>34</v>
      </c>
      <c r="C1350" s="157" t="str">
        <f t="shared" si="42"/>
        <v>07.12.2023_KRE1</v>
      </c>
      <c r="D1350" s="190">
        <f t="shared" si="43"/>
        <v>0</v>
      </c>
      <c r="E1350" s="133">
        <v>8.11</v>
      </c>
      <c r="F1350" s="134"/>
      <c r="G1350" s="135">
        <v>852</v>
      </c>
      <c r="H1350" s="137">
        <v>11.9</v>
      </c>
      <c r="I1350" s="134"/>
      <c r="J1350" s="137">
        <v>4.7</v>
      </c>
      <c r="K1350" s="134"/>
      <c r="L1350" s="136">
        <v>70</v>
      </c>
      <c r="M1350" s="181"/>
      <c r="N1350" s="159"/>
      <c r="O1350" s="159"/>
      <c r="P1350" s="136"/>
      <c r="Q1350" s="197"/>
    </row>
    <row r="1351" spans="1:17" ht="16.5" customHeight="1" x14ac:dyDescent="0.25">
      <c r="A1351" s="156">
        <v>45267</v>
      </c>
      <c r="B1351" s="136" t="s">
        <v>37</v>
      </c>
      <c r="C1351" s="157" t="str">
        <f t="shared" si="42"/>
        <v>07.12.2023_KRE2</v>
      </c>
      <c r="D1351" s="190">
        <f t="shared" si="43"/>
        <v>0</v>
      </c>
      <c r="E1351" s="133">
        <v>8.1300000000000008</v>
      </c>
      <c r="F1351" s="134"/>
      <c r="G1351" s="135">
        <v>837</v>
      </c>
      <c r="H1351" s="137">
        <v>11</v>
      </c>
      <c r="I1351" s="134"/>
      <c r="J1351" s="137">
        <v>4</v>
      </c>
      <c r="K1351" s="134"/>
      <c r="L1351" s="136">
        <v>70</v>
      </c>
      <c r="M1351" s="181"/>
      <c r="N1351" s="159"/>
      <c r="O1351" s="159"/>
      <c r="P1351" s="136"/>
      <c r="Q1351" s="197"/>
    </row>
    <row r="1352" spans="1:17" ht="16.5" customHeight="1" x14ac:dyDescent="0.25">
      <c r="A1352" s="156">
        <v>45267</v>
      </c>
      <c r="B1352" s="136" t="s">
        <v>14</v>
      </c>
      <c r="C1352" s="157" t="str">
        <f t="shared" si="42"/>
        <v>07.12.2023_BRA1</v>
      </c>
      <c r="D1352" s="190">
        <f t="shared" si="43"/>
        <v>0</v>
      </c>
      <c r="E1352" s="133">
        <v>7.37</v>
      </c>
      <c r="F1352" s="134"/>
      <c r="G1352" s="135">
        <v>164.6</v>
      </c>
      <c r="H1352" s="137">
        <v>13.7</v>
      </c>
      <c r="I1352" s="134"/>
      <c r="J1352" s="137">
        <v>3.8</v>
      </c>
      <c r="K1352" s="134"/>
      <c r="L1352" s="136">
        <v>47</v>
      </c>
      <c r="M1352" s="181"/>
      <c r="N1352" s="159"/>
      <c r="O1352" s="159"/>
      <c r="P1352" s="159" t="s">
        <v>253</v>
      </c>
      <c r="Q1352" s="197"/>
    </row>
    <row r="1353" spans="1:17" ht="16.5" customHeight="1" x14ac:dyDescent="0.25">
      <c r="A1353" s="156">
        <v>45267</v>
      </c>
      <c r="B1353" s="136" t="s">
        <v>17</v>
      </c>
      <c r="C1353" s="157" t="str">
        <f t="shared" si="42"/>
        <v>07.12.2023_BRA2</v>
      </c>
      <c r="D1353" s="190">
        <f t="shared" si="43"/>
        <v>0</v>
      </c>
      <c r="E1353" s="133">
        <v>7.79</v>
      </c>
      <c r="F1353" s="134"/>
      <c r="G1353" s="135">
        <v>179.5</v>
      </c>
      <c r="H1353" s="137">
        <v>14.1</v>
      </c>
      <c r="I1353" s="134"/>
      <c r="J1353" s="137">
        <v>3.7</v>
      </c>
      <c r="K1353" s="134"/>
      <c r="L1353" s="136">
        <v>43</v>
      </c>
      <c r="M1353" s="181"/>
      <c r="N1353" s="159"/>
      <c r="O1353" s="159"/>
      <c r="P1353" s="159" t="s">
        <v>253</v>
      </c>
      <c r="Q1353" s="197"/>
    </row>
    <row r="1354" spans="1:17" ht="16.5" customHeight="1" x14ac:dyDescent="0.25">
      <c r="A1354" s="156">
        <v>45267</v>
      </c>
      <c r="B1354" s="136" t="s">
        <v>0</v>
      </c>
      <c r="C1354" s="157" t="str">
        <f t="shared" si="42"/>
        <v>07.12.2023_KIN1</v>
      </c>
      <c r="D1354" s="190">
        <f t="shared" si="43"/>
        <v>0</v>
      </c>
      <c r="E1354" s="133">
        <v>8.26</v>
      </c>
      <c r="F1354" s="134"/>
      <c r="G1354" s="135">
        <v>383</v>
      </c>
      <c r="H1354" s="137">
        <v>14.2</v>
      </c>
      <c r="I1354" s="134"/>
      <c r="J1354" s="137">
        <v>4.5999999999999996</v>
      </c>
      <c r="K1354" s="134"/>
      <c r="L1354" s="136">
        <v>44</v>
      </c>
      <c r="M1354" s="181"/>
      <c r="N1354" s="159"/>
      <c r="O1354" s="159"/>
      <c r="P1354" s="136" t="s">
        <v>252</v>
      </c>
      <c r="Q1354" s="197"/>
    </row>
    <row r="1355" spans="1:17" ht="16.5" customHeight="1" x14ac:dyDescent="0.25">
      <c r="A1355" s="156">
        <v>45267</v>
      </c>
      <c r="B1355" s="136" t="s">
        <v>2</v>
      </c>
      <c r="C1355" s="157" t="str">
        <f t="shared" si="42"/>
        <v>07.12.2023_KIN2</v>
      </c>
      <c r="D1355" s="190">
        <f t="shared" si="43"/>
        <v>0</v>
      </c>
      <c r="E1355" s="133">
        <v>8.18</v>
      </c>
      <c r="F1355" s="134"/>
      <c r="G1355" s="135">
        <v>421</v>
      </c>
      <c r="H1355" s="137">
        <v>13.5</v>
      </c>
      <c r="I1355" s="134"/>
      <c r="J1355" s="137">
        <v>5.0999999999999996</v>
      </c>
      <c r="K1355" s="134"/>
      <c r="L1355" s="136">
        <v>50</v>
      </c>
      <c r="M1355" s="181"/>
      <c r="N1355" s="159"/>
      <c r="O1355" s="159"/>
      <c r="P1355" s="136" t="s">
        <v>252</v>
      </c>
      <c r="Q1355" s="197"/>
    </row>
    <row r="1356" spans="1:17" ht="16.5" customHeight="1" x14ac:dyDescent="0.25">
      <c r="A1356" s="156">
        <v>45267</v>
      </c>
      <c r="B1356" s="136" t="s">
        <v>4</v>
      </c>
      <c r="C1356" s="157" t="str">
        <f t="shared" si="42"/>
        <v>07.12.2023_KIN3</v>
      </c>
      <c r="D1356" s="190">
        <f t="shared" si="43"/>
        <v>0</v>
      </c>
      <c r="E1356" s="133">
        <v>8.23</v>
      </c>
      <c r="F1356" s="134"/>
      <c r="G1356" s="135">
        <v>400</v>
      </c>
      <c r="H1356" s="137">
        <v>13.6</v>
      </c>
      <c r="I1356" s="134"/>
      <c r="J1356" s="137">
        <v>5.2</v>
      </c>
      <c r="K1356" s="134"/>
      <c r="L1356" s="136">
        <v>78</v>
      </c>
      <c r="M1356" s="181"/>
      <c r="N1356" s="159"/>
      <c r="O1356" s="159"/>
      <c r="P1356" s="136" t="s">
        <v>252</v>
      </c>
      <c r="Q1356" s="197"/>
    </row>
    <row r="1357" spans="1:17" ht="16.5" customHeight="1" x14ac:dyDescent="0.25">
      <c r="A1357" s="156">
        <v>45267</v>
      </c>
      <c r="B1357" s="136" t="s">
        <v>6</v>
      </c>
      <c r="C1357" s="157" t="str">
        <f t="shared" si="42"/>
        <v>07.12.2023_KIN4</v>
      </c>
      <c r="D1357" s="190">
        <f t="shared" si="43"/>
        <v>0</v>
      </c>
      <c r="E1357" s="133">
        <v>8.17</v>
      </c>
      <c r="F1357" s="134"/>
      <c r="G1357" s="135">
        <v>428</v>
      </c>
      <c r="H1357" s="137">
        <v>13.3</v>
      </c>
      <c r="I1357" s="134"/>
      <c r="J1357" s="137">
        <v>5.2</v>
      </c>
      <c r="K1357" s="134"/>
      <c r="L1357" s="136">
        <v>77</v>
      </c>
      <c r="M1357" s="181"/>
      <c r="N1357" s="159" t="s">
        <v>364</v>
      </c>
      <c r="O1357" s="159"/>
      <c r="P1357" s="159" t="s">
        <v>252</v>
      </c>
      <c r="Q1357" s="197"/>
    </row>
    <row r="1358" spans="1:17" ht="16.5" customHeight="1" x14ac:dyDescent="0.25">
      <c r="A1358" s="156">
        <v>45267</v>
      </c>
      <c r="B1358" s="136" t="s">
        <v>18</v>
      </c>
      <c r="C1358" s="157" t="str">
        <f t="shared" si="42"/>
        <v>07.12.2023_ORB1</v>
      </c>
      <c r="D1358" s="190">
        <f t="shared" si="43"/>
        <v>0</v>
      </c>
      <c r="E1358" s="133">
        <v>7.36</v>
      </c>
      <c r="F1358" s="134"/>
      <c r="G1358" s="135">
        <v>184.3</v>
      </c>
      <c r="H1358" s="137">
        <v>13.4</v>
      </c>
      <c r="I1358" s="134"/>
      <c r="J1358" s="137">
        <v>6.4</v>
      </c>
      <c r="K1358" s="134"/>
      <c r="L1358" s="136">
        <v>30</v>
      </c>
      <c r="M1358" s="181"/>
      <c r="N1358" s="159"/>
      <c r="O1358" s="159"/>
      <c r="P1358" s="159" t="s">
        <v>253</v>
      </c>
      <c r="Q1358" s="197"/>
    </row>
    <row r="1359" spans="1:17" ht="16.5" customHeight="1" x14ac:dyDescent="0.25">
      <c r="A1359" s="156">
        <v>45267</v>
      </c>
      <c r="B1359" s="136" t="s">
        <v>21</v>
      </c>
      <c r="C1359" s="157" t="str">
        <f t="shared" si="42"/>
        <v>07.12.2023_ORB2</v>
      </c>
      <c r="D1359" s="190">
        <f t="shared" si="43"/>
        <v>0</v>
      </c>
      <c r="E1359" s="133">
        <v>7.23</v>
      </c>
      <c r="F1359" s="134"/>
      <c r="G1359" s="135">
        <v>202</v>
      </c>
      <c r="H1359" s="137">
        <v>13.1</v>
      </c>
      <c r="I1359" s="134"/>
      <c r="J1359" s="137">
        <v>5.9</v>
      </c>
      <c r="K1359" s="134"/>
      <c r="L1359" s="136">
        <v>47</v>
      </c>
      <c r="M1359" s="181"/>
      <c r="N1359" s="159" t="s">
        <v>365</v>
      </c>
      <c r="O1359" s="159"/>
      <c r="P1359" s="159" t="s">
        <v>252</v>
      </c>
      <c r="Q1359" s="197"/>
    </row>
    <row r="1360" spans="1:17" ht="16.5" customHeight="1" x14ac:dyDescent="0.25">
      <c r="A1360" s="156">
        <v>45267</v>
      </c>
      <c r="B1360" s="136" t="s">
        <v>10</v>
      </c>
      <c r="C1360" s="157" t="str">
        <f t="shared" si="42"/>
        <v>07.12.2023_SAL1</v>
      </c>
      <c r="D1360" s="190">
        <f t="shared" si="43"/>
        <v>0</v>
      </c>
      <c r="E1360" s="133">
        <v>7.7</v>
      </c>
      <c r="F1360" s="134"/>
      <c r="G1360" s="135">
        <v>163.5</v>
      </c>
      <c r="H1360" s="137">
        <v>14.8</v>
      </c>
      <c r="I1360" s="134"/>
      <c r="J1360" s="137">
        <v>3</v>
      </c>
      <c r="K1360" s="134"/>
      <c r="L1360" s="136">
        <v>47</v>
      </c>
      <c r="M1360" s="181"/>
      <c r="N1360" s="159" t="s">
        <v>366</v>
      </c>
      <c r="O1360" s="159"/>
      <c r="P1360" s="159" t="s">
        <v>253</v>
      </c>
      <c r="Q1360" s="197"/>
    </row>
    <row r="1361" spans="1:17" ht="16.5" customHeight="1" x14ac:dyDescent="0.25">
      <c r="A1361" s="156">
        <v>45267</v>
      </c>
      <c r="B1361" s="136" t="s">
        <v>12</v>
      </c>
      <c r="C1361" s="157" t="str">
        <f t="shared" si="42"/>
        <v>07.12.2023_SAL2</v>
      </c>
      <c r="D1361" s="190">
        <f t="shared" si="43"/>
        <v>0</v>
      </c>
      <c r="E1361" s="133">
        <v>7.84</v>
      </c>
      <c r="F1361" s="134"/>
      <c r="G1361" s="135">
        <v>169.8</v>
      </c>
      <c r="H1361" s="137">
        <v>14.5</v>
      </c>
      <c r="I1361" s="134"/>
      <c r="J1361" s="137">
        <v>3.5</v>
      </c>
      <c r="K1361" s="134"/>
      <c r="L1361" s="136">
        <v>57.999999999999993</v>
      </c>
      <c r="M1361" s="181"/>
      <c r="N1361" s="159"/>
      <c r="O1361" s="159"/>
      <c r="P1361" s="159" t="s">
        <v>253</v>
      </c>
      <c r="Q1361" s="197"/>
    </row>
    <row r="1362" spans="1:17" ht="16.5" customHeight="1" x14ac:dyDescent="0.25">
      <c r="A1362" s="156">
        <v>45267</v>
      </c>
      <c r="B1362" s="136" t="s">
        <v>7</v>
      </c>
      <c r="C1362" s="157" t="str">
        <f t="shared" si="42"/>
        <v>07.12.2023_STE1</v>
      </c>
      <c r="D1362" s="190">
        <f t="shared" si="43"/>
        <v>0</v>
      </c>
      <c r="E1362" s="133">
        <v>8.01</v>
      </c>
      <c r="F1362" s="134"/>
      <c r="G1362" s="135">
        <v>221</v>
      </c>
      <c r="H1362" s="137">
        <v>13.5</v>
      </c>
      <c r="I1362" s="134"/>
      <c r="J1362" s="137">
        <v>5.6</v>
      </c>
      <c r="K1362" s="134"/>
      <c r="L1362" s="136">
        <v>47</v>
      </c>
      <c r="M1362" s="181"/>
      <c r="N1362" s="159"/>
      <c r="O1362" s="159"/>
      <c r="P1362" s="136" t="s">
        <v>252</v>
      </c>
      <c r="Q1362" s="197"/>
    </row>
    <row r="1363" spans="1:17" ht="16.5" customHeight="1" x14ac:dyDescent="0.25">
      <c r="A1363" s="156">
        <v>45267</v>
      </c>
      <c r="B1363" s="136" t="s">
        <v>9</v>
      </c>
      <c r="C1363" s="157" t="str">
        <f t="shared" si="42"/>
        <v>07.12.2023_STE2</v>
      </c>
      <c r="D1363" s="190">
        <f t="shared" si="43"/>
        <v>0</v>
      </c>
      <c r="E1363" s="133">
        <v>8.09</v>
      </c>
      <c r="F1363" s="134"/>
      <c r="G1363" s="135">
        <v>238</v>
      </c>
      <c r="H1363" s="137">
        <v>13.5</v>
      </c>
      <c r="I1363" s="134"/>
      <c r="J1363" s="137">
        <v>5.6</v>
      </c>
      <c r="K1363" s="134"/>
      <c r="L1363" s="136">
        <v>64</v>
      </c>
      <c r="M1363" s="181"/>
      <c r="N1363" s="159"/>
      <c r="O1363" s="159"/>
      <c r="P1363" s="136" t="s">
        <v>252</v>
      </c>
      <c r="Q1363" s="197"/>
    </row>
    <row r="1364" spans="1:17" ht="16.5" customHeight="1" x14ac:dyDescent="0.25">
      <c r="A1364" s="156">
        <v>45281</v>
      </c>
      <c r="B1364" s="136" t="s">
        <v>22</v>
      </c>
      <c r="C1364" s="157" t="str">
        <f t="shared" si="42"/>
        <v>21.12.2023_BIE1</v>
      </c>
      <c r="D1364" s="190">
        <f t="shared" si="43"/>
        <v>0</v>
      </c>
      <c r="E1364" s="133">
        <v>7.5</v>
      </c>
      <c r="F1364" s="134"/>
      <c r="G1364" s="135">
        <v>151.69999999999999</v>
      </c>
      <c r="H1364" s="137">
        <v>11.8</v>
      </c>
      <c r="I1364" s="134"/>
      <c r="J1364" s="137">
        <v>6.7</v>
      </c>
      <c r="K1364" s="134"/>
      <c r="L1364" s="136">
        <v>40</v>
      </c>
      <c r="M1364" s="181"/>
      <c r="N1364" s="159"/>
      <c r="O1364" s="159"/>
      <c r="P1364" s="136"/>
      <c r="Q1364" s="197"/>
    </row>
    <row r="1365" spans="1:17" ht="16.5" customHeight="1" x14ac:dyDescent="0.25">
      <c r="A1365" s="156">
        <v>45281</v>
      </c>
      <c r="B1365" s="136" t="s">
        <v>25</v>
      </c>
      <c r="C1365" s="157" t="str">
        <f t="shared" si="42"/>
        <v>21.12.2023_BIE2</v>
      </c>
      <c r="D1365" s="190">
        <f t="shared" si="43"/>
        <v>0</v>
      </c>
      <c r="E1365" s="133">
        <v>7.5</v>
      </c>
      <c r="F1365" s="134"/>
      <c r="G1365" s="135">
        <v>125</v>
      </c>
      <c r="H1365" s="137">
        <v>11.9</v>
      </c>
      <c r="I1365" s="134"/>
      <c r="J1365" s="137">
        <v>7.1</v>
      </c>
      <c r="K1365" s="134"/>
      <c r="L1365" s="136">
        <v>60</v>
      </c>
      <c r="M1365" s="181"/>
      <c r="N1365" s="159"/>
      <c r="O1365" s="159"/>
      <c r="P1365" s="136"/>
      <c r="Q1365" s="197"/>
    </row>
    <row r="1366" spans="1:17" ht="16.5" customHeight="1" x14ac:dyDescent="0.25">
      <c r="A1366" s="156">
        <v>45281</v>
      </c>
      <c r="B1366" s="136" t="s">
        <v>30</v>
      </c>
      <c r="C1366" s="157" t="str">
        <f t="shared" si="42"/>
        <v>21.12.2023_FAL1</v>
      </c>
      <c r="D1366" s="190">
        <f t="shared" si="43"/>
        <v>0</v>
      </c>
      <c r="E1366" s="133">
        <v>8.07</v>
      </c>
      <c r="F1366" s="134"/>
      <c r="G1366" s="135">
        <v>739</v>
      </c>
      <c r="H1366" s="137">
        <v>11.9</v>
      </c>
      <c r="I1366" s="134"/>
      <c r="J1366" s="137">
        <v>7</v>
      </c>
      <c r="K1366" s="134"/>
      <c r="L1366" s="136">
        <v>50</v>
      </c>
      <c r="M1366" s="181"/>
      <c r="N1366" s="159"/>
      <c r="O1366" s="159"/>
      <c r="P1366" s="136"/>
      <c r="Q1366" s="197"/>
    </row>
    <row r="1367" spans="1:17" ht="16.5" customHeight="1" x14ac:dyDescent="0.25">
      <c r="A1367" s="156">
        <v>45281</v>
      </c>
      <c r="B1367" s="136" t="s">
        <v>32</v>
      </c>
      <c r="C1367" s="157" t="str">
        <f t="shared" si="42"/>
        <v>21.12.2023_FAL2</v>
      </c>
      <c r="D1367" s="190">
        <f t="shared" si="43"/>
        <v>0</v>
      </c>
      <c r="E1367" s="133">
        <v>8.1</v>
      </c>
      <c r="F1367" s="134"/>
      <c r="G1367" s="135">
        <v>753</v>
      </c>
      <c r="H1367" s="137">
        <v>11.6</v>
      </c>
      <c r="I1367" s="134"/>
      <c r="J1367" s="137">
        <v>6</v>
      </c>
      <c r="K1367" s="134"/>
      <c r="L1367" s="136">
        <v>110.00000000000001</v>
      </c>
      <c r="M1367" s="181"/>
      <c r="N1367" s="159"/>
      <c r="O1367" s="159"/>
      <c r="P1367" s="136"/>
      <c r="Q1367" s="197"/>
    </row>
    <row r="1368" spans="1:17" ht="16.5" customHeight="1" x14ac:dyDescent="0.25">
      <c r="A1368" s="156">
        <v>45281</v>
      </c>
      <c r="B1368" s="136" t="s">
        <v>26</v>
      </c>
      <c r="C1368" s="157" t="str">
        <f t="shared" si="42"/>
        <v>21.12.2023_GRU1</v>
      </c>
      <c r="D1368" s="190">
        <f t="shared" si="43"/>
        <v>0</v>
      </c>
      <c r="E1368" s="133">
        <v>7.4</v>
      </c>
      <c r="F1368" s="134"/>
      <c r="G1368" s="135">
        <v>150.69999999999999</v>
      </c>
      <c r="H1368" s="137">
        <v>12.9</v>
      </c>
      <c r="I1368" s="134"/>
      <c r="J1368" s="137">
        <v>4.7</v>
      </c>
      <c r="K1368" s="134"/>
      <c r="L1368" s="136">
        <v>45</v>
      </c>
      <c r="M1368" s="181"/>
      <c r="N1368" s="159"/>
      <c r="O1368" s="159"/>
      <c r="P1368" s="136"/>
      <c r="Q1368" s="197"/>
    </row>
    <row r="1369" spans="1:17" ht="16.5" customHeight="1" x14ac:dyDescent="0.25">
      <c r="A1369" s="156">
        <v>45281</v>
      </c>
      <c r="B1369" s="136" t="s">
        <v>28</v>
      </c>
      <c r="C1369" s="157" t="str">
        <f t="shared" si="42"/>
        <v>21.12.2023_GRU2</v>
      </c>
      <c r="D1369" s="190">
        <f t="shared" si="43"/>
        <v>0</v>
      </c>
      <c r="E1369" s="133">
        <v>7.33</v>
      </c>
      <c r="F1369" s="134"/>
      <c r="G1369" s="135">
        <v>161.9</v>
      </c>
      <c r="H1369" s="137">
        <v>12.8</v>
      </c>
      <c r="I1369" s="134"/>
      <c r="J1369" s="137">
        <v>5</v>
      </c>
      <c r="K1369" s="134"/>
      <c r="L1369" s="136">
        <v>50</v>
      </c>
      <c r="M1369" s="181"/>
      <c r="N1369" s="159"/>
      <c r="O1369" s="159"/>
      <c r="P1369" s="136"/>
      <c r="Q1369" s="197"/>
    </row>
    <row r="1370" spans="1:17" ht="16.5" customHeight="1" x14ac:dyDescent="0.25">
      <c r="A1370" s="156">
        <v>45281</v>
      </c>
      <c r="B1370" s="136" t="s">
        <v>34</v>
      </c>
      <c r="C1370" s="157" t="str">
        <f t="shared" si="42"/>
        <v>21.12.2023_KRE1</v>
      </c>
      <c r="D1370" s="190">
        <f t="shared" si="43"/>
        <v>0</v>
      </c>
      <c r="E1370" s="133">
        <v>8.17</v>
      </c>
      <c r="F1370" s="134"/>
      <c r="G1370" s="135">
        <v>825</v>
      </c>
      <c r="H1370" s="137">
        <v>11.4</v>
      </c>
      <c r="I1370" s="134"/>
      <c r="J1370" s="137">
        <v>5.3</v>
      </c>
      <c r="K1370" s="134"/>
      <c r="L1370" s="136">
        <v>60</v>
      </c>
      <c r="M1370" s="181"/>
      <c r="N1370" s="159"/>
      <c r="O1370" s="159"/>
      <c r="P1370" s="136"/>
      <c r="Q1370" s="197"/>
    </row>
    <row r="1371" spans="1:17" ht="16.5" customHeight="1" x14ac:dyDescent="0.25">
      <c r="A1371" s="156">
        <v>45281</v>
      </c>
      <c r="B1371" s="136" t="s">
        <v>37</v>
      </c>
      <c r="C1371" s="157" t="str">
        <f t="shared" si="42"/>
        <v>21.12.2023_KRE2</v>
      </c>
      <c r="D1371" s="190">
        <f t="shared" si="43"/>
        <v>0</v>
      </c>
      <c r="E1371" s="133">
        <v>8.1300000000000008</v>
      </c>
      <c r="F1371" s="134"/>
      <c r="G1371" s="135">
        <v>819</v>
      </c>
      <c r="H1371" s="137">
        <v>11.1</v>
      </c>
      <c r="I1371" s="134"/>
      <c r="J1371" s="137">
        <v>5.3</v>
      </c>
      <c r="K1371" s="134"/>
      <c r="L1371" s="136">
        <v>70</v>
      </c>
      <c r="M1371" s="181"/>
      <c r="N1371" s="159"/>
      <c r="O1371" s="159"/>
      <c r="P1371" s="136"/>
      <c r="Q1371" s="197"/>
    </row>
    <row r="1372" spans="1:17" ht="16.5" customHeight="1" x14ac:dyDescent="0.25">
      <c r="A1372" s="156">
        <v>45281</v>
      </c>
      <c r="B1372" s="136" t="s">
        <v>14</v>
      </c>
      <c r="C1372" s="157" t="str">
        <f t="shared" si="42"/>
        <v>21.12.2023_BRA1</v>
      </c>
      <c r="D1372" s="190">
        <f t="shared" si="43"/>
        <v>1</v>
      </c>
      <c r="E1372" s="283"/>
      <c r="F1372" s="161" t="s">
        <v>270</v>
      </c>
      <c r="G1372" s="135">
        <v>106</v>
      </c>
      <c r="H1372" s="137">
        <v>10.5</v>
      </c>
      <c r="I1372" s="161"/>
      <c r="J1372" s="137">
        <v>5.5</v>
      </c>
      <c r="K1372" s="161"/>
      <c r="L1372" s="136">
        <v>65</v>
      </c>
      <c r="M1372" s="181"/>
      <c r="N1372" s="159" t="s">
        <v>367</v>
      </c>
      <c r="O1372" s="159"/>
      <c r="P1372" s="159" t="s">
        <v>253</v>
      </c>
      <c r="Q1372" s="197"/>
    </row>
    <row r="1373" spans="1:17" ht="16.5" customHeight="1" x14ac:dyDescent="0.25">
      <c r="A1373" s="156">
        <v>45281</v>
      </c>
      <c r="B1373" s="136" t="s">
        <v>17</v>
      </c>
      <c r="C1373" s="157" t="str">
        <f t="shared" si="42"/>
        <v>21.12.2023_BRA2</v>
      </c>
      <c r="D1373" s="190">
        <f t="shared" si="43"/>
        <v>1</v>
      </c>
      <c r="E1373" s="283"/>
      <c r="F1373" s="161" t="s">
        <v>270</v>
      </c>
      <c r="G1373" s="135">
        <v>121.5</v>
      </c>
      <c r="H1373" s="137">
        <v>11.5</v>
      </c>
      <c r="I1373" s="161"/>
      <c r="J1373" s="137">
        <v>5.7</v>
      </c>
      <c r="K1373" s="161"/>
      <c r="L1373" s="136">
        <v>90</v>
      </c>
      <c r="M1373" s="181"/>
      <c r="N1373" s="159" t="s">
        <v>368</v>
      </c>
      <c r="O1373" s="159"/>
      <c r="P1373" s="159" t="s">
        <v>253</v>
      </c>
      <c r="Q1373" s="197"/>
    </row>
    <row r="1374" spans="1:17" ht="16.5" customHeight="1" x14ac:dyDescent="0.25">
      <c r="A1374" s="156">
        <v>45281</v>
      </c>
      <c r="B1374" s="136" t="s">
        <v>0</v>
      </c>
      <c r="C1374" s="157" t="str">
        <f t="shared" si="42"/>
        <v>21.12.2023_KIN1</v>
      </c>
      <c r="D1374" s="190">
        <f t="shared" si="43"/>
        <v>0</v>
      </c>
      <c r="E1374" s="133">
        <v>8.17</v>
      </c>
      <c r="F1374" s="134"/>
      <c r="G1374" s="135">
        <v>297</v>
      </c>
      <c r="H1374" s="137">
        <v>11.7</v>
      </c>
      <c r="I1374" s="134"/>
      <c r="J1374" s="137">
        <v>7</v>
      </c>
      <c r="K1374" s="134"/>
      <c r="L1374" s="136">
        <v>41</v>
      </c>
      <c r="M1374" s="181"/>
      <c r="N1374" s="159"/>
      <c r="O1374" s="159"/>
      <c r="P1374" s="136" t="s">
        <v>252</v>
      </c>
      <c r="Q1374" s="197"/>
    </row>
    <row r="1375" spans="1:17" ht="16.5" customHeight="1" x14ac:dyDescent="0.25">
      <c r="A1375" s="156">
        <v>45281</v>
      </c>
      <c r="B1375" s="136" t="s">
        <v>2</v>
      </c>
      <c r="C1375" s="157" t="str">
        <f t="shared" si="42"/>
        <v>21.12.2023_KIN2</v>
      </c>
      <c r="D1375" s="190">
        <f t="shared" si="43"/>
        <v>0</v>
      </c>
      <c r="E1375" s="133">
        <v>8.1300000000000008</v>
      </c>
      <c r="F1375" s="134"/>
      <c r="G1375" s="135">
        <v>354</v>
      </c>
      <c r="H1375" s="137">
        <v>11.3</v>
      </c>
      <c r="I1375" s="134"/>
      <c r="J1375" s="137">
        <v>7.2</v>
      </c>
      <c r="K1375" s="134"/>
      <c r="L1375" s="136">
        <v>55.000000000000007</v>
      </c>
      <c r="M1375" s="181"/>
      <c r="N1375" s="159" t="s">
        <v>369</v>
      </c>
      <c r="O1375" s="159"/>
      <c r="P1375" s="159" t="s">
        <v>252</v>
      </c>
      <c r="Q1375" s="197"/>
    </row>
    <row r="1376" spans="1:17" ht="16.5" customHeight="1" x14ac:dyDescent="0.25">
      <c r="A1376" s="156">
        <v>45281</v>
      </c>
      <c r="B1376" s="136" t="s">
        <v>4</v>
      </c>
      <c r="C1376" s="157" t="str">
        <f t="shared" si="42"/>
        <v>21.12.2023_KIN3</v>
      </c>
      <c r="D1376" s="190">
        <f t="shared" si="43"/>
        <v>0</v>
      </c>
      <c r="E1376" s="133">
        <v>8.18</v>
      </c>
      <c r="F1376" s="134"/>
      <c r="G1376" s="135">
        <v>324</v>
      </c>
      <c r="H1376" s="137">
        <v>11.3</v>
      </c>
      <c r="I1376" s="134"/>
      <c r="J1376" s="137">
        <v>7.2</v>
      </c>
      <c r="K1376" s="134"/>
      <c r="L1376" s="136">
        <v>90</v>
      </c>
      <c r="M1376" s="181"/>
      <c r="N1376" s="159"/>
      <c r="O1376" s="159"/>
      <c r="P1376" s="136" t="s">
        <v>252</v>
      </c>
      <c r="Q1376" s="197"/>
    </row>
    <row r="1377" spans="1:17" ht="16.5" customHeight="1" x14ac:dyDescent="0.25">
      <c r="A1377" s="156">
        <v>45281</v>
      </c>
      <c r="B1377" s="136" t="s">
        <v>6</v>
      </c>
      <c r="C1377" s="157" t="str">
        <f t="shared" si="42"/>
        <v>21.12.2023_KIN4</v>
      </c>
      <c r="D1377" s="190">
        <f t="shared" si="43"/>
        <v>0</v>
      </c>
      <c r="E1377" s="133">
        <v>8.07</v>
      </c>
      <c r="F1377" s="134"/>
      <c r="G1377" s="135">
        <v>335</v>
      </c>
      <c r="H1377" s="137">
        <v>11</v>
      </c>
      <c r="I1377" s="134"/>
      <c r="J1377" s="137">
        <v>7.9</v>
      </c>
      <c r="K1377" s="134"/>
      <c r="L1377" s="136">
        <v>95</v>
      </c>
      <c r="M1377" s="181"/>
      <c r="N1377" s="159" t="s">
        <v>370</v>
      </c>
      <c r="O1377" s="159"/>
      <c r="P1377" s="159" t="s">
        <v>252</v>
      </c>
      <c r="Q1377" s="197"/>
    </row>
    <row r="1378" spans="1:17" ht="16.5" customHeight="1" x14ac:dyDescent="0.25">
      <c r="A1378" s="156">
        <v>45281</v>
      </c>
      <c r="B1378" s="136" t="s">
        <v>18</v>
      </c>
      <c r="C1378" s="157" t="str">
        <f t="shared" si="42"/>
        <v>21.12.2023_ORB1</v>
      </c>
      <c r="D1378" s="190">
        <f t="shared" si="43"/>
        <v>1</v>
      </c>
      <c r="E1378" s="283"/>
      <c r="F1378" s="161" t="s">
        <v>270</v>
      </c>
      <c r="G1378" s="135">
        <v>109</v>
      </c>
      <c r="H1378" s="137">
        <v>10.5</v>
      </c>
      <c r="I1378" s="161"/>
      <c r="J1378" s="137">
        <v>8.1999999999999993</v>
      </c>
      <c r="K1378" s="161"/>
      <c r="L1378" s="136">
        <v>80</v>
      </c>
      <c r="M1378" s="181"/>
      <c r="N1378" s="159" t="s">
        <v>371</v>
      </c>
      <c r="O1378" s="159"/>
      <c r="P1378" s="159" t="s">
        <v>253</v>
      </c>
      <c r="Q1378" s="197"/>
    </row>
    <row r="1379" spans="1:17" ht="16.5" customHeight="1" x14ac:dyDescent="0.25">
      <c r="A1379" s="156">
        <v>45281</v>
      </c>
      <c r="B1379" s="136" t="s">
        <v>21</v>
      </c>
      <c r="C1379" s="157" t="str">
        <f t="shared" si="42"/>
        <v>21.12.2023_ORB2</v>
      </c>
      <c r="D1379" s="190">
        <f t="shared" si="43"/>
        <v>1</v>
      </c>
      <c r="E1379" s="283"/>
      <c r="F1379" s="161" t="s">
        <v>270</v>
      </c>
      <c r="G1379" s="135">
        <v>122.2</v>
      </c>
      <c r="H1379" s="137">
        <v>11.6</v>
      </c>
      <c r="I1379" s="161"/>
      <c r="J1379" s="137">
        <v>8.1999999999999993</v>
      </c>
      <c r="K1379" s="161"/>
      <c r="L1379" s="136">
        <v>40</v>
      </c>
      <c r="M1379" s="181"/>
      <c r="N1379" s="159" t="s">
        <v>372</v>
      </c>
      <c r="O1379" s="159"/>
      <c r="P1379" s="159" t="s">
        <v>253</v>
      </c>
      <c r="Q1379" s="197"/>
    </row>
    <row r="1380" spans="1:17" ht="16.5" customHeight="1" x14ac:dyDescent="0.25">
      <c r="A1380" s="156">
        <v>45281</v>
      </c>
      <c r="B1380" s="136" t="s">
        <v>10</v>
      </c>
      <c r="C1380" s="157" t="str">
        <f t="shared" si="42"/>
        <v>21.12.2023_SAL1</v>
      </c>
      <c r="D1380" s="190">
        <f t="shared" si="43"/>
        <v>0</v>
      </c>
      <c r="E1380" s="133">
        <v>7.57</v>
      </c>
      <c r="F1380" s="134"/>
      <c r="G1380" s="135">
        <v>130.5</v>
      </c>
      <c r="H1380" s="137">
        <v>13.7</v>
      </c>
      <c r="I1380" s="134"/>
      <c r="J1380" s="137">
        <v>5.6</v>
      </c>
      <c r="K1380" s="134"/>
      <c r="L1380" s="136">
        <v>75</v>
      </c>
      <c r="M1380" s="181"/>
      <c r="N1380" s="159"/>
      <c r="O1380" s="159"/>
      <c r="P1380" s="136" t="s">
        <v>256</v>
      </c>
      <c r="Q1380" s="197"/>
    </row>
    <row r="1381" spans="1:17" ht="16.5" customHeight="1" x14ac:dyDescent="0.25">
      <c r="A1381" s="156">
        <v>45281</v>
      </c>
      <c r="B1381" s="136" t="s">
        <v>12</v>
      </c>
      <c r="C1381" s="157" t="str">
        <f t="shared" si="42"/>
        <v>21.12.2023_SAL2</v>
      </c>
      <c r="D1381" s="190">
        <f t="shared" si="43"/>
        <v>1</v>
      </c>
      <c r="E1381" s="283"/>
      <c r="F1381" s="161" t="s">
        <v>270</v>
      </c>
      <c r="G1381" s="135">
        <v>98</v>
      </c>
      <c r="H1381" s="137">
        <v>11.4</v>
      </c>
      <c r="I1381" s="161"/>
      <c r="J1381" s="137">
        <v>5.9</v>
      </c>
      <c r="K1381" s="161"/>
      <c r="L1381" s="136">
        <v>80</v>
      </c>
      <c r="M1381" s="181"/>
      <c r="N1381" s="159" t="s">
        <v>373</v>
      </c>
      <c r="O1381" s="159"/>
      <c r="P1381" s="159" t="s">
        <v>253</v>
      </c>
      <c r="Q1381" s="197"/>
    </row>
    <row r="1382" spans="1:17" ht="16.5" customHeight="1" x14ac:dyDescent="0.25">
      <c r="A1382" s="156">
        <v>45281</v>
      </c>
      <c r="B1382" s="136" t="s">
        <v>7</v>
      </c>
      <c r="C1382" s="157" t="str">
        <f t="shared" si="42"/>
        <v>21.12.2023_STE1</v>
      </c>
      <c r="D1382" s="190">
        <f t="shared" si="43"/>
        <v>0</v>
      </c>
      <c r="E1382" s="133">
        <v>7.9</v>
      </c>
      <c r="F1382" s="134"/>
      <c r="G1382" s="135">
        <v>181.5</v>
      </c>
      <c r="H1382" s="137">
        <v>11.3</v>
      </c>
      <c r="I1382" s="134"/>
      <c r="J1382" s="137">
        <v>8.3000000000000007</v>
      </c>
      <c r="K1382" s="134"/>
      <c r="L1382" s="136">
        <v>65</v>
      </c>
      <c r="M1382" s="181"/>
      <c r="N1382" s="159"/>
      <c r="O1382" s="159"/>
      <c r="P1382" s="159" t="s">
        <v>253</v>
      </c>
      <c r="Q1382" s="197"/>
    </row>
    <row r="1383" spans="1:17" ht="16.5" customHeight="1" x14ac:dyDescent="0.25">
      <c r="A1383" s="156">
        <v>45281</v>
      </c>
      <c r="B1383" s="136" t="s">
        <v>9</v>
      </c>
      <c r="C1383" s="157" t="str">
        <f t="shared" si="42"/>
        <v>21.12.2023_STE2</v>
      </c>
      <c r="D1383" s="190">
        <f t="shared" si="43"/>
        <v>0</v>
      </c>
      <c r="E1383" s="133">
        <v>7.96</v>
      </c>
      <c r="F1383" s="134"/>
      <c r="G1383" s="135">
        <v>189.1</v>
      </c>
      <c r="H1383" s="137">
        <v>11.4</v>
      </c>
      <c r="I1383" s="134"/>
      <c r="J1383" s="137">
        <v>8</v>
      </c>
      <c r="K1383" s="134"/>
      <c r="L1383" s="136">
        <v>85</v>
      </c>
      <c r="M1383" s="181"/>
      <c r="N1383" s="159" t="s">
        <v>374</v>
      </c>
      <c r="O1383" s="159"/>
      <c r="P1383" s="159" t="s">
        <v>253</v>
      </c>
      <c r="Q1383" s="197"/>
    </row>
    <row r="1384" spans="1:17" ht="16.5" customHeight="1" x14ac:dyDescent="0.25">
      <c r="A1384" s="156">
        <v>45302</v>
      </c>
      <c r="B1384" s="136" t="s">
        <v>22</v>
      </c>
      <c r="C1384" s="157" t="str">
        <f t="shared" si="42"/>
        <v>11.01.2024_BIE1</v>
      </c>
      <c r="D1384" s="190">
        <f t="shared" si="43"/>
        <v>0</v>
      </c>
      <c r="E1384" s="133">
        <v>7.45</v>
      </c>
      <c r="F1384" s="134"/>
      <c r="G1384" s="135">
        <v>146.69999999999999</v>
      </c>
      <c r="H1384" s="137">
        <v>12.5</v>
      </c>
      <c r="I1384" s="134"/>
      <c r="J1384" s="137">
        <v>7.6</v>
      </c>
      <c r="K1384" s="134"/>
      <c r="L1384" s="136">
        <v>45</v>
      </c>
      <c r="M1384" s="181"/>
      <c r="N1384" s="159"/>
      <c r="O1384" s="159"/>
      <c r="P1384" s="136"/>
      <c r="Q1384" s="197"/>
    </row>
    <row r="1385" spans="1:17" ht="16.5" customHeight="1" x14ac:dyDescent="0.25">
      <c r="A1385" s="156">
        <v>45302</v>
      </c>
      <c r="B1385" s="136" t="s">
        <v>25</v>
      </c>
      <c r="C1385" s="157" t="str">
        <f t="shared" si="42"/>
        <v>11.01.2024_BIE2</v>
      </c>
      <c r="D1385" s="190">
        <f t="shared" si="43"/>
        <v>0</v>
      </c>
      <c r="E1385" s="133">
        <v>7.53</v>
      </c>
      <c r="F1385" s="134"/>
      <c r="G1385" s="135">
        <v>136.80000000000001</v>
      </c>
      <c r="H1385" s="137">
        <v>12.7</v>
      </c>
      <c r="I1385" s="134"/>
      <c r="J1385" s="137">
        <v>6.8</v>
      </c>
      <c r="K1385" s="134"/>
      <c r="L1385" s="136">
        <v>70</v>
      </c>
      <c r="M1385" s="181"/>
      <c r="N1385" s="159"/>
      <c r="O1385" s="159"/>
      <c r="P1385" s="136"/>
      <c r="Q1385" s="197"/>
    </row>
    <row r="1386" spans="1:17" ht="16.5" customHeight="1" x14ac:dyDescent="0.25">
      <c r="A1386" s="156">
        <v>45302</v>
      </c>
      <c r="B1386" s="136" t="s">
        <v>30</v>
      </c>
      <c r="C1386" s="157" t="str">
        <f t="shared" si="42"/>
        <v>11.01.2024_FAL1</v>
      </c>
      <c r="D1386" s="190">
        <f t="shared" si="43"/>
        <v>0</v>
      </c>
      <c r="E1386" s="133">
        <v>8.16</v>
      </c>
      <c r="F1386" s="134"/>
      <c r="G1386" s="135">
        <v>727</v>
      </c>
      <c r="H1386" s="137">
        <v>12.7</v>
      </c>
      <c r="I1386" s="134"/>
      <c r="J1386" s="137">
        <v>5.5</v>
      </c>
      <c r="K1386" s="134"/>
      <c r="L1386" s="136">
        <v>50</v>
      </c>
      <c r="M1386" s="181"/>
      <c r="N1386" s="159"/>
      <c r="O1386" s="159"/>
      <c r="P1386" s="136"/>
      <c r="Q1386" s="197"/>
    </row>
    <row r="1387" spans="1:17" ht="16.5" customHeight="1" x14ac:dyDescent="0.25">
      <c r="A1387" s="156">
        <v>45302</v>
      </c>
      <c r="B1387" s="136" t="s">
        <v>32</v>
      </c>
      <c r="C1387" s="157" t="str">
        <f t="shared" si="42"/>
        <v>11.01.2024_FAL2</v>
      </c>
      <c r="D1387" s="190">
        <f t="shared" si="43"/>
        <v>0</v>
      </c>
      <c r="E1387" s="133">
        <v>8.34</v>
      </c>
      <c r="F1387" s="134"/>
      <c r="G1387" s="135">
        <v>765</v>
      </c>
      <c r="H1387" s="137">
        <v>12.6</v>
      </c>
      <c r="I1387" s="134"/>
      <c r="J1387" s="137">
        <v>4.0999999999999996</v>
      </c>
      <c r="K1387" s="134"/>
      <c r="L1387" s="136">
        <v>95</v>
      </c>
      <c r="M1387" s="181"/>
      <c r="N1387" s="159"/>
      <c r="O1387" s="159"/>
      <c r="P1387" s="136"/>
      <c r="Q1387" s="197"/>
    </row>
    <row r="1388" spans="1:17" ht="16.5" customHeight="1" x14ac:dyDescent="0.25">
      <c r="A1388" s="156">
        <v>45302</v>
      </c>
      <c r="B1388" s="136" t="s">
        <v>26</v>
      </c>
      <c r="C1388" s="157" t="str">
        <f t="shared" si="42"/>
        <v>11.01.2024_GRU1</v>
      </c>
      <c r="D1388" s="190">
        <f t="shared" si="43"/>
        <v>0</v>
      </c>
      <c r="E1388" s="133">
        <v>7.33</v>
      </c>
      <c r="F1388" s="134"/>
      <c r="G1388" s="135">
        <v>144</v>
      </c>
      <c r="H1388" s="137">
        <v>13.8</v>
      </c>
      <c r="I1388" s="134"/>
      <c r="J1388" s="137">
        <v>2.9</v>
      </c>
      <c r="K1388" s="134"/>
      <c r="L1388" s="136">
        <v>40</v>
      </c>
      <c r="M1388" s="181"/>
      <c r="N1388" s="159"/>
      <c r="O1388" s="159"/>
      <c r="P1388" s="136"/>
      <c r="Q1388" s="197"/>
    </row>
    <row r="1389" spans="1:17" ht="16.5" customHeight="1" x14ac:dyDescent="0.25">
      <c r="A1389" s="156">
        <v>45302</v>
      </c>
      <c r="B1389" s="136" t="s">
        <v>28</v>
      </c>
      <c r="C1389" s="157" t="str">
        <f t="shared" si="42"/>
        <v>11.01.2024_GRU2</v>
      </c>
      <c r="D1389" s="190">
        <f t="shared" si="43"/>
        <v>0</v>
      </c>
      <c r="E1389" s="133">
        <v>7.33</v>
      </c>
      <c r="F1389" s="134"/>
      <c r="G1389" s="135">
        <v>151.80000000000001</v>
      </c>
      <c r="H1389" s="137">
        <v>13.3</v>
      </c>
      <c r="I1389" s="134"/>
      <c r="J1389" s="137">
        <v>3.3</v>
      </c>
      <c r="K1389" s="134"/>
      <c r="L1389" s="136">
        <v>50</v>
      </c>
      <c r="M1389" s="181"/>
      <c r="N1389" s="159"/>
      <c r="O1389" s="159"/>
      <c r="P1389" s="136"/>
      <c r="Q1389" s="197"/>
    </row>
    <row r="1390" spans="1:17" ht="16.5" customHeight="1" x14ac:dyDescent="0.25">
      <c r="A1390" s="156">
        <v>45302</v>
      </c>
      <c r="B1390" s="136" t="s">
        <v>34</v>
      </c>
      <c r="C1390" s="157" t="str">
        <f t="shared" si="42"/>
        <v>11.01.2024_KRE1</v>
      </c>
      <c r="D1390" s="190">
        <f t="shared" si="43"/>
        <v>0</v>
      </c>
      <c r="E1390" s="133">
        <v>8.2200000000000006</v>
      </c>
      <c r="F1390" s="134"/>
      <c r="G1390" s="135">
        <v>817</v>
      </c>
      <c r="H1390" s="137">
        <v>12.4</v>
      </c>
      <c r="I1390" s="134"/>
      <c r="J1390" s="137">
        <v>2.4</v>
      </c>
      <c r="K1390" s="134"/>
      <c r="L1390" s="136">
        <v>60</v>
      </c>
      <c r="M1390" s="181"/>
      <c r="N1390" s="159"/>
      <c r="O1390" s="159"/>
      <c r="P1390" s="136"/>
      <c r="Q1390" s="197"/>
    </row>
    <row r="1391" spans="1:17" ht="16.5" customHeight="1" x14ac:dyDescent="0.25">
      <c r="A1391" s="156">
        <v>45302</v>
      </c>
      <c r="B1391" s="136" t="s">
        <v>37</v>
      </c>
      <c r="C1391" s="157" t="str">
        <f t="shared" si="42"/>
        <v>11.01.2024_KRE2</v>
      </c>
      <c r="D1391" s="190">
        <f t="shared" si="43"/>
        <v>0</v>
      </c>
      <c r="E1391" s="133">
        <v>8.14</v>
      </c>
      <c r="F1391" s="134"/>
      <c r="G1391" s="135">
        <v>842</v>
      </c>
      <c r="H1391" s="137">
        <v>12.4</v>
      </c>
      <c r="I1391" s="134"/>
      <c r="J1391" s="137">
        <v>2.4</v>
      </c>
      <c r="K1391" s="134"/>
      <c r="L1391" s="136">
        <v>70</v>
      </c>
      <c r="M1391" s="181"/>
      <c r="N1391" s="159"/>
      <c r="O1391" s="159"/>
      <c r="P1391" s="136"/>
      <c r="Q1391" s="197"/>
    </row>
    <row r="1392" spans="1:17" ht="16.5" customHeight="1" x14ac:dyDescent="0.25">
      <c r="A1392" s="156">
        <v>45302</v>
      </c>
      <c r="B1392" s="136" t="s">
        <v>14</v>
      </c>
      <c r="C1392" s="157" t="str">
        <f t="shared" si="42"/>
        <v>11.01.2024_BRA1</v>
      </c>
      <c r="D1392" s="190">
        <f t="shared" si="43"/>
        <v>0</v>
      </c>
      <c r="E1392" s="133">
        <v>7.55</v>
      </c>
      <c r="F1392" s="134"/>
      <c r="G1392" s="135">
        <v>136.30000000000001</v>
      </c>
      <c r="H1392" s="137">
        <v>14.4</v>
      </c>
      <c r="I1392" s="134"/>
      <c r="J1392" s="137">
        <v>1</v>
      </c>
      <c r="K1392" s="134"/>
      <c r="L1392" s="136">
        <v>33</v>
      </c>
      <c r="M1392" s="181"/>
      <c r="N1392" s="159"/>
      <c r="O1392" s="159"/>
      <c r="P1392" s="159" t="s">
        <v>253</v>
      </c>
      <c r="Q1392" s="197"/>
    </row>
    <row r="1393" spans="1:17" ht="16.5" customHeight="1" x14ac:dyDescent="0.25">
      <c r="A1393" s="156">
        <v>45302</v>
      </c>
      <c r="B1393" s="136" t="s">
        <v>17</v>
      </c>
      <c r="C1393" s="157" t="str">
        <f t="shared" si="42"/>
        <v>11.01.2024_BRA2</v>
      </c>
      <c r="D1393" s="190">
        <f t="shared" si="43"/>
        <v>0</v>
      </c>
      <c r="E1393" s="133">
        <v>7.7</v>
      </c>
      <c r="F1393" s="134"/>
      <c r="G1393" s="135">
        <v>151.5</v>
      </c>
      <c r="H1393" s="137">
        <v>14.5</v>
      </c>
      <c r="I1393" s="134"/>
      <c r="J1393" s="137">
        <v>1</v>
      </c>
      <c r="K1393" s="134"/>
      <c r="L1393" s="136">
        <v>42</v>
      </c>
      <c r="M1393" s="181"/>
      <c r="N1393" s="159"/>
      <c r="O1393" s="159"/>
      <c r="P1393" s="159" t="s">
        <v>253</v>
      </c>
      <c r="Q1393" s="197"/>
    </row>
    <row r="1394" spans="1:17" ht="16.5" customHeight="1" x14ac:dyDescent="0.25">
      <c r="A1394" s="156">
        <v>45302</v>
      </c>
      <c r="B1394" s="136" t="s">
        <v>0</v>
      </c>
      <c r="C1394" s="157" t="str">
        <f t="shared" si="42"/>
        <v>11.01.2024_KIN1</v>
      </c>
      <c r="D1394" s="190">
        <f t="shared" si="43"/>
        <v>0</v>
      </c>
      <c r="E1394" s="133">
        <v>8.44</v>
      </c>
      <c r="F1394" s="134"/>
      <c r="G1394" s="135">
        <v>374</v>
      </c>
      <c r="H1394" s="137">
        <v>13.6</v>
      </c>
      <c r="I1394" s="134"/>
      <c r="J1394" s="137">
        <v>0.8</v>
      </c>
      <c r="K1394" s="134"/>
      <c r="L1394" s="136">
        <v>40</v>
      </c>
      <c r="M1394" s="181"/>
      <c r="N1394" s="159"/>
      <c r="O1394" s="159"/>
      <c r="P1394" s="136" t="s">
        <v>252</v>
      </c>
      <c r="Q1394" s="197"/>
    </row>
    <row r="1395" spans="1:17" ht="16.5" customHeight="1" x14ac:dyDescent="0.25">
      <c r="A1395" s="156">
        <v>45302</v>
      </c>
      <c r="B1395" s="136" t="s">
        <v>2</v>
      </c>
      <c r="C1395" s="157" t="str">
        <f t="shared" si="42"/>
        <v>11.01.2024_KIN2</v>
      </c>
      <c r="D1395" s="190">
        <f t="shared" si="43"/>
        <v>0</v>
      </c>
      <c r="E1395" s="133">
        <v>8.32</v>
      </c>
      <c r="F1395" s="134"/>
      <c r="G1395" s="135">
        <v>447</v>
      </c>
      <c r="H1395" s="137">
        <v>13</v>
      </c>
      <c r="I1395" s="134"/>
      <c r="J1395" s="137">
        <v>1.8</v>
      </c>
      <c r="K1395" s="134"/>
      <c r="L1395" s="136">
        <v>47</v>
      </c>
      <c r="M1395" s="181"/>
      <c r="N1395" s="159"/>
      <c r="O1395" s="159"/>
      <c r="P1395" s="136" t="s">
        <v>252</v>
      </c>
      <c r="Q1395" s="197"/>
    </row>
    <row r="1396" spans="1:17" ht="16.5" customHeight="1" x14ac:dyDescent="0.25">
      <c r="A1396" s="156">
        <v>45302</v>
      </c>
      <c r="B1396" s="136" t="s">
        <v>4</v>
      </c>
      <c r="C1396" s="157" t="str">
        <f t="shared" si="42"/>
        <v>11.01.2024_KIN3</v>
      </c>
      <c r="D1396" s="190">
        <f t="shared" si="43"/>
        <v>0</v>
      </c>
      <c r="E1396" s="133">
        <v>8.34</v>
      </c>
      <c r="F1396" s="134"/>
      <c r="G1396" s="135">
        <v>433</v>
      </c>
      <c r="H1396" s="137">
        <v>12.9</v>
      </c>
      <c r="I1396" s="134"/>
      <c r="J1396" s="137">
        <v>2.2000000000000002</v>
      </c>
      <c r="K1396" s="134"/>
      <c r="L1396" s="136">
        <v>82</v>
      </c>
      <c r="M1396" s="181"/>
      <c r="N1396" s="159"/>
      <c r="O1396" s="159" t="s">
        <v>385</v>
      </c>
      <c r="P1396" s="159" t="s">
        <v>252</v>
      </c>
      <c r="Q1396" s="197"/>
    </row>
    <row r="1397" spans="1:17" ht="16.5" customHeight="1" x14ac:dyDescent="0.25">
      <c r="A1397" s="156">
        <v>45302</v>
      </c>
      <c r="B1397" s="136" t="s">
        <v>6</v>
      </c>
      <c r="C1397" s="157" t="str">
        <f t="shared" si="42"/>
        <v>11.01.2024_KIN4</v>
      </c>
      <c r="D1397" s="190">
        <f t="shared" si="43"/>
        <v>0</v>
      </c>
      <c r="E1397" s="133">
        <v>8.2899999999999991</v>
      </c>
      <c r="F1397" s="134"/>
      <c r="G1397" s="135">
        <v>445</v>
      </c>
      <c r="H1397" s="137">
        <v>12.6</v>
      </c>
      <c r="I1397" s="134"/>
      <c r="J1397" s="137">
        <v>1.8</v>
      </c>
      <c r="K1397" s="134"/>
      <c r="L1397" s="136">
        <v>82</v>
      </c>
      <c r="M1397" s="181"/>
      <c r="N1397" s="159"/>
      <c r="O1397" s="159"/>
      <c r="P1397" s="136" t="s">
        <v>252</v>
      </c>
      <c r="Q1397" s="197"/>
    </row>
    <row r="1398" spans="1:17" ht="16.5" customHeight="1" x14ac:dyDescent="0.25">
      <c r="A1398" s="156">
        <v>45302</v>
      </c>
      <c r="B1398" s="136" t="s">
        <v>18</v>
      </c>
      <c r="C1398" s="157" t="str">
        <f t="shared" si="42"/>
        <v>11.01.2024_ORB1</v>
      </c>
      <c r="D1398" s="190">
        <f t="shared" si="43"/>
        <v>0</v>
      </c>
      <c r="E1398" s="133">
        <v>7.3</v>
      </c>
      <c r="F1398" s="134"/>
      <c r="G1398" s="135">
        <v>113.4</v>
      </c>
      <c r="H1398" s="137">
        <v>12.8</v>
      </c>
      <c r="I1398" s="134"/>
      <c r="J1398" s="137">
        <v>6.2</v>
      </c>
      <c r="K1398" s="134"/>
      <c r="L1398" s="136">
        <v>35</v>
      </c>
      <c r="M1398" s="181"/>
      <c r="N1398" s="159"/>
      <c r="O1398" s="159"/>
      <c r="P1398" s="159" t="s">
        <v>253</v>
      </c>
      <c r="Q1398" s="197"/>
    </row>
    <row r="1399" spans="1:17" ht="16.5" customHeight="1" x14ac:dyDescent="0.25">
      <c r="A1399" s="156">
        <v>45302</v>
      </c>
      <c r="B1399" s="136" t="s">
        <v>21</v>
      </c>
      <c r="C1399" s="157" t="str">
        <f t="shared" si="42"/>
        <v>11.01.2024_ORB2</v>
      </c>
      <c r="D1399" s="190">
        <f t="shared" si="43"/>
        <v>0</v>
      </c>
      <c r="E1399" s="133">
        <v>7.2</v>
      </c>
      <c r="F1399" s="134"/>
      <c r="G1399" s="135">
        <v>124.2</v>
      </c>
      <c r="H1399" s="137">
        <v>11.6</v>
      </c>
      <c r="I1399" s="134"/>
      <c r="J1399" s="137">
        <v>5.4</v>
      </c>
      <c r="K1399" s="134"/>
      <c r="L1399" s="136">
        <v>70</v>
      </c>
      <c r="M1399" s="181"/>
      <c r="N1399" s="159"/>
      <c r="O1399" s="159"/>
      <c r="P1399" s="159" t="s">
        <v>253</v>
      </c>
      <c r="Q1399" s="197"/>
    </row>
    <row r="1400" spans="1:17" ht="16.5" customHeight="1" x14ac:dyDescent="0.25">
      <c r="A1400" s="156">
        <v>45302</v>
      </c>
      <c r="B1400" s="136" t="s">
        <v>10</v>
      </c>
      <c r="C1400" s="157" t="str">
        <f t="shared" si="42"/>
        <v>11.01.2024_SAL1</v>
      </c>
      <c r="D1400" s="190">
        <f t="shared" si="43"/>
        <v>0</v>
      </c>
      <c r="E1400" s="133">
        <v>7.88</v>
      </c>
      <c r="F1400" s="134"/>
      <c r="G1400" s="135">
        <v>157.9</v>
      </c>
      <c r="H1400" s="137">
        <v>14</v>
      </c>
      <c r="I1400" s="134"/>
      <c r="J1400" s="137">
        <v>0.2</v>
      </c>
      <c r="K1400" s="134"/>
      <c r="L1400" s="136">
        <v>40</v>
      </c>
      <c r="M1400" s="181"/>
      <c r="N1400" s="159"/>
      <c r="O1400" s="159"/>
      <c r="P1400" s="159" t="s">
        <v>253</v>
      </c>
      <c r="Q1400" s="197"/>
    </row>
    <row r="1401" spans="1:17" ht="16.5" customHeight="1" x14ac:dyDescent="0.25">
      <c r="A1401" s="156">
        <v>45302</v>
      </c>
      <c r="B1401" s="136" t="s">
        <v>12</v>
      </c>
      <c r="C1401" s="157" t="str">
        <f t="shared" si="42"/>
        <v>11.01.2024_SAL2</v>
      </c>
      <c r="D1401" s="190">
        <f t="shared" si="43"/>
        <v>0</v>
      </c>
      <c r="E1401" s="133">
        <v>7.74</v>
      </c>
      <c r="F1401" s="134"/>
      <c r="G1401" s="135">
        <v>163.5</v>
      </c>
      <c r="H1401" s="137">
        <v>13.6</v>
      </c>
      <c r="I1401" s="134"/>
      <c r="J1401" s="137">
        <v>0.2</v>
      </c>
      <c r="K1401" s="134"/>
      <c r="L1401" s="136">
        <v>56.999999999999993</v>
      </c>
      <c r="M1401" s="181"/>
      <c r="N1401" s="159"/>
      <c r="O1401" s="159"/>
      <c r="P1401" s="159" t="s">
        <v>253</v>
      </c>
      <c r="Q1401" s="197"/>
    </row>
    <row r="1402" spans="1:17" ht="16.5" customHeight="1" x14ac:dyDescent="0.25">
      <c r="A1402" s="156">
        <v>45302</v>
      </c>
      <c r="B1402" s="136" t="s">
        <v>7</v>
      </c>
      <c r="C1402" s="157" t="str">
        <f t="shared" si="42"/>
        <v>11.01.2024_STE1</v>
      </c>
      <c r="D1402" s="190">
        <f t="shared" si="43"/>
        <v>0</v>
      </c>
      <c r="E1402" s="133">
        <v>8.09</v>
      </c>
      <c r="F1402" s="134"/>
      <c r="G1402" s="135">
        <v>264</v>
      </c>
      <c r="H1402" s="137">
        <v>13.6</v>
      </c>
      <c r="I1402" s="134"/>
      <c r="J1402" s="137">
        <v>2.2999999999999998</v>
      </c>
      <c r="K1402" s="134"/>
      <c r="L1402" s="136">
        <v>40</v>
      </c>
      <c r="M1402" s="181"/>
      <c r="N1402" s="159"/>
      <c r="O1402" s="159"/>
      <c r="P1402" s="136" t="s">
        <v>252</v>
      </c>
      <c r="Q1402" s="197"/>
    </row>
    <row r="1403" spans="1:17" ht="16.5" customHeight="1" x14ac:dyDescent="0.25">
      <c r="A1403" s="156">
        <v>45302</v>
      </c>
      <c r="B1403" s="136" t="s">
        <v>9</v>
      </c>
      <c r="C1403" s="157" t="str">
        <f t="shared" si="42"/>
        <v>11.01.2024_STE2</v>
      </c>
      <c r="D1403" s="190">
        <f t="shared" si="43"/>
        <v>0</v>
      </c>
      <c r="E1403" s="133">
        <v>8.23</v>
      </c>
      <c r="F1403" s="134"/>
      <c r="G1403" s="135">
        <v>280</v>
      </c>
      <c r="H1403" s="137">
        <v>13.4</v>
      </c>
      <c r="I1403" s="134"/>
      <c r="J1403" s="137">
        <v>2.2000000000000002</v>
      </c>
      <c r="K1403" s="134"/>
      <c r="L1403" s="136">
        <v>56.999999999999993</v>
      </c>
      <c r="M1403" s="181"/>
      <c r="N1403" s="159" t="s">
        <v>345</v>
      </c>
      <c r="O1403" s="159"/>
      <c r="P1403" s="159" t="s">
        <v>252</v>
      </c>
      <c r="Q1403" s="197"/>
    </row>
    <row r="1404" spans="1:17" ht="16.5" customHeight="1" x14ac:dyDescent="0.25">
      <c r="A1404" s="156">
        <v>45317</v>
      </c>
      <c r="B1404" s="136" t="s">
        <v>22</v>
      </c>
      <c r="C1404" s="157" t="str">
        <f t="shared" si="42"/>
        <v>26.01.2024_BIE1</v>
      </c>
      <c r="D1404" s="190">
        <f t="shared" si="43"/>
        <v>0</v>
      </c>
      <c r="E1404" s="133">
        <v>7.7</v>
      </c>
      <c r="F1404" s="134"/>
      <c r="G1404" s="135">
        <v>143.1</v>
      </c>
      <c r="H1404" s="137">
        <v>12.8</v>
      </c>
      <c r="I1404" s="134"/>
      <c r="J1404" s="137">
        <v>10.8</v>
      </c>
      <c r="K1404" s="134"/>
      <c r="L1404" s="136">
        <v>50</v>
      </c>
      <c r="M1404" s="181"/>
      <c r="N1404" s="159"/>
      <c r="O1404" s="159"/>
      <c r="P1404" s="136"/>
      <c r="Q1404" s="197"/>
    </row>
    <row r="1405" spans="1:17" ht="16.5" customHeight="1" x14ac:dyDescent="0.25">
      <c r="A1405" s="156">
        <v>45317</v>
      </c>
      <c r="B1405" s="136" t="s">
        <v>25</v>
      </c>
      <c r="C1405" s="157" t="str">
        <f t="shared" si="42"/>
        <v>26.01.2024_BIE2</v>
      </c>
      <c r="D1405" s="190">
        <f t="shared" si="43"/>
        <v>0</v>
      </c>
      <c r="E1405" s="133">
        <v>7.75</v>
      </c>
      <c r="F1405" s="134"/>
      <c r="G1405" s="135">
        <v>149.30000000000001</v>
      </c>
      <c r="H1405" s="137">
        <v>13.4</v>
      </c>
      <c r="I1405" s="134"/>
      <c r="J1405" s="137">
        <v>10.199999999999999</v>
      </c>
      <c r="K1405" s="134"/>
      <c r="L1405" s="136">
        <v>70</v>
      </c>
      <c r="M1405" s="181"/>
      <c r="N1405" s="159"/>
      <c r="O1405" s="159"/>
      <c r="P1405" s="136"/>
      <c r="Q1405" s="197"/>
    </row>
    <row r="1406" spans="1:17" ht="16.5" customHeight="1" x14ac:dyDescent="0.25">
      <c r="A1406" s="156">
        <v>45317</v>
      </c>
      <c r="B1406" s="136" t="s">
        <v>30</v>
      </c>
      <c r="C1406" s="157" t="str">
        <f t="shared" si="42"/>
        <v>26.01.2024_FAL1</v>
      </c>
      <c r="D1406" s="190">
        <f t="shared" si="43"/>
        <v>0</v>
      </c>
      <c r="E1406" s="133">
        <v>7.86</v>
      </c>
      <c r="F1406" s="134"/>
      <c r="G1406" s="135">
        <v>712</v>
      </c>
      <c r="H1406" s="137">
        <v>18.600000000000001</v>
      </c>
      <c r="I1406" s="134"/>
      <c r="J1406" s="137">
        <v>10.5</v>
      </c>
      <c r="K1406" s="134"/>
      <c r="L1406" s="136">
        <v>55.000000000000007</v>
      </c>
      <c r="M1406" s="181"/>
      <c r="N1406" s="159"/>
      <c r="O1406" s="159"/>
      <c r="P1406" s="136"/>
      <c r="Q1406" s="197"/>
    </row>
    <row r="1407" spans="1:17" ht="16.5" customHeight="1" x14ac:dyDescent="0.25">
      <c r="A1407" s="156">
        <v>45317</v>
      </c>
      <c r="B1407" s="136" t="s">
        <v>32</v>
      </c>
      <c r="C1407" s="157" t="str">
        <f t="shared" si="42"/>
        <v>26.01.2024_FAL2</v>
      </c>
      <c r="D1407" s="190">
        <f t="shared" si="43"/>
        <v>0</v>
      </c>
      <c r="E1407" s="133">
        <v>8.09</v>
      </c>
      <c r="F1407" s="134"/>
      <c r="G1407" s="135">
        <v>733</v>
      </c>
      <c r="H1407" s="137">
        <v>13.2</v>
      </c>
      <c r="I1407" s="134"/>
      <c r="J1407" s="137">
        <v>10</v>
      </c>
      <c r="K1407" s="134"/>
      <c r="L1407" s="136">
        <v>100</v>
      </c>
      <c r="M1407" s="181"/>
      <c r="N1407" s="159"/>
      <c r="O1407" s="159"/>
      <c r="P1407" s="136"/>
      <c r="Q1407" s="197"/>
    </row>
    <row r="1408" spans="1:17" ht="16.5" customHeight="1" x14ac:dyDescent="0.25">
      <c r="A1408" s="156">
        <v>45317</v>
      </c>
      <c r="B1408" s="136" t="s">
        <v>26</v>
      </c>
      <c r="C1408" s="157" t="str">
        <f t="shared" si="42"/>
        <v>26.01.2024_GRU1</v>
      </c>
      <c r="D1408" s="190">
        <f t="shared" si="43"/>
        <v>0</v>
      </c>
      <c r="E1408" s="133">
        <v>7.35</v>
      </c>
      <c r="F1408" s="134"/>
      <c r="G1408" s="135">
        <v>125.6</v>
      </c>
      <c r="H1408" s="137">
        <v>14.7</v>
      </c>
      <c r="I1408" s="134"/>
      <c r="J1408" s="137">
        <v>9</v>
      </c>
      <c r="K1408" s="134"/>
      <c r="L1408" s="136">
        <v>70</v>
      </c>
      <c r="M1408" s="181"/>
      <c r="N1408" s="159"/>
      <c r="O1408" s="159"/>
      <c r="P1408" s="136"/>
      <c r="Q1408" s="197"/>
    </row>
    <row r="1409" spans="1:17" ht="16.5" customHeight="1" x14ac:dyDescent="0.25">
      <c r="A1409" s="156">
        <v>45317</v>
      </c>
      <c r="B1409" s="136" t="s">
        <v>28</v>
      </c>
      <c r="C1409" s="157" t="str">
        <f t="shared" si="42"/>
        <v>26.01.2024_GRU2</v>
      </c>
      <c r="D1409" s="190">
        <f t="shared" si="43"/>
        <v>0</v>
      </c>
      <c r="E1409" s="133">
        <v>7.65</v>
      </c>
      <c r="F1409" s="134"/>
      <c r="G1409" s="135">
        <v>149</v>
      </c>
      <c r="H1409" s="137">
        <v>14.8</v>
      </c>
      <c r="I1409" s="134"/>
      <c r="J1409" s="137">
        <v>8.4</v>
      </c>
      <c r="K1409" s="134"/>
      <c r="L1409" s="136">
        <v>60</v>
      </c>
      <c r="M1409" s="181"/>
      <c r="N1409" s="159"/>
      <c r="O1409" s="159"/>
      <c r="P1409" s="136"/>
      <c r="Q1409" s="197"/>
    </row>
    <row r="1410" spans="1:17" ht="16.5" customHeight="1" x14ac:dyDescent="0.25">
      <c r="A1410" s="156">
        <v>45317</v>
      </c>
      <c r="B1410" s="136" t="s">
        <v>34</v>
      </c>
      <c r="C1410" s="157" t="str">
        <f t="shared" si="42"/>
        <v>26.01.2024_KRE1</v>
      </c>
      <c r="D1410" s="190">
        <f t="shared" si="43"/>
        <v>0</v>
      </c>
      <c r="E1410" s="133">
        <v>8.01</v>
      </c>
      <c r="F1410" s="134"/>
      <c r="G1410" s="135">
        <v>800</v>
      </c>
      <c r="H1410" s="137">
        <v>12.5</v>
      </c>
      <c r="I1410" s="134"/>
      <c r="J1410" s="137">
        <v>9.1999999999999993</v>
      </c>
      <c r="K1410" s="134"/>
      <c r="L1410" s="136">
        <v>70</v>
      </c>
      <c r="M1410" s="181"/>
      <c r="N1410" s="159"/>
      <c r="O1410" s="159"/>
      <c r="P1410" s="136"/>
      <c r="Q1410" s="197"/>
    </row>
    <row r="1411" spans="1:17" ht="16.5" customHeight="1" x14ac:dyDescent="0.25">
      <c r="A1411" s="156">
        <v>45317</v>
      </c>
      <c r="B1411" s="136" t="s">
        <v>37</v>
      </c>
      <c r="C1411" s="157" t="str">
        <f t="shared" si="42"/>
        <v>26.01.2024_KRE2</v>
      </c>
      <c r="D1411" s="190">
        <f t="shared" si="43"/>
        <v>0</v>
      </c>
      <c r="E1411" s="133">
        <v>7.95</v>
      </c>
      <c r="F1411" s="134"/>
      <c r="G1411" s="135">
        <v>817</v>
      </c>
      <c r="H1411" s="137">
        <v>10.8</v>
      </c>
      <c r="I1411" s="134"/>
      <c r="J1411" s="137">
        <v>8.1999999999999993</v>
      </c>
      <c r="K1411" s="134"/>
      <c r="L1411" s="136">
        <v>80</v>
      </c>
      <c r="M1411" s="181"/>
      <c r="N1411" s="159"/>
      <c r="O1411" s="159"/>
      <c r="P1411" s="136"/>
      <c r="Q1411" s="197"/>
    </row>
    <row r="1412" spans="1:17" ht="16.5" customHeight="1" x14ac:dyDescent="0.25">
      <c r="A1412" s="156">
        <v>45317</v>
      </c>
      <c r="B1412" s="136" t="s">
        <v>14</v>
      </c>
      <c r="C1412" s="157" t="str">
        <f t="shared" si="42"/>
        <v>26.01.2024_BRA1</v>
      </c>
      <c r="D1412" s="190">
        <f t="shared" si="43"/>
        <v>1</v>
      </c>
      <c r="E1412" s="133">
        <v>7.25</v>
      </c>
      <c r="F1412" s="134"/>
      <c r="G1412" s="135">
        <v>166.7</v>
      </c>
      <c r="H1412" s="285"/>
      <c r="I1412" s="134"/>
      <c r="J1412" s="137">
        <v>7.5</v>
      </c>
      <c r="K1412" s="134"/>
      <c r="L1412" s="136">
        <v>35</v>
      </c>
      <c r="M1412" s="181"/>
      <c r="N1412" s="159"/>
      <c r="O1412" s="159" t="s">
        <v>396</v>
      </c>
      <c r="P1412" s="159" t="s">
        <v>253</v>
      </c>
      <c r="Q1412" s="197"/>
    </row>
    <row r="1413" spans="1:17" ht="16.5" customHeight="1" x14ac:dyDescent="0.25">
      <c r="A1413" s="156">
        <v>45317</v>
      </c>
      <c r="B1413" s="136" t="s">
        <v>17</v>
      </c>
      <c r="C1413" s="157" t="str">
        <f t="shared" ref="C1413:C1476" si="44">CONCATENATE(TEXT(A1413,"TT.MM.JJJJ"),"_",B1413)</f>
        <v>26.01.2024_BRA2</v>
      </c>
      <c r="D1413" s="190">
        <f t="shared" ref="D1413:D1476" si="45">COUNTBLANK(E1413)+COUNTBLANK(G1413:H1413)+COUNTBLANK(J1413)+COUNTBLANK(L1413)</f>
        <v>1</v>
      </c>
      <c r="E1413" s="133">
        <v>7.65</v>
      </c>
      <c r="F1413" s="134"/>
      <c r="G1413" s="135">
        <v>181.1</v>
      </c>
      <c r="H1413" s="285"/>
      <c r="I1413" s="134"/>
      <c r="J1413" s="137">
        <v>8.5</v>
      </c>
      <c r="K1413" s="134"/>
      <c r="L1413" s="136">
        <v>47</v>
      </c>
      <c r="M1413" s="181"/>
      <c r="N1413" s="159"/>
      <c r="O1413" s="159" t="s">
        <v>396</v>
      </c>
      <c r="P1413" s="159" t="s">
        <v>253</v>
      </c>
      <c r="Q1413" s="197"/>
    </row>
    <row r="1414" spans="1:17" ht="16.5" customHeight="1" x14ac:dyDescent="0.25">
      <c r="A1414" s="156">
        <v>45317</v>
      </c>
      <c r="B1414" s="136" t="s">
        <v>0</v>
      </c>
      <c r="C1414" s="157" t="str">
        <f t="shared" si="44"/>
        <v>26.01.2024_KIN1</v>
      </c>
      <c r="D1414" s="190">
        <f t="shared" si="45"/>
        <v>0</v>
      </c>
      <c r="E1414" s="133">
        <v>8.14</v>
      </c>
      <c r="F1414" s="134"/>
      <c r="G1414" s="135">
        <v>355</v>
      </c>
      <c r="H1414" s="137">
        <v>11.1</v>
      </c>
      <c r="I1414" s="134"/>
      <c r="J1414" s="137">
        <v>6</v>
      </c>
      <c r="K1414" s="134"/>
      <c r="L1414" s="136">
        <v>42</v>
      </c>
      <c r="M1414" s="181"/>
      <c r="N1414" s="159" t="s">
        <v>375</v>
      </c>
      <c r="O1414" s="159"/>
      <c r="P1414" s="159" t="s">
        <v>252</v>
      </c>
      <c r="Q1414" s="197"/>
    </row>
    <row r="1415" spans="1:17" ht="16.5" customHeight="1" x14ac:dyDescent="0.25">
      <c r="A1415" s="156">
        <v>45317</v>
      </c>
      <c r="B1415" s="136" t="s">
        <v>2</v>
      </c>
      <c r="C1415" s="157" t="str">
        <f t="shared" si="44"/>
        <v>26.01.2024_KIN2</v>
      </c>
      <c r="D1415" s="190">
        <f t="shared" si="45"/>
        <v>0</v>
      </c>
      <c r="E1415" s="133">
        <v>8.02</v>
      </c>
      <c r="F1415" s="134"/>
      <c r="G1415" s="135">
        <v>386</v>
      </c>
      <c r="H1415" s="137">
        <v>11</v>
      </c>
      <c r="I1415" s="134"/>
      <c r="J1415" s="137">
        <v>5.5</v>
      </c>
      <c r="K1415" s="134"/>
      <c r="L1415" s="136">
        <v>50</v>
      </c>
      <c r="M1415" s="181"/>
      <c r="N1415" s="159"/>
      <c r="O1415" s="159"/>
      <c r="P1415" s="136" t="s">
        <v>252</v>
      </c>
      <c r="Q1415" s="197"/>
    </row>
    <row r="1416" spans="1:17" ht="16.5" customHeight="1" x14ac:dyDescent="0.25">
      <c r="A1416" s="156">
        <v>45317</v>
      </c>
      <c r="B1416" s="136" t="s">
        <v>4</v>
      </c>
      <c r="C1416" s="157" t="str">
        <f t="shared" si="44"/>
        <v>26.01.2024_KIN3</v>
      </c>
      <c r="D1416" s="190">
        <f t="shared" si="45"/>
        <v>0</v>
      </c>
      <c r="E1416" s="133">
        <v>8.08</v>
      </c>
      <c r="F1416" s="134"/>
      <c r="G1416" s="135">
        <v>368</v>
      </c>
      <c r="H1416" s="137">
        <v>11.2</v>
      </c>
      <c r="I1416" s="134"/>
      <c r="J1416" s="137">
        <v>6.5</v>
      </c>
      <c r="K1416" s="134"/>
      <c r="L1416" s="136">
        <v>86</v>
      </c>
      <c r="M1416" s="181"/>
      <c r="N1416" s="159"/>
      <c r="O1416" s="159"/>
      <c r="P1416" s="136" t="s">
        <v>252</v>
      </c>
      <c r="Q1416" s="197"/>
    </row>
    <row r="1417" spans="1:17" ht="16.5" customHeight="1" x14ac:dyDescent="0.25">
      <c r="A1417" s="156">
        <v>45317</v>
      </c>
      <c r="B1417" s="136" t="s">
        <v>6</v>
      </c>
      <c r="C1417" s="157" t="str">
        <f t="shared" si="44"/>
        <v>26.01.2024_KIN4</v>
      </c>
      <c r="D1417" s="190">
        <f t="shared" si="45"/>
        <v>0</v>
      </c>
      <c r="E1417" s="133">
        <v>7.96</v>
      </c>
      <c r="F1417" s="134"/>
      <c r="G1417" s="135">
        <v>379</v>
      </c>
      <c r="H1417" s="137">
        <v>11</v>
      </c>
      <c r="I1417" s="134"/>
      <c r="J1417" s="137">
        <v>8.5</v>
      </c>
      <c r="K1417" s="134"/>
      <c r="L1417" s="136">
        <v>88</v>
      </c>
      <c r="M1417" s="181"/>
      <c r="N1417" s="159"/>
      <c r="O1417" s="159"/>
      <c r="P1417" s="136" t="s">
        <v>252</v>
      </c>
      <c r="Q1417" s="197"/>
    </row>
    <row r="1418" spans="1:17" ht="16.5" customHeight="1" x14ac:dyDescent="0.25">
      <c r="A1418" s="156">
        <v>45317</v>
      </c>
      <c r="B1418" s="136" t="s">
        <v>18</v>
      </c>
      <c r="C1418" s="157" t="str">
        <f t="shared" si="44"/>
        <v>26.01.2024_ORB1</v>
      </c>
      <c r="D1418" s="190">
        <f t="shared" si="45"/>
        <v>1</v>
      </c>
      <c r="E1418" s="133">
        <v>7.1</v>
      </c>
      <c r="F1418" s="134"/>
      <c r="G1418" s="135">
        <v>138.4</v>
      </c>
      <c r="H1418" s="285"/>
      <c r="I1418" s="134"/>
      <c r="J1418" s="137">
        <v>13.2</v>
      </c>
      <c r="K1418" s="134"/>
      <c r="L1418" s="136">
        <v>30</v>
      </c>
      <c r="M1418" s="181"/>
      <c r="N1418" s="159"/>
      <c r="O1418" s="159" t="s">
        <v>396</v>
      </c>
      <c r="P1418" s="159" t="s">
        <v>253</v>
      </c>
      <c r="Q1418" s="197"/>
    </row>
    <row r="1419" spans="1:17" ht="16.5" customHeight="1" x14ac:dyDescent="0.25">
      <c r="A1419" s="156">
        <v>45317</v>
      </c>
      <c r="B1419" s="136" t="s">
        <v>21</v>
      </c>
      <c r="C1419" s="157" t="str">
        <f t="shared" si="44"/>
        <v>26.01.2024_ORB2</v>
      </c>
      <c r="D1419" s="190">
        <f t="shared" si="45"/>
        <v>1</v>
      </c>
      <c r="E1419" s="133">
        <v>6.99</v>
      </c>
      <c r="F1419" s="134"/>
      <c r="G1419" s="135">
        <v>146.5</v>
      </c>
      <c r="H1419" s="285"/>
      <c r="I1419" s="134"/>
      <c r="J1419" s="137">
        <v>12.7</v>
      </c>
      <c r="K1419" s="134"/>
      <c r="L1419" s="136">
        <v>75</v>
      </c>
      <c r="M1419" s="181"/>
      <c r="N1419" s="159"/>
      <c r="O1419" s="159" t="s">
        <v>396</v>
      </c>
      <c r="P1419" s="159" t="s">
        <v>253</v>
      </c>
      <c r="Q1419" s="197"/>
    </row>
    <row r="1420" spans="1:17" ht="16.5" customHeight="1" x14ac:dyDescent="0.25">
      <c r="A1420" s="156">
        <v>45317</v>
      </c>
      <c r="B1420" s="136" t="s">
        <v>10</v>
      </c>
      <c r="C1420" s="157" t="str">
        <f t="shared" si="44"/>
        <v>26.01.2024_SAL1</v>
      </c>
      <c r="D1420" s="190">
        <f t="shared" si="45"/>
        <v>1</v>
      </c>
      <c r="E1420" s="133">
        <v>7.59</v>
      </c>
      <c r="F1420" s="134"/>
      <c r="G1420" s="135">
        <v>160.5</v>
      </c>
      <c r="H1420" s="285"/>
      <c r="I1420" s="134"/>
      <c r="J1420" s="137">
        <v>5.8</v>
      </c>
      <c r="K1420" s="134"/>
      <c r="L1420" s="136">
        <v>45</v>
      </c>
      <c r="M1420" s="181"/>
      <c r="N1420" s="159"/>
      <c r="O1420" s="159" t="s">
        <v>396</v>
      </c>
      <c r="P1420" s="159" t="s">
        <v>253</v>
      </c>
      <c r="Q1420" s="197"/>
    </row>
    <row r="1421" spans="1:17" ht="16.5" customHeight="1" x14ac:dyDescent="0.25">
      <c r="A1421" s="156">
        <v>45317</v>
      </c>
      <c r="B1421" s="136" t="s">
        <v>12</v>
      </c>
      <c r="C1421" s="157" t="str">
        <f t="shared" si="44"/>
        <v>26.01.2024_SAL2</v>
      </c>
      <c r="D1421" s="190">
        <f t="shared" si="45"/>
        <v>1</v>
      </c>
      <c r="E1421" s="133">
        <v>7.64</v>
      </c>
      <c r="F1421" s="134"/>
      <c r="G1421" s="135">
        <v>164.4</v>
      </c>
      <c r="H1421" s="285"/>
      <c r="I1421" s="134"/>
      <c r="J1421" s="137">
        <v>7.5</v>
      </c>
      <c r="K1421" s="134"/>
      <c r="L1421" s="136">
        <v>59</v>
      </c>
      <c r="M1421" s="181"/>
      <c r="N1421" s="159"/>
      <c r="O1421" s="159" t="s">
        <v>396</v>
      </c>
      <c r="P1421" s="159" t="s">
        <v>253</v>
      </c>
      <c r="Q1421" s="197"/>
    </row>
    <row r="1422" spans="1:17" ht="16.5" customHeight="1" x14ac:dyDescent="0.25">
      <c r="A1422" s="156">
        <v>45317</v>
      </c>
      <c r="B1422" s="136" t="s">
        <v>7</v>
      </c>
      <c r="C1422" s="157" t="str">
        <f t="shared" si="44"/>
        <v>26.01.2024_STE1</v>
      </c>
      <c r="D1422" s="190">
        <f t="shared" si="45"/>
        <v>0</v>
      </c>
      <c r="E1422" s="133">
        <v>7.8</v>
      </c>
      <c r="F1422" s="134"/>
      <c r="G1422" s="135">
        <v>208</v>
      </c>
      <c r="H1422" s="137">
        <v>11.3</v>
      </c>
      <c r="I1422" s="134"/>
      <c r="J1422" s="137">
        <v>5.8</v>
      </c>
      <c r="K1422" s="134"/>
      <c r="L1422" s="136">
        <v>50</v>
      </c>
      <c r="M1422" s="181"/>
      <c r="N1422" s="159" t="s">
        <v>376</v>
      </c>
      <c r="O1422" s="159"/>
      <c r="P1422" s="159" t="s">
        <v>252</v>
      </c>
      <c r="Q1422" s="197"/>
    </row>
    <row r="1423" spans="1:17" ht="16.5" customHeight="1" x14ac:dyDescent="0.25">
      <c r="A1423" s="156">
        <v>45317</v>
      </c>
      <c r="B1423" s="136" t="s">
        <v>9</v>
      </c>
      <c r="C1423" s="157" t="str">
        <f t="shared" si="44"/>
        <v>26.01.2024_STE2</v>
      </c>
      <c r="D1423" s="190">
        <f t="shared" si="45"/>
        <v>0</v>
      </c>
      <c r="E1423" s="133">
        <v>7.87</v>
      </c>
      <c r="F1423" s="134"/>
      <c r="G1423" s="135">
        <v>213</v>
      </c>
      <c r="H1423" s="137">
        <v>11.3</v>
      </c>
      <c r="I1423" s="134"/>
      <c r="J1423" s="137">
        <v>5.9</v>
      </c>
      <c r="K1423" s="134"/>
      <c r="L1423" s="136">
        <v>67</v>
      </c>
      <c r="M1423" s="181"/>
      <c r="N1423" s="159"/>
      <c r="O1423" s="159"/>
      <c r="P1423" s="136" t="s">
        <v>252</v>
      </c>
      <c r="Q1423" s="197"/>
    </row>
    <row r="1424" spans="1:17" ht="16.5" customHeight="1" x14ac:dyDescent="0.25">
      <c r="A1424" s="156">
        <v>45331</v>
      </c>
      <c r="B1424" s="136" t="s">
        <v>22</v>
      </c>
      <c r="C1424" s="157" t="str">
        <f t="shared" si="44"/>
        <v>09.02.2024_BIE1</v>
      </c>
      <c r="D1424" s="190">
        <f t="shared" si="45"/>
        <v>0</v>
      </c>
      <c r="E1424" s="133">
        <v>7.41</v>
      </c>
      <c r="F1424" s="134"/>
      <c r="G1424" s="135">
        <v>145.69999999999999</v>
      </c>
      <c r="H1424" s="137">
        <v>11.1</v>
      </c>
      <c r="I1424" s="134"/>
      <c r="J1424" s="137">
        <v>9.4</v>
      </c>
      <c r="K1424" s="134"/>
      <c r="L1424" s="136">
        <v>50</v>
      </c>
      <c r="M1424" s="181"/>
      <c r="N1424" s="159"/>
      <c r="O1424" s="159"/>
      <c r="P1424" s="136"/>
      <c r="Q1424" s="197"/>
    </row>
    <row r="1425" spans="1:17" ht="16.5" customHeight="1" x14ac:dyDescent="0.25">
      <c r="A1425" s="156">
        <v>45331</v>
      </c>
      <c r="B1425" s="136" t="s">
        <v>25</v>
      </c>
      <c r="C1425" s="157" t="str">
        <f t="shared" si="44"/>
        <v>09.02.2024_BIE2</v>
      </c>
      <c r="D1425" s="190">
        <f t="shared" si="45"/>
        <v>0</v>
      </c>
      <c r="E1425" s="133">
        <v>7.45</v>
      </c>
      <c r="F1425" s="134"/>
      <c r="G1425" s="135">
        <v>166.2</v>
      </c>
      <c r="H1425" s="137">
        <v>11</v>
      </c>
      <c r="I1425" s="134"/>
      <c r="J1425" s="137">
        <v>9.4</v>
      </c>
      <c r="K1425" s="134"/>
      <c r="L1425" s="136">
        <v>80</v>
      </c>
      <c r="M1425" s="181"/>
      <c r="N1425" s="159"/>
      <c r="O1425" s="159"/>
      <c r="P1425" s="136"/>
      <c r="Q1425" s="197"/>
    </row>
    <row r="1426" spans="1:17" ht="16.5" customHeight="1" x14ac:dyDescent="0.25">
      <c r="A1426" s="156">
        <v>45331</v>
      </c>
      <c r="B1426" s="136" t="s">
        <v>30</v>
      </c>
      <c r="C1426" s="157" t="str">
        <f t="shared" si="44"/>
        <v>09.02.2024_FAL1</v>
      </c>
      <c r="D1426" s="190">
        <f t="shared" si="45"/>
        <v>0</v>
      </c>
      <c r="E1426" s="133">
        <v>7.71</v>
      </c>
      <c r="F1426" s="134"/>
      <c r="G1426" s="135">
        <v>514</v>
      </c>
      <c r="H1426" s="137">
        <v>10.4</v>
      </c>
      <c r="I1426" s="134"/>
      <c r="J1426" s="137">
        <v>9</v>
      </c>
      <c r="K1426" s="134"/>
      <c r="L1426" s="136">
        <v>70</v>
      </c>
      <c r="M1426" s="181"/>
      <c r="N1426" s="159"/>
      <c r="O1426" s="159"/>
      <c r="P1426" s="136"/>
      <c r="Q1426" s="197"/>
    </row>
    <row r="1427" spans="1:17" ht="16.5" customHeight="1" x14ac:dyDescent="0.25">
      <c r="A1427" s="156">
        <v>45331</v>
      </c>
      <c r="B1427" s="136" t="s">
        <v>32</v>
      </c>
      <c r="C1427" s="157" t="str">
        <f t="shared" si="44"/>
        <v>09.02.2024_FAL2</v>
      </c>
      <c r="D1427" s="190">
        <f t="shared" si="45"/>
        <v>0</v>
      </c>
      <c r="E1427" s="133">
        <v>7.9</v>
      </c>
      <c r="F1427" s="134"/>
      <c r="G1427" s="135">
        <v>539</v>
      </c>
      <c r="H1427" s="137">
        <v>10.3</v>
      </c>
      <c r="I1427" s="134"/>
      <c r="J1427" s="137">
        <v>8.9</v>
      </c>
      <c r="K1427" s="134"/>
      <c r="L1427" s="136">
        <v>90</v>
      </c>
      <c r="M1427" s="181"/>
      <c r="N1427" s="159"/>
      <c r="O1427" s="159"/>
      <c r="P1427" s="136"/>
      <c r="Q1427" s="197"/>
    </row>
    <row r="1428" spans="1:17" ht="16.5" customHeight="1" x14ac:dyDescent="0.25">
      <c r="A1428" s="156">
        <v>45331</v>
      </c>
      <c r="B1428" s="136" t="s">
        <v>26</v>
      </c>
      <c r="C1428" s="157" t="str">
        <f t="shared" si="44"/>
        <v>09.02.2024_GRU1</v>
      </c>
      <c r="D1428" s="190">
        <f t="shared" si="45"/>
        <v>0</v>
      </c>
      <c r="E1428" s="133">
        <v>7.33</v>
      </c>
      <c r="F1428" s="134"/>
      <c r="G1428" s="135">
        <v>118.3</v>
      </c>
      <c r="H1428" s="137">
        <v>11.3</v>
      </c>
      <c r="I1428" s="134"/>
      <c r="J1428" s="137">
        <v>8.6</v>
      </c>
      <c r="K1428" s="134"/>
      <c r="L1428" s="136">
        <v>55.000000000000007</v>
      </c>
      <c r="M1428" s="181"/>
      <c r="N1428" s="159"/>
      <c r="O1428" s="159"/>
      <c r="P1428" s="136"/>
      <c r="Q1428" s="197"/>
    </row>
    <row r="1429" spans="1:17" ht="16.5" customHeight="1" x14ac:dyDescent="0.25">
      <c r="A1429" s="156">
        <v>45331</v>
      </c>
      <c r="B1429" s="136" t="s">
        <v>28</v>
      </c>
      <c r="C1429" s="157" t="str">
        <f t="shared" si="44"/>
        <v>09.02.2024_GRU2</v>
      </c>
      <c r="D1429" s="190">
        <f t="shared" si="45"/>
        <v>0</v>
      </c>
      <c r="E1429" s="133">
        <v>7.28</v>
      </c>
      <c r="F1429" s="134"/>
      <c r="G1429" s="135">
        <v>124.7</v>
      </c>
      <c r="H1429" s="137">
        <v>11.2</v>
      </c>
      <c r="I1429" s="134"/>
      <c r="J1429" s="137">
        <v>8.5</v>
      </c>
      <c r="K1429" s="134"/>
      <c r="L1429" s="136">
        <v>90</v>
      </c>
      <c r="M1429" s="181"/>
      <c r="N1429" s="159"/>
      <c r="O1429" s="159"/>
      <c r="P1429" s="136"/>
      <c r="Q1429" s="197"/>
    </row>
    <row r="1430" spans="1:17" ht="16.5" customHeight="1" x14ac:dyDescent="0.25">
      <c r="A1430" s="156">
        <v>45331</v>
      </c>
      <c r="B1430" s="136" t="s">
        <v>34</v>
      </c>
      <c r="C1430" s="157" t="str">
        <f t="shared" si="44"/>
        <v>09.02.2024_KRE1</v>
      </c>
      <c r="D1430" s="190">
        <f t="shared" si="45"/>
        <v>0</v>
      </c>
      <c r="E1430" s="133">
        <v>7.91</v>
      </c>
      <c r="F1430" s="134"/>
      <c r="G1430" s="135">
        <v>547</v>
      </c>
      <c r="H1430" s="137">
        <v>10.1</v>
      </c>
      <c r="I1430" s="134"/>
      <c r="J1430" s="137">
        <v>8.6999999999999993</v>
      </c>
      <c r="K1430" s="134"/>
      <c r="L1430" s="136">
        <v>110.00000000000001</v>
      </c>
      <c r="M1430" s="181"/>
      <c r="N1430" s="159"/>
      <c r="O1430" s="159"/>
      <c r="P1430" s="136"/>
      <c r="Q1430" s="197"/>
    </row>
    <row r="1431" spans="1:17" ht="16.5" customHeight="1" x14ac:dyDescent="0.25">
      <c r="A1431" s="156">
        <v>45331</v>
      </c>
      <c r="B1431" s="136" t="s">
        <v>37</v>
      </c>
      <c r="C1431" s="157" t="str">
        <f t="shared" si="44"/>
        <v>09.02.2024_KRE2</v>
      </c>
      <c r="D1431" s="190">
        <f t="shared" si="45"/>
        <v>0</v>
      </c>
      <c r="E1431" s="133">
        <v>7.75</v>
      </c>
      <c r="F1431" s="134"/>
      <c r="G1431" s="135">
        <v>555</v>
      </c>
      <c r="H1431" s="137">
        <v>8.5</v>
      </c>
      <c r="I1431" s="134"/>
      <c r="J1431" s="137">
        <v>8.4</v>
      </c>
      <c r="K1431" s="134"/>
      <c r="L1431" s="136">
        <v>120</v>
      </c>
      <c r="M1431" s="181"/>
      <c r="N1431" s="159"/>
      <c r="O1431" s="159"/>
      <c r="P1431" s="136" t="s">
        <v>265</v>
      </c>
      <c r="Q1431" s="197"/>
    </row>
    <row r="1432" spans="1:17" ht="16.5" customHeight="1" x14ac:dyDescent="0.25">
      <c r="A1432" s="156">
        <v>45331</v>
      </c>
      <c r="B1432" s="136" t="s">
        <v>14</v>
      </c>
      <c r="C1432" s="157" t="str">
        <f t="shared" si="44"/>
        <v>09.02.2024_BRA1</v>
      </c>
      <c r="D1432" s="190">
        <f t="shared" si="45"/>
        <v>1</v>
      </c>
      <c r="E1432" s="133">
        <v>7.25</v>
      </c>
      <c r="F1432" s="134"/>
      <c r="G1432" s="135">
        <v>118.7</v>
      </c>
      <c r="H1432" s="137">
        <v>11.3</v>
      </c>
      <c r="I1432" s="134"/>
      <c r="J1432" s="137">
        <v>7.9</v>
      </c>
      <c r="K1432" s="134"/>
      <c r="L1432" s="286"/>
      <c r="M1432" s="181"/>
      <c r="N1432" s="159"/>
      <c r="O1432" s="159"/>
      <c r="P1432" s="159" t="s">
        <v>403</v>
      </c>
      <c r="Q1432" s="197"/>
    </row>
    <row r="1433" spans="1:17" ht="16.5" customHeight="1" x14ac:dyDescent="0.25">
      <c r="A1433" s="156">
        <v>45331</v>
      </c>
      <c r="B1433" s="136" t="s">
        <v>17</v>
      </c>
      <c r="C1433" s="157" t="str">
        <f t="shared" si="44"/>
        <v>09.02.2024_BRA2</v>
      </c>
      <c r="D1433" s="190">
        <f t="shared" si="45"/>
        <v>1</v>
      </c>
      <c r="E1433" s="133">
        <v>7.59</v>
      </c>
      <c r="F1433" s="134"/>
      <c r="G1433" s="135">
        <v>123.9</v>
      </c>
      <c r="H1433" s="137">
        <v>12.1</v>
      </c>
      <c r="I1433" s="134"/>
      <c r="J1433" s="137">
        <v>8.3000000000000007</v>
      </c>
      <c r="K1433" s="134"/>
      <c r="L1433" s="282"/>
      <c r="M1433" s="181"/>
      <c r="N1433" s="159"/>
      <c r="O1433" s="159"/>
      <c r="P1433" s="159" t="s">
        <v>408</v>
      </c>
      <c r="Q1433" s="197"/>
    </row>
    <row r="1434" spans="1:17" ht="16.5" customHeight="1" x14ac:dyDescent="0.25">
      <c r="A1434" s="156">
        <v>45331</v>
      </c>
      <c r="B1434" s="136" t="s">
        <v>0</v>
      </c>
      <c r="C1434" s="157" t="str">
        <f t="shared" si="44"/>
        <v>09.02.2024_KIN1</v>
      </c>
      <c r="D1434" s="190">
        <f t="shared" si="45"/>
        <v>0</v>
      </c>
      <c r="E1434" s="133">
        <v>7.86</v>
      </c>
      <c r="F1434" s="134"/>
      <c r="G1434" s="135">
        <v>199</v>
      </c>
      <c r="H1434" s="137">
        <v>12.7</v>
      </c>
      <c r="I1434" s="134"/>
      <c r="J1434" s="137">
        <v>8.6999999999999993</v>
      </c>
      <c r="K1434" s="134"/>
      <c r="L1434" s="186">
        <v>88</v>
      </c>
      <c r="M1434" s="181"/>
      <c r="N1434" s="159"/>
      <c r="O1434" s="159"/>
      <c r="P1434" s="159" t="s">
        <v>409</v>
      </c>
      <c r="Q1434" s="197"/>
    </row>
    <row r="1435" spans="1:17" ht="16.5" customHeight="1" x14ac:dyDescent="0.25">
      <c r="A1435" s="156">
        <v>45331</v>
      </c>
      <c r="B1435" s="136" t="s">
        <v>2</v>
      </c>
      <c r="C1435" s="157" t="str">
        <f t="shared" si="44"/>
        <v>09.02.2024_KIN2</v>
      </c>
      <c r="D1435" s="190">
        <f t="shared" si="45"/>
        <v>0</v>
      </c>
      <c r="E1435" s="133">
        <v>7.89</v>
      </c>
      <c r="F1435" s="134"/>
      <c r="G1435" s="135">
        <v>226</v>
      </c>
      <c r="H1435" s="137">
        <v>12.6</v>
      </c>
      <c r="I1435" s="134"/>
      <c r="J1435" s="137">
        <v>8.6</v>
      </c>
      <c r="K1435" s="134"/>
      <c r="L1435" s="136">
        <v>100</v>
      </c>
      <c r="M1435" s="181"/>
      <c r="N1435" s="159"/>
      <c r="O1435" s="159"/>
      <c r="P1435" s="136" t="s">
        <v>252</v>
      </c>
      <c r="Q1435" s="197"/>
    </row>
    <row r="1436" spans="1:17" ht="16.5" customHeight="1" x14ac:dyDescent="0.25">
      <c r="A1436" s="156">
        <v>45331</v>
      </c>
      <c r="B1436" s="136" t="s">
        <v>4</v>
      </c>
      <c r="C1436" s="157" t="str">
        <f t="shared" si="44"/>
        <v>09.02.2024_KIN3</v>
      </c>
      <c r="D1436" s="190">
        <f t="shared" si="45"/>
        <v>0</v>
      </c>
      <c r="E1436" s="133">
        <v>7.83</v>
      </c>
      <c r="F1436" s="134"/>
      <c r="G1436" s="135">
        <v>217</v>
      </c>
      <c r="H1436" s="137">
        <v>12.8</v>
      </c>
      <c r="I1436" s="134"/>
      <c r="J1436" s="137">
        <v>8.3000000000000007</v>
      </c>
      <c r="K1436" s="134"/>
      <c r="L1436" s="136">
        <v>135</v>
      </c>
      <c r="M1436" s="181"/>
      <c r="N1436" s="159"/>
      <c r="O1436" s="159"/>
      <c r="P1436" s="136" t="s">
        <v>258</v>
      </c>
      <c r="Q1436" s="197"/>
    </row>
    <row r="1437" spans="1:17" ht="16.5" customHeight="1" x14ac:dyDescent="0.25">
      <c r="A1437" s="156">
        <v>45331</v>
      </c>
      <c r="B1437" s="136" t="s">
        <v>6</v>
      </c>
      <c r="C1437" s="157" t="str">
        <f t="shared" si="44"/>
        <v>09.02.2024_KIN4</v>
      </c>
      <c r="D1437" s="190">
        <f t="shared" si="45"/>
        <v>0</v>
      </c>
      <c r="E1437" s="133">
        <v>7.78</v>
      </c>
      <c r="F1437" s="134"/>
      <c r="G1437" s="135">
        <v>226</v>
      </c>
      <c r="H1437" s="137">
        <v>12.6</v>
      </c>
      <c r="I1437" s="134"/>
      <c r="J1437" s="137">
        <v>6.8</v>
      </c>
      <c r="K1437" s="134"/>
      <c r="L1437" s="136">
        <v>114.99999999999999</v>
      </c>
      <c r="M1437" s="181"/>
      <c r="N1437" s="159"/>
      <c r="O1437" s="159"/>
      <c r="P1437" s="136" t="s">
        <v>257</v>
      </c>
      <c r="Q1437" s="197"/>
    </row>
    <row r="1438" spans="1:17" ht="16.5" customHeight="1" x14ac:dyDescent="0.25">
      <c r="A1438" s="156">
        <v>45331</v>
      </c>
      <c r="B1438" s="136" t="s">
        <v>18</v>
      </c>
      <c r="C1438" s="157" t="str">
        <f t="shared" si="44"/>
        <v>09.02.2024_ORB1</v>
      </c>
      <c r="D1438" s="190">
        <f t="shared" si="45"/>
        <v>0</v>
      </c>
      <c r="E1438" s="133">
        <v>7.5</v>
      </c>
      <c r="F1438" s="134"/>
      <c r="G1438" s="135">
        <v>132</v>
      </c>
      <c r="H1438" s="137">
        <v>11.8</v>
      </c>
      <c r="I1438" s="134"/>
      <c r="J1438" s="137">
        <v>9.6999999999999993</v>
      </c>
      <c r="K1438" s="134"/>
      <c r="L1438" s="136">
        <v>45</v>
      </c>
      <c r="M1438" s="181"/>
      <c r="N1438" s="159"/>
      <c r="O1438" s="159"/>
      <c r="P1438" s="159" t="s">
        <v>253</v>
      </c>
      <c r="Q1438" s="197"/>
    </row>
    <row r="1439" spans="1:17" ht="16.5" customHeight="1" x14ac:dyDescent="0.25">
      <c r="A1439" s="156">
        <v>45331</v>
      </c>
      <c r="B1439" s="136" t="s">
        <v>21</v>
      </c>
      <c r="C1439" s="157" t="str">
        <f t="shared" si="44"/>
        <v>09.02.2024_ORB2</v>
      </c>
      <c r="D1439" s="190">
        <f t="shared" si="45"/>
        <v>0</v>
      </c>
      <c r="E1439" s="133">
        <v>7.37</v>
      </c>
      <c r="F1439" s="134"/>
      <c r="G1439" s="135">
        <v>164.2</v>
      </c>
      <c r="H1439" s="137">
        <v>11.6</v>
      </c>
      <c r="I1439" s="134"/>
      <c r="J1439" s="137">
        <v>9.6</v>
      </c>
      <c r="K1439" s="134"/>
      <c r="L1439" s="136">
        <v>90</v>
      </c>
      <c r="M1439" s="181"/>
      <c r="N1439" s="159"/>
      <c r="O1439" s="159"/>
      <c r="P1439" s="159" t="s">
        <v>253</v>
      </c>
      <c r="Q1439" s="197"/>
    </row>
    <row r="1440" spans="1:17" ht="16.5" customHeight="1" x14ac:dyDescent="0.25">
      <c r="A1440" s="156">
        <v>45331</v>
      </c>
      <c r="B1440" s="136" t="s">
        <v>10</v>
      </c>
      <c r="C1440" s="157" t="str">
        <f t="shared" si="44"/>
        <v>09.02.2024_SAL1</v>
      </c>
      <c r="D1440" s="190">
        <f t="shared" si="45"/>
        <v>1</v>
      </c>
      <c r="E1440" s="133">
        <v>7.54</v>
      </c>
      <c r="F1440" s="134"/>
      <c r="G1440" s="135">
        <v>101.5</v>
      </c>
      <c r="H1440" s="137">
        <v>12.2</v>
      </c>
      <c r="I1440" s="134"/>
      <c r="J1440" s="137">
        <v>6.9</v>
      </c>
      <c r="K1440" s="134"/>
      <c r="L1440" s="282"/>
      <c r="M1440" s="181"/>
      <c r="N1440" s="159"/>
      <c r="O1440" s="159"/>
      <c r="P1440" s="159" t="s">
        <v>403</v>
      </c>
      <c r="Q1440" s="197"/>
    </row>
    <row r="1441" spans="1:17" ht="16.5" customHeight="1" x14ac:dyDescent="0.25">
      <c r="A1441" s="156">
        <v>45331</v>
      </c>
      <c r="B1441" s="136" t="s">
        <v>12</v>
      </c>
      <c r="C1441" s="157" t="str">
        <f t="shared" si="44"/>
        <v>09.02.2024_SAL2</v>
      </c>
      <c r="D1441" s="190">
        <f t="shared" si="45"/>
        <v>1</v>
      </c>
      <c r="E1441" s="133">
        <v>7.63</v>
      </c>
      <c r="F1441" s="134"/>
      <c r="G1441" s="135">
        <v>112.9</v>
      </c>
      <c r="H1441" s="137">
        <v>12.2</v>
      </c>
      <c r="I1441" s="134"/>
      <c r="J1441" s="137">
        <v>8.1</v>
      </c>
      <c r="K1441" s="134"/>
      <c r="L1441" s="282"/>
      <c r="M1441" s="181"/>
      <c r="N1441" s="159"/>
      <c r="O1441" s="159"/>
      <c r="P1441" s="159" t="s">
        <v>403</v>
      </c>
      <c r="Q1441" s="197"/>
    </row>
    <row r="1442" spans="1:17" ht="16.5" customHeight="1" x14ac:dyDescent="0.25">
      <c r="A1442" s="156">
        <v>45331</v>
      </c>
      <c r="B1442" s="136" t="s">
        <v>7</v>
      </c>
      <c r="C1442" s="157" t="str">
        <f t="shared" si="44"/>
        <v>09.02.2024_STE1</v>
      </c>
      <c r="D1442" s="190">
        <f t="shared" si="45"/>
        <v>0</v>
      </c>
      <c r="E1442" s="133">
        <v>7.68</v>
      </c>
      <c r="F1442" s="134"/>
      <c r="G1442" s="135">
        <v>145.5</v>
      </c>
      <c r="H1442" s="137">
        <v>12.9</v>
      </c>
      <c r="I1442" s="134"/>
      <c r="J1442" s="137">
        <v>5.7</v>
      </c>
      <c r="K1442" s="134"/>
      <c r="L1442" s="136">
        <v>80</v>
      </c>
      <c r="M1442" s="181"/>
      <c r="N1442" s="159"/>
      <c r="O1442" s="159"/>
      <c r="P1442" s="136" t="s">
        <v>263</v>
      </c>
      <c r="Q1442" s="197"/>
    </row>
    <row r="1443" spans="1:17" ht="16.5" customHeight="1" x14ac:dyDescent="0.25">
      <c r="A1443" s="156">
        <v>45331</v>
      </c>
      <c r="B1443" s="136" t="s">
        <v>9</v>
      </c>
      <c r="C1443" s="157" t="str">
        <f t="shared" si="44"/>
        <v>09.02.2024_STE2</v>
      </c>
      <c r="D1443" s="190">
        <f t="shared" si="45"/>
        <v>0</v>
      </c>
      <c r="E1443" s="133">
        <v>7.66</v>
      </c>
      <c r="F1443" s="134"/>
      <c r="G1443" s="135">
        <v>154.80000000000001</v>
      </c>
      <c r="H1443" s="137">
        <v>13</v>
      </c>
      <c r="I1443" s="134"/>
      <c r="J1443" s="137">
        <v>5.7</v>
      </c>
      <c r="K1443" s="134"/>
      <c r="L1443" s="136">
        <v>114.99999999999999</v>
      </c>
      <c r="M1443" s="181"/>
      <c r="N1443" s="159"/>
      <c r="O1443" s="159"/>
      <c r="P1443" s="136" t="s">
        <v>264</v>
      </c>
      <c r="Q1443" s="197"/>
    </row>
    <row r="1444" spans="1:17" ht="16.5" customHeight="1" x14ac:dyDescent="0.25">
      <c r="A1444" s="156">
        <v>45344</v>
      </c>
      <c r="B1444" s="136" t="s">
        <v>22</v>
      </c>
      <c r="C1444" s="157" t="str">
        <f t="shared" si="44"/>
        <v>22.02.2024_BIE1</v>
      </c>
      <c r="D1444" s="190">
        <f t="shared" si="45"/>
        <v>0</v>
      </c>
      <c r="E1444" s="133">
        <v>7.5</v>
      </c>
      <c r="F1444" s="134"/>
      <c r="G1444" s="135">
        <v>144.19999999999999</v>
      </c>
      <c r="H1444" s="137">
        <v>11.3</v>
      </c>
      <c r="I1444" s="134"/>
      <c r="J1444" s="137">
        <v>9.1</v>
      </c>
      <c r="K1444" s="134"/>
      <c r="L1444" s="136">
        <v>45</v>
      </c>
      <c r="M1444" s="181"/>
      <c r="N1444" s="159"/>
      <c r="O1444" s="159"/>
      <c r="P1444" s="136"/>
      <c r="Q1444" s="197"/>
    </row>
    <row r="1445" spans="1:17" ht="16.5" customHeight="1" x14ac:dyDescent="0.25">
      <c r="A1445" s="156">
        <v>45344</v>
      </c>
      <c r="B1445" s="136" t="s">
        <v>25</v>
      </c>
      <c r="C1445" s="157" t="str">
        <f t="shared" si="44"/>
        <v>22.02.2024_BIE2</v>
      </c>
      <c r="D1445" s="190">
        <f t="shared" si="45"/>
        <v>0</v>
      </c>
      <c r="E1445" s="133">
        <v>7.55</v>
      </c>
      <c r="F1445" s="134"/>
      <c r="G1445" s="135">
        <v>143.19999999999999</v>
      </c>
      <c r="H1445" s="137">
        <v>11.2</v>
      </c>
      <c r="I1445" s="134"/>
      <c r="J1445" s="137">
        <v>9.1</v>
      </c>
      <c r="K1445" s="134"/>
      <c r="L1445" s="136">
        <v>70</v>
      </c>
      <c r="M1445" s="181"/>
      <c r="N1445" s="159"/>
      <c r="O1445" s="159"/>
      <c r="P1445" s="136"/>
      <c r="Q1445" s="197"/>
    </row>
    <row r="1446" spans="1:17" ht="16.5" customHeight="1" x14ac:dyDescent="0.25">
      <c r="A1446" s="156">
        <v>45344</v>
      </c>
      <c r="B1446" s="136" t="s">
        <v>30</v>
      </c>
      <c r="C1446" s="157" t="str">
        <f t="shared" si="44"/>
        <v>22.02.2024_FAL1</v>
      </c>
      <c r="D1446" s="190">
        <f t="shared" si="45"/>
        <v>0</v>
      </c>
      <c r="E1446" s="133">
        <v>8.01</v>
      </c>
      <c r="F1446" s="134"/>
      <c r="G1446" s="135">
        <v>730</v>
      </c>
      <c r="H1446" s="137">
        <v>10.7</v>
      </c>
      <c r="I1446" s="134"/>
      <c r="J1446" s="137">
        <v>9.5</v>
      </c>
      <c r="K1446" s="134"/>
      <c r="L1446" s="136">
        <v>50</v>
      </c>
      <c r="M1446" s="181"/>
      <c r="N1446" s="159"/>
      <c r="O1446" s="159"/>
      <c r="P1446" s="136"/>
      <c r="Q1446" s="197"/>
    </row>
    <row r="1447" spans="1:17" ht="16.5" customHeight="1" x14ac:dyDescent="0.25">
      <c r="A1447" s="156">
        <v>45344</v>
      </c>
      <c r="B1447" s="136" t="s">
        <v>32</v>
      </c>
      <c r="C1447" s="157" t="str">
        <f t="shared" si="44"/>
        <v>22.02.2024_FAL2</v>
      </c>
      <c r="D1447" s="190">
        <f t="shared" si="45"/>
        <v>0</v>
      </c>
      <c r="E1447" s="133">
        <v>8.2100000000000009</v>
      </c>
      <c r="F1447" s="134"/>
      <c r="G1447" s="135">
        <v>767</v>
      </c>
      <c r="H1447" s="137">
        <v>10.9</v>
      </c>
      <c r="I1447" s="134"/>
      <c r="J1447" s="137">
        <v>9.4</v>
      </c>
      <c r="K1447" s="134"/>
      <c r="L1447" s="136">
        <v>90</v>
      </c>
      <c r="M1447" s="181"/>
      <c r="N1447" s="159"/>
      <c r="O1447" s="159"/>
      <c r="P1447" s="136"/>
      <c r="Q1447" s="197"/>
    </row>
    <row r="1448" spans="1:17" ht="16.5" customHeight="1" x14ac:dyDescent="0.25">
      <c r="A1448" s="156">
        <v>45344</v>
      </c>
      <c r="B1448" s="136" t="s">
        <v>26</v>
      </c>
      <c r="C1448" s="157" t="str">
        <f t="shared" si="44"/>
        <v>22.02.2024_GRU1</v>
      </c>
      <c r="D1448" s="190">
        <f t="shared" si="45"/>
        <v>0</v>
      </c>
      <c r="E1448" s="133">
        <v>7.43</v>
      </c>
      <c r="F1448" s="134"/>
      <c r="G1448" s="135">
        <v>124.9</v>
      </c>
      <c r="H1448" s="137">
        <v>11.5</v>
      </c>
      <c r="I1448" s="134"/>
      <c r="J1448" s="137">
        <v>8.4</v>
      </c>
      <c r="K1448" s="134"/>
      <c r="L1448" s="136">
        <v>40</v>
      </c>
      <c r="M1448" s="181"/>
      <c r="N1448" s="159"/>
      <c r="O1448" s="159"/>
      <c r="P1448" s="136"/>
      <c r="Q1448" s="197"/>
    </row>
    <row r="1449" spans="1:17" ht="16.5" customHeight="1" x14ac:dyDescent="0.25">
      <c r="A1449" s="156">
        <v>45344</v>
      </c>
      <c r="B1449" s="136" t="s">
        <v>28</v>
      </c>
      <c r="C1449" s="157" t="str">
        <f t="shared" si="44"/>
        <v>22.02.2024_GRU2</v>
      </c>
      <c r="D1449" s="190">
        <f t="shared" si="45"/>
        <v>0</v>
      </c>
      <c r="E1449" s="133">
        <v>7.35</v>
      </c>
      <c r="F1449" s="134"/>
      <c r="G1449" s="135">
        <v>144.30000000000001</v>
      </c>
      <c r="H1449" s="137">
        <v>11.4</v>
      </c>
      <c r="I1449" s="134"/>
      <c r="J1449" s="137">
        <v>8.6</v>
      </c>
      <c r="K1449" s="134"/>
      <c r="L1449" s="136">
        <v>60</v>
      </c>
      <c r="M1449" s="181"/>
      <c r="N1449" s="159"/>
      <c r="O1449" s="159"/>
      <c r="P1449" s="136"/>
      <c r="Q1449" s="197"/>
    </row>
    <row r="1450" spans="1:17" ht="16.5" customHeight="1" x14ac:dyDescent="0.25">
      <c r="A1450" s="156">
        <v>45344</v>
      </c>
      <c r="B1450" s="136" t="s">
        <v>34</v>
      </c>
      <c r="C1450" s="157" t="str">
        <f t="shared" si="44"/>
        <v>22.02.2024_KRE1</v>
      </c>
      <c r="D1450" s="190">
        <f t="shared" si="45"/>
        <v>0</v>
      </c>
      <c r="E1450" s="133">
        <v>8.14</v>
      </c>
      <c r="F1450" s="134"/>
      <c r="G1450" s="135">
        <v>805</v>
      </c>
      <c r="H1450" s="137">
        <v>10.5</v>
      </c>
      <c r="I1450" s="134"/>
      <c r="J1450" s="137">
        <v>8.8000000000000007</v>
      </c>
      <c r="K1450" s="134"/>
      <c r="L1450" s="136">
        <v>70</v>
      </c>
      <c r="M1450" s="181"/>
      <c r="N1450" s="159"/>
      <c r="O1450" s="159"/>
      <c r="P1450" s="136"/>
      <c r="Q1450" s="197"/>
    </row>
    <row r="1451" spans="1:17" ht="16.5" customHeight="1" x14ac:dyDescent="0.25">
      <c r="A1451" s="156">
        <v>45344</v>
      </c>
      <c r="B1451" s="136" t="s">
        <v>37</v>
      </c>
      <c r="C1451" s="157" t="str">
        <f t="shared" si="44"/>
        <v>22.02.2024_KRE2</v>
      </c>
      <c r="D1451" s="190">
        <f t="shared" si="45"/>
        <v>0</v>
      </c>
      <c r="E1451" s="133">
        <v>8.1</v>
      </c>
      <c r="F1451" s="134"/>
      <c r="G1451" s="135">
        <v>820</v>
      </c>
      <c r="H1451" s="137">
        <v>10.4</v>
      </c>
      <c r="I1451" s="134"/>
      <c r="J1451" s="137">
        <v>8.8000000000000007</v>
      </c>
      <c r="K1451" s="134"/>
      <c r="L1451" s="136">
        <v>80</v>
      </c>
      <c r="M1451" s="181"/>
      <c r="N1451" s="159"/>
      <c r="O1451" s="159"/>
      <c r="P1451" s="136"/>
      <c r="Q1451" s="197"/>
    </row>
    <row r="1452" spans="1:17" ht="16.5" customHeight="1" x14ac:dyDescent="0.25">
      <c r="A1452" s="156">
        <v>45344</v>
      </c>
      <c r="B1452" s="136" t="s">
        <v>14</v>
      </c>
      <c r="C1452" s="157" t="str">
        <f t="shared" si="44"/>
        <v>22.02.2024_BRA1</v>
      </c>
      <c r="D1452" s="190">
        <f t="shared" si="45"/>
        <v>0</v>
      </c>
      <c r="E1452" s="133">
        <v>7.18</v>
      </c>
      <c r="F1452" s="134"/>
      <c r="G1452" s="135">
        <v>122.8</v>
      </c>
      <c r="H1452" s="137">
        <v>11.7</v>
      </c>
      <c r="I1452" s="134"/>
      <c r="J1452" s="137">
        <v>6.2</v>
      </c>
      <c r="K1452" s="134"/>
      <c r="L1452" s="136">
        <v>56.999999999999993</v>
      </c>
      <c r="M1452" s="181"/>
      <c r="N1452" s="159"/>
      <c r="O1452" s="159"/>
      <c r="P1452" s="159" t="s">
        <v>253</v>
      </c>
      <c r="Q1452" s="197"/>
    </row>
    <row r="1453" spans="1:17" ht="16.5" customHeight="1" x14ac:dyDescent="0.25">
      <c r="A1453" s="156">
        <v>45344</v>
      </c>
      <c r="B1453" s="136" t="s">
        <v>17</v>
      </c>
      <c r="C1453" s="157" t="str">
        <f t="shared" si="44"/>
        <v>22.02.2024_BRA2</v>
      </c>
      <c r="D1453" s="190">
        <f t="shared" si="45"/>
        <v>1</v>
      </c>
      <c r="E1453" s="133">
        <v>7.56</v>
      </c>
      <c r="F1453" s="134"/>
      <c r="G1453" s="135">
        <v>142.9</v>
      </c>
      <c r="H1453" s="137">
        <v>12.4</v>
      </c>
      <c r="I1453" s="134"/>
      <c r="J1453" s="137">
        <v>6.4</v>
      </c>
      <c r="K1453" s="134"/>
      <c r="L1453" s="282"/>
      <c r="M1453" s="181"/>
      <c r="N1453" s="159"/>
      <c r="O1453" s="159"/>
      <c r="P1453" s="159" t="s">
        <v>404</v>
      </c>
      <c r="Q1453" s="197"/>
    </row>
    <row r="1454" spans="1:17" ht="16.5" customHeight="1" x14ac:dyDescent="0.25">
      <c r="A1454" s="156">
        <v>45344</v>
      </c>
      <c r="B1454" s="136" t="s">
        <v>0</v>
      </c>
      <c r="C1454" s="157" t="str">
        <f t="shared" si="44"/>
        <v>22.02.2024_KIN1</v>
      </c>
      <c r="D1454" s="190">
        <f t="shared" si="45"/>
        <v>0</v>
      </c>
      <c r="E1454" s="133">
        <v>8.09</v>
      </c>
      <c r="F1454" s="134"/>
      <c r="G1454" s="135">
        <v>269</v>
      </c>
      <c r="H1454" s="137">
        <v>11.4</v>
      </c>
      <c r="I1454" s="134"/>
      <c r="J1454" s="137">
        <v>9.3000000000000007</v>
      </c>
      <c r="K1454" s="134"/>
      <c r="L1454" s="136">
        <v>56.999999999999993</v>
      </c>
      <c r="M1454" s="181"/>
      <c r="N1454" s="159"/>
      <c r="O1454" s="159"/>
      <c r="P1454" s="136" t="s">
        <v>252</v>
      </c>
      <c r="Q1454" s="197"/>
    </row>
    <row r="1455" spans="1:17" ht="16.5" customHeight="1" x14ac:dyDescent="0.25">
      <c r="A1455" s="156">
        <v>45344</v>
      </c>
      <c r="B1455" s="136" t="s">
        <v>2</v>
      </c>
      <c r="C1455" s="157" t="str">
        <f t="shared" si="44"/>
        <v>22.02.2024_KIN2</v>
      </c>
      <c r="D1455" s="190">
        <f t="shared" si="45"/>
        <v>0</v>
      </c>
      <c r="E1455" s="133">
        <v>8.02</v>
      </c>
      <c r="F1455" s="134"/>
      <c r="G1455" s="135">
        <v>313</v>
      </c>
      <c r="H1455" s="137">
        <v>11.4</v>
      </c>
      <c r="I1455" s="134"/>
      <c r="J1455" s="137">
        <v>9.4</v>
      </c>
      <c r="K1455" s="134"/>
      <c r="L1455" s="136">
        <v>67</v>
      </c>
      <c r="M1455" s="181"/>
      <c r="N1455" s="159"/>
      <c r="O1455" s="159"/>
      <c r="P1455" s="136" t="s">
        <v>252</v>
      </c>
      <c r="Q1455" s="197"/>
    </row>
    <row r="1456" spans="1:17" ht="16.5" customHeight="1" x14ac:dyDescent="0.25">
      <c r="A1456" s="156">
        <v>45344</v>
      </c>
      <c r="B1456" s="136" t="s">
        <v>4</v>
      </c>
      <c r="C1456" s="157" t="str">
        <f t="shared" si="44"/>
        <v>22.02.2024_KIN3</v>
      </c>
      <c r="D1456" s="190">
        <f t="shared" si="45"/>
        <v>1</v>
      </c>
      <c r="E1456" s="133">
        <v>7.97</v>
      </c>
      <c r="F1456" s="134"/>
      <c r="G1456" s="135">
        <v>290</v>
      </c>
      <c r="H1456" s="137">
        <v>11.3</v>
      </c>
      <c r="I1456" s="134"/>
      <c r="J1456" s="137">
        <v>9.5</v>
      </c>
      <c r="K1456" s="134"/>
      <c r="L1456" s="282"/>
      <c r="M1456" s="181"/>
      <c r="N1456" s="159"/>
      <c r="O1456" s="159"/>
      <c r="P1456" s="159" t="s">
        <v>405</v>
      </c>
      <c r="Q1456" s="197"/>
    </row>
    <row r="1457" spans="1:17" ht="16.5" customHeight="1" x14ac:dyDescent="0.25">
      <c r="A1457" s="156">
        <v>45344</v>
      </c>
      <c r="B1457" s="136" t="s">
        <v>6</v>
      </c>
      <c r="C1457" s="157" t="str">
        <f t="shared" si="44"/>
        <v>22.02.2024_KIN4</v>
      </c>
      <c r="D1457" s="190">
        <f t="shared" si="45"/>
        <v>1</v>
      </c>
      <c r="E1457" s="133">
        <v>7.89</v>
      </c>
      <c r="F1457" s="134"/>
      <c r="G1457" s="135">
        <v>290</v>
      </c>
      <c r="H1457" s="137">
        <v>11.2</v>
      </c>
      <c r="I1457" s="134"/>
      <c r="J1457" s="137">
        <v>9.6</v>
      </c>
      <c r="K1457" s="134"/>
      <c r="L1457" s="282"/>
      <c r="M1457" s="181"/>
      <c r="N1457" s="159"/>
      <c r="O1457" s="159"/>
      <c r="P1457" s="159" t="s">
        <v>405</v>
      </c>
      <c r="Q1457" s="197"/>
    </row>
    <row r="1458" spans="1:17" ht="16.5" customHeight="1" x14ac:dyDescent="0.25">
      <c r="A1458" s="156">
        <v>45344</v>
      </c>
      <c r="B1458" s="136" t="s">
        <v>18</v>
      </c>
      <c r="C1458" s="157" t="str">
        <f t="shared" si="44"/>
        <v>22.02.2024_ORB1</v>
      </c>
      <c r="D1458" s="190">
        <f t="shared" si="45"/>
        <v>0</v>
      </c>
      <c r="E1458" s="133">
        <v>7.22</v>
      </c>
      <c r="F1458" s="134"/>
      <c r="G1458" s="135">
        <v>130.6</v>
      </c>
      <c r="H1458" s="137">
        <v>11.6</v>
      </c>
      <c r="I1458" s="134"/>
      <c r="J1458" s="137">
        <v>8.6999999999999993</v>
      </c>
      <c r="K1458" s="134"/>
      <c r="L1458" s="136">
        <v>38</v>
      </c>
      <c r="M1458" s="181"/>
      <c r="N1458" s="159"/>
      <c r="O1458" s="159"/>
      <c r="P1458" s="159" t="s">
        <v>253</v>
      </c>
      <c r="Q1458" s="197"/>
    </row>
    <row r="1459" spans="1:17" ht="16.5" customHeight="1" x14ac:dyDescent="0.25">
      <c r="A1459" s="156">
        <v>45344</v>
      </c>
      <c r="B1459" s="136" t="s">
        <v>21</v>
      </c>
      <c r="C1459" s="157" t="str">
        <f t="shared" si="44"/>
        <v>22.02.2024_ORB2</v>
      </c>
      <c r="D1459" s="190">
        <f t="shared" si="45"/>
        <v>0</v>
      </c>
      <c r="E1459" s="133">
        <v>7.12</v>
      </c>
      <c r="F1459" s="134"/>
      <c r="G1459" s="135">
        <v>144.4</v>
      </c>
      <c r="H1459" s="137">
        <v>11.5</v>
      </c>
      <c r="I1459" s="134"/>
      <c r="J1459" s="137">
        <v>8.5</v>
      </c>
      <c r="K1459" s="134"/>
      <c r="L1459" s="136">
        <v>83</v>
      </c>
      <c r="M1459" s="181"/>
      <c r="N1459" s="159"/>
      <c r="O1459" s="159"/>
      <c r="P1459" s="159" t="s">
        <v>253</v>
      </c>
      <c r="Q1459" s="197"/>
    </row>
    <row r="1460" spans="1:17" ht="16.5" customHeight="1" x14ac:dyDescent="0.25">
      <c r="A1460" s="156">
        <v>45344</v>
      </c>
      <c r="B1460" s="136" t="s">
        <v>10</v>
      </c>
      <c r="C1460" s="157" t="str">
        <f t="shared" si="44"/>
        <v>22.02.2024_SAL1</v>
      </c>
      <c r="D1460" s="190">
        <f t="shared" si="45"/>
        <v>0</v>
      </c>
      <c r="E1460" s="133">
        <v>7.44</v>
      </c>
      <c r="F1460" s="134"/>
      <c r="G1460" s="135">
        <v>126</v>
      </c>
      <c r="H1460" s="137">
        <v>12.3</v>
      </c>
      <c r="I1460" s="134"/>
      <c r="J1460" s="137">
        <v>6.6</v>
      </c>
      <c r="K1460" s="134"/>
      <c r="L1460" s="186">
        <v>78</v>
      </c>
      <c r="M1460" s="181"/>
      <c r="N1460" s="159"/>
      <c r="O1460" s="159"/>
      <c r="P1460" s="159" t="s">
        <v>253</v>
      </c>
    </row>
    <row r="1461" spans="1:17" ht="16.5" customHeight="1" x14ac:dyDescent="0.25">
      <c r="A1461" s="156">
        <v>45344</v>
      </c>
      <c r="B1461" s="136" t="s">
        <v>12</v>
      </c>
      <c r="C1461" s="157" t="str">
        <f t="shared" si="44"/>
        <v>22.02.2024_SAL2</v>
      </c>
      <c r="D1461" s="190">
        <f t="shared" si="45"/>
        <v>0</v>
      </c>
      <c r="E1461" s="133">
        <v>7.57</v>
      </c>
      <c r="F1461" s="134"/>
      <c r="G1461" s="135">
        <v>120.1</v>
      </c>
      <c r="H1461" s="137">
        <v>12.4</v>
      </c>
      <c r="I1461" s="134"/>
      <c r="J1461" s="137">
        <v>6.6</v>
      </c>
      <c r="K1461" s="134"/>
      <c r="L1461" s="136">
        <v>95</v>
      </c>
      <c r="M1461" s="181"/>
      <c r="N1461" s="159"/>
      <c r="O1461" s="159"/>
      <c r="P1461" s="159" t="s">
        <v>253</v>
      </c>
    </row>
    <row r="1462" spans="1:17" ht="16.5" customHeight="1" x14ac:dyDescent="0.25">
      <c r="A1462" s="156">
        <v>45344</v>
      </c>
      <c r="B1462" s="136" t="s">
        <v>7</v>
      </c>
      <c r="C1462" s="157" t="str">
        <f t="shared" si="44"/>
        <v>22.02.2024_STE1</v>
      </c>
      <c r="D1462" s="190">
        <f t="shared" si="45"/>
        <v>1</v>
      </c>
      <c r="E1462" s="133">
        <v>7.73</v>
      </c>
      <c r="F1462" s="134"/>
      <c r="G1462" s="135">
        <v>159.69999999999999</v>
      </c>
      <c r="H1462" s="137">
        <v>11.5</v>
      </c>
      <c r="I1462" s="134"/>
      <c r="J1462" s="137">
        <v>8.4</v>
      </c>
      <c r="K1462" s="134"/>
      <c r="L1462" s="282"/>
      <c r="M1462" s="181"/>
      <c r="N1462" s="159"/>
      <c r="O1462" s="159"/>
      <c r="P1462" s="159" t="s">
        <v>406</v>
      </c>
    </row>
    <row r="1463" spans="1:17" ht="16.5" customHeight="1" x14ac:dyDescent="0.25">
      <c r="A1463" s="156">
        <v>45344</v>
      </c>
      <c r="B1463" s="136" t="s">
        <v>9</v>
      </c>
      <c r="C1463" s="157" t="str">
        <f t="shared" si="44"/>
        <v>22.02.2024_STE2</v>
      </c>
      <c r="D1463" s="190">
        <f t="shared" si="45"/>
        <v>1</v>
      </c>
      <c r="E1463" s="133">
        <v>7.81</v>
      </c>
      <c r="F1463" s="134"/>
      <c r="G1463" s="135">
        <v>170.9</v>
      </c>
      <c r="H1463" s="137">
        <v>11.7</v>
      </c>
      <c r="I1463" s="134"/>
      <c r="J1463" s="137">
        <v>8.1999999999999993</v>
      </c>
      <c r="K1463" s="134"/>
      <c r="L1463" s="282"/>
      <c r="M1463" s="181"/>
      <c r="N1463" s="159"/>
      <c r="O1463" s="159"/>
      <c r="P1463" s="159" t="s">
        <v>407</v>
      </c>
    </row>
    <row r="1464" spans="1:17" ht="16.5" customHeight="1" x14ac:dyDescent="0.25">
      <c r="A1464" s="156">
        <v>45358</v>
      </c>
      <c r="B1464" s="136" t="s">
        <v>22</v>
      </c>
      <c r="C1464" s="157" t="str">
        <f t="shared" si="44"/>
        <v>07.03.2024_BIE1</v>
      </c>
      <c r="D1464" s="190">
        <f t="shared" si="45"/>
        <v>0</v>
      </c>
      <c r="E1464" s="133">
        <v>7.59</v>
      </c>
      <c r="F1464" s="134"/>
      <c r="G1464" s="135">
        <v>143.19999999999999</v>
      </c>
      <c r="H1464" s="137">
        <v>12.9</v>
      </c>
      <c r="I1464" s="134"/>
      <c r="J1464" s="137">
        <v>8.5</v>
      </c>
      <c r="K1464" s="134"/>
      <c r="L1464" s="136">
        <v>41</v>
      </c>
      <c r="M1464" s="181"/>
      <c r="N1464" s="159"/>
      <c r="O1464" s="159"/>
      <c r="P1464" s="136"/>
    </row>
    <row r="1465" spans="1:17" ht="16.5" customHeight="1" x14ac:dyDescent="0.25">
      <c r="A1465" s="156">
        <v>45358</v>
      </c>
      <c r="B1465" s="136" t="s">
        <v>25</v>
      </c>
      <c r="C1465" s="157" t="str">
        <f t="shared" si="44"/>
        <v>07.03.2024_BIE2</v>
      </c>
      <c r="D1465" s="190">
        <f t="shared" si="45"/>
        <v>0</v>
      </c>
      <c r="E1465" s="133">
        <v>7.55</v>
      </c>
      <c r="F1465" s="134"/>
      <c r="G1465" s="135">
        <v>149.9</v>
      </c>
      <c r="H1465" s="137">
        <v>12.9</v>
      </c>
      <c r="I1465" s="134"/>
      <c r="J1465" s="137">
        <v>8.5</v>
      </c>
      <c r="K1465" s="134"/>
      <c r="L1465" s="136">
        <v>35</v>
      </c>
      <c r="M1465" s="181"/>
      <c r="N1465" s="159"/>
      <c r="O1465" s="159"/>
      <c r="P1465" s="136"/>
    </row>
    <row r="1466" spans="1:17" ht="16.5" customHeight="1" x14ac:dyDescent="0.25">
      <c r="A1466" s="156">
        <v>45358</v>
      </c>
      <c r="B1466" s="136" t="s">
        <v>30</v>
      </c>
      <c r="C1466" s="157" t="str">
        <f t="shared" si="44"/>
        <v>07.03.2024_FAL1</v>
      </c>
      <c r="D1466" s="190">
        <f t="shared" si="45"/>
        <v>0</v>
      </c>
      <c r="E1466" s="133">
        <v>8.0399999999999991</v>
      </c>
      <c r="F1466" s="134"/>
      <c r="G1466" s="135">
        <v>749</v>
      </c>
      <c r="H1466" s="137">
        <v>12.4</v>
      </c>
      <c r="I1466" s="134"/>
      <c r="J1466" s="137">
        <v>10.1</v>
      </c>
      <c r="K1466" s="134"/>
      <c r="L1466" s="136">
        <v>38</v>
      </c>
      <c r="M1466" s="181"/>
      <c r="N1466" s="159"/>
      <c r="O1466" s="159"/>
      <c r="P1466" s="136" t="s">
        <v>252</v>
      </c>
    </row>
    <row r="1467" spans="1:17" ht="16.5" customHeight="1" x14ac:dyDescent="0.25">
      <c r="A1467" s="156">
        <v>45358</v>
      </c>
      <c r="B1467" s="136" t="s">
        <v>32</v>
      </c>
      <c r="C1467" s="157" t="str">
        <f t="shared" si="44"/>
        <v>07.03.2024_FAL2</v>
      </c>
      <c r="D1467" s="190">
        <f t="shared" si="45"/>
        <v>0</v>
      </c>
      <c r="E1467" s="133">
        <v>8.25</v>
      </c>
      <c r="F1467" s="134"/>
      <c r="G1467" s="135">
        <v>765</v>
      </c>
      <c r="H1467" s="137">
        <v>12.5</v>
      </c>
      <c r="I1467" s="134"/>
      <c r="J1467" s="137">
        <v>9.9</v>
      </c>
      <c r="K1467" s="134"/>
      <c r="L1467" s="136">
        <v>75</v>
      </c>
      <c r="M1467" s="181"/>
      <c r="N1467" s="159"/>
      <c r="O1467" s="159"/>
      <c r="P1467" s="136" t="s">
        <v>252</v>
      </c>
    </row>
    <row r="1468" spans="1:17" ht="16.5" customHeight="1" x14ac:dyDescent="0.25">
      <c r="A1468" s="156">
        <v>45358</v>
      </c>
      <c r="B1468" s="136" t="s">
        <v>26</v>
      </c>
      <c r="C1468" s="157" t="str">
        <f t="shared" si="44"/>
        <v>07.03.2024_GRU1</v>
      </c>
      <c r="D1468" s="190">
        <f t="shared" si="45"/>
        <v>0</v>
      </c>
      <c r="E1468" s="133">
        <v>7.33</v>
      </c>
      <c r="F1468" s="134"/>
      <c r="G1468" s="135">
        <v>145.5</v>
      </c>
      <c r="H1468" s="137">
        <v>13.2</v>
      </c>
      <c r="I1468" s="134"/>
      <c r="J1468" s="137">
        <v>8.1999999999999993</v>
      </c>
      <c r="K1468" s="134"/>
      <c r="L1468" s="136">
        <v>35</v>
      </c>
      <c r="M1468" s="181"/>
      <c r="N1468" s="159"/>
      <c r="O1468" s="159"/>
      <c r="P1468" s="136"/>
    </row>
    <row r="1469" spans="1:17" ht="16.5" customHeight="1" x14ac:dyDescent="0.25">
      <c r="A1469" s="156">
        <v>45358</v>
      </c>
      <c r="B1469" s="136" t="s">
        <v>28</v>
      </c>
      <c r="C1469" s="157" t="str">
        <f t="shared" si="44"/>
        <v>07.03.2024_GRU2</v>
      </c>
      <c r="D1469" s="190">
        <f t="shared" si="45"/>
        <v>0</v>
      </c>
      <c r="E1469" s="133">
        <v>7.27</v>
      </c>
      <c r="F1469" s="134"/>
      <c r="G1469" s="135">
        <v>160.6</v>
      </c>
      <c r="H1469" s="137">
        <v>12.8</v>
      </c>
      <c r="I1469" s="134"/>
      <c r="J1469" s="137">
        <v>8.5</v>
      </c>
      <c r="K1469" s="134"/>
      <c r="L1469" s="136">
        <v>45</v>
      </c>
      <c r="M1469" s="181"/>
      <c r="N1469" s="159"/>
      <c r="O1469" s="159"/>
      <c r="P1469" s="136"/>
    </row>
    <row r="1470" spans="1:17" ht="16.5" customHeight="1" x14ac:dyDescent="0.25">
      <c r="A1470" s="156">
        <v>45358</v>
      </c>
      <c r="B1470" s="136" t="s">
        <v>34</v>
      </c>
      <c r="C1470" s="157" t="str">
        <f t="shared" si="44"/>
        <v>07.03.2024_KRE1</v>
      </c>
      <c r="D1470" s="190">
        <f t="shared" si="45"/>
        <v>0</v>
      </c>
      <c r="E1470" s="133">
        <v>8.16</v>
      </c>
      <c r="F1470" s="134"/>
      <c r="G1470" s="135">
        <v>816</v>
      </c>
      <c r="H1470" s="137">
        <v>12.4</v>
      </c>
      <c r="I1470" s="134"/>
      <c r="J1470" s="137">
        <v>9.1</v>
      </c>
      <c r="K1470" s="134"/>
      <c r="L1470" s="136">
        <v>57.999999999999993</v>
      </c>
      <c r="M1470" s="181"/>
      <c r="N1470" s="159"/>
      <c r="O1470" s="159"/>
      <c r="P1470" s="136" t="s">
        <v>252</v>
      </c>
    </row>
    <row r="1471" spans="1:17" ht="16.5" customHeight="1" x14ac:dyDescent="0.25">
      <c r="A1471" s="156">
        <v>45358</v>
      </c>
      <c r="B1471" s="136" t="s">
        <v>37</v>
      </c>
      <c r="C1471" s="157" t="str">
        <f t="shared" si="44"/>
        <v>07.03.2024_KRE2</v>
      </c>
      <c r="D1471" s="190">
        <f t="shared" si="45"/>
        <v>0</v>
      </c>
      <c r="E1471" s="133">
        <v>8.15</v>
      </c>
      <c r="F1471" s="134"/>
      <c r="G1471" s="135">
        <v>833</v>
      </c>
      <c r="H1471" s="137">
        <v>12.3</v>
      </c>
      <c r="I1471" s="134"/>
      <c r="J1471" s="137">
        <v>9</v>
      </c>
      <c r="K1471" s="134"/>
      <c r="L1471" s="136">
        <v>81</v>
      </c>
      <c r="M1471" s="181"/>
      <c r="N1471" s="159"/>
      <c r="O1471" s="159"/>
      <c r="P1471" s="136" t="s">
        <v>252</v>
      </c>
    </row>
    <row r="1472" spans="1:17" ht="16.5" customHeight="1" x14ac:dyDescent="0.25">
      <c r="A1472" s="156">
        <v>45358</v>
      </c>
      <c r="B1472" s="136" t="s">
        <v>14</v>
      </c>
      <c r="C1472" s="157" t="str">
        <f t="shared" si="44"/>
        <v>07.03.2024_BRA1</v>
      </c>
      <c r="D1472" s="190">
        <f t="shared" si="45"/>
        <v>0</v>
      </c>
      <c r="E1472" s="133">
        <v>7.7</v>
      </c>
      <c r="F1472" s="134"/>
      <c r="G1472" s="135">
        <v>152</v>
      </c>
      <c r="H1472" s="137">
        <v>13.9</v>
      </c>
      <c r="I1472" s="134"/>
      <c r="J1472" s="137">
        <v>5.9</v>
      </c>
      <c r="K1472" s="134"/>
      <c r="L1472" s="136">
        <v>27</v>
      </c>
      <c r="M1472" s="181"/>
      <c r="N1472" s="159"/>
      <c r="O1472" s="159"/>
      <c r="P1472" s="136" t="s">
        <v>252</v>
      </c>
    </row>
    <row r="1473" spans="1:16" ht="16.5" customHeight="1" x14ac:dyDescent="0.25">
      <c r="A1473" s="156">
        <v>45358</v>
      </c>
      <c r="B1473" s="136" t="s">
        <v>17</v>
      </c>
      <c r="C1473" s="157" t="str">
        <f t="shared" si="44"/>
        <v>07.03.2024_BRA2</v>
      </c>
      <c r="D1473" s="190">
        <f t="shared" si="45"/>
        <v>0</v>
      </c>
      <c r="E1473" s="133">
        <v>7.99</v>
      </c>
      <c r="F1473" s="134"/>
      <c r="G1473" s="135">
        <v>169.5</v>
      </c>
      <c r="H1473" s="137">
        <v>13.8</v>
      </c>
      <c r="I1473" s="134"/>
      <c r="J1473" s="137">
        <v>6.2</v>
      </c>
      <c r="K1473" s="134"/>
      <c r="L1473" s="136">
        <v>39</v>
      </c>
      <c r="M1473" s="181"/>
      <c r="N1473" s="159"/>
      <c r="O1473" s="159"/>
      <c r="P1473" s="136" t="s">
        <v>252</v>
      </c>
    </row>
    <row r="1474" spans="1:16" ht="16.5" customHeight="1" x14ac:dyDescent="0.25">
      <c r="A1474" s="156">
        <v>45358</v>
      </c>
      <c r="B1474" s="136" t="s">
        <v>0</v>
      </c>
      <c r="C1474" s="157" t="str">
        <f t="shared" si="44"/>
        <v>07.03.2024_KIN1</v>
      </c>
      <c r="D1474" s="190">
        <f t="shared" si="45"/>
        <v>0</v>
      </c>
      <c r="E1474" s="133">
        <v>8.4</v>
      </c>
      <c r="F1474" s="134"/>
      <c r="G1474" s="135">
        <v>420</v>
      </c>
      <c r="H1474" s="137">
        <v>13.6</v>
      </c>
      <c r="I1474" s="134"/>
      <c r="J1474" s="137">
        <v>5.6</v>
      </c>
      <c r="K1474" s="134"/>
      <c r="L1474" s="136">
        <v>28.999999999999996</v>
      </c>
      <c r="M1474" s="181"/>
      <c r="N1474" s="159"/>
      <c r="O1474" s="159"/>
      <c r="P1474" s="136" t="s">
        <v>252</v>
      </c>
    </row>
    <row r="1475" spans="1:16" ht="16.5" customHeight="1" x14ac:dyDescent="0.25">
      <c r="A1475" s="156">
        <v>45358</v>
      </c>
      <c r="B1475" s="136" t="s">
        <v>2</v>
      </c>
      <c r="C1475" s="157" t="str">
        <f t="shared" si="44"/>
        <v>07.03.2024_KIN2</v>
      </c>
      <c r="D1475" s="190">
        <f t="shared" si="45"/>
        <v>0</v>
      </c>
      <c r="E1475" s="133">
        <v>8.24</v>
      </c>
      <c r="F1475" s="134"/>
      <c r="G1475" s="135">
        <v>459</v>
      </c>
      <c r="H1475" s="137">
        <v>13.5</v>
      </c>
      <c r="I1475" s="134"/>
      <c r="J1475" s="137">
        <v>6.3</v>
      </c>
      <c r="K1475" s="134"/>
      <c r="L1475" s="136">
        <v>40</v>
      </c>
      <c r="M1475" s="181"/>
      <c r="N1475" s="159"/>
      <c r="O1475" s="159"/>
      <c r="P1475" s="136" t="s">
        <v>252</v>
      </c>
    </row>
    <row r="1476" spans="1:16" ht="16.5" customHeight="1" x14ac:dyDescent="0.25">
      <c r="A1476" s="156">
        <v>45358</v>
      </c>
      <c r="B1476" s="136" t="s">
        <v>4</v>
      </c>
      <c r="C1476" s="157" t="str">
        <f t="shared" si="44"/>
        <v>07.03.2024_KIN3</v>
      </c>
      <c r="D1476" s="190">
        <f t="shared" si="45"/>
        <v>0</v>
      </c>
      <c r="E1476" s="133">
        <v>8.3000000000000007</v>
      </c>
      <c r="F1476" s="134"/>
      <c r="G1476" s="135">
        <v>449</v>
      </c>
      <c r="H1476" s="137">
        <v>13.6</v>
      </c>
      <c r="I1476" s="134"/>
      <c r="J1476" s="137">
        <v>6.5</v>
      </c>
      <c r="K1476" s="134"/>
      <c r="L1476" s="136">
        <v>72</v>
      </c>
      <c r="M1476" s="181"/>
      <c r="N1476" s="159"/>
      <c r="O1476" s="159"/>
      <c r="P1476" s="136" t="s">
        <v>252</v>
      </c>
    </row>
    <row r="1477" spans="1:16" ht="16.5" customHeight="1" x14ac:dyDescent="0.25">
      <c r="A1477" s="156">
        <v>45358</v>
      </c>
      <c r="B1477" s="136" t="s">
        <v>6</v>
      </c>
      <c r="C1477" s="157" t="str">
        <f t="shared" ref="C1477:C1540" si="46">CONCATENATE(TEXT(A1477,"TT.MM.JJJJ"),"_",B1477)</f>
        <v>07.03.2024_KIN4</v>
      </c>
      <c r="D1477" s="190">
        <f t="shared" ref="D1477:D1540" si="47">COUNTBLANK(E1477)+COUNTBLANK(G1477:H1477)+COUNTBLANK(J1477)+COUNTBLANK(L1477)</f>
        <v>0</v>
      </c>
      <c r="E1477" s="133">
        <v>8.23</v>
      </c>
      <c r="F1477" s="134"/>
      <c r="G1477" s="135">
        <v>450</v>
      </c>
      <c r="H1477" s="137">
        <v>13.8</v>
      </c>
      <c r="I1477" s="134"/>
      <c r="J1477" s="137">
        <v>6.7</v>
      </c>
      <c r="K1477" s="134"/>
      <c r="L1477" s="136">
        <v>69</v>
      </c>
      <c r="M1477" s="181"/>
      <c r="N1477" s="159"/>
      <c r="O1477" s="159"/>
      <c r="P1477" s="136" t="s">
        <v>252</v>
      </c>
    </row>
    <row r="1478" spans="1:16" ht="16.5" customHeight="1" x14ac:dyDescent="0.25">
      <c r="A1478" s="156">
        <v>45358</v>
      </c>
      <c r="B1478" s="136" t="s">
        <v>18</v>
      </c>
      <c r="C1478" s="157" t="str">
        <f t="shared" si="46"/>
        <v>07.03.2024_ORB1</v>
      </c>
      <c r="D1478" s="190">
        <f t="shared" si="47"/>
        <v>0</v>
      </c>
      <c r="E1478" s="133">
        <v>7.19</v>
      </c>
      <c r="F1478" s="134"/>
      <c r="G1478" s="135">
        <v>116.1</v>
      </c>
      <c r="H1478" s="137">
        <v>12.9</v>
      </c>
      <c r="I1478" s="134"/>
      <c r="J1478" s="137">
        <v>8.6</v>
      </c>
      <c r="K1478" s="134"/>
      <c r="L1478" s="136">
        <v>32</v>
      </c>
      <c r="M1478" s="181"/>
      <c r="N1478" s="159"/>
      <c r="O1478" s="159"/>
      <c r="P1478" s="136"/>
    </row>
    <row r="1479" spans="1:16" ht="16.5" customHeight="1" x14ac:dyDescent="0.25">
      <c r="A1479" s="156">
        <v>45358</v>
      </c>
      <c r="B1479" s="136" t="s">
        <v>21</v>
      </c>
      <c r="C1479" s="157" t="str">
        <f t="shared" si="46"/>
        <v>07.03.2024_ORB2</v>
      </c>
      <c r="D1479" s="190">
        <f t="shared" si="47"/>
        <v>0</v>
      </c>
      <c r="E1479" s="133">
        <v>6.93</v>
      </c>
      <c r="F1479" s="134"/>
      <c r="G1479" s="135">
        <v>134.9</v>
      </c>
      <c r="H1479" s="137">
        <v>12.9</v>
      </c>
      <c r="I1479" s="134"/>
      <c r="J1479" s="137">
        <v>8.6</v>
      </c>
      <c r="K1479" s="134"/>
      <c r="L1479" s="136">
        <v>66</v>
      </c>
      <c r="M1479" s="181"/>
      <c r="N1479" s="159"/>
      <c r="O1479" s="159"/>
      <c r="P1479" s="136"/>
    </row>
    <row r="1480" spans="1:16" ht="16.5" customHeight="1" x14ac:dyDescent="0.25">
      <c r="A1480" s="156">
        <v>45358</v>
      </c>
      <c r="B1480" s="136" t="s">
        <v>10</v>
      </c>
      <c r="C1480" s="157" t="str">
        <f t="shared" si="46"/>
        <v>07.03.2024_SAL1</v>
      </c>
      <c r="D1480" s="190">
        <f t="shared" si="47"/>
        <v>0</v>
      </c>
      <c r="E1480" s="133">
        <v>7.83</v>
      </c>
      <c r="F1480" s="134"/>
      <c r="G1480" s="135">
        <v>173.9</v>
      </c>
      <c r="H1480" s="137">
        <v>14.2</v>
      </c>
      <c r="I1480" s="134"/>
      <c r="J1480" s="137">
        <v>4.5</v>
      </c>
      <c r="K1480" s="134"/>
      <c r="L1480" s="136">
        <v>60</v>
      </c>
      <c r="M1480" s="181"/>
      <c r="N1480" s="159"/>
      <c r="O1480" s="159"/>
      <c r="P1480" s="136" t="s">
        <v>252</v>
      </c>
    </row>
    <row r="1481" spans="1:16" ht="16.5" customHeight="1" x14ac:dyDescent="0.25">
      <c r="A1481" s="156">
        <v>45358</v>
      </c>
      <c r="B1481" s="136" t="s">
        <v>12</v>
      </c>
      <c r="C1481" s="157" t="str">
        <f t="shared" si="46"/>
        <v>07.03.2024_SAL2</v>
      </c>
      <c r="D1481" s="190">
        <f t="shared" si="47"/>
        <v>0</v>
      </c>
      <c r="E1481" s="133">
        <v>8.06</v>
      </c>
      <c r="F1481" s="134"/>
      <c r="G1481" s="135">
        <v>176.8</v>
      </c>
      <c r="H1481" s="137">
        <v>14.7</v>
      </c>
      <c r="I1481" s="134"/>
      <c r="J1481" s="137">
        <v>4.8</v>
      </c>
      <c r="K1481" s="134"/>
      <c r="L1481" s="136">
        <v>53</v>
      </c>
      <c r="M1481" s="181"/>
      <c r="N1481" s="159"/>
      <c r="O1481" s="159"/>
      <c r="P1481" s="136" t="s">
        <v>252</v>
      </c>
    </row>
    <row r="1482" spans="1:16" ht="16.5" customHeight="1" x14ac:dyDescent="0.25">
      <c r="A1482" s="156">
        <v>45358</v>
      </c>
      <c r="B1482" s="136" t="s">
        <v>7</v>
      </c>
      <c r="C1482" s="157" t="str">
        <f t="shared" si="46"/>
        <v>07.03.2024_STE1</v>
      </c>
      <c r="D1482" s="190">
        <f t="shared" si="47"/>
        <v>0</v>
      </c>
      <c r="E1482" s="133">
        <v>8.06</v>
      </c>
      <c r="F1482" s="134"/>
      <c r="G1482" s="135">
        <v>295</v>
      </c>
      <c r="H1482" s="137">
        <v>13</v>
      </c>
      <c r="I1482" s="134"/>
      <c r="J1482" s="137">
        <v>6.8</v>
      </c>
      <c r="K1482" s="134"/>
      <c r="L1482" s="136">
        <v>40</v>
      </c>
      <c r="M1482" s="181"/>
      <c r="N1482" s="159"/>
      <c r="O1482" s="159"/>
      <c r="P1482" s="136" t="s">
        <v>252</v>
      </c>
    </row>
    <row r="1483" spans="1:16" ht="16.5" customHeight="1" x14ac:dyDescent="0.25">
      <c r="A1483" s="156">
        <v>45358</v>
      </c>
      <c r="B1483" s="136" t="s">
        <v>9</v>
      </c>
      <c r="C1483" s="157" t="str">
        <f t="shared" si="46"/>
        <v>07.03.2024_STE2</v>
      </c>
      <c r="D1483" s="190">
        <f t="shared" si="47"/>
        <v>0</v>
      </c>
      <c r="E1483" s="133">
        <v>8.33</v>
      </c>
      <c r="F1483" s="134"/>
      <c r="G1483" s="135">
        <v>302</v>
      </c>
      <c r="H1483" s="137">
        <v>13.9</v>
      </c>
      <c r="I1483" s="134"/>
      <c r="J1483" s="137">
        <v>6.9</v>
      </c>
      <c r="K1483" s="134"/>
      <c r="L1483" s="136">
        <v>42</v>
      </c>
      <c r="M1483" s="181"/>
      <c r="N1483" s="159"/>
      <c r="O1483" s="159"/>
      <c r="P1483" s="136" t="s">
        <v>252</v>
      </c>
    </row>
    <row r="1484" spans="1:16" ht="16.5" customHeight="1" x14ac:dyDescent="0.25">
      <c r="A1484" s="156">
        <v>45387</v>
      </c>
      <c r="B1484" s="136" t="s">
        <v>22</v>
      </c>
      <c r="C1484" s="157" t="str">
        <f t="shared" si="46"/>
        <v>05.04.2024_BIE1</v>
      </c>
      <c r="D1484" s="190">
        <f t="shared" si="47"/>
        <v>0</v>
      </c>
      <c r="E1484" s="133">
        <v>7.91</v>
      </c>
      <c r="F1484" s="134"/>
      <c r="G1484" s="135">
        <v>163</v>
      </c>
      <c r="H1484" s="137">
        <v>10.8</v>
      </c>
      <c r="I1484" s="134"/>
      <c r="J1484" s="137">
        <v>12.1</v>
      </c>
      <c r="K1484" s="134"/>
      <c r="L1484" s="136">
        <v>35</v>
      </c>
      <c r="M1484" s="181"/>
      <c r="N1484" s="159"/>
      <c r="O1484" s="159"/>
      <c r="P1484" s="136"/>
    </row>
    <row r="1485" spans="1:16" ht="16.5" customHeight="1" x14ac:dyDescent="0.25">
      <c r="A1485" s="156">
        <v>45387</v>
      </c>
      <c r="B1485" s="136" t="s">
        <v>25</v>
      </c>
      <c r="C1485" s="157" t="str">
        <f t="shared" si="46"/>
        <v>05.04.2024_BIE2</v>
      </c>
      <c r="D1485" s="190">
        <f t="shared" si="47"/>
        <v>0</v>
      </c>
      <c r="E1485" s="133">
        <v>7.86</v>
      </c>
      <c r="F1485" s="134"/>
      <c r="G1485" s="135">
        <v>158.4</v>
      </c>
      <c r="H1485" s="137">
        <v>10.5</v>
      </c>
      <c r="I1485" s="134"/>
      <c r="J1485" s="137">
        <v>12</v>
      </c>
      <c r="K1485" s="134"/>
      <c r="L1485" s="136">
        <v>60</v>
      </c>
      <c r="M1485" s="181"/>
      <c r="N1485" s="159"/>
      <c r="O1485" s="159"/>
      <c r="P1485" s="136"/>
    </row>
    <row r="1486" spans="1:16" ht="16.5" customHeight="1" x14ac:dyDescent="0.25">
      <c r="A1486" s="156">
        <v>45387</v>
      </c>
      <c r="B1486" s="136" t="s">
        <v>30</v>
      </c>
      <c r="C1486" s="157" t="str">
        <f t="shared" si="46"/>
        <v>05.04.2024_FAL1</v>
      </c>
      <c r="D1486" s="190">
        <f t="shared" si="47"/>
        <v>0</v>
      </c>
      <c r="E1486" s="133">
        <v>8.02</v>
      </c>
      <c r="F1486" s="134"/>
      <c r="G1486" s="135">
        <v>694</v>
      </c>
      <c r="H1486" s="137">
        <v>9.9</v>
      </c>
      <c r="I1486" s="134"/>
      <c r="J1486" s="137">
        <v>11.8</v>
      </c>
      <c r="K1486" s="134"/>
      <c r="L1486" s="136">
        <v>50</v>
      </c>
      <c r="M1486" s="181"/>
      <c r="N1486" s="159"/>
      <c r="O1486" s="159"/>
      <c r="P1486" s="136"/>
    </row>
    <row r="1487" spans="1:16" ht="16.5" customHeight="1" x14ac:dyDescent="0.25">
      <c r="A1487" s="156">
        <v>45387</v>
      </c>
      <c r="B1487" s="136" t="s">
        <v>32</v>
      </c>
      <c r="C1487" s="157" t="str">
        <f t="shared" si="46"/>
        <v>05.04.2024_FAL2</v>
      </c>
      <c r="D1487" s="190">
        <f t="shared" si="47"/>
        <v>0</v>
      </c>
      <c r="E1487" s="133">
        <v>8.24</v>
      </c>
      <c r="F1487" s="134"/>
      <c r="G1487" s="135">
        <v>707</v>
      </c>
      <c r="H1487" s="137">
        <v>10</v>
      </c>
      <c r="I1487" s="134"/>
      <c r="J1487" s="137">
        <v>11.6</v>
      </c>
      <c r="K1487" s="134"/>
      <c r="L1487" s="136">
        <v>60</v>
      </c>
      <c r="M1487" s="181"/>
      <c r="N1487" s="159"/>
      <c r="O1487" s="159"/>
      <c r="P1487" s="136"/>
    </row>
    <row r="1488" spans="1:16" ht="16.5" customHeight="1" x14ac:dyDescent="0.25">
      <c r="A1488" s="156">
        <v>45387</v>
      </c>
      <c r="B1488" s="136" t="s">
        <v>26</v>
      </c>
      <c r="C1488" s="157" t="str">
        <f t="shared" si="46"/>
        <v>05.04.2024_GRU1</v>
      </c>
      <c r="D1488" s="190">
        <f t="shared" si="47"/>
        <v>0</v>
      </c>
      <c r="E1488" s="133">
        <v>7.55</v>
      </c>
      <c r="F1488" s="134"/>
      <c r="G1488" s="135">
        <v>124.1</v>
      </c>
      <c r="H1488" s="137">
        <v>10.7</v>
      </c>
      <c r="I1488" s="134"/>
      <c r="J1488" s="137">
        <v>11.5</v>
      </c>
      <c r="K1488" s="134"/>
      <c r="L1488" s="136">
        <v>50</v>
      </c>
      <c r="M1488" s="181"/>
      <c r="N1488" s="159"/>
      <c r="O1488" s="159"/>
      <c r="P1488" s="136"/>
    </row>
    <row r="1489" spans="1:16" ht="16.5" customHeight="1" x14ac:dyDescent="0.25">
      <c r="A1489" s="156">
        <v>45387</v>
      </c>
      <c r="B1489" s="136" t="s">
        <v>28</v>
      </c>
      <c r="C1489" s="157" t="str">
        <f t="shared" si="46"/>
        <v>05.04.2024_GRU2</v>
      </c>
      <c r="D1489" s="190">
        <f t="shared" si="47"/>
        <v>0</v>
      </c>
      <c r="E1489" s="133">
        <v>7.49</v>
      </c>
      <c r="F1489" s="134"/>
      <c r="G1489" s="135">
        <v>134.4</v>
      </c>
      <c r="H1489" s="137">
        <v>10.9</v>
      </c>
      <c r="I1489" s="134"/>
      <c r="J1489" s="137">
        <v>11.8</v>
      </c>
      <c r="K1489" s="134"/>
      <c r="L1489" s="136">
        <v>55.000000000000007</v>
      </c>
      <c r="M1489" s="181"/>
      <c r="N1489" s="159"/>
      <c r="O1489" s="159"/>
      <c r="P1489" s="136"/>
    </row>
    <row r="1490" spans="1:16" ht="16.5" customHeight="1" x14ac:dyDescent="0.25">
      <c r="A1490" s="156">
        <v>45387</v>
      </c>
      <c r="B1490" s="136" t="s">
        <v>34</v>
      </c>
      <c r="C1490" s="157" t="str">
        <f t="shared" si="46"/>
        <v>05.04.2024_KRE1</v>
      </c>
      <c r="D1490" s="190">
        <f t="shared" si="47"/>
        <v>0</v>
      </c>
      <c r="E1490" s="133">
        <v>8.0500000000000007</v>
      </c>
      <c r="F1490" s="134"/>
      <c r="G1490" s="135">
        <v>691</v>
      </c>
      <c r="H1490" s="137">
        <v>10</v>
      </c>
      <c r="I1490" s="134"/>
      <c r="J1490" s="137">
        <v>11.3</v>
      </c>
      <c r="K1490" s="134"/>
      <c r="L1490" s="136">
        <v>65</v>
      </c>
      <c r="M1490" s="181"/>
      <c r="N1490" s="159"/>
      <c r="O1490" s="159"/>
      <c r="P1490" s="136"/>
    </row>
    <row r="1491" spans="1:16" ht="16.5" customHeight="1" x14ac:dyDescent="0.25">
      <c r="A1491" s="156">
        <v>45387</v>
      </c>
      <c r="B1491" s="136" t="s">
        <v>37</v>
      </c>
      <c r="C1491" s="157" t="str">
        <f t="shared" si="46"/>
        <v>05.04.2024_KRE2</v>
      </c>
      <c r="D1491" s="190">
        <f t="shared" si="47"/>
        <v>0</v>
      </c>
      <c r="E1491" s="133">
        <v>8</v>
      </c>
      <c r="F1491" s="134"/>
      <c r="G1491" s="135">
        <v>730</v>
      </c>
      <c r="H1491" s="137">
        <v>9.3000000000000007</v>
      </c>
      <c r="I1491" s="134"/>
      <c r="J1491" s="137">
        <v>11.3</v>
      </c>
      <c r="K1491" s="134"/>
      <c r="L1491" s="136">
        <v>70</v>
      </c>
      <c r="M1491" s="181"/>
      <c r="N1491" s="159"/>
      <c r="O1491" s="159"/>
      <c r="P1491" s="136"/>
    </row>
    <row r="1492" spans="1:16" ht="16.5" customHeight="1" x14ac:dyDescent="0.25">
      <c r="A1492" s="156">
        <v>45387</v>
      </c>
      <c r="B1492" s="136" t="s">
        <v>14</v>
      </c>
      <c r="C1492" s="157" t="str">
        <f t="shared" si="46"/>
        <v>05.04.2024_BRA1</v>
      </c>
      <c r="D1492" s="190">
        <f t="shared" si="47"/>
        <v>0</v>
      </c>
      <c r="E1492" s="133">
        <v>7.3</v>
      </c>
      <c r="F1492" s="134"/>
      <c r="G1492" s="135">
        <v>134</v>
      </c>
      <c r="H1492" s="137">
        <v>10.8</v>
      </c>
      <c r="I1492" s="134"/>
      <c r="J1492" s="137">
        <v>15.2</v>
      </c>
      <c r="K1492" s="134"/>
      <c r="L1492" s="136">
        <v>40</v>
      </c>
      <c r="M1492" s="181"/>
      <c r="N1492" s="159"/>
      <c r="O1492" s="159"/>
      <c r="P1492" s="136"/>
    </row>
    <row r="1493" spans="1:16" ht="16.5" customHeight="1" x14ac:dyDescent="0.25">
      <c r="A1493" s="156">
        <v>45387</v>
      </c>
      <c r="B1493" s="136" t="s">
        <v>17</v>
      </c>
      <c r="C1493" s="157" t="str">
        <f t="shared" si="46"/>
        <v>05.04.2024_BRA2</v>
      </c>
      <c r="D1493" s="190">
        <f t="shared" si="47"/>
        <v>0</v>
      </c>
      <c r="E1493" s="133">
        <v>7.87</v>
      </c>
      <c r="F1493" s="134"/>
      <c r="G1493" s="135">
        <v>150</v>
      </c>
      <c r="H1493" s="137">
        <v>10.7</v>
      </c>
      <c r="I1493" s="134"/>
      <c r="J1493" s="137">
        <v>15.5</v>
      </c>
      <c r="K1493" s="134"/>
      <c r="L1493" s="136">
        <v>40</v>
      </c>
      <c r="M1493" s="181"/>
      <c r="N1493" s="159"/>
      <c r="O1493" s="159"/>
      <c r="P1493" s="136"/>
    </row>
    <row r="1494" spans="1:16" ht="16.5" customHeight="1" x14ac:dyDescent="0.25">
      <c r="A1494" s="156">
        <v>45387</v>
      </c>
      <c r="B1494" s="136" t="s">
        <v>0</v>
      </c>
      <c r="C1494" s="157" t="str">
        <f t="shared" si="46"/>
        <v>05.04.2024_KIN1</v>
      </c>
      <c r="D1494" s="190">
        <f t="shared" si="47"/>
        <v>0</v>
      </c>
      <c r="E1494" s="133">
        <v>8.26</v>
      </c>
      <c r="F1494" s="134"/>
      <c r="G1494" s="135">
        <v>264</v>
      </c>
      <c r="H1494" s="137">
        <v>12.4</v>
      </c>
      <c r="I1494" s="134"/>
      <c r="J1494" s="137">
        <v>9.8000000000000007</v>
      </c>
      <c r="K1494" s="134"/>
      <c r="L1494" s="136">
        <v>40</v>
      </c>
      <c r="M1494" s="181"/>
      <c r="N1494" s="159"/>
      <c r="O1494" s="159"/>
      <c r="P1494" s="136"/>
    </row>
    <row r="1495" spans="1:16" ht="16.5" customHeight="1" x14ac:dyDescent="0.25">
      <c r="A1495" s="156">
        <v>45387</v>
      </c>
      <c r="B1495" s="136" t="s">
        <v>2</v>
      </c>
      <c r="C1495" s="157" t="str">
        <f t="shared" si="46"/>
        <v>05.04.2024_KIN2</v>
      </c>
      <c r="D1495" s="190">
        <f t="shared" si="47"/>
        <v>0</v>
      </c>
      <c r="E1495" s="133">
        <v>8.17</v>
      </c>
      <c r="F1495" s="134"/>
      <c r="G1495" s="135">
        <v>294</v>
      </c>
      <c r="H1495" s="137">
        <v>11.2</v>
      </c>
      <c r="I1495" s="134"/>
      <c r="J1495" s="137">
        <v>11.9</v>
      </c>
      <c r="K1495" s="134"/>
      <c r="L1495" s="136">
        <v>60</v>
      </c>
      <c r="M1495" s="181"/>
      <c r="N1495" s="159"/>
      <c r="O1495" s="159"/>
      <c r="P1495" s="136"/>
    </row>
    <row r="1496" spans="1:16" ht="16.5" customHeight="1" x14ac:dyDescent="0.25">
      <c r="A1496" s="156">
        <v>45387</v>
      </c>
      <c r="B1496" s="136" t="s">
        <v>4</v>
      </c>
      <c r="C1496" s="157" t="str">
        <f t="shared" si="46"/>
        <v>05.04.2024_KIN3</v>
      </c>
      <c r="D1496" s="190">
        <f t="shared" si="47"/>
        <v>0</v>
      </c>
      <c r="E1496" s="133">
        <v>8.1999999999999993</v>
      </c>
      <c r="F1496" s="134"/>
      <c r="G1496" s="135">
        <v>281</v>
      </c>
      <c r="H1496" s="137">
        <v>11.1</v>
      </c>
      <c r="I1496" s="134"/>
      <c r="J1496" s="137">
        <v>13.6</v>
      </c>
      <c r="K1496" s="134"/>
      <c r="L1496" s="136">
        <v>90</v>
      </c>
      <c r="M1496" s="181"/>
      <c r="N1496" s="159"/>
      <c r="O1496" s="159"/>
      <c r="P1496" s="136"/>
    </row>
    <row r="1497" spans="1:16" ht="16.5" customHeight="1" x14ac:dyDescent="0.25">
      <c r="A1497" s="156">
        <v>45387</v>
      </c>
      <c r="B1497" s="136" t="s">
        <v>6</v>
      </c>
      <c r="C1497" s="157" t="str">
        <f t="shared" si="46"/>
        <v>05.04.2024_KIN4</v>
      </c>
      <c r="D1497" s="190">
        <f t="shared" si="47"/>
        <v>0</v>
      </c>
      <c r="E1497" s="133">
        <v>8.1</v>
      </c>
      <c r="F1497" s="134"/>
      <c r="G1497" s="135">
        <v>285</v>
      </c>
      <c r="H1497" s="137">
        <v>10.7</v>
      </c>
      <c r="I1497" s="134"/>
      <c r="J1497" s="137">
        <v>13.3</v>
      </c>
      <c r="K1497" s="134"/>
      <c r="L1497" s="136">
        <v>80</v>
      </c>
      <c r="M1497" s="181"/>
      <c r="N1497" s="159"/>
      <c r="O1497" s="159"/>
      <c r="P1497" s="136"/>
    </row>
    <row r="1498" spans="1:16" ht="16.5" customHeight="1" x14ac:dyDescent="0.25">
      <c r="A1498" s="156">
        <v>45387</v>
      </c>
      <c r="B1498" s="136" t="s">
        <v>18</v>
      </c>
      <c r="C1498" s="157" t="str">
        <f t="shared" si="46"/>
        <v>05.04.2024_ORB1</v>
      </c>
      <c r="D1498" s="190">
        <f t="shared" si="47"/>
        <v>0</v>
      </c>
      <c r="E1498" s="133">
        <v>7.54</v>
      </c>
      <c r="F1498" s="134"/>
      <c r="G1498" s="135">
        <v>123</v>
      </c>
      <c r="H1498" s="137">
        <v>10.4</v>
      </c>
      <c r="I1498" s="134"/>
      <c r="J1498" s="137">
        <v>14</v>
      </c>
      <c r="K1498" s="134"/>
      <c r="L1498" s="136">
        <v>20</v>
      </c>
      <c r="M1498" s="181"/>
      <c r="N1498" s="159"/>
      <c r="O1498" s="159"/>
      <c r="P1498" s="136"/>
    </row>
    <row r="1499" spans="1:16" ht="16.5" customHeight="1" x14ac:dyDescent="0.25">
      <c r="A1499" s="156">
        <v>45387</v>
      </c>
      <c r="B1499" s="136" t="s">
        <v>21</v>
      </c>
      <c r="C1499" s="157" t="str">
        <f t="shared" si="46"/>
        <v>05.04.2024_ORB2</v>
      </c>
      <c r="D1499" s="190">
        <f t="shared" si="47"/>
        <v>0</v>
      </c>
      <c r="E1499" s="133">
        <v>7.18</v>
      </c>
      <c r="F1499" s="134"/>
      <c r="G1499" s="135">
        <v>142</v>
      </c>
      <c r="H1499" s="137">
        <v>10.3</v>
      </c>
      <c r="I1499" s="134"/>
      <c r="J1499" s="137">
        <v>13.4</v>
      </c>
      <c r="K1499" s="134"/>
      <c r="L1499" s="136">
        <v>25</v>
      </c>
      <c r="M1499" s="181"/>
      <c r="N1499" s="159"/>
      <c r="O1499" s="159"/>
      <c r="P1499" s="136"/>
    </row>
    <row r="1500" spans="1:16" ht="16.5" customHeight="1" x14ac:dyDescent="0.25">
      <c r="A1500" s="156">
        <v>45387</v>
      </c>
      <c r="B1500" s="136" t="s">
        <v>10</v>
      </c>
      <c r="C1500" s="157" t="str">
        <f t="shared" si="46"/>
        <v>05.04.2024_SAL1</v>
      </c>
      <c r="D1500" s="190">
        <f t="shared" si="47"/>
        <v>0</v>
      </c>
      <c r="E1500" s="133">
        <v>7.62</v>
      </c>
      <c r="F1500" s="134"/>
      <c r="G1500" s="135">
        <v>123</v>
      </c>
      <c r="H1500" s="137">
        <v>11.2</v>
      </c>
      <c r="I1500" s="134"/>
      <c r="J1500" s="137">
        <v>13.3</v>
      </c>
      <c r="K1500" s="134"/>
      <c r="L1500" s="136">
        <v>70</v>
      </c>
      <c r="M1500" s="181"/>
      <c r="N1500" s="159"/>
      <c r="O1500" s="159"/>
      <c r="P1500" s="136"/>
    </row>
    <row r="1501" spans="1:16" ht="16.5" customHeight="1" x14ac:dyDescent="0.25">
      <c r="A1501" s="156">
        <v>45387</v>
      </c>
      <c r="B1501" s="136" t="s">
        <v>12</v>
      </c>
      <c r="C1501" s="157" t="str">
        <f t="shared" si="46"/>
        <v>05.04.2024_SAL2</v>
      </c>
      <c r="D1501" s="190">
        <f t="shared" si="47"/>
        <v>0</v>
      </c>
      <c r="E1501" s="133">
        <v>7.85</v>
      </c>
      <c r="F1501" s="134"/>
      <c r="G1501" s="135">
        <v>141.1</v>
      </c>
      <c r="H1501" s="137">
        <v>11</v>
      </c>
      <c r="I1501" s="134"/>
      <c r="J1501" s="137">
        <v>15.3</v>
      </c>
      <c r="K1501" s="134"/>
      <c r="L1501" s="136">
        <v>75</v>
      </c>
      <c r="M1501" s="181"/>
      <c r="N1501" s="159"/>
      <c r="O1501" s="159"/>
      <c r="P1501" s="136"/>
    </row>
    <row r="1502" spans="1:16" ht="16.5" customHeight="1" x14ac:dyDescent="0.25">
      <c r="A1502" s="156">
        <v>45387</v>
      </c>
      <c r="B1502" s="136" t="s">
        <v>7</v>
      </c>
      <c r="C1502" s="157" t="str">
        <f t="shared" si="46"/>
        <v>05.04.2024_STE1</v>
      </c>
      <c r="D1502" s="190">
        <f t="shared" si="47"/>
        <v>0</v>
      </c>
      <c r="E1502" s="133">
        <v>8.1300000000000008</v>
      </c>
      <c r="F1502" s="134"/>
      <c r="G1502" s="135">
        <v>159</v>
      </c>
      <c r="H1502" s="137">
        <v>11.6</v>
      </c>
      <c r="I1502" s="134"/>
      <c r="J1502" s="137">
        <v>12</v>
      </c>
      <c r="K1502" s="134"/>
      <c r="L1502" s="136">
        <v>50</v>
      </c>
      <c r="M1502" s="181"/>
      <c r="N1502" s="159"/>
      <c r="O1502" s="159"/>
      <c r="P1502" s="136"/>
    </row>
    <row r="1503" spans="1:16" ht="16.5" customHeight="1" x14ac:dyDescent="0.25">
      <c r="A1503" s="156">
        <v>45387</v>
      </c>
      <c r="B1503" s="136" t="s">
        <v>9</v>
      </c>
      <c r="C1503" s="157" t="str">
        <f t="shared" si="46"/>
        <v>05.04.2024_STE2</v>
      </c>
      <c r="D1503" s="190">
        <f t="shared" si="47"/>
        <v>0</v>
      </c>
      <c r="E1503" s="133">
        <v>8.1199999999999992</v>
      </c>
      <c r="F1503" s="134"/>
      <c r="G1503" s="135">
        <v>195</v>
      </c>
      <c r="H1503" s="137">
        <v>11.4</v>
      </c>
      <c r="I1503" s="134"/>
      <c r="J1503" s="137">
        <v>12.7</v>
      </c>
      <c r="K1503" s="134"/>
      <c r="L1503" s="136">
        <v>65</v>
      </c>
      <c r="M1503" s="181"/>
      <c r="N1503" s="159"/>
      <c r="O1503" s="159"/>
      <c r="P1503" s="136"/>
    </row>
    <row r="1504" spans="1:16" ht="16.5" customHeight="1" x14ac:dyDescent="0.25">
      <c r="A1504" s="156">
        <v>45401</v>
      </c>
      <c r="B1504" s="136" t="s">
        <v>22</v>
      </c>
      <c r="C1504" s="157" t="str">
        <f t="shared" si="46"/>
        <v>19.04.2024_BIE1</v>
      </c>
      <c r="D1504" s="190">
        <f t="shared" si="47"/>
        <v>0</v>
      </c>
      <c r="E1504" s="133">
        <v>7.4</v>
      </c>
      <c r="F1504" s="134"/>
      <c r="G1504" s="135">
        <v>123.4</v>
      </c>
      <c r="H1504" s="137">
        <v>10.9</v>
      </c>
      <c r="I1504" s="134"/>
      <c r="J1504" s="137">
        <v>10.6</v>
      </c>
      <c r="K1504" s="134"/>
      <c r="L1504" s="136">
        <v>65</v>
      </c>
      <c r="M1504" s="181"/>
      <c r="N1504" s="159"/>
      <c r="O1504" s="159"/>
      <c r="P1504" s="136"/>
    </row>
    <row r="1505" spans="1:16" ht="16.5" customHeight="1" x14ac:dyDescent="0.25">
      <c r="A1505" s="156">
        <v>45401</v>
      </c>
      <c r="B1505" s="136" t="s">
        <v>25</v>
      </c>
      <c r="C1505" s="157" t="str">
        <f t="shared" si="46"/>
        <v>19.04.2024_BIE2</v>
      </c>
      <c r="D1505" s="190">
        <f t="shared" si="47"/>
        <v>0</v>
      </c>
      <c r="E1505" s="133">
        <v>7.36</v>
      </c>
      <c r="F1505" s="134"/>
      <c r="G1505" s="135">
        <v>123.6</v>
      </c>
      <c r="H1505" s="137">
        <v>11</v>
      </c>
      <c r="I1505" s="134"/>
      <c r="J1505" s="137">
        <v>11</v>
      </c>
      <c r="K1505" s="134"/>
      <c r="L1505" s="136">
        <v>90</v>
      </c>
      <c r="M1505" s="181"/>
      <c r="N1505" s="159"/>
      <c r="O1505" s="159"/>
      <c r="P1505" s="136"/>
    </row>
    <row r="1506" spans="1:16" ht="16.5" customHeight="1" x14ac:dyDescent="0.25">
      <c r="A1506" s="156">
        <v>45401</v>
      </c>
      <c r="B1506" s="136" t="s">
        <v>30</v>
      </c>
      <c r="C1506" s="157" t="str">
        <f t="shared" si="46"/>
        <v>19.04.2024_FAL1</v>
      </c>
      <c r="D1506" s="190">
        <f t="shared" si="47"/>
        <v>0</v>
      </c>
      <c r="E1506" s="133">
        <v>8.07</v>
      </c>
      <c r="F1506" s="134"/>
      <c r="G1506" s="135">
        <v>724</v>
      </c>
      <c r="H1506" s="137">
        <v>10.6</v>
      </c>
      <c r="I1506" s="134"/>
      <c r="J1506" s="137">
        <v>9.5</v>
      </c>
      <c r="K1506" s="134"/>
      <c r="L1506" s="136">
        <v>50</v>
      </c>
      <c r="M1506" s="181"/>
      <c r="N1506" s="159"/>
      <c r="O1506" s="159"/>
      <c r="P1506" s="136"/>
    </row>
    <row r="1507" spans="1:16" ht="16.5" customHeight="1" x14ac:dyDescent="0.25">
      <c r="A1507" s="156">
        <v>45401</v>
      </c>
      <c r="B1507" s="136" t="s">
        <v>32</v>
      </c>
      <c r="C1507" s="157" t="str">
        <f t="shared" si="46"/>
        <v>19.04.2024_FAL2</v>
      </c>
      <c r="D1507" s="190">
        <f t="shared" si="47"/>
        <v>0</v>
      </c>
      <c r="E1507" s="133">
        <v>8.3000000000000007</v>
      </c>
      <c r="F1507" s="134"/>
      <c r="G1507" s="135">
        <v>741</v>
      </c>
      <c r="H1507" s="137">
        <v>10.8</v>
      </c>
      <c r="I1507" s="134"/>
      <c r="J1507" s="137">
        <v>9.1999999999999993</v>
      </c>
      <c r="K1507" s="134"/>
      <c r="L1507" s="136">
        <v>55.000000000000007</v>
      </c>
      <c r="M1507" s="181"/>
      <c r="N1507" s="159"/>
      <c r="O1507" s="159"/>
      <c r="P1507" s="136"/>
    </row>
    <row r="1508" spans="1:16" ht="16.5" customHeight="1" x14ac:dyDescent="0.25">
      <c r="A1508" s="156">
        <v>45401</v>
      </c>
      <c r="B1508" s="136" t="s">
        <v>26</v>
      </c>
      <c r="C1508" s="157" t="str">
        <f t="shared" si="46"/>
        <v>19.04.2024_GRU1</v>
      </c>
      <c r="D1508" s="190">
        <f t="shared" si="47"/>
        <v>0</v>
      </c>
      <c r="E1508" s="133">
        <v>7.54</v>
      </c>
      <c r="F1508" s="134"/>
      <c r="G1508" s="135">
        <v>153.69999999999999</v>
      </c>
      <c r="H1508" s="137">
        <v>11.7</v>
      </c>
      <c r="I1508" s="134"/>
      <c r="J1508" s="137">
        <v>9.4</v>
      </c>
      <c r="K1508" s="134"/>
      <c r="L1508" s="136">
        <v>40</v>
      </c>
      <c r="M1508" s="181"/>
      <c r="N1508" s="159"/>
      <c r="O1508" s="159"/>
      <c r="P1508" s="136"/>
    </row>
    <row r="1509" spans="1:16" ht="16.5" customHeight="1" x14ac:dyDescent="0.25">
      <c r="A1509" s="156">
        <v>45401</v>
      </c>
      <c r="B1509" s="136" t="s">
        <v>28</v>
      </c>
      <c r="C1509" s="157" t="str">
        <f t="shared" si="46"/>
        <v>19.04.2024_GRU2</v>
      </c>
      <c r="D1509" s="190">
        <f t="shared" si="47"/>
        <v>0</v>
      </c>
      <c r="E1509" s="133">
        <v>7.37</v>
      </c>
      <c r="F1509" s="134"/>
      <c r="G1509" s="135">
        <v>167.4</v>
      </c>
      <c r="H1509" s="137">
        <v>11.5</v>
      </c>
      <c r="I1509" s="134"/>
      <c r="J1509" s="137">
        <v>8.5</v>
      </c>
      <c r="K1509" s="134"/>
      <c r="L1509" s="136">
        <v>50</v>
      </c>
      <c r="M1509" s="181"/>
      <c r="N1509" s="159"/>
      <c r="O1509" s="159"/>
      <c r="P1509" s="136"/>
    </row>
    <row r="1510" spans="1:16" ht="16.5" customHeight="1" x14ac:dyDescent="0.25">
      <c r="A1510" s="156">
        <v>45401</v>
      </c>
      <c r="B1510" s="136" t="s">
        <v>34</v>
      </c>
      <c r="C1510" s="157" t="str">
        <f t="shared" si="46"/>
        <v>19.04.2024_KRE1</v>
      </c>
      <c r="D1510" s="190">
        <f t="shared" si="47"/>
        <v>0</v>
      </c>
      <c r="E1510" s="133">
        <v>8.1300000000000008</v>
      </c>
      <c r="F1510" s="134"/>
      <c r="G1510" s="135">
        <v>807</v>
      </c>
      <c r="H1510" s="137">
        <v>10</v>
      </c>
      <c r="I1510" s="134"/>
      <c r="J1510" s="137">
        <v>9.1</v>
      </c>
      <c r="K1510" s="134"/>
      <c r="L1510" s="136">
        <v>55.000000000000007</v>
      </c>
      <c r="M1510" s="181"/>
      <c r="N1510" s="159"/>
      <c r="O1510" s="159"/>
      <c r="P1510" s="136"/>
    </row>
    <row r="1511" spans="1:16" ht="16.5" customHeight="1" x14ac:dyDescent="0.25">
      <c r="A1511" s="156">
        <v>45401</v>
      </c>
      <c r="B1511" s="136" t="s">
        <v>37</v>
      </c>
      <c r="C1511" s="157" t="str">
        <f t="shared" si="46"/>
        <v>19.04.2024_KRE2</v>
      </c>
      <c r="D1511" s="190">
        <f t="shared" si="47"/>
        <v>0</v>
      </c>
      <c r="E1511" s="133">
        <v>8.15</v>
      </c>
      <c r="F1511" s="134"/>
      <c r="G1511" s="135">
        <v>834</v>
      </c>
      <c r="H1511" s="137">
        <v>9.6999999999999993</v>
      </c>
      <c r="I1511" s="134"/>
      <c r="J1511" s="137">
        <v>8.9</v>
      </c>
      <c r="K1511" s="134"/>
      <c r="L1511" s="136">
        <v>55.000000000000007</v>
      </c>
      <c r="M1511" s="181"/>
      <c r="N1511" s="159"/>
      <c r="O1511" s="159"/>
      <c r="P1511" s="136"/>
    </row>
    <row r="1512" spans="1:16" ht="16.5" customHeight="1" x14ac:dyDescent="0.25">
      <c r="A1512" s="156">
        <v>45401</v>
      </c>
      <c r="B1512" s="136" t="s">
        <v>14</v>
      </c>
      <c r="C1512" s="157" t="str">
        <f t="shared" si="46"/>
        <v>19.04.2024_BRA1</v>
      </c>
      <c r="D1512" s="190">
        <f t="shared" si="47"/>
        <v>0</v>
      </c>
      <c r="E1512" s="133">
        <v>7.64</v>
      </c>
      <c r="F1512" s="134"/>
      <c r="G1512" s="135">
        <v>128</v>
      </c>
      <c r="H1512" s="137">
        <v>12.2</v>
      </c>
      <c r="I1512" s="134"/>
      <c r="J1512" s="137">
        <v>7.6</v>
      </c>
      <c r="K1512" s="134"/>
      <c r="L1512" s="136">
        <v>22</v>
      </c>
      <c r="M1512" s="181"/>
      <c r="N1512" s="159"/>
      <c r="O1512" s="159"/>
      <c r="P1512" s="136"/>
    </row>
    <row r="1513" spans="1:16" ht="16.5" customHeight="1" x14ac:dyDescent="0.25">
      <c r="A1513" s="156">
        <v>45401</v>
      </c>
      <c r="B1513" s="136" t="s">
        <v>17</v>
      </c>
      <c r="C1513" s="157" t="str">
        <f t="shared" si="46"/>
        <v>19.04.2024_BRA2</v>
      </c>
      <c r="D1513" s="190">
        <f t="shared" si="47"/>
        <v>0</v>
      </c>
      <c r="E1513" s="133">
        <v>7.89</v>
      </c>
      <c r="F1513" s="134"/>
      <c r="G1513" s="135">
        <v>136</v>
      </c>
      <c r="H1513" s="137">
        <v>12</v>
      </c>
      <c r="I1513" s="134"/>
      <c r="J1513" s="137">
        <v>7.9</v>
      </c>
      <c r="K1513" s="134"/>
      <c r="L1513" s="136">
        <v>35</v>
      </c>
      <c r="M1513" s="181"/>
      <c r="N1513" s="159"/>
      <c r="O1513" s="159"/>
      <c r="P1513" s="136"/>
    </row>
    <row r="1514" spans="1:16" ht="16.5" customHeight="1" x14ac:dyDescent="0.25">
      <c r="A1514" s="156">
        <v>45401</v>
      </c>
      <c r="B1514" s="136" t="s">
        <v>0</v>
      </c>
      <c r="C1514" s="157" t="str">
        <f t="shared" si="46"/>
        <v>19.04.2024_KIN1</v>
      </c>
      <c r="D1514" s="190">
        <f t="shared" si="47"/>
        <v>0</v>
      </c>
      <c r="E1514" s="133">
        <v>8.5</v>
      </c>
      <c r="F1514" s="134"/>
      <c r="G1514" s="135">
        <v>350</v>
      </c>
      <c r="H1514" s="137">
        <v>12.1</v>
      </c>
      <c r="I1514" s="134"/>
      <c r="J1514" s="137">
        <v>8.3000000000000007</v>
      </c>
      <c r="K1514" s="134"/>
      <c r="L1514" s="136">
        <v>35</v>
      </c>
      <c r="M1514" s="181"/>
      <c r="N1514" s="159"/>
      <c r="O1514" s="159"/>
      <c r="P1514" s="136"/>
    </row>
    <row r="1515" spans="1:16" ht="16.5" customHeight="1" x14ac:dyDescent="0.25">
      <c r="A1515" s="156">
        <v>45401</v>
      </c>
      <c r="B1515" s="136" t="s">
        <v>2</v>
      </c>
      <c r="C1515" s="157" t="str">
        <f t="shared" si="46"/>
        <v>19.04.2024_KIN2</v>
      </c>
      <c r="D1515" s="190">
        <f t="shared" si="47"/>
        <v>0</v>
      </c>
      <c r="E1515" s="133">
        <v>8.35</v>
      </c>
      <c r="F1515" s="134"/>
      <c r="G1515" s="135">
        <v>444</v>
      </c>
      <c r="H1515" s="137">
        <v>12.4</v>
      </c>
      <c r="I1515" s="134"/>
      <c r="J1515" s="137">
        <v>8.8000000000000007</v>
      </c>
      <c r="K1515" s="134"/>
      <c r="L1515" s="136">
        <v>40</v>
      </c>
      <c r="M1515" s="181"/>
      <c r="N1515" s="159"/>
      <c r="O1515" s="159"/>
      <c r="P1515" s="136"/>
    </row>
    <row r="1516" spans="1:16" ht="16.5" customHeight="1" x14ac:dyDescent="0.25">
      <c r="A1516" s="156">
        <v>45401</v>
      </c>
      <c r="B1516" s="136" t="s">
        <v>4</v>
      </c>
      <c r="C1516" s="157" t="str">
        <f t="shared" si="46"/>
        <v>19.04.2024_KIN3</v>
      </c>
      <c r="D1516" s="190">
        <f t="shared" si="47"/>
        <v>0</v>
      </c>
      <c r="E1516" s="133">
        <v>8.43</v>
      </c>
      <c r="F1516" s="134"/>
      <c r="G1516" s="135">
        <v>428</v>
      </c>
      <c r="H1516" s="137">
        <v>12.4</v>
      </c>
      <c r="I1516" s="134"/>
      <c r="J1516" s="137">
        <v>8.8000000000000007</v>
      </c>
      <c r="K1516" s="134"/>
      <c r="L1516" s="136">
        <v>80</v>
      </c>
      <c r="M1516" s="181"/>
      <c r="N1516" s="159"/>
      <c r="O1516" s="159"/>
      <c r="P1516" s="136"/>
    </row>
    <row r="1517" spans="1:16" ht="16.5" customHeight="1" x14ac:dyDescent="0.25">
      <c r="A1517" s="156">
        <v>45401</v>
      </c>
      <c r="B1517" s="136" t="s">
        <v>6</v>
      </c>
      <c r="C1517" s="157" t="str">
        <f t="shared" si="46"/>
        <v>19.04.2024_KIN4</v>
      </c>
      <c r="D1517" s="190">
        <f t="shared" si="47"/>
        <v>0</v>
      </c>
      <c r="E1517" s="133">
        <v>8.2899999999999991</v>
      </c>
      <c r="F1517" s="134"/>
      <c r="G1517" s="135">
        <v>431</v>
      </c>
      <c r="H1517" s="137">
        <v>12.2</v>
      </c>
      <c r="I1517" s="134"/>
      <c r="J1517" s="137">
        <v>8.6</v>
      </c>
      <c r="K1517" s="134"/>
      <c r="L1517" s="136">
        <v>60</v>
      </c>
      <c r="M1517" s="181"/>
      <c r="N1517" s="159"/>
      <c r="O1517" s="159"/>
      <c r="P1517" s="136"/>
    </row>
    <row r="1518" spans="1:16" ht="16.5" customHeight="1" x14ac:dyDescent="0.25">
      <c r="A1518" s="156">
        <v>45401</v>
      </c>
      <c r="B1518" s="136" t="s">
        <v>18</v>
      </c>
      <c r="C1518" s="157" t="str">
        <f t="shared" si="46"/>
        <v>19.04.2024_ORB1</v>
      </c>
      <c r="D1518" s="190">
        <f t="shared" si="47"/>
        <v>0</v>
      </c>
      <c r="E1518" s="133">
        <v>7.36</v>
      </c>
      <c r="F1518" s="134"/>
      <c r="G1518" s="135">
        <v>114.4</v>
      </c>
      <c r="H1518" s="137">
        <v>12.2</v>
      </c>
      <c r="I1518" s="134"/>
      <c r="J1518" s="137">
        <v>9.3000000000000007</v>
      </c>
      <c r="K1518" s="134"/>
      <c r="L1518" s="136">
        <v>27</v>
      </c>
      <c r="M1518" s="181"/>
      <c r="N1518" s="159"/>
      <c r="O1518" s="159"/>
      <c r="P1518" s="136"/>
    </row>
    <row r="1519" spans="1:16" ht="16.5" customHeight="1" x14ac:dyDescent="0.25">
      <c r="A1519" s="156">
        <v>45401</v>
      </c>
      <c r="B1519" s="136" t="s">
        <v>21</v>
      </c>
      <c r="C1519" s="157" t="str">
        <f t="shared" si="46"/>
        <v>19.04.2024_ORB2</v>
      </c>
      <c r="D1519" s="190">
        <f t="shared" si="47"/>
        <v>0</v>
      </c>
      <c r="E1519" s="133">
        <v>7.25</v>
      </c>
      <c r="F1519" s="134"/>
      <c r="G1519" s="135">
        <v>158</v>
      </c>
      <c r="H1519" s="137">
        <v>11.5</v>
      </c>
      <c r="I1519" s="134"/>
      <c r="J1519" s="137">
        <v>11.7</v>
      </c>
      <c r="K1519" s="134"/>
      <c r="L1519" s="136">
        <v>35</v>
      </c>
      <c r="M1519" s="181"/>
      <c r="N1519" s="159"/>
      <c r="O1519" s="159"/>
      <c r="P1519" s="136"/>
    </row>
    <row r="1520" spans="1:16" ht="16.5" customHeight="1" x14ac:dyDescent="0.25">
      <c r="A1520" s="156">
        <v>45401</v>
      </c>
      <c r="B1520" s="136" t="s">
        <v>10</v>
      </c>
      <c r="C1520" s="157" t="str">
        <f t="shared" si="46"/>
        <v>19.04.2024_SAL1</v>
      </c>
      <c r="D1520" s="190">
        <f t="shared" si="47"/>
        <v>0</v>
      </c>
      <c r="E1520" s="133">
        <v>7.91</v>
      </c>
      <c r="F1520" s="134"/>
      <c r="G1520" s="135">
        <v>138</v>
      </c>
      <c r="H1520" s="137">
        <v>12.9</v>
      </c>
      <c r="I1520" s="134"/>
      <c r="J1520" s="137">
        <v>6.7</v>
      </c>
      <c r="K1520" s="134"/>
      <c r="L1520" s="136">
        <v>52</v>
      </c>
      <c r="M1520" s="181"/>
      <c r="N1520" s="159"/>
      <c r="O1520" s="159"/>
      <c r="P1520" s="136"/>
    </row>
    <row r="1521" spans="1:16" ht="16.5" customHeight="1" x14ac:dyDescent="0.25">
      <c r="A1521" s="156">
        <v>45401</v>
      </c>
      <c r="B1521" s="136" t="s">
        <v>12</v>
      </c>
      <c r="C1521" s="157" t="str">
        <f t="shared" si="46"/>
        <v>19.04.2024_SAL2</v>
      </c>
      <c r="D1521" s="190">
        <f t="shared" si="47"/>
        <v>0</v>
      </c>
      <c r="E1521" s="133">
        <v>8.01</v>
      </c>
      <c r="F1521" s="134"/>
      <c r="G1521" s="135">
        <v>149</v>
      </c>
      <c r="H1521" s="137">
        <v>12.7</v>
      </c>
      <c r="I1521" s="134"/>
      <c r="J1521" s="137">
        <v>7.7</v>
      </c>
      <c r="K1521" s="134"/>
      <c r="L1521" s="136">
        <v>45</v>
      </c>
      <c r="M1521" s="181"/>
      <c r="N1521" s="159"/>
      <c r="O1521" s="159"/>
      <c r="P1521" s="136"/>
    </row>
    <row r="1522" spans="1:16" ht="16.5" customHeight="1" x14ac:dyDescent="0.25">
      <c r="A1522" s="156">
        <v>45401</v>
      </c>
      <c r="B1522" s="136" t="s">
        <v>7</v>
      </c>
      <c r="C1522" s="157" t="str">
        <f t="shared" si="46"/>
        <v>19.04.2024_STE1</v>
      </c>
      <c r="D1522" s="190">
        <f t="shared" si="47"/>
        <v>0</v>
      </c>
      <c r="E1522" s="133">
        <v>8.34</v>
      </c>
      <c r="F1522" s="134"/>
      <c r="G1522" s="135">
        <v>265</v>
      </c>
      <c r="H1522" s="137">
        <v>12.6</v>
      </c>
      <c r="I1522" s="134"/>
      <c r="J1522" s="137">
        <v>8.8000000000000007</v>
      </c>
      <c r="K1522" s="134"/>
      <c r="L1522" s="136">
        <v>40</v>
      </c>
      <c r="M1522" s="181"/>
      <c r="N1522" s="159"/>
      <c r="O1522" s="159"/>
      <c r="P1522" s="136"/>
    </row>
    <row r="1523" spans="1:16" ht="16.5" customHeight="1" x14ac:dyDescent="0.25">
      <c r="A1523" s="156">
        <v>45401</v>
      </c>
      <c r="B1523" s="136" t="s">
        <v>9</v>
      </c>
      <c r="C1523" s="157" t="str">
        <f t="shared" si="46"/>
        <v>19.04.2024_STE2</v>
      </c>
      <c r="D1523" s="190">
        <f t="shared" si="47"/>
        <v>0</v>
      </c>
      <c r="E1523" s="133">
        <v>8.6300000000000008</v>
      </c>
      <c r="F1523" s="134"/>
      <c r="G1523" s="135">
        <v>271</v>
      </c>
      <c r="H1523" s="137">
        <v>12.3</v>
      </c>
      <c r="I1523" s="134"/>
      <c r="J1523" s="137">
        <v>9.4</v>
      </c>
      <c r="K1523" s="134"/>
      <c r="L1523" s="136">
        <v>50</v>
      </c>
      <c r="M1523" s="181"/>
      <c r="N1523" s="159"/>
      <c r="O1523" s="159"/>
      <c r="P1523" s="136"/>
    </row>
    <row r="1524" spans="1:16" ht="16.5" customHeight="1" x14ac:dyDescent="0.25">
      <c r="A1524" s="156">
        <v>45414</v>
      </c>
      <c r="B1524" s="136" t="s">
        <v>22</v>
      </c>
      <c r="C1524" s="157" t="str">
        <f t="shared" si="46"/>
        <v>02.05.2024_BIE1</v>
      </c>
      <c r="D1524" s="190">
        <f t="shared" si="47"/>
        <v>0</v>
      </c>
      <c r="E1524" s="133">
        <v>7.76</v>
      </c>
      <c r="F1524" s="134"/>
      <c r="G1524" s="135">
        <v>178.1</v>
      </c>
      <c r="H1524" s="137">
        <v>9.6999999999999993</v>
      </c>
      <c r="I1524" s="134"/>
      <c r="J1524" s="137">
        <v>14.7</v>
      </c>
      <c r="K1524" s="134"/>
      <c r="L1524" s="136">
        <v>30</v>
      </c>
      <c r="M1524" s="181"/>
      <c r="N1524" s="159"/>
      <c r="O1524" s="159"/>
      <c r="P1524" s="136"/>
    </row>
    <row r="1525" spans="1:16" ht="16.5" customHeight="1" x14ac:dyDescent="0.25">
      <c r="A1525" s="156">
        <v>45414</v>
      </c>
      <c r="B1525" s="136" t="s">
        <v>25</v>
      </c>
      <c r="C1525" s="157" t="str">
        <f t="shared" si="46"/>
        <v>02.05.2024_BIE2</v>
      </c>
      <c r="D1525" s="190">
        <f t="shared" si="47"/>
        <v>0</v>
      </c>
      <c r="E1525" s="133">
        <v>7.77</v>
      </c>
      <c r="F1525" s="134"/>
      <c r="G1525" s="135">
        <v>177.4</v>
      </c>
      <c r="H1525" s="137">
        <v>9.8000000000000007</v>
      </c>
      <c r="I1525" s="134"/>
      <c r="J1525" s="137">
        <v>14.6</v>
      </c>
      <c r="K1525" s="134"/>
      <c r="L1525" s="136">
        <v>50</v>
      </c>
      <c r="M1525" s="181"/>
      <c r="N1525" s="159"/>
      <c r="O1525" s="159"/>
      <c r="P1525" s="136"/>
    </row>
    <row r="1526" spans="1:16" ht="16.5" customHeight="1" x14ac:dyDescent="0.25">
      <c r="A1526" s="156">
        <v>45414</v>
      </c>
      <c r="B1526" s="136" t="s">
        <v>30</v>
      </c>
      <c r="C1526" s="157" t="str">
        <f t="shared" si="46"/>
        <v>02.05.2024_FAL1</v>
      </c>
      <c r="D1526" s="190">
        <f t="shared" si="47"/>
        <v>0</v>
      </c>
      <c r="E1526" s="133">
        <v>7.95</v>
      </c>
      <c r="F1526" s="134"/>
      <c r="G1526" s="135">
        <v>787</v>
      </c>
      <c r="H1526" s="137">
        <v>8.9</v>
      </c>
      <c r="I1526" s="134"/>
      <c r="J1526" s="137">
        <v>14.8</v>
      </c>
      <c r="K1526" s="134"/>
      <c r="L1526" s="136">
        <v>40</v>
      </c>
      <c r="M1526" s="181"/>
      <c r="N1526" s="159"/>
      <c r="O1526" s="159"/>
      <c r="P1526" s="136" t="s">
        <v>259</v>
      </c>
    </row>
    <row r="1527" spans="1:16" ht="16.5" customHeight="1" x14ac:dyDescent="0.25">
      <c r="A1527" s="156">
        <v>45414</v>
      </c>
      <c r="B1527" s="136" t="s">
        <v>32</v>
      </c>
      <c r="C1527" s="157" t="str">
        <f t="shared" si="46"/>
        <v>02.05.2024_FAL2</v>
      </c>
      <c r="D1527" s="190">
        <f t="shared" si="47"/>
        <v>0</v>
      </c>
      <c r="E1527" s="133">
        <v>8.23</v>
      </c>
      <c r="F1527" s="134"/>
      <c r="G1527" s="135">
        <v>797</v>
      </c>
      <c r="H1527" s="137">
        <v>10</v>
      </c>
      <c r="I1527" s="134"/>
      <c r="J1527" s="137">
        <v>15.2</v>
      </c>
      <c r="K1527" s="134"/>
      <c r="L1527" s="136">
        <v>50</v>
      </c>
      <c r="M1527" s="181"/>
      <c r="N1527" s="159"/>
      <c r="O1527" s="159"/>
      <c r="P1527" s="136"/>
    </row>
    <row r="1528" spans="1:16" ht="16.5" customHeight="1" x14ac:dyDescent="0.25">
      <c r="A1528" s="156">
        <v>45414</v>
      </c>
      <c r="B1528" s="136" t="s">
        <v>26</v>
      </c>
      <c r="C1528" s="157" t="str">
        <f t="shared" si="46"/>
        <v>02.05.2024_GRU1</v>
      </c>
      <c r="D1528" s="190">
        <f t="shared" si="47"/>
        <v>0</v>
      </c>
      <c r="E1528" s="133">
        <v>7.52</v>
      </c>
      <c r="F1528" s="134"/>
      <c r="G1528" s="135">
        <v>146.5</v>
      </c>
      <c r="H1528" s="137">
        <v>10.1</v>
      </c>
      <c r="I1528" s="134"/>
      <c r="J1528" s="137">
        <v>14.9</v>
      </c>
      <c r="K1528" s="134"/>
      <c r="L1528" s="136">
        <v>40</v>
      </c>
      <c r="M1528" s="181"/>
      <c r="N1528" s="159"/>
      <c r="O1528" s="159"/>
      <c r="P1528" s="136"/>
    </row>
    <row r="1529" spans="1:16" ht="16.5" customHeight="1" x14ac:dyDescent="0.25">
      <c r="A1529" s="156">
        <v>45414</v>
      </c>
      <c r="B1529" s="136" t="s">
        <v>28</v>
      </c>
      <c r="C1529" s="157" t="str">
        <f t="shared" si="46"/>
        <v>02.05.2024_GRU2</v>
      </c>
      <c r="D1529" s="190">
        <f t="shared" si="47"/>
        <v>0</v>
      </c>
      <c r="E1529" s="133">
        <v>7.42</v>
      </c>
      <c r="F1529" s="134"/>
      <c r="G1529" s="135">
        <v>161.5</v>
      </c>
      <c r="H1529" s="137">
        <v>10</v>
      </c>
      <c r="I1529" s="134"/>
      <c r="J1529" s="137">
        <v>15.4</v>
      </c>
      <c r="K1529" s="134"/>
      <c r="L1529" s="136">
        <v>45</v>
      </c>
      <c r="M1529" s="181"/>
      <c r="N1529" s="159"/>
      <c r="O1529" s="159"/>
      <c r="P1529" s="136"/>
    </row>
    <row r="1530" spans="1:16" ht="16.5" customHeight="1" x14ac:dyDescent="0.25">
      <c r="A1530" s="156">
        <v>45414</v>
      </c>
      <c r="B1530" s="136" t="s">
        <v>34</v>
      </c>
      <c r="C1530" s="157" t="str">
        <f t="shared" si="46"/>
        <v>02.05.2024_KRE1</v>
      </c>
      <c r="D1530" s="190">
        <f t="shared" si="47"/>
        <v>0</v>
      </c>
      <c r="E1530" s="133">
        <v>8.01</v>
      </c>
      <c r="F1530" s="134"/>
      <c r="G1530" s="135">
        <v>866</v>
      </c>
      <c r="H1530" s="137">
        <v>8.1</v>
      </c>
      <c r="I1530" s="134"/>
      <c r="J1530" s="137">
        <v>16</v>
      </c>
      <c r="K1530" s="134"/>
      <c r="L1530" s="136">
        <v>50</v>
      </c>
      <c r="M1530" s="181"/>
      <c r="N1530" s="159"/>
      <c r="O1530" s="159"/>
      <c r="P1530" s="136"/>
    </row>
    <row r="1531" spans="1:16" ht="16.5" customHeight="1" x14ac:dyDescent="0.25">
      <c r="A1531" s="156">
        <v>45414</v>
      </c>
      <c r="B1531" s="136" t="s">
        <v>37</v>
      </c>
      <c r="C1531" s="157" t="str">
        <f t="shared" si="46"/>
        <v>02.05.2024_KRE2</v>
      </c>
      <c r="D1531" s="190">
        <f t="shared" si="47"/>
        <v>0</v>
      </c>
      <c r="E1531" s="133">
        <v>7.99</v>
      </c>
      <c r="F1531" s="134"/>
      <c r="G1531" s="135">
        <v>880</v>
      </c>
      <c r="H1531" s="137">
        <v>7.9</v>
      </c>
      <c r="I1531" s="134"/>
      <c r="J1531" s="137">
        <v>16.5</v>
      </c>
      <c r="K1531" s="134"/>
      <c r="L1531" s="136">
        <v>40</v>
      </c>
      <c r="M1531" s="181"/>
      <c r="N1531" s="159"/>
      <c r="O1531" s="159"/>
      <c r="P1531" s="136"/>
    </row>
    <row r="1532" spans="1:16" ht="16.5" customHeight="1" x14ac:dyDescent="0.25">
      <c r="A1532" s="156">
        <v>45414</v>
      </c>
      <c r="B1532" s="136" t="s">
        <v>14</v>
      </c>
      <c r="C1532" s="157" t="str">
        <f t="shared" si="46"/>
        <v>02.05.2024_BRA1</v>
      </c>
      <c r="D1532" s="190">
        <f t="shared" si="47"/>
        <v>0</v>
      </c>
      <c r="E1532" s="133">
        <v>7.6</v>
      </c>
      <c r="F1532" s="134"/>
      <c r="G1532" s="135">
        <v>106</v>
      </c>
      <c r="H1532" s="137">
        <v>10.7</v>
      </c>
      <c r="I1532" s="134"/>
      <c r="J1532" s="137">
        <v>12.4</v>
      </c>
      <c r="K1532" s="134"/>
      <c r="L1532" s="136">
        <v>35</v>
      </c>
      <c r="M1532" s="181"/>
      <c r="N1532" s="159" t="s">
        <v>377</v>
      </c>
      <c r="O1532" s="159"/>
      <c r="P1532" s="136"/>
    </row>
    <row r="1533" spans="1:16" ht="16.5" customHeight="1" x14ac:dyDescent="0.25">
      <c r="A1533" s="156">
        <v>45414</v>
      </c>
      <c r="B1533" s="136" t="s">
        <v>17</v>
      </c>
      <c r="C1533" s="157" t="str">
        <f t="shared" si="46"/>
        <v>02.05.2024_BRA2</v>
      </c>
      <c r="D1533" s="190">
        <f t="shared" si="47"/>
        <v>0</v>
      </c>
      <c r="E1533" s="133">
        <v>6.51</v>
      </c>
      <c r="F1533" s="134"/>
      <c r="G1533" s="135">
        <v>117</v>
      </c>
      <c r="H1533" s="137">
        <v>11</v>
      </c>
      <c r="I1533" s="134"/>
      <c r="J1533" s="137">
        <v>13.7</v>
      </c>
      <c r="K1533" s="134"/>
      <c r="L1533" s="136">
        <v>50</v>
      </c>
      <c r="M1533" s="181"/>
      <c r="N1533" s="159"/>
      <c r="O1533" s="159"/>
      <c r="P1533" s="136"/>
    </row>
    <row r="1534" spans="1:16" ht="16.5" customHeight="1" x14ac:dyDescent="0.25">
      <c r="A1534" s="156">
        <v>45414</v>
      </c>
      <c r="B1534" s="136" t="s">
        <v>0</v>
      </c>
      <c r="C1534" s="157" t="str">
        <f t="shared" si="46"/>
        <v>02.05.2024_KIN1</v>
      </c>
      <c r="D1534" s="190">
        <f t="shared" si="47"/>
        <v>0</v>
      </c>
      <c r="E1534" s="133">
        <v>8.32</v>
      </c>
      <c r="F1534" s="134"/>
      <c r="G1534" s="135">
        <v>339</v>
      </c>
      <c r="H1534" s="137">
        <v>9.6999999999999993</v>
      </c>
      <c r="I1534" s="134"/>
      <c r="J1534" s="137">
        <v>16.5</v>
      </c>
      <c r="K1534" s="134"/>
      <c r="L1534" s="136">
        <v>30</v>
      </c>
      <c r="M1534" s="181"/>
      <c r="N1534" s="159"/>
      <c r="O1534" s="159"/>
      <c r="P1534" s="136"/>
    </row>
    <row r="1535" spans="1:16" ht="16.5" customHeight="1" x14ac:dyDescent="0.25">
      <c r="A1535" s="156">
        <v>45414</v>
      </c>
      <c r="B1535" s="136" t="s">
        <v>2</v>
      </c>
      <c r="C1535" s="157" t="str">
        <f t="shared" si="46"/>
        <v>02.05.2024_KIN2</v>
      </c>
      <c r="D1535" s="190">
        <f t="shared" si="47"/>
        <v>0</v>
      </c>
      <c r="E1535" s="133">
        <v>8.52</v>
      </c>
      <c r="F1535" s="134"/>
      <c r="G1535" s="135">
        <v>410</v>
      </c>
      <c r="H1535" s="137">
        <v>10.4</v>
      </c>
      <c r="I1535" s="134"/>
      <c r="J1535" s="137">
        <v>16.600000000000001</v>
      </c>
      <c r="K1535" s="134"/>
      <c r="L1535" s="136">
        <v>40</v>
      </c>
      <c r="M1535" s="181"/>
      <c r="N1535" s="159"/>
      <c r="O1535" s="159"/>
      <c r="P1535" s="136"/>
    </row>
    <row r="1536" spans="1:16" ht="16.5" customHeight="1" x14ac:dyDescent="0.25">
      <c r="A1536" s="156">
        <v>45414</v>
      </c>
      <c r="B1536" s="136" t="s">
        <v>4</v>
      </c>
      <c r="C1536" s="157" t="str">
        <f t="shared" si="46"/>
        <v>02.05.2024_KIN3</v>
      </c>
      <c r="D1536" s="190">
        <f t="shared" si="47"/>
        <v>0</v>
      </c>
      <c r="E1536" s="133">
        <v>9.02</v>
      </c>
      <c r="F1536" s="134"/>
      <c r="G1536" s="135">
        <v>405</v>
      </c>
      <c r="H1536" s="137">
        <v>10.6</v>
      </c>
      <c r="I1536" s="134"/>
      <c r="J1536" s="137">
        <v>16.600000000000001</v>
      </c>
      <c r="K1536" s="134"/>
      <c r="L1536" s="136">
        <v>70</v>
      </c>
      <c r="M1536" s="181"/>
      <c r="N1536" s="159"/>
      <c r="O1536" s="159"/>
      <c r="P1536" s="136"/>
    </row>
    <row r="1537" spans="1:16" ht="16.5" customHeight="1" x14ac:dyDescent="0.25">
      <c r="A1537" s="156">
        <v>45414</v>
      </c>
      <c r="B1537" s="136" t="s">
        <v>6</v>
      </c>
      <c r="C1537" s="157" t="str">
        <f t="shared" si="46"/>
        <v>02.05.2024_KIN4</v>
      </c>
      <c r="D1537" s="190">
        <f t="shared" si="47"/>
        <v>0</v>
      </c>
      <c r="E1537" s="133">
        <v>8.91</v>
      </c>
      <c r="F1537" s="134"/>
      <c r="G1537" s="135">
        <v>409</v>
      </c>
      <c r="H1537" s="137">
        <v>10.6</v>
      </c>
      <c r="I1537" s="134"/>
      <c r="J1537" s="137">
        <v>16.100000000000001</v>
      </c>
      <c r="K1537" s="134"/>
      <c r="L1537" s="136">
        <v>55.000000000000007</v>
      </c>
      <c r="M1537" s="181"/>
      <c r="N1537" s="159"/>
      <c r="O1537" s="159"/>
      <c r="P1537" s="136"/>
    </row>
    <row r="1538" spans="1:16" ht="16.5" customHeight="1" x14ac:dyDescent="0.25">
      <c r="A1538" s="156">
        <v>45414</v>
      </c>
      <c r="B1538" s="136" t="s">
        <v>18</v>
      </c>
      <c r="C1538" s="157" t="str">
        <f t="shared" si="46"/>
        <v>02.05.2024_ORB1</v>
      </c>
      <c r="D1538" s="190">
        <f t="shared" si="47"/>
        <v>0</v>
      </c>
      <c r="E1538" s="133">
        <v>6.61</v>
      </c>
      <c r="F1538" s="134"/>
      <c r="G1538" s="135">
        <v>103</v>
      </c>
      <c r="H1538" s="137">
        <v>11.4</v>
      </c>
      <c r="I1538" s="134"/>
      <c r="J1538" s="137">
        <v>13.9</v>
      </c>
      <c r="K1538" s="134"/>
      <c r="L1538" s="136">
        <v>25</v>
      </c>
      <c r="M1538" s="181"/>
      <c r="N1538" s="159"/>
      <c r="O1538" s="159"/>
      <c r="P1538" s="136"/>
    </row>
    <row r="1539" spans="1:16" ht="16.5" customHeight="1" x14ac:dyDescent="0.25">
      <c r="A1539" s="156">
        <v>45414</v>
      </c>
      <c r="B1539" s="136" t="s">
        <v>21</v>
      </c>
      <c r="C1539" s="157" t="str">
        <f t="shared" si="46"/>
        <v>02.05.2024_ORB2</v>
      </c>
      <c r="D1539" s="190">
        <f t="shared" si="47"/>
        <v>0</v>
      </c>
      <c r="E1539" s="133">
        <v>6.56</v>
      </c>
      <c r="F1539" s="134"/>
      <c r="G1539" s="135">
        <v>112</v>
      </c>
      <c r="H1539" s="137">
        <v>11.7</v>
      </c>
      <c r="I1539" s="134"/>
      <c r="J1539" s="137">
        <v>14.4</v>
      </c>
      <c r="K1539" s="134"/>
      <c r="L1539" s="136">
        <v>25</v>
      </c>
      <c r="M1539" s="181"/>
      <c r="N1539" s="159"/>
      <c r="O1539" s="159"/>
      <c r="P1539" s="136"/>
    </row>
    <row r="1540" spans="1:16" ht="16.5" customHeight="1" x14ac:dyDescent="0.25">
      <c r="A1540" s="156">
        <v>45414</v>
      </c>
      <c r="B1540" s="136" t="s">
        <v>10</v>
      </c>
      <c r="C1540" s="157" t="str">
        <f t="shared" si="46"/>
        <v>02.05.2024_SAL1</v>
      </c>
      <c r="D1540" s="190">
        <f t="shared" si="47"/>
        <v>0</v>
      </c>
      <c r="E1540" s="133">
        <v>8.32</v>
      </c>
      <c r="F1540" s="134"/>
      <c r="G1540" s="135">
        <v>157</v>
      </c>
      <c r="H1540" s="137">
        <v>11</v>
      </c>
      <c r="I1540" s="134"/>
      <c r="J1540" s="137">
        <v>12.7</v>
      </c>
      <c r="K1540" s="134"/>
      <c r="L1540" s="136">
        <v>55.000000000000007</v>
      </c>
      <c r="M1540" s="181"/>
      <c r="N1540" s="159"/>
      <c r="O1540" s="159"/>
      <c r="P1540" s="136"/>
    </row>
    <row r="1541" spans="1:16" ht="16.5" customHeight="1" x14ac:dyDescent="0.25">
      <c r="A1541" s="156">
        <v>45414</v>
      </c>
      <c r="B1541" s="136" t="s">
        <v>12</v>
      </c>
      <c r="C1541" s="157" t="str">
        <f t="shared" ref="C1541:C1604" si="48">CONCATENATE(TEXT(A1541,"TT.MM.JJJJ"),"_",B1541)</f>
        <v>02.05.2024_SAL2</v>
      </c>
      <c r="D1541" s="190">
        <f t="shared" ref="D1541:D1604" si="49">COUNTBLANK(E1541)+COUNTBLANK(G1541:H1541)+COUNTBLANK(J1541)+COUNTBLANK(L1541)</f>
        <v>0</v>
      </c>
      <c r="E1541" s="133">
        <v>7.71</v>
      </c>
      <c r="F1541" s="134"/>
      <c r="G1541" s="135">
        <v>157</v>
      </c>
      <c r="H1541" s="137">
        <v>11.3</v>
      </c>
      <c r="I1541" s="134"/>
      <c r="J1541" s="137">
        <v>13.4</v>
      </c>
      <c r="K1541" s="134"/>
      <c r="L1541" s="136">
        <v>65</v>
      </c>
      <c r="M1541" s="181"/>
      <c r="N1541" s="159"/>
      <c r="O1541" s="159"/>
      <c r="P1541" s="136"/>
    </row>
    <row r="1542" spans="1:16" ht="16.5" customHeight="1" x14ac:dyDescent="0.25">
      <c r="A1542" s="156">
        <v>45414</v>
      </c>
      <c r="B1542" s="136" t="s">
        <v>7</v>
      </c>
      <c r="C1542" s="157" t="str">
        <f t="shared" si="48"/>
        <v>02.05.2024_STE1</v>
      </c>
      <c r="D1542" s="190">
        <f t="shared" si="49"/>
        <v>0</v>
      </c>
      <c r="E1542" s="133">
        <v>8.4600000000000009</v>
      </c>
      <c r="F1542" s="134"/>
      <c r="G1542" s="135">
        <v>280</v>
      </c>
      <c r="H1542" s="137">
        <v>9.6</v>
      </c>
      <c r="I1542" s="134"/>
      <c r="J1542" s="137">
        <v>15</v>
      </c>
      <c r="K1542" s="134"/>
      <c r="L1542" s="136">
        <v>30</v>
      </c>
      <c r="M1542" s="181"/>
      <c r="N1542" s="159"/>
      <c r="O1542" s="159"/>
      <c r="P1542" s="136"/>
    </row>
    <row r="1543" spans="1:16" ht="16.5" customHeight="1" x14ac:dyDescent="0.25">
      <c r="A1543" s="156">
        <v>45414</v>
      </c>
      <c r="B1543" s="136" t="s">
        <v>9</v>
      </c>
      <c r="C1543" s="157" t="str">
        <f t="shared" si="48"/>
        <v>02.05.2024_STE2</v>
      </c>
      <c r="D1543" s="190">
        <f t="shared" si="49"/>
        <v>0</v>
      </c>
      <c r="E1543" s="133">
        <v>8.67</v>
      </c>
      <c r="F1543" s="134"/>
      <c r="G1543" s="135">
        <v>275</v>
      </c>
      <c r="H1543" s="137">
        <v>9.6</v>
      </c>
      <c r="I1543" s="134"/>
      <c r="J1543" s="137">
        <v>15.7</v>
      </c>
      <c r="K1543" s="134"/>
      <c r="L1543" s="136">
        <v>45</v>
      </c>
      <c r="M1543" s="181"/>
      <c r="N1543" s="159"/>
      <c r="O1543" s="159"/>
      <c r="P1543" s="136"/>
    </row>
    <row r="1544" spans="1:16" ht="16.5" customHeight="1" x14ac:dyDescent="0.25">
      <c r="A1544" s="156">
        <v>45429</v>
      </c>
      <c r="B1544" s="136" t="s">
        <v>22</v>
      </c>
      <c r="C1544" s="157" t="str">
        <f t="shared" si="48"/>
        <v>17.05.2024_BIE1</v>
      </c>
      <c r="D1544" s="190">
        <f t="shared" si="49"/>
        <v>0</v>
      </c>
      <c r="E1544" s="133">
        <v>7.76</v>
      </c>
      <c r="F1544" s="134"/>
      <c r="G1544" s="135">
        <v>161</v>
      </c>
      <c r="H1544" s="137">
        <v>10</v>
      </c>
      <c r="I1544" s="134"/>
      <c r="J1544" s="137">
        <v>13.4</v>
      </c>
      <c r="K1544" s="134"/>
      <c r="L1544" s="136">
        <v>30</v>
      </c>
      <c r="M1544" s="181"/>
      <c r="N1544" s="159"/>
      <c r="O1544" s="159"/>
      <c r="P1544" s="136"/>
    </row>
    <row r="1545" spans="1:16" ht="16.5" customHeight="1" x14ac:dyDescent="0.25">
      <c r="A1545" s="156">
        <v>45429</v>
      </c>
      <c r="B1545" s="136" t="s">
        <v>25</v>
      </c>
      <c r="C1545" s="157" t="str">
        <f t="shared" si="48"/>
        <v>17.05.2024_BIE2</v>
      </c>
      <c r="D1545" s="190">
        <f t="shared" si="49"/>
        <v>0</v>
      </c>
      <c r="E1545" s="133">
        <v>7.77</v>
      </c>
      <c r="F1545" s="134"/>
      <c r="G1545" s="135">
        <v>162.30000000000001</v>
      </c>
      <c r="H1545" s="137">
        <v>9.9</v>
      </c>
      <c r="I1545" s="134"/>
      <c r="J1545" s="137">
        <v>13</v>
      </c>
      <c r="K1545" s="134"/>
      <c r="L1545" s="136">
        <v>50</v>
      </c>
      <c r="M1545" s="181"/>
      <c r="N1545" s="159"/>
      <c r="O1545" s="159"/>
      <c r="P1545" s="136"/>
    </row>
    <row r="1546" spans="1:16" ht="16.5" customHeight="1" x14ac:dyDescent="0.25">
      <c r="A1546" s="156">
        <v>45429</v>
      </c>
      <c r="B1546" s="136" t="s">
        <v>30</v>
      </c>
      <c r="C1546" s="157" t="str">
        <f t="shared" si="48"/>
        <v>17.05.2024_FAL1</v>
      </c>
      <c r="D1546" s="190">
        <f t="shared" si="49"/>
        <v>0</v>
      </c>
      <c r="E1546" s="133">
        <v>8.01</v>
      </c>
      <c r="F1546" s="134"/>
      <c r="G1546" s="135">
        <v>783</v>
      </c>
      <c r="H1546" s="137">
        <v>9</v>
      </c>
      <c r="I1546" s="134"/>
      <c r="J1546" s="137">
        <v>15.1</v>
      </c>
      <c r="K1546" s="134"/>
      <c r="L1546" s="136">
        <v>40</v>
      </c>
      <c r="M1546" s="181"/>
      <c r="N1546" s="159"/>
      <c r="O1546" s="159"/>
      <c r="P1546" s="136"/>
    </row>
    <row r="1547" spans="1:16" ht="16.5" customHeight="1" x14ac:dyDescent="0.25">
      <c r="A1547" s="156">
        <v>45429</v>
      </c>
      <c r="B1547" s="136" t="s">
        <v>32</v>
      </c>
      <c r="C1547" s="157" t="str">
        <f t="shared" si="48"/>
        <v>17.05.2024_FAL2</v>
      </c>
      <c r="D1547" s="190">
        <f t="shared" si="49"/>
        <v>0</v>
      </c>
      <c r="E1547" s="133">
        <v>8.1300000000000008</v>
      </c>
      <c r="F1547" s="134"/>
      <c r="G1547" s="135">
        <v>740</v>
      </c>
      <c r="H1547" s="137">
        <v>8.6</v>
      </c>
      <c r="I1547" s="134"/>
      <c r="J1547" s="137">
        <v>15</v>
      </c>
      <c r="K1547" s="134"/>
      <c r="L1547" s="136">
        <v>40</v>
      </c>
      <c r="M1547" s="181"/>
      <c r="N1547" s="159"/>
      <c r="O1547" s="159"/>
      <c r="P1547" s="136"/>
    </row>
    <row r="1548" spans="1:16" ht="16.5" customHeight="1" x14ac:dyDescent="0.25">
      <c r="A1548" s="156">
        <v>45429</v>
      </c>
      <c r="B1548" s="136" t="s">
        <v>26</v>
      </c>
      <c r="C1548" s="157" t="str">
        <f t="shared" si="48"/>
        <v>17.05.2024_GRU1</v>
      </c>
      <c r="D1548" s="190">
        <f t="shared" si="49"/>
        <v>0</v>
      </c>
      <c r="E1548" s="133">
        <v>7.47</v>
      </c>
      <c r="F1548" s="134"/>
      <c r="G1548" s="135">
        <v>156.9</v>
      </c>
      <c r="H1548" s="137">
        <v>9.6999999999999993</v>
      </c>
      <c r="I1548" s="134"/>
      <c r="J1548" s="137">
        <v>14.3</v>
      </c>
      <c r="K1548" s="134"/>
      <c r="L1548" s="136">
        <v>40</v>
      </c>
      <c r="M1548" s="181"/>
      <c r="N1548" s="159"/>
      <c r="O1548" s="159"/>
      <c r="P1548" s="136"/>
    </row>
    <row r="1549" spans="1:16" ht="16.5" customHeight="1" x14ac:dyDescent="0.25">
      <c r="A1549" s="156">
        <v>45429</v>
      </c>
      <c r="B1549" s="136" t="s">
        <v>28</v>
      </c>
      <c r="C1549" s="157" t="str">
        <f t="shared" si="48"/>
        <v>17.05.2024_GRU2</v>
      </c>
      <c r="D1549" s="190">
        <f t="shared" si="49"/>
        <v>0</v>
      </c>
      <c r="E1549" s="133">
        <v>7.3</v>
      </c>
      <c r="F1549" s="134"/>
      <c r="G1549" s="135">
        <v>174.7</v>
      </c>
      <c r="H1549" s="137">
        <v>9.3000000000000007</v>
      </c>
      <c r="I1549" s="134"/>
      <c r="J1549" s="137">
        <v>14.8</v>
      </c>
      <c r="K1549" s="134"/>
      <c r="L1549" s="136">
        <v>50</v>
      </c>
      <c r="M1549" s="181"/>
      <c r="N1549" s="159"/>
      <c r="O1549" s="159"/>
      <c r="P1549" s="136"/>
    </row>
    <row r="1550" spans="1:16" ht="16.5" customHeight="1" x14ac:dyDescent="0.25">
      <c r="A1550" s="156">
        <v>45429</v>
      </c>
      <c r="B1550" s="136" t="s">
        <v>34</v>
      </c>
      <c r="C1550" s="157" t="str">
        <f t="shared" si="48"/>
        <v>17.05.2024_KRE1</v>
      </c>
      <c r="D1550" s="190">
        <f t="shared" si="49"/>
        <v>0</v>
      </c>
      <c r="E1550" s="133">
        <v>7.95</v>
      </c>
      <c r="F1550" s="134"/>
      <c r="G1550" s="135">
        <v>851</v>
      </c>
      <c r="H1550" s="137">
        <v>6.8</v>
      </c>
      <c r="I1550" s="134"/>
      <c r="J1550" s="137">
        <v>16.100000000000001</v>
      </c>
      <c r="K1550" s="134"/>
      <c r="L1550" s="136">
        <v>50</v>
      </c>
      <c r="M1550" s="181"/>
      <c r="N1550" s="159"/>
      <c r="O1550" s="159"/>
      <c r="P1550" s="136"/>
    </row>
    <row r="1551" spans="1:16" ht="16.5" customHeight="1" x14ac:dyDescent="0.25">
      <c r="A1551" s="156">
        <v>45429</v>
      </c>
      <c r="B1551" s="136" t="s">
        <v>37</v>
      </c>
      <c r="C1551" s="157" t="str">
        <f t="shared" si="48"/>
        <v>17.05.2024_KRE2</v>
      </c>
      <c r="D1551" s="190">
        <f t="shared" si="49"/>
        <v>0</v>
      </c>
      <c r="E1551" s="133">
        <v>7.97</v>
      </c>
      <c r="F1551" s="134"/>
      <c r="G1551" s="135">
        <v>873</v>
      </c>
      <c r="H1551" s="137">
        <v>7.1</v>
      </c>
      <c r="I1551" s="134"/>
      <c r="J1551" s="137">
        <v>16</v>
      </c>
      <c r="K1551" s="134"/>
      <c r="L1551" s="136">
        <v>50</v>
      </c>
      <c r="M1551" s="181"/>
      <c r="N1551" s="159"/>
      <c r="O1551" s="159"/>
      <c r="P1551" s="136"/>
    </row>
    <row r="1552" spans="1:16" ht="16.5" customHeight="1" x14ac:dyDescent="0.25">
      <c r="A1552" s="156">
        <v>45429</v>
      </c>
      <c r="B1552" s="136" t="s">
        <v>14</v>
      </c>
      <c r="C1552" s="157" t="str">
        <f t="shared" si="48"/>
        <v>17.05.2024_BRA1</v>
      </c>
      <c r="D1552" s="190">
        <f t="shared" si="49"/>
        <v>0</v>
      </c>
      <c r="E1552" s="133">
        <v>7.62</v>
      </c>
      <c r="F1552" s="134"/>
      <c r="G1552" s="135">
        <v>127</v>
      </c>
      <c r="H1552" s="137">
        <v>10.8</v>
      </c>
      <c r="I1552" s="134"/>
      <c r="J1552" s="137">
        <v>13.9</v>
      </c>
      <c r="K1552" s="134"/>
      <c r="L1552" s="136">
        <v>20</v>
      </c>
      <c r="M1552" s="181"/>
      <c r="N1552" s="159"/>
      <c r="O1552" s="159"/>
      <c r="P1552" s="136"/>
    </row>
    <row r="1553" spans="1:16" ht="16.5" customHeight="1" x14ac:dyDescent="0.25">
      <c r="A1553" s="156">
        <v>45429</v>
      </c>
      <c r="B1553" s="136" t="s">
        <v>17</v>
      </c>
      <c r="C1553" s="157" t="str">
        <f t="shared" si="48"/>
        <v>17.05.2024_BRA2</v>
      </c>
      <c r="D1553" s="190">
        <f t="shared" si="49"/>
        <v>0</v>
      </c>
      <c r="E1553" s="133">
        <v>7.97</v>
      </c>
      <c r="F1553" s="134"/>
      <c r="G1553" s="135">
        <v>143</v>
      </c>
      <c r="H1553" s="137">
        <v>11.1</v>
      </c>
      <c r="I1553" s="134"/>
      <c r="J1553" s="137">
        <v>14.1</v>
      </c>
      <c r="K1553" s="134"/>
      <c r="L1553" s="136">
        <v>30</v>
      </c>
      <c r="M1553" s="181"/>
      <c r="N1553" s="159"/>
      <c r="O1553" s="159"/>
      <c r="P1553" s="136"/>
    </row>
    <row r="1554" spans="1:16" ht="16.5" customHeight="1" x14ac:dyDescent="0.25">
      <c r="A1554" s="156">
        <v>45429</v>
      </c>
      <c r="B1554" s="136" t="s">
        <v>0</v>
      </c>
      <c r="C1554" s="157" t="str">
        <f t="shared" si="48"/>
        <v>17.05.2024_KIN1</v>
      </c>
      <c r="D1554" s="190">
        <f t="shared" si="49"/>
        <v>0</v>
      </c>
      <c r="E1554" s="133">
        <v>8.4700000000000006</v>
      </c>
      <c r="F1554" s="134"/>
      <c r="G1554" s="135">
        <v>346</v>
      </c>
      <c r="H1554" s="137">
        <v>10</v>
      </c>
      <c r="I1554" s="134"/>
      <c r="J1554" s="137">
        <v>14.9</v>
      </c>
      <c r="K1554" s="134"/>
      <c r="L1554" s="136">
        <v>30</v>
      </c>
      <c r="M1554" s="181"/>
      <c r="N1554" s="159"/>
      <c r="O1554" s="159"/>
      <c r="P1554" s="136"/>
    </row>
    <row r="1555" spans="1:16" ht="16.5" customHeight="1" x14ac:dyDescent="0.25">
      <c r="A1555" s="156">
        <v>45429</v>
      </c>
      <c r="B1555" s="136" t="s">
        <v>2</v>
      </c>
      <c r="C1555" s="157" t="str">
        <f t="shared" si="48"/>
        <v>17.05.2024_KIN2</v>
      </c>
      <c r="D1555" s="190">
        <f t="shared" si="49"/>
        <v>0</v>
      </c>
      <c r="E1555" s="133">
        <v>8.25</v>
      </c>
      <c r="F1555" s="134"/>
      <c r="G1555" s="135">
        <v>404</v>
      </c>
      <c r="H1555" s="137">
        <v>10.6</v>
      </c>
      <c r="I1555" s="134"/>
      <c r="J1555" s="137">
        <v>14.7</v>
      </c>
      <c r="K1555" s="134"/>
      <c r="L1555" s="136">
        <v>40</v>
      </c>
      <c r="M1555" s="181"/>
      <c r="N1555" s="159"/>
      <c r="O1555" s="159"/>
      <c r="P1555" s="136"/>
    </row>
    <row r="1556" spans="1:16" ht="16.5" customHeight="1" x14ac:dyDescent="0.25">
      <c r="A1556" s="156">
        <v>45429</v>
      </c>
      <c r="B1556" s="136" t="s">
        <v>4</v>
      </c>
      <c r="C1556" s="157" t="str">
        <f t="shared" si="48"/>
        <v>17.05.2024_KIN3</v>
      </c>
      <c r="D1556" s="190">
        <f t="shared" si="49"/>
        <v>0</v>
      </c>
      <c r="E1556" s="133">
        <v>8.36</v>
      </c>
      <c r="F1556" s="134"/>
      <c r="G1556" s="135">
        <v>387</v>
      </c>
      <c r="H1556" s="137">
        <v>10.5</v>
      </c>
      <c r="I1556" s="134"/>
      <c r="J1556" s="137">
        <v>15.1</v>
      </c>
      <c r="K1556" s="134"/>
      <c r="L1556" s="136">
        <v>60</v>
      </c>
      <c r="M1556" s="181"/>
      <c r="N1556" s="159"/>
      <c r="O1556" s="159"/>
      <c r="P1556" s="136"/>
    </row>
    <row r="1557" spans="1:16" ht="16.5" customHeight="1" x14ac:dyDescent="0.25">
      <c r="A1557" s="156">
        <v>45429</v>
      </c>
      <c r="B1557" s="136" t="s">
        <v>6</v>
      </c>
      <c r="C1557" s="157" t="str">
        <f t="shared" si="48"/>
        <v>17.05.2024_KIN4</v>
      </c>
      <c r="D1557" s="190">
        <f t="shared" si="49"/>
        <v>0</v>
      </c>
      <c r="E1557" s="133">
        <v>8.2200000000000006</v>
      </c>
      <c r="F1557" s="134"/>
      <c r="G1557" s="135">
        <v>396</v>
      </c>
      <c r="H1557" s="137">
        <v>10.199999999999999</v>
      </c>
      <c r="I1557" s="134"/>
      <c r="J1557" s="137">
        <v>15.2</v>
      </c>
      <c r="K1557" s="134"/>
      <c r="L1557" s="136">
        <v>50</v>
      </c>
      <c r="M1557" s="181"/>
      <c r="N1557" s="159"/>
      <c r="O1557" s="159"/>
      <c r="P1557" s="136"/>
    </row>
    <row r="1558" spans="1:16" ht="16.5" customHeight="1" x14ac:dyDescent="0.25">
      <c r="A1558" s="156">
        <v>45429</v>
      </c>
      <c r="B1558" s="136" t="s">
        <v>18</v>
      </c>
      <c r="C1558" s="157" t="str">
        <f t="shared" si="48"/>
        <v>17.05.2024_ORB1</v>
      </c>
      <c r="D1558" s="190">
        <f t="shared" si="49"/>
        <v>0</v>
      </c>
      <c r="E1558" s="133">
        <v>7.23</v>
      </c>
      <c r="F1558" s="134"/>
      <c r="G1558" s="135">
        <v>113.2</v>
      </c>
      <c r="H1558" s="137">
        <v>11.7</v>
      </c>
      <c r="I1558" s="134"/>
      <c r="J1558" s="137">
        <v>12.8</v>
      </c>
      <c r="K1558" s="134"/>
      <c r="L1558" s="136">
        <v>20</v>
      </c>
      <c r="M1558" s="181"/>
      <c r="N1558" s="159"/>
      <c r="O1558" s="159"/>
      <c r="P1558" s="136"/>
    </row>
    <row r="1559" spans="1:16" ht="16.5" customHeight="1" x14ac:dyDescent="0.25">
      <c r="A1559" s="156">
        <v>45429</v>
      </c>
      <c r="B1559" s="136" t="s">
        <v>21</v>
      </c>
      <c r="C1559" s="157" t="str">
        <f t="shared" si="48"/>
        <v>17.05.2024_ORB2</v>
      </c>
      <c r="D1559" s="190">
        <f t="shared" si="49"/>
        <v>0</v>
      </c>
      <c r="E1559" s="133">
        <v>7</v>
      </c>
      <c r="F1559" s="134"/>
      <c r="G1559" s="135">
        <v>192</v>
      </c>
      <c r="H1559" s="137">
        <v>11.4</v>
      </c>
      <c r="I1559" s="134"/>
      <c r="J1559" s="137">
        <v>13.1</v>
      </c>
      <c r="K1559" s="134"/>
      <c r="L1559" s="136">
        <v>30</v>
      </c>
      <c r="M1559" s="181"/>
      <c r="N1559" s="159"/>
      <c r="O1559" s="159"/>
      <c r="P1559" s="136"/>
    </row>
    <row r="1560" spans="1:16" ht="16.5" customHeight="1" x14ac:dyDescent="0.25">
      <c r="A1560" s="156">
        <v>45429</v>
      </c>
      <c r="B1560" s="136" t="s">
        <v>10</v>
      </c>
      <c r="C1560" s="157" t="str">
        <f t="shared" si="48"/>
        <v>17.05.2024_SAL1</v>
      </c>
      <c r="D1560" s="190">
        <f t="shared" si="49"/>
        <v>0</v>
      </c>
      <c r="E1560" s="133">
        <v>7.95</v>
      </c>
      <c r="F1560" s="134"/>
      <c r="G1560" s="135">
        <v>148</v>
      </c>
      <c r="H1560" s="137">
        <v>11</v>
      </c>
      <c r="I1560" s="134"/>
      <c r="J1560" s="137">
        <v>14.1</v>
      </c>
      <c r="K1560" s="134"/>
      <c r="L1560" s="136">
        <v>40</v>
      </c>
      <c r="M1560" s="181"/>
      <c r="N1560" s="159"/>
      <c r="O1560" s="159"/>
      <c r="P1560" s="136"/>
    </row>
    <row r="1561" spans="1:16" ht="16.5" customHeight="1" x14ac:dyDescent="0.25">
      <c r="A1561" s="156">
        <v>45429</v>
      </c>
      <c r="B1561" s="136" t="s">
        <v>12</v>
      </c>
      <c r="C1561" s="157" t="str">
        <f t="shared" si="48"/>
        <v>17.05.2024_SAL2</v>
      </c>
      <c r="D1561" s="190">
        <f t="shared" si="49"/>
        <v>0</v>
      </c>
      <c r="E1561" s="133">
        <v>7.96</v>
      </c>
      <c r="F1561" s="134"/>
      <c r="G1561" s="135">
        <v>159</v>
      </c>
      <c r="H1561" s="137">
        <v>10.9</v>
      </c>
      <c r="I1561" s="134"/>
      <c r="J1561" s="137">
        <v>14.4</v>
      </c>
      <c r="K1561" s="134"/>
      <c r="L1561" s="136">
        <v>37</v>
      </c>
      <c r="M1561" s="181"/>
      <c r="N1561" s="159"/>
      <c r="O1561" s="159"/>
      <c r="P1561" s="136"/>
    </row>
    <row r="1562" spans="1:16" ht="16.5" customHeight="1" x14ac:dyDescent="0.25">
      <c r="A1562" s="156">
        <v>45429</v>
      </c>
      <c r="B1562" s="136" t="s">
        <v>7</v>
      </c>
      <c r="C1562" s="157" t="str">
        <f t="shared" si="48"/>
        <v>17.05.2024_STE1</v>
      </c>
      <c r="D1562" s="190">
        <f t="shared" si="49"/>
        <v>0</v>
      </c>
      <c r="E1562" s="133">
        <v>8.23</v>
      </c>
      <c r="F1562" s="134"/>
      <c r="G1562" s="135">
        <v>257</v>
      </c>
      <c r="H1562" s="137">
        <v>10.6</v>
      </c>
      <c r="I1562" s="134"/>
      <c r="J1562" s="137">
        <v>14.7</v>
      </c>
      <c r="K1562" s="134"/>
      <c r="L1562" s="136">
        <v>40</v>
      </c>
      <c r="M1562" s="181"/>
      <c r="N1562" s="159"/>
      <c r="O1562" s="159"/>
      <c r="P1562" s="136"/>
    </row>
    <row r="1563" spans="1:16" ht="16.5" customHeight="1" x14ac:dyDescent="0.25">
      <c r="A1563" s="156">
        <v>45429</v>
      </c>
      <c r="B1563" s="136" t="s">
        <v>9</v>
      </c>
      <c r="C1563" s="157" t="str">
        <f t="shared" si="48"/>
        <v>17.05.2024_STE2</v>
      </c>
      <c r="D1563" s="190">
        <f t="shared" si="49"/>
        <v>0</v>
      </c>
      <c r="E1563" s="133">
        <v>8.3800000000000008</v>
      </c>
      <c r="F1563" s="134"/>
      <c r="G1563" s="135">
        <v>267</v>
      </c>
      <c r="H1563" s="137">
        <v>10.4</v>
      </c>
      <c r="I1563" s="134"/>
      <c r="J1563" s="137">
        <v>14.9</v>
      </c>
      <c r="K1563" s="134"/>
      <c r="L1563" s="136">
        <v>40</v>
      </c>
      <c r="M1563" s="181"/>
      <c r="N1563" s="159"/>
      <c r="O1563" s="159"/>
      <c r="P1563" s="136"/>
    </row>
    <row r="1564" spans="1:16" ht="16.5" customHeight="1" x14ac:dyDescent="0.25">
      <c r="A1564" s="156">
        <v>45440</v>
      </c>
      <c r="B1564" s="136" t="s">
        <v>22</v>
      </c>
      <c r="C1564" s="157" t="str">
        <f t="shared" si="48"/>
        <v>28.05.2024_BIE1</v>
      </c>
      <c r="D1564" s="190">
        <f t="shared" si="49"/>
        <v>0</v>
      </c>
      <c r="E1564" s="133">
        <v>7.8</v>
      </c>
      <c r="F1564" s="134"/>
      <c r="G1564" s="135">
        <v>170.5</v>
      </c>
      <c r="H1564" s="137">
        <v>9.4</v>
      </c>
      <c r="I1564" s="134"/>
      <c r="J1564" s="137">
        <v>13.9</v>
      </c>
      <c r="K1564" s="134"/>
      <c r="L1564" s="136">
        <v>25</v>
      </c>
      <c r="M1564" s="181"/>
      <c r="N1564" s="159"/>
      <c r="O1564" s="159"/>
      <c r="P1564" s="136"/>
    </row>
    <row r="1565" spans="1:16" ht="16.5" customHeight="1" x14ac:dyDescent="0.25">
      <c r="A1565" s="156">
        <v>45440</v>
      </c>
      <c r="B1565" s="136" t="s">
        <v>25</v>
      </c>
      <c r="C1565" s="157" t="str">
        <f t="shared" si="48"/>
        <v>28.05.2024_BIE2</v>
      </c>
      <c r="D1565" s="190">
        <f t="shared" si="49"/>
        <v>0</v>
      </c>
      <c r="E1565" s="133">
        <v>7.79</v>
      </c>
      <c r="F1565" s="134"/>
      <c r="G1565" s="135">
        <v>171.7</v>
      </c>
      <c r="H1565" s="137">
        <v>9.6</v>
      </c>
      <c r="I1565" s="134"/>
      <c r="J1565" s="137">
        <v>14</v>
      </c>
      <c r="K1565" s="134"/>
      <c r="L1565" s="136">
        <v>40</v>
      </c>
      <c r="M1565" s="181"/>
      <c r="N1565" s="159"/>
      <c r="O1565" s="159"/>
      <c r="P1565" s="136"/>
    </row>
    <row r="1566" spans="1:16" ht="16.5" customHeight="1" x14ac:dyDescent="0.25">
      <c r="A1566" s="156">
        <v>45440</v>
      </c>
      <c r="B1566" s="136" t="s">
        <v>30</v>
      </c>
      <c r="C1566" s="157" t="str">
        <f t="shared" si="48"/>
        <v>28.05.2024_FAL1</v>
      </c>
      <c r="D1566" s="190">
        <f t="shared" si="49"/>
        <v>0</v>
      </c>
      <c r="E1566" s="133">
        <v>8.01</v>
      </c>
      <c r="F1566" s="134"/>
      <c r="G1566" s="135">
        <v>798</v>
      </c>
      <c r="H1566" s="137">
        <v>9</v>
      </c>
      <c r="I1566" s="134"/>
      <c r="J1566" s="137">
        <v>14.8</v>
      </c>
      <c r="K1566" s="134"/>
      <c r="L1566" s="136">
        <v>35</v>
      </c>
      <c r="M1566" s="181"/>
      <c r="N1566" s="159"/>
      <c r="O1566" s="159"/>
      <c r="P1566" s="136"/>
    </row>
    <row r="1567" spans="1:16" ht="16.5" customHeight="1" x14ac:dyDescent="0.25">
      <c r="A1567" s="156">
        <v>45440</v>
      </c>
      <c r="B1567" s="136" t="s">
        <v>32</v>
      </c>
      <c r="C1567" s="157" t="str">
        <f t="shared" si="48"/>
        <v>28.05.2024_FAL2</v>
      </c>
      <c r="D1567" s="190">
        <f t="shared" si="49"/>
        <v>0</v>
      </c>
      <c r="E1567" s="133">
        <v>8.24</v>
      </c>
      <c r="F1567" s="134"/>
      <c r="G1567" s="135">
        <v>809</v>
      </c>
      <c r="H1567" s="137">
        <v>9.1</v>
      </c>
      <c r="I1567" s="134"/>
      <c r="J1567" s="137">
        <v>15</v>
      </c>
      <c r="K1567" s="134"/>
      <c r="L1567" s="136">
        <v>45</v>
      </c>
      <c r="M1567" s="181"/>
      <c r="N1567" s="159"/>
      <c r="O1567" s="159"/>
      <c r="P1567" s="136"/>
    </row>
    <row r="1568" spans="1:16" ht="16.5" customHeight="1" x14ac:dyDescent="0.25">
      <c r="A1568" s="156">
        <v>45440</v>
      </c>
      <c r="B1568" s="136" t="s">
        <v>26</v>
      </c>
      <c r="C1568" s="157" t="str">
        <f t="shared" si="48"/>
        <v>28.05.2024_GRU1</v>
      </c>
      <c r="D1568" s="190">
        <f t="shared" si="49"/>
        <v>0</v>
      </c>
      <c r="E1568" s="133">
        <v>7.45</v>
      </c>
      <c r="F1568" s="134"/>
      <c r="G1568" s="135">
        <v>150.30000000000001</v>
      </c>
      <c r="H1568" s="137">
        <v>9.5</v>
      </c>
      <c r="I1568" s="134"/>
      <c r="J1568" s="137">
        <v>14.1</v>
      </c>
      <c r="K1568" s="134"/>
      <c r="L1568" s="136">
        <v>35</v>
      </c>
      <c r="M1568" s="181"/>
      <c r="N1568" s="159"/>
      <c r="O1568" s="159"/>
      <c r="P1568" s="136"/>
    </row>
    <row r="1569" spans="1:16" ht="16.5" customHeight="1" x14ac:dyDescent="0.25">
      <c r="A1569" s="156">
        <v>45440</v>
      </c>
      <c r="B1569" s="136" t="s">
        <v>28</v>
      </c>
      <c r="C1569" s="157" t="str">
        <f t="shared" si="48"/>
        <v>28.05.2024_GRU2</v>
      </c>
      <c r="D1569" s="190">
        <f t="shared" si="49"/>
        <v>0</v>
      </c>
      <c r="E1569" s="133">
        <v>7.33</v>
      </c>
      <c r="F1569" s="134"/>
      <c r="G1569" s="135">
        <v>168.9</v>
      </c>
      <c r="H1569" s="137">
        <v>9.1999999999999993</v>
      </c>
      <c r="I1569" s="134"/>
      <c r="J1569" s="137">
        <v>14.4</v>
      </c>
      <c r="K1569" s="134"/>
      <c r="L1569" s="136">
        <v>40</v>
      </c>
      <c r="M1569" s="181"/>
      <c r="N1569" s="159"/>
      <c r="O1569" s="159"/>
      <c r="P1569" s="136"/>
    </row>
    <row r="1570" spans="1:16" ht="16.5" customHeight="1" x14ac:dyDescent="0.25">
      <c r="A1570" s="156">
        <v>45440</v>
      </c>
      <c r="B1570" s="136" t="s">
        <v>34</v>
      </c>
      <c r="C1570" s="157" t="str">
        <f t="shared" si="48"/>
        <v>28.05.2024_KRE1</v>
      </c>
      <c r="D1570" s="190">
        <f t="shared" si="49"/>
        <v>0</v>
      </c>
      <c r="E1570" s="133">
        <v>7.98</v>
      </c>
      <c r="F1570" s="134"/>
      <c r="G1570" s="135">
        <v>860</v>
      </c>
      <c r="H1570" s="137">
        <v>7.7</v>
      </c>
      <c r="I1570" s="134"/>
      <c r="J1570" s="137">
        <v>15.5</v>
      </c>
      <c r="K1570" s="134"/>
      <c r="L1570" s="136">
        <v>55.000000000000007</v>
      </c>
      <c r="M1570" s="181"/>
      <c r="N1570" s="159"/>
      <c r="O1570" s="159"/>
      <c r="P1570" s="136"/>
    </row>
    <row r="1571" spans="1:16" ht="16.5" customHeight="1" x14ac:dyDescent="0.25">
      <c r="A1571" s="156">
        <v>45440</v>
      </c>
      <c r="B1571" s="136" t="s">
        <v>37</v>
      </c>
      <c r="C1571" s="157" t="str">
        <f t="shared" si="48"/>
        <v>28.05.2024_KRE2</v>
      </c>
      <c r="D1571" s="190">
        <f t="shared" si="49"/>
        <v>0</v>
      </c>
      <c r="E1571" s="133">
        <v>8</v>
      </c>
      <c r="F1571" s="134"/>
      <c r="G1571" s="135">
        <v>869</v>
      </c>
      <c r="H1571" s="137">
        <v>7.6</v>
      </c>
      <c r="I1571" s="134"/>
      <c r="J1571" s="137">
        <v>15.6</v>
      </c>
      <c r="K1571" s="134"/>
      <c r="L1571" s="136">
        <v>55.000000000000007</v>
      </c>
      <c r="M1571" s="181"/>
      <c r="N1571" s="159"/>
      <c r="O1571" s="159"/>
      <c r="P1571" s="136"/>
    </row>
    <row r="1572" spans="1:16" ht="16.5" customHeight="1" x14ac:dyDescent="0.25">
      <c r="A1572" s="156">
        <v>45440</v>
      </c>
      <c r="B1572" s="136" t="s">
        <v>14</v>
      </c>
      <c r="C1572" s="157" t="str">
        <f t="shared" si="48"/>
        <v>28.05.2024_BRA1</v>
      </c>
      <c r="D1572" s="190">
        <f t="shared" si="49"/>
        <v>0</v>
      </c>
      <c r="E1572" s="133">
        <v>7.82</v>
      </c>
      <c r="F1572" s="134"/>
      <c r="G1572" s="135">
        <v>153.30000000000001</v>
      </c>
      <c r="H1572" s="137">
        <v>9.6</v>
      </c>
      <c r="I1572" s="134"/>
      <c r="J1572" s="137">
        <v>15.7</v>
      </c>
      <c r="K1572" s="134"/>
      <c r="L1572" s="136">
        <v>19</v>
      </c>
      <c r="M1572" s="181"/>
      <c r="N1572" s="159"/>
      <c r="O1572" s="159"/>
      <c r="P1572" s="136"/>
    </row>
    <row r="1573" spans="1:16" ht="16.5" customHeight="1" x14ac:dyDescent="0.25">
      <c r="A1573" s="156">
        <v>45440</v>
      </c>
      <c r="B1573" s="136" t="s">
        <v>17</v>
      </c>
      <c r="C1573" s="157" t="str">
        <f t="shared" si="48"/>
        <v>28.05.2024_BRA2</v>
      </c>
      <c r="D1573" s="190">
        <f t="shared" si="49"/>
        <v>0</v>
      </c>
      <c r="E1573" s="133">
        <v>7.89</v>
      </c>
      <c r="F1573" s="134"/>
      <c r="G1573" s="135">
        <v>175.4</v>
      </c>
      <c r="H1573" s="137">
        <v>9.5</v>
      </c>
      <c r="I1573" s="134"/>
      <c r="J1573" s="137">
        <v>15.5</v>
      </c>
      <c r="K1573" s="134"/>
      <c r="L1573" s="136">
        <v>21</v>
      </c>
      <c r="M1573" s="181"/>
      <c r="N1573" s="159"/>
      <c r="O1573" s="159"/>
      <c r="P1573" s="136"/>
    </row>
    <row r="1574" spans="1:16" ht="16.5" customHeight="1" x14ac:dyDescent="0.25">
      <c r="A1574" s="156">
        <v>45440</v>
      </c>
      <c r="B1574" s="136" t="s">
        <v>0</v>
      </c>
      <c r="C1574" s="157" t="str">
        <f t="shared" si="48"/>
        <v>28.05.2024_KIN1</v>
      </c>
      <c r="D1574" s="190">
        <f t="shared" si="49"/>
        <v>0</v>
      </c>
      <c r="E1574" s="133">
        <v>8.43</v>
      </c>
      <c r="F1574" s="134"/>
      <c r="G1574" s="135">
        <v>428</v>
      </c>
      <c r="H1574" s="137">
        <v>10</v>
      </c>
      <c r="I1574" s="134"/>
      <c r="J1574" s="137">
        <v>14.1</v>
      </c>
      <c r="K1574" s="134"/>
      <c r="L1574" s="136">
        <v>17</v>
      </c>
      <c r="M1574" s="181"/>
      <c r="N1574" s="159"/>
      <c r="O1574" s="159"/>
      <c r="P1574" s="136"/>
    </row>
    <row r="1575" spans="1:16" ht="16.5" customHeight="1" x14ac:dyDescent="0.25">
      <c r="A1575" s="156">
        <v>45440</v>
      </c>
      <c r="B1575" s="136" t="s">
        <v>2</v>
      </c>
      <c r="C1575" s="157" t="str">
        <f t="shared" si="48"/>
        <v>28.05.2024_KIN2</v>
      </c>
      <c r="D1575" s="190">
        <f t="shared" si="49"/>
        <v>0</v>
      </c>
      <c r="E1575" s="133">
        <v>8.23</v>
      </c>
      <c r="F1575" s="134"/>
      <c r="G1575" s="135">
        <v>483</v>
      </c>
      <c r="H1575" s="137">
        <v>10.199999999999999</v>
      </c>
      <c r="I1575" s="134"/>
      <c r="J1575" s="137">
        <v>13.7</v>
      </c>
      <c r="K1575" s="134"/>
      <c r="L1575" s="136">
        <v>20</v>
      </c>
      <c r="M1575" s="181"/>
      <c r="N1575" s="159"/>
      <c r="O1575" s="159"/>
      <c r="P1575" s="136"/>
    </row>
    <row r="1576" spans="1:16" ht="16.5" customHeight="1" x14ac:dyDescent="0.25">
      <c r="A1576" s="156">
        <v>45440</v>
      </c>
      <c r="B1576" s="136" t="s">
        <v>4</v>
      </c>
      <c r="C1576" s="157" t="str">
        <f t="shared" si="48"/>
        <v>28.05.2024_KIN3</v>
      </c>
      <c r="D1576" s="190">
        <f t="shared" si="49"/>
        <v>0</v>
      </c>
      <c r="E1576" s="133">
        <v>8.3000000000000007</v>
      </c>
      <c r="F1576" s="134"/>
      <c r="G1576" s="135">
        <v>472</v>
      </c>
      <c r="H1576" s="137">
        <v>10</v>
      </c>
      <c r="I1576" s="134"/>
      <c r="J1576" s="137">
        <v>14</v>
      </c>
      <c r="K1576" s="134"/>
      <c r="L1576" s="136">
        <v>63</v>
      </c>
      <c r="M1576" s="181"/>
      <c r="N1576" s="159"/>
      <c r="O1576" s="159"/>
      <c r="P1576" s="136" t="s">
        <v>247</v>
      </c>
    </row>
    <row r="1577" spans="1:16" ht="16.5" customHeight="1" x14ac:dyDescent="0.25">
      <c r="A1577" s="156">
        <v>45440</v>
      </c>
      <c r="B1577" s="136" t="s">
        <v>6</v>
      </c>
      <c r="C1577" s="157" t="str">
        <f t="shared" si="48"/>
        <v>28.05.2024_KIN4</v>
      </c>
      <c r="D1577" s="190">
        <f t="shared" si="49"/>
        <v>0</v>
      </c>
      <c r="E1577" s="133">
        <v>8.1</v>
      </c>
      <c r="F1577" s="134"/>
      <c r="G1577" s="135">
        <v>464</v>
      </c>
      <c r="H1577" s="137">
        <v>9</v>
      </c>
      <c r="I1577" s="134"/>
      <c r="J1577" s="137">
        <v>14.2</v>
      </c>
      <c r="K1577" s="134"/>
      <c r="L1577" s="136">
        <v>41</v>
      </c>
      <c r="M1577" s="181"/>
      <c r="N1577" s="159"/>
      <c r="O1577" s="159"/>
      <c r="P1577" s="136"/>
    </row>
    <row r="1578" spans="1:16" ht="16.5" customHeight="1" x14ac:dyDescent="0.25">
      <c r="A1578" s="156">
        <v>45440</v>
      </c>
      <c r="B1578" s="136" t="s">
        <v>18</v>
      </c>
      <c r="C1578" s="157" t="str">
        <f t="shared" si="48"/>
        <v>28.05.2024_ORB1</v>
      </c>
      <c r="D1578" s="190">
        <f t="shared" si="49"/>
        <v>0</v>
      </c>
      <c r="E1578" s="133">
        <v>7.35</v>
      </c>
      <c r="F1578" s="134"/>
      <c r="G1578" s="135">
        <v>107.5</v>
      </c>
      <c r="H1578" s="137">
        <v>10.3</v>
      </c>
      <c r="I1578" s="134"/>
      <c r="J1578" s="137">
        <v>15.6</v>
      </c>
      <c r="K1578" s="134"/>
      <c r="L1578" s="136">
        <v>22</v>
      </c>
      <c r="M1578" s="181"/>
      <c r="N1578" s="159"/>
      <c r="O1578" s="159"/>
      <c r="P1578" s="136" t="s">
        <v>247</v>
      </c>
    </row>
    <row r="1579" spans="1:16" ht="16.5" customHeight="1" x14ac:dyDescent="0.25">
      <c r="A1579" s="156">
        <v>45440</v>
      </c>
      <c r="B1579" s="136" t="s">
        <v>21</v>
      </c>
      <c r="C1579" s="157" t="str">
        <f t="shared" si="48"/>
        <v>28.05.2024_ORB2</v>
      </c>
      <c r="D1579" s="190">
        <f t="shared" si="49"/>
        <v>0</v>
      </c>
      <c r="E1579" s="133">
        <v>7.07</v>
      </c>
      <c r="F1579" s="134"/>
      <c r="G1579" s="135">
        <v>133.1</v>
      </c>
      <c r="H1579" s="137">
        <v>9.3000000000000007</v>
      </c>
      <c r="I1579" s="134"/>
      <c r="J1579" s="137">
        <v>14.9</v>
      </c>
      <c r="K1579" s="134"/>
      <c r="L1579" s="136">
        <v>31</v>
      </c>
      <c r="M1579" s="181"/>
      <c r="N1579" s="159"/>
      <c r="O1579" s="159"/>
      <c r="P1579" s="136" t="s">
        <v>247</v>
      </c>
    </row>
    <row r="1580" spans="1:16" ht="16.5" customHeight="1" x14ac:dyDescent="0.25">
      <c r="A1580" s="156">
        <v>45440</v>
      </c>
      <c r="B1580" s="136" t="s">
        <v>10</v>
      </c>
      <c r="C1580" s="157" t="str">
        <f t="shared" si="48"/>
        <v>28.05.2024_SAL1</v>
      </c>
      <c r="D1580" s="190">
        <f t="shared" si="49"/>
        <v>0</v>
      </c>
      <c r="E1580" s="133">
        <v>8.11</v>
      </c>
      <c r="F1580" s="134"/>
      <c r="G1580" s="135">
        <v>183.5</v>
      </c>
      <c r="H1580" s="137">
        <v>9.6</v>
      </c>
      <c r="I1580" s="134"/>
      <c r="J1580" s="137">
        <v>14.6</v>
      </c>
      <c r="K1580" s="134"/>
      <c r="L1580" s="136">
        <v>44</v>
      </c>
      <c r="M1580" s="181"/>
      <c r="N1580" s="159"/>
      <c r="O1580" s="159"/>
      <c r="P1580" s="136" t="s">
        <v>247</v>
      </c>
    </row>
    <row r="1581" spans="1:16" ht="16.5" customHeight="1" x14ac:dyDescent="0.25">
      <c r="A1581" s="156">
        <v>45440</v>
      </c>
      <c r="B1581" s="136" t="s">
        <v>12</v>
      </c>
      <c r="C1581" s="157" t="str">
        <f t="shared" si="48"/>
        <v>28.05.2024_SAL2</v>
      </c>
      <c r="D1581" s="190">
        <f t="shared" si="49"/>
        <v>0</v>
      </c>
      <c r="E1581" s="133">
        <v>8.1300000000000008</v>
      </c>
      <c r="F1581" s="134"/>
      <c r="G1581" s="135">
        <v>196</v>
      </c>
      <c r="H1581" s="137">
        <v>9.6999999999999993</v>
      </c>
      <c r="I1581" s="134"/>
      <c r="J1581" s="137">
        <v>14.7</v>
      </c>
      <c r="K1581" s="134"/>
      <c r="L1581" s="136">
        <v>46</v>
      </c>
      <c r="M1581" s="181"/>
      <c r="N1581" s="159"/>
      <c r="O1581" s="159"/>
      <c r="P1581" s="136" t="s">
        <v>247</v>
      </c>
    </row>
    <row r="1582" spans="1:16" ht="16.5" customHeight="1" x14ac:dyDescent="0.25">
      <c r="A1582" s="156">
        <v>45440</v>
      </c>
      <c r="B1582" s="136" t="s">
        <v>7</v>
      </c>
      <c r="C1582" s="157" t="str">
        <f t="shared" si="48"/>
        <v>28.05.2024_STE1</v>
      </c>
      <c r="D1582" s="190">
        <f t="shared" si="49"/>
        <v>0</v>
      </c>
      <c r="E1582" s="133">
        <v>8.1999999999999993</v>
      </c>
      <c r="F1582" s="134"/>
      <c r="G1582" s="135">
        <v>309</v>
      </c>
      <c r="H1582" s="137">
        <v>10.4</v>
      </c>
      <c r="I1582" s="134"/>
      <c r="J1582" s="137">
        <v>13.4</v>
      </c>
      <c r="K1582" s="134"/>
      <c r="L1582" s="136">
        <v>28.000000000000004</v>
      </c>
      <c r="M1582" s="181"/>
      <c r="N1582" s="159"/>
      <c r="O1582" s="159"/>
      <c r="P1582" s="136" t="s">
        <v>247</v>
      </c>
    </row>
    <row r="1583" spans="1:16" ht="16.5" customHeight="1" x14ac:dyDescent="0.25">
      <c r="A1583" s="156">
        <v>45440</v>
      </c>
      <c r="B1583" s="136" t="s">
        <v>9</v>
      </c>
      <c r="C1583" s="157" t="str">
        <f t="shared" si="48"/>
        <v>28.05.2024_STE2</v>
      </c>
      <c r="D1583" s="190">
        <f t="shared" si="49"/>
        <v>0</v>
      </c>
      <c r="E1583" s="133">
        <v>8.34</v>
      </c>
      <c r="F1583" s="134"/>
      <c r="G1583" s="135">
        <v>327</v>
      </c>
      <c r="H1583" s="137">
        <v>9.5</v>
      </c>
      <c r="I1583" s="134"/>
      <c r="J1583" s="137">
        <v>14.5</v>
      </c>
      <c r="K1583" s="134"/>
      <c r="L1583" s="136">
        <v>49</v>
      </c>
      <c r="M1583" s="181"/>
      <c r="N1583" s="159"/>
      <c r="O1583" s="159"/>
      <c r="P1583" s="136" t="s">
        <v>247</v>
      </c>
    </row>
    <row r="1584" spans="1:16" ht="16.5" customHeight="1" x14ac:dyDescent="0.25">
      <c r="A1584" s="156">
        <v>45456</v>
      </c>
      <c r="B1584" s="136" t="s">
        <v>22</v>
      </c>
      <c r="C1584" s="157" t="str">
        <f t="shared" si="48"/>
        <v>13.06.2024_BIE1</v>
      </c>
      <c r="D1584" s="190">
        <f t="shared" si="49"/>
        <v>0</v>
      </c>
      <c r="E1584" s="133">
        <v>7.9</v>
      </c>
      <c r="F1584" s="134"/>
      <c r="G1584" s="135">
        <v>172.7</v>
      </c>
      <c r="H1584" s="137">
        <v>10.199999999999999</v>
      </c>
      <c r="I1584" s="134"/>
      <c r="J1584" s="137">
        <v>12.8</v>
      </c>
      <c r="K1584" s="134"/>
      <c r="L1584" s="136">
        <v>20</v>
      </c>
      <c r="M1584" s="181"/>
      <c r="N1584" s="159"/>
      <c r="O1584" s="159"/>
      <c r="P1584" s="136"/>
    </row>
    <row r="1585" spans="1:16" ht="16.5" customHeight="1" x14ac:dyDescent="0.25">
      <c r="A1585" s="156">
        <v>45456</v>
      </c>
      <c r="B1585" s="136" t="s">
        <v>25</v>
      </c>
      <c r="C1585" s="157" t="str">
        <f t="shared" si="48"/>
        <v>13.06.2024_BIE2</v>
      </c>
      <c r="D1585" s="190">
        <f t="shared" si="49"/>
        <v>0</v>
      </c>
      <c r="E1585" s="133">
        <v>7.84</v>
      </c>
      <c r="F1585" s="134"/>
      <c r="G1585" s="135">
        <v>167.7</v>
      </c>
      <c r="H1585" s="137">
        <v>10.4</v>
      </c>
      <c r="I1585" s="134"/>
      <c r="J1585" s="137">
        <v>12.7</v>
      </c>
      <c r="K1585" s="134"/>
      <c r="L1585" s="136">
        <v>50</v>
      </c>
      <c r="M1585" s="181"/>
      <c r="N1585" s="159"/>
      <c r="O1585" s="159"/>
      <c r="P1585" s="136"/>
    </row>
    <row r="1586" spans="1:16" ht="16.5" customHeight="1" x14ac:dyDescent="0.25">
      <c r="A1586" s="156">
        <v>45456</v>
      </c>
      <c r="B1586" s="136" t="s">
        <v>30</v>
      </c>
      <c r="C1586" s="157" t="str">
        <f t="shared" si="48"/>
        <v>13.06.2024_FAL1</v>
      </c>
      <c r="D1586" s="190">
        <f t="shared" si="49"/>
        <v>0</v>
      </c>
      <c r="E1586" s="133">
        <v>8.09</v>
      </c>
      <c r="F1586" s="134"/>
      <c r="G1586" s="135">
        <v>823</v>
      </c>
      <c r="H1586" s="137">
        <v>9.6</v>
      </c>
      <c r="I1586" s="134"/>
      <c r="J1586" s="137">
        <v>13.9</v>
      </c>
      <c r="K1586" s="134"/>
      <c r="L1586" s="136">
        <v>35</v>
      </c>
      <c r="M1586" s="181"/>
      <c r="N1586" s="159"/>
      <c r="O1586" s="159"/>
      <c r="P1586" s="136"/>
    </row>
    <row r="1587" spans="1:16" ht="16.5" customHeight="1" x14ac:dyDescent="0.25">
      <c r="A1587" s="156">
        <v>45456</v>
      </c>
      <c r="B1587" s="136" t="s">
        <v>32</v>
      </c>
      <c r="C1587" s="157" t="str">
        <f t="shared" si="48"/>
        <v>13.06.2024_FAL2</v>
      </c>
      <c r="D1587" s="190">
        <f t="shared" si="49"/>
        <v>0</v>
      </c>
      <c r="E1587" s="133">
        <v>8.3000000000000007</v>
      </c>
      <c r="F1587" s="134"/>
      <c r="G1587" s="135">
        <v>861</v>
      </c>
      <c r="H1587" s="137">
        <v>9.6999999999999993</v>
      </c>
      <c r="I1587" s="134"/>
      <c r="J1587" s="137">
        <v>13.8</v>
      </c>
      <c r="K1587" s="134"/>
      <c r="L1587" s="136">
        <v>40</v>
      </c>
      <c r="M1587" s="181"/>
      <c r="N1587" s="159"/>
      <c r="O1587" s="159"/>
      <c r="P1587" s="136"/>
    </row>
    <row r="1588" spans="1:16" ht="16.5" customHeight="1" x14ac:dyDescent="0.25">
      <c r="A1588" s="156">
        <v>45456</v>
      </c>
      <c r="B1588" s="136" t="s">
        <v>26</v>
      </c>
      <c r="C1588" s="157" t="str">
        <f t="shared" si="48"/>
        <v>13.06.2024_GRU1</v>
      </c>
      <c r="D1588" s="190">
        <f t="shared" si="49"/>
        <v>0</v>
      </c>
      <c r="E1588" s="133">
        <v>7.35</v>
      </c>
      <c r="F1588" s="134"/>
      <c r="G1588" s="135">
        <v>157.5</v>
      </c>
      <c r="H1588" s="137">
        <v>10</v>
      </c>
      <c r="I1588" s="134"/>
      <c r="J1588" s="137">
        <v>13.1</v>
      </c>
      <c r="K1588" s="134"/>
      <c r="L1588" s="136">
        <v>30</v>
      </c>
      <c r="M1588" s="181"/>
      <c r="N1588" s="159"/>
      <c r="O1588" s="159"/>
      <c r="P1588" s="136"/>
    </row>
    <row r="1589" spans="1:16" ht="16.5" customHeight="1" x14ac:dyDescent="0.25">
      <c r="A1589" s="156">
        <v>45456</v>
      </c>
      <c r="B1589" s="136" t="s">
        <v>28</v>
      </c>
      <c r="C1589" s="157" t="str">
        <f t="shared" si="48"/>
        <v>13.06.2024_GRU2</v>
      </c>
      <c r="D1589" s="190">
        <f t="shared" si="49"/>
        <v>0</v>
      </c>
      <c r="E1589" s="133">
        <v>7.31</v>
      </c>
      <c r="F1589" s="134"/>
      <c r="G1589" s="135">
        <v>180.1</v>
      </c>
      <c r="H1589" s="137">
        <v>9.8000000000000007</v>
      </c>
      <c r="I1589" s="134"/>
      <c r="J1589" s="137">
        <v>13.6</v>
      </c>
      <c r="K1589" s="134"/>
      <c r="L1589" s="136">
        <v>35</v>
      </c>
      <c r="M1589" s="181"/>
      <c r="N1589" s="159"/>
      <c r="O1589" s="159"/>
      <c r="P1589" s="136"/>
    </row>
    <row r="1590" spans="1:16" ht="16.5" customHeight="1" x14ac:dyDescent="0.25">
      <c r="A1590" s="156">
        <v>45456</v>
      </c>
      <c r="B1590" s="136" t="s">
        <v>34</v>
      </c>
      <c r="C1590" s="157" t="str">
        <f t="shared" si="48"/>
        <v>13.06.2024_KRE1</v>
      </c>
      <c r="D1590" s="190">
        <f t="shared" si="49"/>
        <v>0</v>
      </c>
      <c r="E1590" s="133">
        <v>8.0399999999999991</v>
      </c>
      <c r="F1590" s="134"/>
      <c r="G1590" s="135">
        <v>916</v>
      </c>
      <c r="H1590" s="137">
        <v>8.5</v>
      </c>
      <c r="I1590" s="134"/>
      <c r="J1590" s="137">
        <v>14.8</v>
      </c>
      <c r="K1590" s="134"/>
      <c r="L1590" s="136">
        <v>45</v>
      </c>
      <c r="M1590" s="181"/>
      <c r="N1590" s="159"/>
      <c r="O1590" s="159"/>
      <c r="P1590" s="136"/>
    </row>
    <row r="1591" spans="1:16" ht="16.5" customHeight="1" x14ac:dyDescent="0.25">
      <c r="A1591" s="156">
        <v>45456</v>
      </c>
      <c r="B1591" s="136" t="s">
        <v>37</v>
      </c>
      <c r="C1591" s="157" t="str">
        <f t="shared" si="48"/>
        <v>13.06.2024_KRE2</v>
      </c>
      <c r="D1591" s="190">
        <f t="shared" si="49"/>
        <v>0</v>
      </c>
      <c r="E1591" s="133">
        <v>8.0299999999999994</v>
      </c>
      <c r="F1591" s="134"/>
      <c r="G1591" s="135">
        <v>934</v>
      </c>
      <c r="H1591" s="137">
        <v>8.6</v>
      </c>
      <c r="I1591" s="134"/>
      <c r="J1591" s="137">
        <v>14.6</v>
      </c>
      <c r="K1591" s="134"/>
      <c r="L1591" s="136">
        <v>50</v>
      </c>
      <c r="M1591" s="181"/>
      <c r="N1591" s="159"/>
      <c r="O1591" s="159"/>
      <c r="P1591" s="136"/>
    </row>
    <row r="1592" spans="1:16" ht="16.5" customHeight="1" x14ac:dyDescent="0.25">
      <c r="A1592" s="156">
        <v>45456</v>
      </c>
      <c r="B1592" s="136" t="s">
        <v>14</v>
      </c>
      <c r="C1592" s="157" t="str">
        <f t="shared" si="48"/>
        <v>13.06.2024_BRA1</v>
      </c>
      <c r="D1592" s="190">
        <f t="shared" si="49"/>
        <v>0</v>
      </c>
      <c r="E1592" s="133">
        <v>7.93</v>
      </c>
      <c r="F1592" s="134"/>
      <c r="G1592" s="135">
        <v>179</v>
      </c>
      <c r="H1592" s="137">
        <v>10.1</v>
      </c>
      <c r="I1592" s="134"/>
      <c r="J1592" s="137">
        <v>15.2</v>
      </c>
      <c r="K1592" s="134"/>
      <c r="L1592" s="136">
        <v>18</v>
      </c>
      <c r="M1592" s="181"/>
      <c r="N1592" s="159"/>
      <c r="O1592" s="159"/>
      <c r="P1592" s="136"/>
    </row>
    <row r="1593" spans="1:16" ht="16.5" customHeight="1" x14ac:dyDescent="0.25">
      <c r="A1593" s="156">
        <v>45456</v>
      </c>
      <c r="B1593" s="136" t="s">
        <v>17</v>
      </c>
      <c r="C1593" s="157" t="str">
        <f t="shared" si="48"/>
        <v>13.06.2024_BRA2</v>
      </c>
      <c r="D1593" s="190">
        <f t="shared" si="49"/>
        <v>0</v>
      </c>
      <c r="E1593" s="133">
        <v>8.1300000000000008</v>
      </c>
      <c r="F1593" s="134"/>
      <c r="G1593" s="135">
        <v>210</v>
      </c>
      <c r="H1593" s="137">
        <v>10.3</v>
      </c>
      <c r="I1593" s="134"/>
      <c r="J1593" s="137">
        <v>14.1</v>
      </c>
      <c r="K1593" s="134"/>
      <c r="L1593" s="136">
        <v>38</v>
      </c>
      <c r="M1593" s="181"/>
      <c r="N1593" s="159"/>
      <c r="O1593" s="159"/>
      <c r="P1593" s="136"/>
    </row>
    <row r="1594" spans="1:16" ht="16.5" customHeight="1" x14ac:dyDescent="0.25">
      <c r="A1594" s="156">
        <v>45456</v>
      </c>
      <c r="B1594" s="136" t="s">
        <v>0</v>
      </c>
      <c r="C1594" s="157" t="str">
        <f t="shared" si="48"/>
        <v>13.06.2024_KIN1</v>
      </c>
      <c r="D1594" s="190">
        <f t="shared" si="49"/>
        <v>0</v>
      </c>
      <c r="E1594" s="133">
        <v>8.4499999999999993</v>
      </c>
      <c r="F1594" s="134"/>
      <c r="G1594" s="135">
        <v>456</v>
      </c>
      <c r="H1594" s="137">
        <v>10.9</v>
      </c>
      <c r="I1594" s="134"/>
      <c r="J1594" s="137">
        <v>11.8</v>
      </c>
      <c r="K1594" s="134"/>
      <c r="L1594" s="136">
        <v>30</v>
      </c>
      <c r="M1594" s="181"/>
      <c r="N1594" s="159"/>
      <c r="O1594" s="159"/>
      <c r="P1594" s="136"/>
    </row>
    <row r="1595" spans="1:16" ht="16.5" customHeight="1" x14ac:dyDescent="0.25">
      <c r="A1595" s="156">
        <v>45456</v>
      </c>
      <c r="B1595" s="136" t="s">
        <v>2</v>
      </c>
      <c r="C1595" s="157" t="str">
        <f t="shared" si="48"/>
        <v>13.06.2024_KIN2</v>
      </c>
      <c r="D1595" s="190">
        <f t="shared" si="49"/>
        <v>0</v>
      </c>
      <c r="E1595" s="133">
        <v>8.27</v>
      </c>
      <c r="F1595" s="134"/>
      <c r="G1595" s="135">
        <v>504</v>
      </c>
      <c r="H1595" s="137">
        <v>11</v>
      </c>
      <c r="I1595" s="134"/>
      <c r="J1595" s="137">
        <v>12.6</v>
      </c>
      <c r="K1595" s="134"/>
      <c r="L1595" s="136">
        <v>35</v>
      </c>
      <c r="M1595" s="181"/>
      <c r="N1595" s="159"/>
      <c r="O1595" s="159"/>
      <c r="P1595" s="136"/>
    </row>
    <row r="1596" spans="1:16" ht="16.5" customHeight="1" x14ac:dyDescent="0.25">
      <c r="A1596" s="156">
        <v>45456</v>
      </c>
      <c r="B1596" s="136" t="s">
        <v>4</v>
      </c>
      <c r="C1596" s="157" t="str">
        <f t="shared" si="48"/>
        <v>13.06.2024_KIN3</v>
      </c>
      <c r="D1596" s="190">
        <f t="shared" si="49"/>
        <v>0</v>
      </c>
      <c r="E1596" s="133">
        <v>8.3699999999999992</v>
      </c>
      <c r="F1596" s="134"/>
      <c r="G1596" s="135">
        <v>518</v>
      </c>
      <c r="H1596" s="137">
        <v>11.2</v>
      </c>
      <c r="I1596" s="134"/>
      <c r="J1596" s="137">
        <v>12.6</v>
      </c>
      <c r="K1596" s="134"/>
      <c r="L1596" s="136">
        <v>60</v>
      </c>
      <c r="M1596" s="181"/>
      <c r="N1596" s="159"/>
      <c r="O1596" s="159"/>
      <c r="P1596" s="136"/>
    </row>
    <row r="1597" spans="1:16" ht="16.5" customHeight="1" x14ac:dyDescent="0.25">
      <c r="A1597" s="156">
        <v>45456</v>
      </c>
      <c r="B1597" s="136" t="s">
        <v>6</v>
      </c>
      <c r="C1597" s="157" t="str">
        <f t="shared" si="48"/>
        <v>13.06.2024_KIN4</v>
      </c>
      <c r="D1597" s="190">
        <f t="shared" si="49"/>
        <v>0</v>
      </c>
      <c r="E1597" s="133">
        <v>8.2100000000000009</v>
      </c>
      <c r="F1597" s="134"/>
      <c r="G1597" s="135">
        <v>535</v>
      </c>
      <c r="H1597" s="137">
        <v>10.3</v>
      </c>
      <c r="I1597" s="134"/>
      <c r="J1597" s="137">
        <v>13</v>
      </c>
      <c r="K1597" s="134"/>
      <c r="L1597" s="136">
        <v>40</v>
      </c>
      <c r="M1597" s="181"/>
      <c r="N1597" s="159"/>
      <c r="O1597" s="159"/>
      <c r="P1597" s="136"/>
    </row>
    <row r="1598" spans="1:16" ht="16.5" customHeight="1" x14ac:dyDescent="0.25">
      <c r="A1598" s="156">
        <v>45456</v>
      </c>
      <c r="B1598" s="136" t="s">
        <v>18</v>
      </c>
      <c r="C1598" s="157" t="str">
        <f t="shared" si="48"/>
        <v>13.06.2024_ORB1</v>
      </c>
      <c r="D1598" s="190">
        <f t="shared" si="49"/>
        <v>0</v>
      </c>
      <c r="E1598" s="133">
        <v>7.4</v>
      </c>
      <c r="F1598" s="134"/>
      <c r="G1598" s="135">
        <v>121</v>
      </c>
      <c r="H1598" s="137">
        <v>10.6</v>
      </c>
      <c r="I1598" s="134"/>
      <c r="J1598" s="137">
        <v>14</v>
      </c>
      <c r="K1598" s="134"/>
      <c r="L1598" s="136">
        <v>15</v>
      </c>
      <c r="M1598" s="181"/>
      <c r="N1598" s="159"/>
      <c r="O1598" s="159"/>
      <c r="P1598" s="136"/>
    </row>
    <row r="1599" spans="1:16" ht="16.5" customHeight="1" x14ac:dyDescent="0.25">
      <c r="A1599" s="156">
        <v>45456</v>
      </c>
      <c r="B1599" s="136" t="s">
        <v>21</v>
      </c>
      <c r="C1599" s="157" t="str">
        <f t="shared" si="48"/>
        <v>13.06.2024_ORB2</v>
      </c>
      <c r="D1599" s="190">
        <f t="shared" si="49"/>
        <v>0</v>
      </c>
      <c r="E1599" s="133">
        <v>7.08</v>
      </c>
      <c r="F1599" s="134"/>
      <c r="G1599" s="135">
        <v>149</v>
      </c>
      <c r="H1599" s="137">
        <v>10.4</v>
      </c>
      <c r="I1599" s="134"/>
      <c r="J1599" s="137">
        <v>14.3</v>
      </c>
      <c r="K1599" s="134"/>
      <c r="L1599" s="136">
        <v>18</v>
      </c>
      <c r="M1599" s="181"/>
      <c r="N1599" s="159"/>
      <c r="O1599" s="159"/>
      <c r="P1599" s="136"/>
    </row>
    <row r="1600" spans="1:16" ht="16.5" customHeight="1" x14ac:dyDescent="0.25">
      <c r="A1600" s="156">
        <v>45456</v>
      </c>
      <c r="B1600" s="136" t="s">
        <v>10</v>
      </c>
      <c r="C1600" s="157" t="str">
        <f t="shared" si="48"/>
        <v>13.06.2024_SAL1</v>
      </c>
      <c r="D1600" s="190">
        <f t="shared" si="49"/>
        <v>0</v>
      </c>
      <c r="E1600" s="133">
        <v>8.18</v>
      </c>
      <c r="F1600" s="134"/>
      <c r="G1600" s="135">
        <v>220</v>
      </c>
      <c r="H1600" s="137">
        <v>10.7</v>
      </c>
      <c r="I1600" s="134"/>
      <c r="J1600" s="137">
        <v>13.2</v>
      </c>
      <c r="K1600" s="134"/>
      <c r="L1600" s="136">
        <v>35</v>
      </c>
      <c r="M1600" s="181"/>
      <c r="N1600" s="159"/>
      <c r="O1600" s="159"/>
      <c r="P1600" s="136"/>
    </row>
    <row r="1601" spans="1:16" ht="16.5" customHeight="1" x14ac:dyDescent="0.25">
      <c r="A1601" s="156">
        <v>45456</v>
      </c>
      <c r="B1601" s="136" t="s">
        <v>12</v>
      </c>
      <c r="C1601" s="157" t="str">
        <f t="shared" si="48"/>
        <v>13.06.2024_SAL2</v>
      </c>
      <c r="D1601" s="190">
        <f t="shared" si="49"/>
        <v>0</v>
      </c>
      <c r="E1601" s="133">
        <v>8.32</v>
      </c>
      <c r="F1601" s="134"/>
      <c r="G1601" s="135">
        <v>235</v>
      </c>
      <c r="H1601" s="137">
        <v>10.8</v>
      </c>
      <c r="I1601" s="134"/>
      <c r="J1601" s="137">
        <v>13</v>
      </c>
      <c r="K1601" s="134"/>
      <c r="L1601" s="136">
        <v>35</v>
      </c>
      <c r="M1601" s="181"/>
      <c r="N1601" s="159"/>
      <c r="O1601" s="159"/>
      <c r="P1601" s="136"/>
    </row>
    <row r="1602" spans="1:16" ht="16.5" customHeight="1" x14ac:dyDescent="0.25">
      <c r="A1602" s="156">
        <v>45456</v>
      </c>
      <c r="B1602" s="136" t="s">
        <v>7</v>
      </c>
      <c r="C1602" s="157" t="str">
        <f t="shared" si="48"/>
        <v>13.06.2024_STE1</v>
      </c>
      <c r="D1602" s="190">
        <f t="shared" si="49"/>
        <v>0</v>
      </c>
      <c r="E1602" s="133">
        <v>8.2200000000000006</v>
      </c>
      <c r="F1602" s="134"/>
      <c r="G1602" s="135">
        <v>364</v>
      </c>
      <c r="H1602" s="137">
        <v>11</v>
      </c>
      <c r="I1602" s="134"/>
      <c r="J1602" s="137">
        <v>12</v>
      </c>
      <c r="K1602" s="134"/>
      <c r="L1602" s="136">
        <v>25</v>
      </c>
      <c r="M1602" s="181"/>
      <c r="N1602" s="159"/>
      <c r="O1602" s="159"/>
      <c r="P1602" s="136"/>
    </row>
    <row r="1603" spans="1:16" ht="16.5" customHeight="1" x14ac:dyDescent="0.25">
      <c r="A1603" s="156">
        <v>45456</v>
      </c>
      <c r="B1603" s="136" t="s">
        <v>9</v>
      </c>
      <c r="C1603" s="157" t="str">
        <f t="shared" si="48"/>
        <v>13.06.2024_STE2</v>
      </c>
      <c r="D1603" s="190">
        <f t="shared" si="49"/>
        <v>0</v>
      </c>
      <c r="E1603" s="133">
        <v>8.4</v>
      </c>
      <c r="F1603" s="134"/>
      <c r="G1603" s="135">
        <v>383</v>
      </c>
      <c r="H1603" s="137">
        <v>11</v>
      </c>
      <c r="I1603" s="134"/>
      <c r="J1603" s="137">
        <v>13.1</v>
      </c>
      <c r="K1603" s="134"/>
      <c r="L1603" s="136">
        <v>35</v>
      </c>
      <c r="M1603" s="181"/>
      <c r="N1603" s="159"/>
      <c r="O1603" s="159"/>
      <c r="P1603" s="136"/>
    </row>
    <row r="1604" spans="1:16" ht="16.5" customHeight="1" x14ac:dyDescent="0.25">
      <c r="A1604" s="156">
        <v>45470</v>
      </c>
      <c r="B1604" s="136" t="s">
        <v>22</v>
      </c>
      <c r="C1604" s="157" t="str">
        <f t="shared" si="48"/>
        <v>27.06.2024_BIE1</v>
      </c>
      <c r="D1604" s="190">
        <f t="shared" si="49"/>
        <v>0</v>
      </c>
      <c r="E1604" s="133">
        <v>7.94</v>
      </c>
      <c r="F1604" s="134"/>
      <c r="G1604" s="135">
        <v>179.3</v>
      </c>
      <c r="H1604" s="137">
        <v>9.3000000000000007</v>
      </c>
      <c r="I1604" s="134"/>
      <c r="J1604" s="137">
        <v>17</v>
      </c>
      <c r="K1604" s="134"/>
      <c r="L1604" s="136">
        <v>30</v>
      </c>
      <c r="M1604" s="181"/>
      <c r="N1604" s="159"/>
      <c r="O1604" s="159"/>
      <c r="P1604" s="136"/>
    </row>
    <row r="1605" spans="1:16" ht="16.5" customHeight="1" x14ac:dyDescent="0.25">
      <c r="A1605" s="156">
        <v>45470</v>
      </c>
      <c r="B1605" s="136" t="s">
        <v>25</v>
      </c>
      <c r="C1605" s="157" t="str">
        <f t="shared" ref="C1605:C1668" si="50">CONCATENATE(TEXT(A1605,"TT.MM.JJJJ"),"_",B1605)</f>
        <v>27.06.2024_BIE2</v>
      </c>
      <c r="D1605" s="190">
        <f t="shared" ref="D1605:D1668" si="51">COUNTBLANK(E1605)+COUNTBLANK(G1605:H1605)+COUNTBLANK(J1605)+COUNTBLANK(L1605)</f>
        <v>0</v>
      </c>
      <c r="E1605" s="133">
        <v>8.1</v>
      </c>
      <c r="F1605" s="134"/>
      <c r="G1605" s="135">
        <v>175.4</v>
      </c>
      <c r="H1605" s="137">
        <v>9.3000000000000007</v>
      </c>
      <c r="I1605" s="134"/>
      <c r="J1605" s="137">
        <v>17</v>
      </c>
      <c r="K1605" s="134"/>
      <c r="L1605" s="136">
        <v>40</v>
      </c>
      <c r="M1605" s="181"/>
      <c r="N1605" s="159"/>
      <c r="O1605" s="159"/>
      <c r="P1605" s="136"/>
    </row>
    <row r="1606" spans="1:16" ht="16.5" customHeight="1" x14ac:dyDescent="0.25">
      <c r="A1606" s="156">
        <v>45470</v>
      </c>
      <c r="B1606" s="136" t="s">
        <v>30</v>
      </c>
      <c r="C1606" s="157" t="str">
        <f t="shared" si="50"/>
        <v>27.06.2024_FAL1</v>
      </c>
      <c r="D1606" s="190">
        <f t="shared" si="51"/>
        <v>0</v>
      </c>
      <c r="E1606" s="133">
        <v>8</v>
      </c>
      <c r="F1606" s="134"/>
      <c r="G1606" s="135">
        <v>708</v>
      </c>
      <c r="H1606" s="137">
        <v>8.6</v>
      </c>
      <c r="I1606" s="134"/>
      <c r="J1606" s="137">
        <v>18.2</v>
      </c>
      <c r="K1606" s="134"/>
      <c r="L1606" s="136">
        <v>25</v>
      </c>
      <c r="M1606" s="181"/>
      <c r="N1606" s="159"/>
      <c r="O1606" s="159"/>
      <c r="P1606" s="136"/>
    </row>
    <row r="1607" spans="1:16" ht="16.5" customHeight="1" x14ac:dyDescent="0.25">
      <c r="A1607" s="156">
        <v>45470</v>
      </c>
      <c r="B1607" s="136" t="s">
        <v>32</v>
      </c>
      <c r="C1607" s="157" t="str">
        <f t="shared" si="50"/>
        <v>27.06.2024_FAL2</v>
      </c>
      <c r="D1607" s="190">
        <f t="shared" si="51"/>
        <v>0</v>
      </c>
      <c r="E1607" s="133">
        <v>8.18</v>
      </c>
      <c r="F1607" s="134"/>
      <c r="G1607" s="135">
        <v>669</v>
      </c>
      <c r="H1607" s="137">
        <v>8</v>
      </c>
      <c r="I1607" s="134"/>
      <c r="J1607" s="137">
        <v>19.399999999999999</v>
      </c>
      <c r="K1607" s="134"/>
      <c r="L1607" s="136">
        <v>40</v>
      </c>
      <c r="M1607" s="181"/>
      <c r="N1607" s="159"/>
      <c r="O1607" s="159"/>
      <c r="P1607" s="136"/>
    </row>
    <row r="1608" spans="1:16" ht="16.5" customHeight="1" x14ac:dyDescent="0.25">
      <c r="A1608" s="156">
        <v>45470</v>
      </c>
      <c r="B1608" s="136" t="s">
        <v>26</v>
      </c>
      <c r="C1608" s="157" t="str">
        <f t="shared" si="50"/>
        <v>27.06.2024_GRU1</v>
      </c>
      <c r="D1608" s="190">
        <f t="shared" si="51"/>
        <v>0</v>
      </c>
      <c r="E1608" s="133">
        <v>7.62</v>
      </c>
      <c r="F1608" s="134"/>
      <c r="G1608" s="135">
        <v>175.2</v>
      </c>
      <c r="H1608" s="137">
        <v>9</v>
      </c>
      <c r="I1608" s="134"/>
      <c r="J1608" s="137">
        <v>19</v>
      </c>
      <c r="K1608" s="134"/>
      <c r="L1608" s="136">
        <v>35</v>
      </c>
      <c r="M1608" s="181"/>
      <c r="N1608" s="159"/>
      <c r="O1608" s="159"/>
      <c r="P1608" s="136"/>
    </row>
    <row r="1609" spans="1:16" ht="16.5" customHeight="1" x14ac:dyDescent="0.25">
      <c r="A1609" s="156">
        <v>45470</v>
      </c>
      <c r="B1609" s="136" t="s">
        <v>28</v>
      </c>
      <c r="C1609" s="157" t="str">
        <f t="shared" si="50"/>
        <v>27.06.2024_GRU2</v>
      </c>
      <c r="D1609" s="190">
        <f t="shared" si="51"/>
        <v>0</v>
      </c>
      <c r="E1609" s="133">
        <v>7.45</v>
      </c>
      <c r="F1609" s="134"/>
      <c r="G1609" s="135">
        <v>181</v>
      </c>
      <c r="H1609" s="137">
        <v>9.4</v>
      </c>
      <c r="I1609" s="134"/>
      <c r="J1609" s="137">
        <v>18.3</v>
      </c>
      <c r="K1609" s="134"/>
      <c r="L1609" s="136">
        <v>45</v>
      </c>
      <c r="M1609" s="181"/>
      <c r="N1609" s="159"/>
      <c r="O1609" s="159"/>
      <c r="P1609" s="136"/>
    </row>
    <row r="1610" spans="1:16" ht="16.5" customHeight="1" x14ac:dyDescent="0.25">
      <c r="A1610" s="156">
        <v>45470</v>
      </c>
      <c r="B1610" s="136" t="s">
        <v>34</v>
      </c>
      <c r="C1610" s="157" t="str">
        <f t="shared" si="50"/>
        <v>27.06.2024_KRE1</v>
      </c>
      <c r="D1610" s="190">
        <f t="shared" si="51"/>
        <v>0</v>
      </c>
      <c r="E1610" s="133">
        <v>8</v>
      </c>
      <c r="F1610" s="134"/>
      <c r="G1610" s="135">
        <v>883</v>
      </c>
      <c r="H1610" s="137">
        <v>6.8</v>
      </c>
      <c r="I1610" s="134"/>
      <c r="J1610" s="137">
        <v>21.2</v>
      </c>
      <c r="K1610" s="134"/>
      <c r="L1610" s="136">
        <v>40</v>
      </c>
      <c r="M1610" s="181"/>
      <c r="N1610" s="159"/>
      <c r="O1610" s="159"/>
      <c r="P1610" s="136"/>
    </row>
    <row r="1611" spans="1:16" ht="16.5" customHeight="1" x14ac:dyDescent="0.25">
      <c r="A1611" s="156">
        <v>45470</v>
      </c>
      <c r="B1611" s="136" t="s">
        <v>37</v>
      </c>
      <c r="C1611" s="157" t="str">
        <f t="shared" si="50"/>
        <v>27.06.2024_KRE2</v>
      </c>
      <c r="D1611" s="190">
        <f t="shared" si="51"/>
        <v>0</v>
      </c>
      <c r="E1611" s="133">
        <v>7.96</v>
      </c>
      <c r="F1611" s="134"/>
      <c r="G1611" s="135">
        <v>881</v>
      </c>
      <c r="H1611" s="137">
        <v>6.2</v>
      </c>
      <c r="I1611" s="134"/>
      <c r="J1611" s="137">
        <v>20.9</v>
      </c>
      <c r="K1611" s="134"/>
      <c r="L1611" s="136">
        <v>45</v>
      </c>
      <c r="M1611" s="181"/>
      <c r="N1611" s="159"/>
      <c r="O1611" s="159"/>
      <c r="P1611" s="136"/>
    </row>
    <row r="1612" spans="1:16" ht="16.5" customHeight="1" x14ac:dyDescent="0.25">
      <c r="A1612" s="156">
        <v>45470</v>
      </c>
      <c r="B1612" s="136" t="s">
        <v>14</v>
      </c>
      <c r="C1612" s="157" t="str">
        <f t="shared" si="50"/>
        <v>27.06.2024_BRA1</v>
      </c>
      <c r="D1612" s="190">
        <f t="shared" si="51"/>
        <v>0</v>
      </c>
      <c r="E1612" s="133">
        <v>7.93</v>
      </c>
      <c r="F1612" s="134"/>
      <c r="G1612" s="135">
        <v>188</v>
      </c>
      <c r="H1612" s="137">
        <v>8.5</v>
      </c>
      <c r="I1612" s="134"/>
      <c r="J1612" s="137">
        <v>21.8</v>
      </c>
      <c r="K1612" s="134"/>
      <c r="L1612" s="136">
        <v>18</v>
      </c>
      <c r="M1612" s="181"/>
      <c r="N1612" s="159"/>
      <c r="O1612" s="159"/>
      <c r="P1612" s="136"/>
    </row>
    <row r="1613" spans="1:16" ht="16.5" customHeight="1" x14ac:dyDescent="0.25">
      <c r="A1613" s="156">
        <v>45470</v>
      </c>
      <c r="B1613" s="136" t="s">
        <v>17</v>
      </c>
      <c r="C1613" s="157" t="str">
        <f t="shared" si="50"/>
        <v>27.06.2024_BRA2</v>
      </c>
      <c r="D1613" s="190">
        <f t="shared" si="51"/>
        <v>0</v>
      </c>
      <c r="E1613" s="133">
        <v>8.11</v>
      </c>
      <c r="F1613" s="134"/>
      <c r="G1613" s="135">
        <v>215</v>
      </c>
      <c r="H1613" s="137">
        <v>9</v>
      </c>
      <c r="I1613" s="134"/>
      <c r="J1613" s="137">
        <v>20.6</v>
      </c>
      <c r="K1613" s="134"/>
      <c r="L1613" s="136">
        <v>31</v>
      </c>
      <c r="M1613" s="181"/>
      <c r="N1613" s="159"/>
      <c r="O1613" s="159"/>
      <c r="P1613" s="136"/>
    </row>
    <row r="1614" spans="1:16" ht="16.5" customHeight="1" x14ac:dyDescent="0.25">
      <c r="A1614" s="156">
        <v>45470</v>
      </c>
      <c r="B1614" s="136" t="s">
        <v>0</v>
      </c>
      <c r="C1614" s="157" t="str">
        <f t="shared" si="50"/>
        <v>27.06.2024_KIN1</v>
      </c>
      <c r="D1614" s="190">
        <f t="shared" si="51"/>
        <v>0</v>
      </c>
      <c r="E1614" s="133">
        <v>8.39</v>
      </c>
      <c r="F1614" s="134"/>
      <c r="G1614" s="135">
        <v>457</v>
      </c>
      <c r="H1614" s="137">
        <v>9.4</v>
      </c>
      <c r="I1614" s="134"/>
      <c r="J1614" s="137">
        <v>17.7</v>
      </c>
      <c r="K1614" s="134"/>
      <c r="L1614" s="136">
        <v>40</v>
      </c>
      <c r="M1614" s="181"/>
      <c r="N1614" s="159"/>
      <c r="O1614" s="159"/>
      <c r="P1614" s="136"/>
    </row>
    <row r="1615" spans="1:16" ht="16.5" customHeight="1" x14ac:dyDescent="0.25">
      <c r="A1615" s="156">
        <v>45470</v>
      </c>
      <c r="B1615" s="136" t="s">
        <v>2</v>
      </c>
      <c r="C1615" s="157" t="str">
        <f t="shared" si="50"/>
        <v>27.06.2024_KIN2</v>
      </c>
      <c r="D1615" s="190">
        <f t="shared" si="51"/>
        <v>0</v>
      </c>
      <c r="E1615" s="133">
        <v>8.2200000000000006</v>
      </c>
      <c r="F1615" s="134"/>
      <c r="G1615" s="135">
        <v>498</v>
      </c>
      <c r="H1615" s="137">
        <v>10.199999999999999</v>
      </c>
      <c r="I1615" s="134"/>
      <c r="J1615" s="137">
        <v>17.100000000000001</v>
      </c>
      <c r="K1615" s="134"/>
      <c r="L1615" s="136">
        <v>33</v>
      </c>
      <c r="M1615" s="181"/>
      <c r="N1615" s="159"/>
      <c r="O1615" s="159"/>
      <c r="P1615" s="136"/>
    </row>
    <row r="1616" spans="1:16" ht="16.5" customHeight="1" x14ac:dyDescent="0.25">
      <c r="A1616" s="156">
        <v>45470</v>
      </c>
      <c r="B1616" s="136" t="s">
        <v>4</v>
      </c>
      <c r="C1616" s="157" t="str">
        <f t="shared" si="50"/>
        <v>27.06.2024_KIN3</v>
      </c>
      <c r="D1616" s="190">
        <f t="shared" si="51"/>
        <v>0</v>
      </c>
      <c r="E1616" s="133">
        <v>8.1999999999999993</v>
      </c>
      <c r="F1616" s="134"/>
      <c r="G1616" s="135">
        <v>497</v>
      </c>
      <c r="H1616" s="137">
        <v>9.6999999999999993</v>
      </c>
      <c r="I1616" s="134"/>
      <c r="J1616" s="137">
        <v>17.2</v>
      </c>
      <c r="K1616" s="134"/>
      <c r="L1616" s="136">
        <v>70</v>
      </c>
      <c r="M1616" s="181"/>
      <c r="N1616" s="159"/>
      <c r="O1616" s="159"/>
      <c r="P1616" s="136"/>
    </row>
    <row r="1617" spans="1:16" ht="16.5" customHeight="1" x14ac:dyDescent="0.25">
      <c r="A1617" s="156">
        <v>45470</v>
      </c>
      <c r="B1617" s="136" t="s">
        <v>6</v>
      </c>
      <c r="C1617" s="157" t="str">
        <f t="shared" si="50"/>
        <v>27.06.2024_KIN4</v>
      </c>
      <c r="D1617" s="190">
        <f t="shared" si="51"/>
        <v>0</v>
      </c>
      <c r="E1617" s="133">
        <v>7.95</v>
      </c>
      <c r="F1617" s="134"/>
      <c r="G1617" s="135">
        <v>466</v>
      </c>
      <c r="H1617" s="137">
        <v>8.5</v>
      </c>
      <c r="I1617" s="134"/>
      <c r="J1617" s="137">
        <v>17.399999999999999</v>
      </c>
      <c r="K1617" s="134"/>
      <c r="L1617" s="136">
        <v>40</v>
      </c>
      <c r="M1617" s="181"/>
      <c r="N1617" s="159"/>
      <c r="O1617" s="159"/>
      <c r="P1617" s="136"/>
    </row>
    <row r="1618" spans="1:16" ht="16.5" customHeight="1" x14ac:dyDescent="0.25">
      <c r="A1618" s="156">
        <v>45470</v>
      </c>
      <c r="B1618" s="136" t="s">
        <v>18</v>
      </c>
      <c r="C1618" s="157" t="str">
        <f t="shared" si="50"/>
        <v>27.06.2024_ORB1</v>
      </c>
      <c r="D1618" s="190">
        <f t="shared" si="51"/>
        <v>0</v>
      </c>
      <c r="E1618" s="133">
        <v>7.65</v>
      </c>
      <c r="F1618" s="134"/>
      <c r="G1618" s="135">
        <v>128</v>
      </c>
      <c r="H1618" s="137">
        <v>9.6999999999999993</v>
      </c>
      <c r="I1618" s="134"/>
      <c r="J1618" s="137">
        <v>18.5</v>
      </c>
      <c r="K1618" s="134"/>
      <c r="L1618" s="136">
        <v>14.000000000000002</v>
      </c>
      <c r="M1618" s="181"/>
      <c r="N1618" s="159" t="s">
        <v>288</v>
      </c>
      <c r="O1618" s="159"/>
      <c r="P1618" s="136"/>
    </row>
    <row r="1619" spans="1:16" ht="16.5" customHeight="1" x14ac:dyDescent="0.25">
      <c r="A1619" s="156">
        <v>45470</v>
      </c>
      <c r="B1619" s="136" t="s">
        <v>21</v>
      </c>
      <c r="C1619" s="157" t="str">
        <f t="shared" si="50"/>
        <v>27.06.2024_ORB2</v>
      </c>
      <c r="D1619" s="190">
        <f t="shared" si="51"/>
        <v>0</v>
      </c>
      <c r="E1619" s="133">
        <v>7.3</v>
      </c>
      <c r="F1619" s="134"/>
      <c r="G1619" s="135">
        <v>169</v>
      </c>
      <c r="H1619" s="137">
        <v>9.1</v>
      </c>
      <c r="I1619" s="134"/>
      <c r="J1619" s="137">
        <v>19.399999999999999</v>
      </c>
      <c r="K1619" s="134"/>
      <c r="L1619" s="136">
        <v>22</v>
      </c>
      <c r="M1619" s="181"/>
      <c r="N1619" s="159" t="s">
        <v>288</v>
      </c>
      <c r="O1619" s="159"/>
      <c r="P1619" s="136"/>
    </row>
    <row r="1620" spans="1:16" ht="16.5" customHeight="1" x14ac:dyDescent="0.25">
      <c r="A1620" s="156">
        <v>45470</v>
      </c>
      <c r="B1620" s="136" t="s">
        <v>10</v>
      </c>
      <c r="C1620" s="157" t="str">
        <f t="shared" si="50"/>
        <v>27.06.2024_SAL1</v>
      </c>
      <c r="D1620" s="190">
        <f t="shared" si="51"/>
        <v>0</v>
      </c>
      <c r="E1620" s="133">
        <v>8.11</v>
      </c>
      <c r="F1620" s="134"/>
      <c r="G1620" s="135">
        <v>223</v>
      </c>
      <c r="H1620" s="137">
        <v>9.6999999999999993</v>
      </c>
      <c r="I1620" s="134"/>
      <c r="J1620" s="137">
        <v>19.5</v>
      </c>
      <c r="K1620" s="134"/>
      <c r="L1620" s="136">
        <v>30</v>
      </c>
      <c r="M1620" s="181"/>
      <c r="N1620" s="159"/>
      <c r="O1620" s="159"/>
      <c r="P1620" s="136"/>
    </row>
    <row r="1621" spans="1:16" ht="16.5" customHeight="1" x14ac:dyDescent="0.25">
      <c r="A1621" s="156">
        <v>45470</v>
      </c>
      <c r="B1621" s="136" t="s">
        <v>12</v>
      </c>
      <c r="C1621" s="157" t="str">
        <f t="shared" si="50"/>
        <v>27.06.2024_SAL2</v>
      </c>
      <c r="D1621" s="190">
        <f t="shared" si="51"/>
        <v>0</v>
      </c>
      <c r="E1621" s="133">
        <v>8.17</v>
      </c>
      <c r="F1621" s="134"/>
      <c r="G1621" s="135">
        <v>241</v>
      </c>
      <c r="H1621" s="137">
        <v>9.3000000000000007</v>
      </c>
      <c r="I1621" s="134"/>
      <c r="J1621" s="137">
        <v>14.9</v>
      </c>
      <c r="K1621" s="134"/>
      <c r="L1621" s="136">
        <v>30</v>
      </c>
      <c r="M1621" s="181"/>
      <c r="N1621" s="159"/>
      <c r="O1621" s="159"/>
      <c r="P1621" s="136"/>
    </row>
    <row r="1622" spans="1:16" ht="16.5" customHeight="1" x14ac:dyDescent="0.25">
      <c r="A1622" s="156">
        <v>45470</v>
      </c>
      <c r="B1622" s="136" t="s">
        <v>7</v>
      </c>
      <c r="C1622" s="157" t="str">
        <f t="shared" si="50"/>
        <v>27.06.2024_STE1</v>
      </c>
      <c r="D1622" s="190">
        <f t="shared" si="51"/>
        <v>0</v>
      </c>
      <c r="E1622" s="133">
        <v>8.11</v>
      </c>
      <c r="F1622" s="134"/>
      <c r="G1622" s="135">
        <v>355</v>
      </c>
      <c r="H1622" s="137">
        <v>9.9</v>
      </c>
      <c r="I1622" s="134"/>
      <c r="J1622" s="137">
        <v>17</v>
      </c>
      <c r="K1622" s="134"/>
      <c r="L1622" s="136">
        <v>30</v>
      </c>
      <c r="M1622" s="181"/>
      <c r="N1622" s="159"/>
      <c r="O1622" s="159"/>
      <c r="P1622" s="136"/>
    </row>
    <row r="1623" spans="1:16" ht="16.5" customHeight="1" x14ac:dyDescent="0.25">
      <c r="A1623" s="156">
        <v>45470</v>
      </c>
      <c r="B1623" s="136" t="s">
        <v>9</v>
      </c>
      <c r="C1623" s="157" t="str">
        <f t="shared" si="50"/>
        <v>27.06.2024_STE2</v>
      </c>
      <c r="D1623" s="190">
        <f t="shared" si="51"/>
        <v>0</v>
      </c>
      <c r="E1623" s="133">
        <v>8.24</v>
      </c>
      <c r="F1623" s="134"/>
      <c r="G1623" s="135">
        <v>354</v>
      </c>
      <c r="H1623" s="137">
        <v>10</v>
      </c>
      <c r="I1623" s="134"/>
      <c r="J1623" s="137">
        <v>17.2</v>
      </c>
      <c r="K1623" s="134"/>
      <c r="L1623" s="136">
        <v>35</v>
      </c>
      <c r="M1623" s="181"/>
      <c r="N1623" s="159"/>
      <c r="O1623" s="159"/>
      <c r="P1623" s="136"/>
    </row>
    <row r="1624" spans="1:16" ht="16.5" customHeight="1" x14ac:dyDescent="0.25">
      <c r="A1624" s="156">
        <v>45484</v>
      </c>
      <c r="B1624" s="136" t="s">
        <v>22</v>
      </c>
      <c r="C1624" s="157" t="str">
        <f t="shared" si="50"/>
        <v>11.07.2024_BIE1</v>
      </c>
      <c r="D1624" s="190">
        <f t="shared" si="51"/>
        <v>0</v>
      </c>
      <c r="E1624" s="133">
        <v>7.81</v>
      </c>
      <c r="F1624" s="134"/>
      <c r="G1624" s="135">
        <v>178.8</v>
      </c>
      <c r="H1624" s="137">
        <v>11.5</v>
      </c>
      <c r="I1624" s="134"/>
      <c r="J1624" s="137">
        <v>17.5</v>
      </c>
      <c r="K1624" s="134"/>
      <c r="L1624" s="136">
        <v>30</v>
      </c>
      <c r="M1624" s="181"/>
      <c r="N1624" s="159"/>
      <c r="O1624" s="159"/>
      <c r="P1624" s="136"/>
    </row>
    <row r="1625" spans="1:16" ht="16.5" customHeight="1" x14ac:dyDescent="0.25">
      <c r="A1625" s="156">
        <v>45484</v>
      </c>
      <c r="B1625" s="136" t="s">
        <v>25</v>
      </c>
      <c r="C1625" s="157" t="str">
        <f t="shared" si="50"/>
        <v>11.07.2024_BIE2</v>
      </c>
      <c r="D1625" s="190">
        <f t="shared" si="51"/>
        <v>0</v>
      </c>
      <c r="E1625" s="133">
        <v>7.75</v>
      </c>
      <c r="F1625" s="134"/>
      <c r="G1625" s="135">
        <v>181.3</v>
      </c>
      <c r="H1625" s="137">
        <v>11.9</v>
      </c>
      <c r="I1625" s="134"/>
      <c r="J1625" s="137">
        <v>17.2</v>
      </c>
      <c r="K1625" s="134"/>
      <c r="L1625" s="136">
        <v>55.000000000000007</v>
      </c>
      <c r="M1625" s="181"/>
      <c r="N1625" s="159"/>
      <c r="O1625" s="159"/>
      <c r="P1625" s="136"/>
    </row>
    <row r="1626" spans="1:16" ht="16.5" customHeight="1" x14ac:dyDescent="0.25">
      <c r="A1626" s="156">
        <v>45484</v>
      </c>
      <c r="B1626" s="136" t="s">
        <v>30</v>
      </c>
      <c r="C1626" s="157" t="str">
        <f t="shared" si="50"/>
        <v>11.07.2024_FAL1</v>
      </c>
      <c r="D1626" s="190">
        <f t="shared" si="51"/>
        <v>0</v>
      </c>
      <c r="E1626" s="133">
        <v>7.6</v>
      </c>
      <c r="F1626" s="134"/>
      <c r="G1626" s="135">
        <v>598</v>
      </c>
      <c r="H1626" s="137">
        <v>9.8000000000000007</v>
      </c>
      <c r="I1626" s="134"/>
      <c r="J1626" s="137">
        <v>18.899999999999999</v>
      </c>
      <c r="K1626" s="134"/>
      <c r="L1626" s="136">
        <v>50</v>
      </c>
      <c r="M1626" s="181"/>
      <c r="N1626" s="159"/>
      <c r="O1626" s="159"/>
      <c r="P1626" s="136"/>
    </row>
    <row r="1627" spans="1:16" ht="16.5" customHeight="1" x14ac:dyDescent="0.25">
      <c r="A1627" s="156">
        <v>45484</v>
      </c>
      <c r="B1627" s="136" t="s">
        <v>32</v>
      </c>
      <c r="C1627" s="157" t="str">
        <f t="shared" si="50"/>
        <v>11.07.2024_FAL2</v>
      </c>
      <c r="D1627" s="190">
        <f t="shared" si="51"/>
        <v>0</v>
      </c>
      <c r="E1627" s="133">
        <v>7.76</v>
      </c>
      <c r="F1627" s="134"/>
      <c r="G1627" s="135">
        <v>257</v>
      </c>
      <c r="H1627" s="137">
        <v>9</v>
      </c>
      <c r="I1627" s="134"/>
      <c r="J1627" s="137">
        <v>19.600000000000001</v>
      </c>
      <c r="K1627" s="134"/>
      <c r="L1627" s="136">
        <v>70</v>
      </c>
      <c r="M1627" s="181"/>
      <c r="N1627" s="159"/>
      <c r="O1627" s="159"/>
      <c r="P1627" s="136"/>
    </row>
    <row r="1628" spans="1:16" ht="16.5" customHeight="1" x14ac:dyDescent="0.25">
      <c r="A1628" s="156">
        <v>45484</v>
      </c>
      <c r="B1628" s="136" t="s">
        <v>26</v>
      </c>
      <c r="C1628" s="157" t="str">
        <f t="shared" si="50"/>
        <v>11.07.2024_GRU1</v>
      </c>
      <c r="D1628" s="190">
        <f t="shared" si="51"/>
        <v>0</v>
      </c>
      <c r="E1628" s="133">
        <v>7.57</v>
      </c>
      <c r="F1628" s="134"/>
      <c r="G1628" s="135">
        <v>125.5</v>
      </c>
      <c r="H1628" s="137">
        <v>11.4</v>
      </c>
      <c r="I1628" s="134"/>
      <c r="J1628" s="137">
        <v>19.399999999999999</v>
      </c>
      <c r="K1628" s="134"/>
      <c r="L1628" s="136">
        <v>50</v>
      </c>
      <c r="M1628" s="181"/>
      <c r="N1628" s="159"/>
      <c r="O1628" s="159"/>
      <c r="P1628" s="136"/>
    </row>
    <row r="1629" spans="1:16" ht="16.5" customHeight="1" x14ac:dyDescent="0.25">
      <c r="A1629" s="156">
        <v>45484</v>
      </c>
      <c r="B1629" s="136" t="s">
        <v>28</v>
      </c>
      <c r="C1629" s="157" t="str">
        <f t="shared" si="50"/>
        <v>11.07.2024_GRU2</v>
      </c>
      <c r="D1629" s="190">
        <f t="shared" si="51"/>
        <v>0</v>
      </c>
      <c r="E1629" s="133">
        <v>7.39</v>
      </c>
      <c r="F1629" s="134"/>
      <c r="G1629" s="135">
        <v>116.3</v>
      </c>
      <c r="H1629" s="137">
        <v>10.7</v>
      </c>
      <c r="I1629" s="134"/>
      <c r="J1629" s="137">
        <v>18.7</v>
      </c>
      <c r="K1629" s="134"/>
      <c r="L1629" s="136">
        <v>60</v>
      </c>
      <c r="M1629" s="181"/>
      <c r="N1629" s="159"/>
      <c r="O1629" s="159"/>
      <c r="P1629" s="136"/>
    </row>
    <row r="1630" spans="1:16" ht="16.5" customHeight="1" x14ac:dyDescent="0.25">
      <c r="A1630" s="156">
        <v>45484</v>
      </c>
      <c r="B1630" s="136" t="s">
        <v>34</v>
      </c>
      <c r="C1630" s="157" t="str">
        <f t="shared" si="50"/>
        <v>11.07.2024_KRE1</v>
      </c>
      <c r="D1630" s="190">
        <f t="shared" si="51"/>
        <v>0</v>
      </c>
      <c r="E1630" s="133">
        <v>7.82</v>
      </c>
      <c r="F1630" s="134"/>
      <c r="G1630" s="135">
        <v>616</v>
      </c>
      <c r="H1630" s="137">
        <v>9</v>
      </c>
      <c r="I1630" s="134"/>
      <c r="J1630" s="137">
        <v>19.7</v>
      </c>
      <c r="K1630" s="134"/>
      <c r="L1630" s="136">
        <v>45</v>
      </c>
      <c r="M1630" s="181"/>
      <c r="N1630" s="159"/>
      <c r="O1630" s="159"/>
      <c r="P1630" s="136"/>
    </row>
    <row r="1631" spans="1:16" ht="16.5" customHeight="1" x14ac:dyDescent="0.25">
      <c r="A1631" s="156">
        <v>45484</v>
      </c>
      <c r="B1631" s="136" t="s">
        <v>37</v>
      </c>
      <c r="C1631" s="157" t="str">
        <f t="shared" si="50"/>
        <v>11.07.2024_KRE2</v>
      </c>
      <c r="D1631" s="190">
        <f t="shared" si="51"/>
        <v>0</v>
      </c>
      <c r="E1631" s="133">
        <v>7.73</v>
      </c>
      <c r="F1631" s="134"/>
      <c r="G1631" s="135">
        <v>625</v>
      </c>
      <c r="H1631" s="137">
        <v>8.9</v>
      </c>
      <c r="I1631" s="134"/>
      <c r="J1631" s="137">
        <v>19.7</v>
      </c>
      <c r="K1631" s="134"/>
      <c r="L1631" s="136">
        <v>60</v>
      </c>
      <c r="M1631" s="181"/>
      <c r="N1631" s="159"/>
      <c r="O1631" s="159"/>
      <c r="P1631" s="136"/>
    </row>
    <row r="1632" spans="1:16" ht="16.5" customHeight="1" x14ac:dyDescent="0.25">
      <c r="A1632" s="156">
        <v>45484</v>
      </c>
      <c r="B1632" s="136" t="s">
        <v>14</v>
      </c>
      <c r="C1632" s="157" t="str">
        <f t="shared" si="50"/>
        <v>11.07.2024_BRA1</v>
      </c>
      <c r="D1632" s="190">
        <f t="shared" si="51"/>
        <v>0</v>
      </c>
      <c r="E1632" s="133">
        <v>7.83</v>
      </c>
      <c r="F1632" s="134"/>
      <c r="G1632" s="135">
        <v>185</v>
      </c>
      <c r="H1632" s="137">
        <v>10.5</v>
      </c>
      <c r="I1632" s="134"/>
      <c r="J1632" s="137">
        <v>20.3</v>
      </c>
      <c r="K1632" s="134"/>
      <c r="L1632" s="136">
        <v>20</v>
      </c>
      <c r="M1632" s="181"/>
      <c r="N1632" s="159"/>
      <c r="O1632" s="159"/>
      <c r="P1632" s="136"/>
    </row>
    <row r="1633" spans="1:16" ht="16.5" customHeight="1" x14ac:dyDescent="0.25">
      <c r="A1633" s="156">
        <v>45484</v>
      </c>
      <c r="B1633" s="136" t="s">
        <v>17</v>
      </c>
      <c r="C1633" s="157" t="str">
        <f t="shared" si="50"/>
        <v>11.07.2024_BRA2</v>
      </c>
      <c r="D1633" s="190">
        <f t="shared" si="51"/>
        <v>0</v>
      </c>
      <c r="E1633" s="133">
        <v>8</v>
      </c>
      <c r="F1633" s="134"/>
      <c r="G1633" s="135">
        <v>208</v>
      </c>
      <c r="H1633" s="137">
        <v>11</v>
      </c>
      <c r="I1633" s="134"/>
      <c r="J1633" s="137">
        <v>19.399999999999999</v>
      </c>
      <c r="K1633" s="134"/>
      <c r="L1633" s="136">
        <v>30</v>
      </c>
      <c r="M1633" s="181"/>
      <c r="N1633" s="159"/>
      <c r="O1633" s="159"/>
      <c r="P1633" s="136"/>
    </row>
    <row r="1634" spans="1:16" ht="16.5" customHeight="1" x14ac:dyDescent="0.25">
      <c r="A1634" s="156">
        <v>45484</v>
      </c>
      <c r="B1634" s="136" t="s">
        <v>0</v>
      </c>
      <c r="C1634" s="157" t="str">
        <f t="shared" si="50"/>
        <v>11.07.2024_KIN1</v>
      </c>
      <c r="D1634" s="190">
        <f t="shared" si="51"/>
        <v>0</v>
      </c>
      <c r="E1634" s="133">
        <v>8.36</v>
      </c>
      <c r="F1634" s="134"/>
      <c r="G1634" s="135">
        <v>442</v>
      </c>
      <c r="H1634" s="137">
        <v>11.5</v>
      </c>
      <c r="I1634" s="134"/>
      <c r="J1634" s="137">
        <v>18.3</v>
      </c>
      <c r="K1634" s="134"/>
      <c r="L1634" s="136">
        <v>40</v>
      </c>
      <c r="M1634" s="181"/>
      <c r="N1634" s="159"/>
      <c r="O1634" s="159"/>
      <c r="P1634" s="136"/>
    </row>
    <row r="1635" spans="1:16" ht="16.5" customHeight="1" x14ac:dyDescent="0.25">
      <c r="A1635" s="156">
        <v>45484</v>
      </c>
      <c r="B1635" s="136" t="s">
        <v>2</v>
      </c>
      <c r="C1635" s="157" t="str">
        <f t="shared" si="50"/>
        <v>11.07.2024_KIN2</v>
      </c>
      <c r="D1635" s="190">
        <f t="shared" si="51"/>
        <v>0</v>
      </c>
      <c r="E1635" s="133">
        <v>8.1999999999999993</v>
      </c>
      <c r="F1635" s="134"/>
      <c r="G1635" s="135">
        <v>473</v>
      </c>
      <c r="H1635" s="137">
        <v>12.7</v>
      </c>
      <c r="I1635" s="134"/>
      <c r="J1635" s="137">
        <v>17.899999999999999</v>
      </c>
      <c r="K1635" s="134"/>
      <c r="L1635" s="136">
        <v>40</v>
      </c>
      <c r="M1635" s="181"/>
      <c r="N1635" s="159"/>
      <c r="O1635" s="159"/>
      <c r="P1635" s="136"/>
    </row>
    <row r="1636" spans="1:16" ht="16.5" customHeight="1" x14ac:dyDescent="0.25">
      <c r="A1636" s="156">
        <v>45484</v>
      </c>
      <c r="B1636" s="136" t="s">
        <v>4</v>
      </c>
      <c r="C1636" s="157" t="str">
        <f t="shared" si="50"/>
        <v>11.07.2024_KIN3</v>
      </c>
      <c r="D1636" s="190">
        <f t="shared" si="51"/>
        <v>0</v>
      </c>
      <c r="E1636" s="133">
        <v>8.2799999999999994</v>
      </c>
      <c r="F1636" s="134"/>
      <c r="G1636" s="135">
        <v>480</v>
      </c>
      <c r="H1636" s="137">
        <v>12.8</v>
      </c>
      <c r="I1636" s="134"/>
      <c r="J1636" s="137">
        <v>18.3</v>
      </c>
      <c r="K1636" s="134"/>
      <c r="L1636" s="136">
        <v>70</v>
      </c>
      <c r="M1636" s="181"/>
      <c r="N1636" s="159"/>
      <c r="O1636" s="159"/>
      <c r="P1636" s="136"/>
    </row>
    <row r="1637" spans="1:16" ht="16.5" customHeight="1" x14ac:dyDescent="0.25">
      <c r="A1637" s="156">
        <v>45484</v>
      </c>
      <c r="B1637" s="136" t="s">
        <v>6</v>
      </c>
      <c r="C1637" s="157" t="str">
        <f t="shared" si="50"/>
        <v>11.07.2024_KIN4</v>
      </c>
      <c r="D1637" s="190">
        <f t="shared" si="51"/>
        <v>0</v>
      </c>
      <c r="E1637" s="133">
        <v>8.17</v>
      </c>
      <c r="F1637" s="134"/>
      <c r="G1637" s="135">
        <v>496</v>
      </c>
      <c r="H1637" s="137">
        <v>11.7</v>
      </c>
      <c r="I1637" s="134"/>
      <c r="J1637" s="137">
        <v>18.600000000000001</v>
      </c>
      <c r="K1637" s="134"/>
      <c r="L1637" s="136">
        <v>40</v>
      </c>
      <c r="M1637" s="181"/>
      <c r="N1637" s="159"/>
      <c r="O1637" s="159"/>
      <c r="P1637" s="136"/>
    </row>
    <row r="1638" spans="1:16" ht="16.5" customHeight="1" x14ac:dyDescent="0.25">
      <c r="A1638" s="156">
        <v>45484</v>
      </c>
      <c r="B1638" s="136" t="s">
        <v>18</v>
      </c>
      <c r="C1638" s="157" t="str">
        <f t="shared" si="50"/>
        <v>11.07.2024_ORB1</v>
      </c>
      <c r="D1638" s="190">
        <f t="shared" si="51"/>
        <v>0</v>
      </c>
      <c r="E1638" s="133">
        <v>7.7</v>
      </c>
      <c r="F1638" s="134"/>
      <c r="G1638" s="135">
        <v>116</v>
      </c>
      <c r="H1638" s="137">
        <v>12.6</v>
      </c>
      <c r="I1638" s="134"/>
      <c r="J1638" s="137">
        <v>16.7</v>
      </c>
      <c r="K1638" s="134"/>
      <c r="L1638" s="136">
        <v>13</v>
      </c>
      <c r="M1638" s="181"/>
      <c r="N1638" s="159"/>
      <c r="O1638" s="159"/>
      <c r="P1638" s="136"/>
    </row>
    <row r="1639" spans="1:16" ht="16.5" customHeight="1" x14ac:dyDescent="0.25">
      <c r="A1639" s="156">
        <v>45484</v>
      </c>
      <c r="B1639" s="136" t="s">
        <v>21</v>
      </c>
      <c r="C1639" s="157" t="str">
        <f t="shared" si="50"/>
        <v>11.07.2024_ORB2</v>
      </c>
      <c r="D1639" s="190">
        <f t="shared" si="51"/>
        <v>0</v>
      </c>
      <c r="E1639" s="133">
        <v>7.37</v>
      </c>
      <c r="F1639" s="134"/>
      <c r="G1639" s="135">
        <v>152</v>
      </c>
      <c r="H1639" s="137">
        <v>11.9</v>
      </c>
      <c r="I1639" s="134"/>
      <c r="J1639" s="137">
        <v>17.5</v>
      </c>
      <c r="K1639" s="134"/>
      <c r="L1639" s="136">
        <v>20</v>
      </c>
      <c r="M1639" s="181"/>
      <c r="N1639" s="159"/>
      <c r="O1639" s="159"/>
      <c r="P1639" s="136"/>
    </row>
    <row r="1640" spans="1:16" ht="16.5" customHeight="1" x14ac:dyDescent="0.25">
      <c r="A1640" s="156">
        <v>45484</v>
      </c>
      <c r="B1640" s="136" t="s">
        <v>10</v>
      </c>
      <c r="C1640" s="157" t="str">
        <f t="shared" si="50"/>
        <v>11.07.2024_SAL1</v>
      </c>
      <c r="D1640" s="190">
        <f t="shared" si="51"/>
        <v>0</v>
      </c>
      <c r="E1640" s="133">
        <v>8.23</v>
      </c>
      <c r="F1640" s="134"/>
      <c r="G1640" s="135">
        <v>223</v>
      </c>
      <c r="H1640" s="137">
        <v>11.7</v>
      </c>
      <c r="I1640" s="134"/>
      <c r="J1640" s="137">
        <v>19.2</v>
      </c>
      <c r="K1640" s="134"/>
      <c r="L1640" s="136">
        <v>40</v>
      </c>
      <c r="M1640" s="181"/>
      <c r="N1640" s="159"/>
      <c r="O1640" s="159"/>
      <c r="P1640" s="136"/>
    </row>
    <row r="1641" spans="1:16" ht="16.5" customHeight="1" x14ac:dyDescent="0.25">
      <c r="A1641" s="156">
        <v>45484</v>
      </c>
      <c r="B1641" s="136" t="s">
        <v>12</v>
      </c>
      <c r="C1641" s="157" t="str">
        <f t="shared" si="50"/>
        <v>11.07.2024_SAL2</v>
      </c>
      <c r="D1641" s="190">
        <f t="shared" si="51"/>
        <v>0</v>
      </c>
      <c r="E1641" s="133">
        <v>8.26</v>
      </c>
      <c r="F1641" s="134"/>
      <c r="G1641" s="135">
        <v>231</v>
      </c>
      <c r="H1641" s="137">
        <v>12.1</v>
      </c>
      <c r="I1641" s="134"/>
      <c r="J1641" s="137">
        <v>19.100000000000001</v>
      </c>
      <c r="K1641" s="134"/>
      <c r="L1641" s="136">
        <v>30</v>
      </c>
      <c r="M1641" s="181"/>
      <c r="N1641" s="159"/>
      <c r="O1641" s="159"/>
      <c r="P1641" s="136"/>
    </row>
    <row r="1642" spans="1:16" ht="16.5" customHeight="1" x14ac:dyDescent="0.25">
      <c r="A1642" s="156">
        <v>45484</v>
      </c>
      <c r="B1642" s="136" t="s">
        <v>7</v>
      </c>
      <c r="C1642" s="157" t="str">
        <f t="shared" si="50"/>
        <v>11.07.2024_STE1</v>
      </c>
      <c r="D1642" s="190">
        <f t="shared" si="51"/>
        <v>0</v>
      </c>
      <c r="E1642" s="133">
        <v>8.23</v>
      </c>
      <c r="F1642" s="134"/>
      <c r="G1642" s="135">
        <v>339</v>
      </c>
      <c r="H1642" s="137">
        <v>12.2</v>
      </c>
      <c r="I1642" s="134"/>
      <c r="J1642" s="137">
        <v>17.7</v>
      </c>
      <c r="K1642" s="134"/>
      <c r="L1642" s="136">
        <v>25</v>
      </c>
      <c r="M1642" s="181"/>
      <c r="N1642" s="159"/>
      <c r="O1642" s="159"/>
      <c r="P1642" s="136"/>
    </row>
    <row r="1643" spans="1:16" ht="16.5" customHeight="1" x14ac:dyDescent="0.25">
      <c r="A1643" s="156">
        <v>45484</v>
      </c>
      <c r="B1643" s="136" t="s">
        <v>9</v>
      </c>
      <c r="C1643" s="157" t="str">
        <f t="shared" si="50"/>
        <v>11.07.2024_STE2</v>
      </c>
      <c r="D1643" s="190">
        <f t="shared" si="51"/>
        <v>0</v>
      </c>
      <c r="E1643" s="133">
        <v>8.35</v>
      </c>
      <c r="F1643" s="134"/>
      <c r="G1643" s="135">
        <v>342</v>
      </c>
      <c r="H1643" s="137">
        <v>12.4</v>
      </c>
      <c r="I1643" s="134"/>
      <c r="J1643" s="137">
        <v>18.100000000000001</v>
      </c>
      <c r="K1643" s="134"/>
      <c r="L1643" s="136">
        <v>38</v>
      </c>
      <c r="M1643" s="181"/>
      <c r="N1643" s="159"/>
      <c r="O1643" s="159"/>
      <c r="P1643" s="136"/>
    </row>
    <row r="1644" spans="1:16" ht="16.5" customHeight="1" x14ac:dyDescent="0.25">
      <c r="A1644" s="156">
        <v>45498</v>
      </c>
      <c r="B1644" s="136" t="s">
        <v>22</v>
      </c>
      <c r="C1644" s="157" t="str">
        <f t="shared" si="50"/>
        <v>25.07.2024_BIE1</v>
      </c>
      <c r="D1644" s="190">
        <f t="shared" si="51"/>
        <v>0</v>
      </c>
      <c r="E1644" s="133">
        <v>7.88</v>
      </c>
      <c r="F1644" s="134"/>
      <c r="G1644" s="135">
        <v>181.5</v>
      </c>
      <c r="H1644" s="137">
        <v>9.6999999999999993</v>
      </c>
      <c r="I1644" s="134"/>
      <c r="J1644" s="137">
        <v>15.9</v>
      </c>
      <c r="K1644" s="134"/>
      <c r="L1644" s="136">
        <v>25</v>
      </c>
      <c r="M1644" s="181"/>
      <c r="N1644" s="159"/>
      <c r="O1644" s="159"/>
      <c r="P1644" s="136"/>
    </row>
    <row r="1645" spans="1:16" ht="16.5" customHeight="1" x14ac:dyDescent="0.25">
      <c r="A1645" s="156">
        <v>45498</v>
      </c>
      <c r="B1645" s="136" t="s">
        <v>25</v>
      </c>
      <c r="C1645" s="157" t="str">
        <f t="shared" si="50"/>
        <v>25.07.2024_BIE2</v>
      </c>
      <c r="D1645" s="190">
        <f t="shared" si="51"/>
        <v>0</v>
      </c>
      <c r="E1645" s="133">
        <v>7.7</v>
      </c>
      <c r="F1645" s="134"/>
      <c r="G1645" s="135">
        <v>179.5</v>
      </c>
      <c r="H1645" s="137">
        <v>9.6</v>
      </c>
      <c r="I1645" s="134"/>
      <c r="J1645" s="137">
        <v>17.2</v>
      </c>
      <c r="K1645" s="134"/>
      <c r="L1645" s="136">
        <v>40</v>
      </c>
      <c r="M1645" s="181"/>
      <c r="N1645" s="159"/>
      <c r="O1645" s="159"/>
      <c r="P1645" s="136"/>
    </row>
    <row r="1646" spans="1:16" ht="16.5" customHeight="1" x14ac:dyDescent="0.25">
      <c r="A1646" s="156">
        <v>45498</v>
      </c>
      <c r="B1646" s="136" t="s">
        <v>30</v>
      </c>
      <c r="C1646" s="157" t="str">
        <f t="shared" si="50"/>
        <v>25.07.2024_FAL1</v>
      </c>
      <c r="D1646" s="190">
        <f t="shared" si="51"/>
        <v>0</v>
      </c>
      <c r="E1646" s="133">
        <v>7.97</v>
      </c>
      <c r="F1646" s="134"/>
      <c r="G1646" s="135">
        <v>690</v>
      </c>
      <c r="H1646" s="137">
        <v>9.3000000000000007</v>
      </c>
      <c r="I1646" s="134"/>
      <c r="J1646" s="137">
        <v>18.8</v>
      </c>
      <c r="K1646" s="134"/>
      <c r="L1646" s="136">
        <v>30</v>
      </c>
      <c r="M1646" s="181"/>
      <c r="N1646" s="159"/>
      <c r="O1646" s="159"/>
      <c r="P1646" s="136"/>
    </row>
    <row r="1647" spans="1:16" ht="16.5" customHeight="1" x14ac:dyDescent="0.25">
      <c r="A1647" s="156">
        <v>45498</v>
      </c>
      <c r="B1647" s="136" t="s">
        <v>32</v>
      </c>
      <c r="C1647" s="157" t="str">
        <f t="shared" si="50"/>
        <v>25.07.2024_FAL2</v>
      </c>
      <c r="D1647" s="190">
        <f t="shared" si="51"/>
        <v>0</v>
      </c>
      <c r="E1647" s="133">
        <v>8.16</v>
      </c>
      <c r="F1647" s="134"/>
      <c r="G1647" s="135">
        <v>681</v>
      </c>
      <c r="H1647" s="137">
        <v>8.3000000000000007</v>
      </c>
      <c r="I1647" s="134"/>
      <c r="J1647" s="137">
        <v>17.8</v>
      </c>
      <c r="K1647" s="134"/>
      <c r="L1647" s="136">
        <v>50</v>
      </c>
      <c r="M1647" s="181"/>
      <c r="N1647" s="159"/>
      <c r="O1647" s="159"/>
      <c r="P1647" s="136"/>
    </row>
    <row r="1648" spans="1:16" ht="16.5" customHeight="1" x14ac:dyDescent="0.25">
      <c r="A1648" s="156">
        <v>45498</v>
      </c>
      <c r="B1648" s="136" t="s">
        <v>26</v>
      </c>
      <c r="C1648" s="157" t="str">
        <f t="shared" si="50"/>
        <v>25.07.2024_GRU1</v>
      </c>
      <c r="D1648" s="190">
        <f t="shared" si="51"/>
        <v>0</v>
      </c>
      <c r="E1648" s="133">
        <v>7.38</v>
      </c>
      <c r="F1648" s="134"/>
      <c r="G1648" s="135">
        <v>166</v>
      </c>
      <c r="H1648" s="137">
        <v>9.4</v>
      </c>
      <c r="I1648" s="134"/>
      <c r="J1648" s="137">
        <v>17</v>
      </c>
      <c r="K1648" s="134"/>
      <c r="L1648" s="136">
        <v>35</v>
      </c>
      <c r="M1648" s="181"/>
      <c r="N1648" s="159"/>
      <c r="O1648" s="159"/>
      <c r="P1648" s="136"/>
    </row>
    <row r="1649" spans="1:16" ht="16.5" customHeight="1" x14ac:dyDescent="0.25">
      <c r="A1649" s="156">
        <v>45498</v>
      </c>
      <c r="B1649" s="136" t="s">
        <v>28</v>
      </c>
      <c r="C1649" s="157" t="str">
        <f t="shared" si="50"/>
        <v>25.07.2024_GRU2</v>
      </c>
      <c r="D1649" s="190">
        <f t="shared" si="51"/>
        <v>0</v>
      </c>
      <c r="E1649" s="133">
        <v>7.28</v>
      </c>
      <c r="F1649" s="134"/>
      <c r="G1649" s="135">
        <v>170</v>
      </c>
      <c r="H1649" s="137">
        <v>9.1999999999999993</v>
      </c>
      <c r="I1649" s="134"/>
      <c r="J1649" s="137">
        <v>17.899999999999999</v>
      </c>
      <c r="K1649" s="134"/>
      <c r="L1649" s="136">
        <v>40</v>
      </c>
      <c r="M1649" s="181"/>
      <c r="N1649" s="159"/>
      <c r="O1649" s="159"/>
      <c r="P1649" s="136"/>
    </row>
    <row r="1650" spans="1:16" ht="16.5" customHeight="1" x14ac:dyDescent="0.25">
      <c r="A1650" s="156">
        <v>45498</v>
      </c>
      <c r="B1650" s="136" t="s">
        <v>34</v>
      </c>
      <c r="C1650" s="157" t="str">
        <f t="shared" si="50"/>
        <v>25.07.2024_KRE1</v>
      </c>
      <c r="D1650" s="190">
        <f t="shared" si="51"/>
        <v>0</v>
      </c>
      <c r="E1650" s="133">
        <v>7.9</v>
      </c>
      <c r="F1650" s="134"/>
      <c r="G1650" s="135">
        <v>684</v>
      </c>
      <c r="H1650" s="137">
        <v>7.5</v>
      </c>
      <c r="I1650" s="134"/>
      <c r="J1650" s="137">
        <v>19.100000000000001</v>
      </c>
      <c r="K1650" s="134"/>
      <c r="L1650" s="136">
        <v>45</v>
      </c>
      <c r="M1650" s="181"/>
      <c r="N1650" s="159"/>
      <c r="O1650" s="159"/>
      <c r="P1650" s="136"/>
    </row>
    <row r="1651" spans="1:16" ht="16.5" customHeight="1" x14ac:dyDescent="0.25">
      <c r="A1651" s="156">
        <v>45498</v>
      </c>
      <c r="B1651" s="136" t="s">
        <v>37</v>
      </c>
      <c r="C1651" s="157" t="str">
        <f t="shared" si="50"/>
        <v>25.07.2024_KRE2</v>
      </c>
      <c r="D1651" s="190">
        <f t="shared" si="51"/>
        <v>0</v>
      </c>
      <c r="E1651" s="133">
        <v>7.83</v>
      </c>
      <c r="F1651" s="134"/>
      <c r="G1651" s="135">
        <v>651</v>
      </c>
      <c r="H1651" s="137">
        <v>6.5</v>
      </c>
      <c r="I1651" s="134"/>
      <c r="J1651" s="137">
        <v>18.899999999999999</v>
      </c>
      <c r="K1651" s="134"/>
      <c r="L1651" s="136">
        <v>40</v>
      </c>
      <c r="M1651" s="181"/>
      <c r="N1651" s="159"/>
      <c r="O1651" s="159"/>
      <c r="P1651" s="136"/>
    </row>
    <row r="1652" spans="1:16" ht="16.5" customHeight="1" x14ac:dyDescent="0.25">
      <c r="A1652" s="156">
        <v>45498</v>
      </c>
      <c r="B1652" s="136" t="s">
        <v>14</v>
      </c>
      <c r="C1652" s="157" t="str">
        <f t="shared" si="50"/>
        <v>25.07.2024_BRA1</v>
      </c>
      <c r="D1652" s="190">
        <f t="shared" si="51"/>
        <v>0</v>
      </c>
      <c r="E1652" s="133">
        <v>7.96</v>
      </c>
      <c r="F1652" s="134"/>
      <c r="G1652" s="135">
        <v>180</v>
      </c>
      <c r="H1652" s="137">
        <v>9.1</v>
      </c>
      <c r="I1652" s="134"/>
      <c r="J1652" s="137">
        <v>19.5</v>
      </c>
      <c r="K1652" s="134"/>
      <c r="L1652" s="136">
        <v>24</v>
      </c>
      <c r="M1652" s="181"/>
      <c r="N1652" s="159"/>
      <c r="O1652" s="159"/>
      <c r="P1652" s="136"/>
    </row>
    <row r="1653" spans="1:16" ht="16.5" customHeight="1" x14ac:dyDescent="0.25">
      <c r="A1653" s="156">
        <v>45498</v>
      </c>
      <c r="B1653" s="136" t="s">
        <v>17</v>
      </c>
      <c r="C1653" s="157" t="str">
        <f t="shared" si="50"/>
        <v>25.07.2024_BRA2</v>
      </c>
      <c r="D1653" s="190">
        <f t="shared" si="51"/>
        <v>0</v>
      </c>
      <c r="E1653" s="133">
        <v>8.07</v>
      </c>
      <c r="F1653" s="134"/>
      <c r="G1653" s="135">
        <v>212</v>
      </c>
      <c r="H1653" s="137">
        <v>9.6</v>
      </c>
      <c r="I1653" s="134"/>
      <c r="J1653" s="137">
        <v>17.7</v>
      </c>
      <c r="K1653" s="134"/>
      <c r="L1653" s="136">
        <v>38</v>
      </c>
      <c r="M1653" s="181"/>
      <c r="N1653" s="159"/>
      <c r="O1653" s="159"/>
      <c r="P1653" s="136"/>
    </row>
    <row r="1654" spans="1:16" ht="16.5" customHeight="1" x14ac:dyDescent="0.25">
      <c r="A1654" s="156">
        <v>45498</v>
      </c>
      <c r="B1654" s="136" t="s">
        <v>0</v>
      </c>
      <c r="C1654" s="157" t="str">
        <f t="shared" si="50"/>
        <v>25.07.2024_KIN1</v>
      </c>
      <c r="D1654" s="190">
        <f t="shared" si="51"/>
        <v>0</v>
      </c>
      <c r="E1654" s="133">
        <v>8.2799999999999994</v>
      </c>
      <c r="F1654" s="134"/>
      <c r="G1654" s="135">
        <v>427</v>
      </c>
      <c r="H1654" s="137">
        <v>9.6</v>
      </c>
      <c r="I1654" s="134"/>
      <c r="J1654" s="137">
        <v>16.100000000000001</v>
      </c>
      <c r="K1654" s="134"/>
      <c r="L1654" s="136">
        <v>40</v>
      </c>
      <c r="M1654" s="181"/>
      <c r="N1654" s="159"/>
      <c r="O1654" s="159"/>
      <c r="P1654" s="136"/>
    </row>
    <row r="1655" spans="1:16" ht="16.5" customHeight="1" x14ac:dyDescent="0.25">
      <c r="A1655" s="156">
        <v>45498</v>
      </c>
      <c r="B1655" s="136" t="s">
        <v>2</v>
      </c>
      <c r="C1655" s="157" t="str">
        <f t="shared" si="50"/>
        <v>25.07.2024_KIN2</v>
      </c>
      <c r="D1655" s="190">
        <f t="shared" si="51"/>
        <v>0</v>
      </c>
      <c r="E1655" s="133">
        <v>8.3000000000000007</v>
      </c>
      <c r="F1655" s="134"/>
      <c r="G1655" s="135">
        <v>480</v>
      </c>
      <c r="H1655" s="137">
        <v>10</v>
      </c>
      <c r="I1655" s="134"/>
      <c r="J1655" s="137">
        <v>16.399999999999999</v>
      </c>
      <c r="K1655" s="134"/>
      <c r="L1655" s="136">
        <v>35</v>
      </c>
      <c r="M1655" s="181"/>
      <c r="N1655" s="159"/>
      <c r="O1655" s="159"/>
      <c r="P1655" s="136"/>
    </row>
    <row r="1656" spans="1:16" ht="16.5" customHeight="1" x14ac:dyDescent="0.25">
      <c r="A1656" s="156">
        <v>45498</v>
      </c>
      <c r="B1656" s="136" t="s">
        <v>4</v>
      </c>
      <c r="C1656" s="157" t="str">
        <f t="shared" si="50"/>
        <v>25.07.2024_KIN3</v>
      </c>
      <c r="D1656" s="190">
        <f t="shared" si="51"/>
        <v>0</v>
      </c>
      <c r="E1656" s="133">
        <v>8.36</v>
      </c>
      <c r="F1656" s="134"/>
      <c r="G1656" s="135">
        <v>493</v>
      </c>
      <c r="H1656" s="137">
        <v>10.3</v>
      </c>
      <c r="I1656" s="134"/>
      <c r="J1656" s="137">
        <v>16.3</v>
      </c>
      <c r="K1656" s="134"/>
      <c r="L1656" s="136">
        <v>75</v>
      </c>
      <c r="M1656" s="181"/>
      <c r="N1656" s="159"/>
      <c r="O1656" s="159"/>
      <c r="P1656" s="136"/>
    </row>
    <row r="1657" spans="1:16" ht="16.5" customHeight="1" x14ac:dyDescent="0.25">
      <c r="A1657" s="156">
        <v>45498</v>
      </c>
      <c r="B1657" s="136" t="s">
        <v>6</v>
      </c>
      <c r="C1657" s="157" t="str">
        <f t="shared" si="50"/>
        <v>25.07.2024_KIN4</v>
      </c>
      <c r="D1657" s="190">
        <f t="shared" si="51"/>
        <v>0</v>
      </c>
      <c r="E1657" s="133">
        <v>8.07</v>
      </c>
      <c r="F1657" s="134"/>
      <c r="G1657" s="135">
        <v>520</v>
      </c>
      <c r="H1657" s="137">
        <v>9.6</v>
      </c>
      <c r="I1657" s="134"/>
      <c r="J1657" s="137">
        <v>16.899999999999999</v>
      </c>
      <c r="K1657" s="134"/>
      <c r="L1657" s="136">
        <v>45</v>
      </c>
      <c r="M1657" s="181"/>
      <c r="N1657" s="159"/>
      <c r="O1657" s="159"/>
      <c r="P1657" s="136"/>
    </row>
    <row r="1658" spans="1:16" ht="16.5" customHeight="1" x14ac:dyDescent="0.25">
      <c r="A1658" s="156">
        <v>45498</v>
      </c>
      <c r="B1658" s="136" t="s">
        <v>18</v>
      </c>
      <c r="C1658" s="157" t="str">
        <f t="shared" si="50"/>
        <v>25.07.2024_ORB1</v>
      </c>
      <c r="D1658" s="190">
        <f t="shared" si="51"/>
        <v>0</v>
      </c>
      <c r="E1658" s="133">
        <v>7.73</v>
      </c>
      <c r="F1658" s="134"/>
      <c r="G1658" s="135">
        <v>107</v>
      </c>
      <c r="H1658" s="137">
        <v>10</v>
      </c>
      <c r="I1658" s="134"/>
      <c r="J1658" s="137">
        <v>16.8</v>
      </c>
      <c r="K1658" s="134"/>
      <c r="L1658" s="136">
        <v>20</v>
      </c>
      <c r="M1658" s="181"/>
      <c r="N1658" s="159"/>
      <c r="O1658" s="159"/>
      <c r="P1658" s="136"/>
    </row>
    <row r="1659" spans="1:16" ht="16.5" customHeight="1" x14ac:dyDescent="0.25">
      <c r="A1659" s="156">
        <v>45498</v>
      </c>
      <c r="B1659" s="136" t="s">
        <v>21</v>
      </c>
      <c r="C1659" s="157" t="str">
        <f t="shared" si="50"/>
        <v>25.07.2024_ORB2</v>
      </c>
      <c r="D1659" s="190">
        <f t="shared" si="51"/>
        <v>0</v>
      </c>
      <c r="E1659" s="133">
        <v>7.17</v>
      </c>
      <c r="F1659" s="134"/>
      <c r="G1659" s="135">
        <v>157</v>
      </c>
      <c r="H1659" s="137">
        <v>9.5</v>
      </c>
      <c r="I1659" s="134"/>
      <c r="J1659" s="137">
        <v>16.899999999999999</v>
      </c>
      <c r="K1659" s="134"/>
      <c r="L1659" s="136">
        <v>20</v>
      </c>
      <c r="M1659" s="181"/>
      <c r="N1659" s="159"/>
      <c r="O1659" s="159"/>
      <c r="P1659" s="136"/>
    </row>
    <row r="1660" spans="1:16" ht="16.5" customHeight="1" x14ac:dyDescent="0.25">
      <c r="A1660" s="156">
        <v>45498</v>
      </c>
      <c r="B1660" s="136" t="s">
        <v>10</v>
      </c>
      <c r="C1660" s="157" t="str">
        <f t="shared" si="50"/>
        <v>25.07.2024_SAL1</v>
      </c>
      <c r="D1660" s="190">
        <f t="shared" si="51"/>
        <v>0</v>
      </c>
      <c r="E1660" s="133">
        <v>8.31</v>
      </c>
      <c r="F1660" s="134"/>
      <c r="G1660" s="135">
        <v>215</v>
      </c>
      <c r="H1660" s="137">
        <v>10.199999999999999</v>
      </c>
      <c r="I1660" s="134"/>
      <c r="J1660" s="137">
        <v>16.7</v>
      </c>
      <c r="K1660" s="134"/>
      <c r="L1660" s="136">
        <v>45</v>
      </c>
      <c r="M1660" s="181"/>
      <c r="N1660" s="159"/>
      <c r="O1660" s="159"/>
      <c r="P1660" s="136"/>
    </row>
    <row r="1661" spans="1:16" ht="16.5" customHeight="1" x14ac:dyDescent="0.25">
      <c r="A1661" s="156">
        <v>45498</v>
      </c>
      <c r="B1661" s="136" t="s">
        <v>12</v>
      </c>
      <c r="C1661" s="157" t="str">
        <f t="shared" si="50"/>
        <v>25.07.2024_SAL2</v>
      </c>
      <c r="D1661" s="190">
        <f t="shared" si="51"/>
        <v>0</v>
      </c>
      <c r="E1661" s="133">
        <v>8.33</v>
      </c>
      <c r="F1661" s="134"/>
      <c r="G1661" s="135">
        <v>233</v>
      </c>
      <c r="H1661" s="137">
        <v>10.3</v>
      </c>
      <c r="I1661" s="134"/>
      <c r="J1661" s="137">
        <v>17.100000000000001</v>
      </c>
      <c r="K1661" s="134"/>
      <c r="L1661" s="136">
        <v>35</v>
      </c>
      <c r="M1661" s="181"/>
      <c r="N1661" s="159"/>
      <c r="O1661" s="159"/>
      <c r="P1661" s="136"/>
    </row>
    <row r="1662" spans="1:16" ht="16.5" customHeight="1" x14ac:dyDescent="0.25">
      <c r="A1662" s="156">
        <v>45498</v>
      </c>
      <c r="B1662" s="136" t="s">
        <v>7</v>
      </c>
      <c r="C1662" s="157" t="str">
        <f t="shared" si="50"/>
        <v>25.07.2024_STE1</v>
      </c>
      <c r="D1662" s="190">
        <f t="shared" si="51"/>
        <v>0</v>
      </c>
      <c r="E1662" s="133">
        <v>8.2799999999999994</v>
      </c>
      <c r="F1662" s="134"/>
      <c r="G1662" s="135">
        <v>363</v>
      </c>
      <c r="H1662" s="137">
        <v>10.8</v>
      </c>
      <c r="I1662" s="134"/>
      <c r="J1662" s="137">
        <v>15.9</v>
      </c>
      <c r="K1662" s="134"/>
      <c r="L1662" s="136">
        <v>30</v>
      </c>
      <c r="M1662" s="181"/>
      <c r="N1662" s="159"/>
      <c r="O1662" s="159"/>
      <c r="P1662" s="136"/>
    </row>
    <row r="1663" spans="1:16" ht="16.5" customHeight="1" x14ac:dyDescent="0.25">
      <c r="A1663" s="156">
        <v>45498</v>
      </c>
      <c r="B1663" s="136" t="s">
        <v>9</v>
      </c>
      <c r="C1663" s="157" t="str">
        <f t="shared" si="50"/>
        <v>25.07.2024_STE2</v>
      </c>
      <c r="D1663" s="190">
        <f t="shared" si="51"/>
        <v>0</v>
      </c>
      <c r="E1663" s="133">
        <v>8.41</v>
      </c>
      <c r="F1663" s="134"/>
      <c r="G1663" s="135">
        <v>362</v>
      </c>
      <c r="H1663" s="137">
        <v>10.199999999999999</v>
      </c>
      <c r="I1663" s="134"/>
      <c r="J1663" s="137">
        <v>16.5</v>
      </c>
      <c r="K1663" s="134"/>
      <c r="L1663" s="136">
        <v>45</v>
      </c>
      <c r="M1663" s="181"/>
      <c r="N1663" s="159"/>
      <c r="O1663" s="159"/>
      <c r="P1663" s="136"/>
    </row>
    <row r="1664" spans="1:16" ht="16.5" customHeight="1" x14ac:dyDescent="0.25">
      <c r="A1664" s="156">
        <v>45513</v>
      </c>
      <c r="B1664" s="136" t="s">
        <v>22</v>
      </c>
      <c r="C1664" s="157" t="str">
        <f t="shared" si="50"/>
        <v>09.08.2024_BIE1</v>
      </c>
      <c r="D1664" s="190">
        <f t="shared" si="51"/>
        <v>0</v>
      </c>
      <c r="E1664" s="133">
        <v>7.71</v>
      </c>
      <c r="F1664" s="134"/>
      <c r="G1664" s="135">
        <v>184</v>
      </c>
      <c r="H1664" s="137">
        <v>11.7</v>
      </c>
      <c r="I1664" s="134"/>
      <c r="J1664" s="137">
        <v>16.399999999999999</v>
      </c>
      <c r="K1664" s="134"/>
      <c r="L1664" s="136">
        <v>20</v>
      </c>
      <c r="M1664" s="181"/>
      <c r="N1664" s="159"/>
      <c r="O1664" s="159"/>
      <c r="P1664" s="136"/>
    </row>
    <row r="1665" spans="1:16" ht="16.5" customHeight="1" x14ac:dyDescent="0.25">
      <c r="A1665" s="156">
        <v>45513</v>
      </c>
      <c r="B1665" s="136" t="s">
        <v>25</v>
      </c>
      <c r="C1665" s="157" t="str">
        <f t="shared" si="50"/>
        <v>09.08.2024_BIE2</v>
      </c>
      <c r="D1665" s="190">
        <f t="shared" si="51"/>
        <v>0</v>
      </c>
      <c r="E1665" s="133">
        <v>7.77</v>
      </c>
      <c r="F1665" s="134"/>
      <c r="G1665" s="135">
        <v>192.4</v>
      </c>
      <c r="H1665" s="137">
        <v>11.8</v>
      </c>
      <c r="I1665" s="134"/>
      <c r="J1665" s="137">
        <v>16.3</v>
      </c>
      <c r="K1665" s="134"/>
      <c r="L1665" s="136">
        <v>50</v>
      </c>
      <c r="M1665" s="181"/>
      <c r="N1665" s="159"/>
      <c r="O1665" s="159"/>
      <c r="P1665" s="136"/>
    </row>
    <row r="1666" spans="1:16" ht="16.5" customHeight="1" x14ac:dyDescent="0.25">
      <c r="A1666" s="156">
        <v>45513</v>
      </c>
      <c r="B1666" s="136" t="s">
        <v>30</v>
      </c>
      <c r="C1666" s="157" t="str">
        <f t="shared" si="50"/>
        <v>09.08.2024_FAL1</v>
      </c>
      <c r="D1666" s="190">
        <f t="shared" si="51"/>
        <v>0</v>
      </c>
      <c r="E1666" s="133">
        <v>8</v>
      </c>
      <c r="F1666" s="134"/>
      <c r="G1666" s="135">
        <v>812</v>
      </c>
      <c r="H1666" s="137">
        <v>8.8000000000000007</v>
      </c>
      <c r="I1666" s="134"/>
      <c r="J1666" s="137">
        <v>17.2</v>
      </c>
      <c r="K1666" s="134"/>
      <c r="L1666" s="136">
        <v>25</v>
      </c>
      <c r="M1666" s="181"/>
      <c r="N1666" s="159"/>
      <c r="O1666" s="159"/>
      <c r="P1666" s="136"/>
    </row>
    <row r="1667" spans="1:16" ht="16.5" customHeight="1" x14ac:dyDescent="0.25">
      <c r="A1667" s="156">
        <v>45513</v>
      </c>
      <c r="B1667" s="136" t="s">
        <v>32</v>
      </c>
      <c r="C1667" s="157" t="str">
        <f t="shared" si="50"/>
        <v>09.08.2024_FAL2</v>
      </c>
      <c r="D1667" s="190">
        <f t="shared" si="51"/>
        <v>0</v>
      </c>
      <c r="E1667" s="133">
        <v>8.1300000000000008</v>
      </c>
      <c r="F1667" s="134"/>
      <c r="G1667" s="135">
        <v>824</v>
      </c>
      <c r="H1667" s="137">
        <v>10.6</v>
      </c>
      <c r="I1667" s="134"/>
      <c r="J1667" s="137">
        <v>17.600000000000001</v>
      </c>
      <c r="K1667" s="134"/>
      <c r="L1667" s="136">
        <v>50</v>
      </c>
      <c r="M1667" s="181"/>
      <c r="N1667" s="159"/>
      <c r="O1667" s="159"/>
      <c r="P1667" s="136"/>
    </row>
    <row r="1668" spans="1:16" ht="16.5" customHeight="1" x14ac:dyDescent="0.25">
      <c r="A1668" s="156">
        <v>45513</v>
      </c>
      <c r="B1668" s="136" t="s">
        <v>26</v>
      </c>
      <c r="C1668" s="157" t="str">
        <f t="shared" si="50"/>
        <v>09.08.2024_GRU1</v>
      </c>
      <c r="D1668" s="190">
        <f t="shared" si="51"/>
        <v>0</v>
      </c>
      <c r="E1668" s="133">
        <v>7.3</v>
      </c>
      <c r="F1668" s="134"/>
      <c r="G1668" s="135">
        <v>159.4</v>
      </c>
      <c r="H1668" s="137">
        <v>11</v>
      </c>
      <c r="I1668" s="134"/>
      <c r="J1668" s="137">
        <v>17.399999999999999</v>
      </c>
      <c r="K1668" s="134"/>
      <c r="L1668" s="136">
        <v>35</v>
      </c>
      <c r="M1668" s="181"/>
      <c r="N1668" s="159"/>
      <c r="O1668" s="159"/>
      <c r="P1668" s="136"/>
    </row>
    <row r="1669" spans="1:16" ht="16.5" customHeight="1" x14ac:dyDescent="0.25">
      <c r="A1669" s="156">
        <v>45513</v>
      </c>
      <c r="B1669" s="136" t="s">
        <v>28</v>
      </c>
      <c r="C1669" s="157" t="str">
        <f t="shared" ref="C1669:C1732" si="52">CONCATENATE(TEXT(A1669,"TT.MM.JJJJ"),"_",B1669)</f>
        <v>09.08.2024_GRU2</v>
      </c>
      <c r="D1669" s="190">
        <f t="shared" ref="D1669:D1732" si="53">COUNTBLANK(E1669)+COUNTBLANK(G1669:H1669)+COUNTBLANK(J1669)+COUNTBLANK(L1669)</f>
        <v>0</v>
      </c>
      <c r="E1669" s="133">
        <v>7.25</v>
      </c>
      <c r="F1669" s="134"/>
      <c r="G1669" s="135">
        <v>167.9</v>
      </c>
      <c r="H1669" s="137">
        <v>11.5</v>
      </c>
      <c r="I1669" s="134"/>
      <c r="J1669" s="137">
        <v>17</v>
      </c>
      <c r="K1669" s="134"/>
      <c r="L1669" s="136">
        <v>35</v>
      </c>
      <c r="M1669" s="181"/>
      <c r="N1669" s="159"/>
      <c r="O1669" s="159"/>
      <c r="P1669" s="136"/>
    </row>
    <row r="1670" spans="1:16" ht="16.5" customHeight="1" x14ac:dyDescent="0.25">
      <c r="A1670" s="156">
        <v>45513</v>
      </c>
      <c r="B1670" s="136" t="s">
        <v>34</v>
      </c>
      <c r="C1670" s="157" t="str">
        <f t="shared" si="52"/>
        <v>09.08.2024_KRE1</v>
      </c>
      <c r="D1670" s="190">
        <f t="shared" si="53"/>
        <v>0</v>
      </c>
      <c r="E1670" s="133">
        <v>7.92</v>
      </c>
      <c r="F1670" s="134"/>
      <c r="G1670" s="135">
        <v>891</v>
      </c>
      <c r="H1670" s="137">
        <v>8.8000000000000007</v>
      </c>
      <c r="I1670" s="134"/>
      <c r="J1670" s="137">
        <v>18.899999999999999</v>
      </c>
      <c r="K1670" s="134"/>
      <c r="L1670" s="136">
        <v>45</v>
      </c>
      <c r="M1670" s="181"/>
      <c r="N1670" s="159"/>
      <c r="O1670" s="159"/>
      <c r="P1670" s="136"/>
    </row>
    <row r="1671" spans="1:16" ht="16.5" customHeight="1" x14ac:dyDescent="0.25">
      <c r="A1671" s="156">
        <v>45513</v>
      </c>
      <c r="B1671" s="136" t="s">
        <v>37</v>
      </c>
      <c r="C1671" s="157" t="str">
        <f t="shared" si="52"/>
        <v>09.08.2024_KRE2</v>
      </c>
      <c r="D1671" s="190">
        <f t="shared" si="53"/>
        <v>0</v>
      </c>
      <c r="E1671" s="133">
        <v>7.89</v>
      </c>
      <c r="F1671" s="134"/>
      <c r="G1671" s="135">
        <v>916</v>
      </c>
      <c r="H1671" s="137">
        <v>9.1999999999999993</v>
      </c>
      <c r="I1671" s="134"/>
      <c r="J1671" s="137">
        <v>18.8</v>
      </c>
      <c r="K1671" s="134"/>
      <c r="L1671" s="136">
        <v>30</v>
      </c>
      <c r="M1671" s="181"/>
      <c r="N1671" s="159"/>
      <c r="O1671" s="159"/>
      <c r="P1671" s="136"/>
    </row>
    <row r="1672" spans="1:16" ht="16.5" customHeight="1" x14ac:dyDescent="0.25">
      <c r="A1672" s="156">
        <v>45513</v>
      </c>
      <c r="B1672" s="136" t="s">
        <v>14</v>
      </c>
      <c r="C1672" s="157" t="str">
        <f t="shared" si="52"/>
        <v>09.08.2024_BRA1</v>
      </c>
      <c r="D1672" s="190">
        <f t="shared" si="53"/>
        <v>0</v>
      </c>
      <c r="E1672" s="133">
        <v>7.97</v>
      </c>
      <c r="F1672" s="134"/>
      <c r="G1672" s="135">
        <v>194</v>
      </c>
      <c r="H1672" s="137">
        <v>11</v>
      </c>
      <c r="I1672" s="134"/>
      <c r="J1672" s="137">
        <v>19.5</v>
      </c>
      <c r="K1672" s="134"/>
      <c r="L1672" s="136">
        <v>22</v>
      </c>
      <c r="M1672" s="181"/>
      <c r="N1672" s="159"/>
      <c r="O1672" s="159"/>
      <c r="P1672" s="136"/>
    </row>
    <row r="1673" spans="1:16" ht="16.5" customHeight="1" x14ac:dyDescent="0.25">
      <c r="A1673" s="156">
        <v>45513</v>
      </c>
      <c r="B1673" s="136" t="s">
        <v>17</v>
      </c>
      <c r="C1673" s="157" t="str">
        <f t="shared" si="52"/>
        <v>09.08.2024_BRA2</v>
      </c>
      <c r="D1673" s="190">
        <f t="shared" si="53"/>
        <v>0</v>
      </c>
      <c r="E1673" s="133">
        <v>8.6199999999999992</v>
      </c>
      <c r="F1673" s="134"/>
      <c r="G1673" s="135">
        <v>220</v>
      </c>
      <c r="H1673" s="137">
        <v>11</v>
      </c>
      <c r="I1673" s="134"/>
      <c r="J1673" s="137">
        <v>18.399999999999999</v>
      </c>
      <c r="K1673" s="134"/>
      <c r="L1673" s="136">
        <v>45</v>
      </c>
      <c r="M1673" s="181"/>
      <c r="N1673" s="159"/>
      <c r="O1673" s="159"/>
      <c r="P1673" s="136"/>
    </row>
    <row r="1674" spans="1:16" ht="16.5" customHeight="1" x14ac:dyDescent="0.25">
      <c r="A1674" s="156">
        <v>45513</v>
      </c>
      <c r="B1674" s="136" t="s">
        <v>0</v>
      </c>
      <c r="C1674" s="157" t="str">
        <f t="shared" si="52"/>
        <v>09.08.2024_KIN1</v>
      </c>
      <c r="D1674" s="190">
        <f t="shared" si="53"/>
        <v>0</v>
      </c>
      <c r="E1674" s="133">
        <v>8.3000000000000007</v>
      </c>
      <c r="F1674" s="134"/>
      <c r="G1674" s="135">
        <v>447</v>
      </c>
      <c r="H1674" s="137">
        <v>10.1</v>
      </c>
      <c r="I1674" s="134"/>
      <c r="J1674" s="137">
        <v>17.8</v>
      </c>
      <c r="K1674" s="134"/>
      <c r="L1674" s="136">
        <v>30</v>
      </c>
      <c r="M1674" s="181"/>
      <c r="N1674" s="159"/>
      <c r="O1674" s="159"/>
      <c r="P1674" s="136"/>
    </row>
    <row r="1675" spans="1:16" ht="16.5" customHeight="1" x14ac:dyDescent="0.25">
      <c r="A1675" s="156">
        <v>45513</v>
      </c>
      <c r="B1675" s="136" t="s">
        <v>2</v>
      </c>
      <c r="C1675" s="157" t="str">
        <f t="shared" si="52"/>
        <v>09.08.2024_KIN2</v>
      </c>
      <c r="D1675" s="190">
        <f t="shared" si="53"/>
        <v>0</v>
      </c>
      <c r="E1675" s="133">
        <v>8.25</v>
      </c>
      <c r="F1675" s="134"/>
      <c r="G1675" s="135">
        <v>509</v>
      </c>
      <c r="H1675" s="137">
        <v>11.9</v>
      </c>
      <c r="I1675" s="134"/>
      <c r="J1675" s="137">
        <v>17</v>
      </c>
      <c r="K1675" s="134"/>
      <c r="L1675" s="136">
        <v>35</v>
      </c>
      <c r="M1675" s="181"/>
      <c r="N1675" s="159"/>
      <c r="O1675" s="159"/>
      <c r="P1675" s="136"/>
    </row>
    <row r="1676" spans="1:16" ht="16.5" customHeight="1" x14ac:dyDescent="0.25">
      <c r="A1676" s="156">
        <v>45513</v>
      </c>
      <c r="B1676" s="136" t="s">
        <v>4</v>
      </c>
      <c r="C1676" s="157" t="str">
        <f t="shared" si="52"/>
        <v>09.08.2024_KIN3</v>
      </c>
      <c r="D1676" s="190">
        <f t="shared" si="53"/>
        <v>0</v>
      </c>
      <c r="E1676" s="133">
        <v>8.3000000000000007</v>
      </c>
      <c r="F1676" s="134"/>
      <c r="G1676" s="135">
        <v>519</v>
      </c>
      <c r="H1676" s="137">
        <v>11.5</v>
      </c>
      <c r="I1676" s="134"/>
      <c r="J1676" s="137">
        <v>17.7</v>
      </c>
      <c r="K1676" s="134"/>
      <c r="L1676" s="136">
        <v>70</v>
      </c>
      <c r="M1676" s="181"/>
      <c r="N1676" s="159"/>
      <c r="O1676" s="159"/>
      <c r="P1676" s="136"/>
    </row>
    <row r="1677" spans="1:16" ht="16.5" customHeight="1" x14ac:dyDescent="0.25">
      <c r="A1677" s="156">
        <v>45513</v>
      </c>
      <c r="B1677" s="136" t="s">
        <v>6</v>
      </c>
      <c r="C1677" s="157" t="str">
        <f t="shared" si="52"/>
        <v>09.08.2024_KIN4</v>
      </c>
      <c r="D1677" s="190">
        <f t="shared" si="53"/>
        <v>0</v>
      </c>
      <c r="E1677" s="133">
        <v>8.06</v>
      </c>
      <c r="F1677" s="134"/>
      <c r="G1677" s="135">
        <v>526</v>
      </c>
      <c r="H1677" s="137">
        <v>10.199999999999999</v>
      </c>
      <c r="I1677" s="134"/>
      <c r="J1677" s="137">
        <v>18</v>
      </c>
      <c r="K1677" s="134"/>
      <c r="L1677" s="136">
        <v>45</v>
      </c>
      <c r="M1677" s="181"/>
      <c r="N1677" s="159"/>
      <c r="O1677" s="159"/>
      <c r="P1677" s="136"/>
    </row>
    <row r="1678" spans="1:16" ht="16.5" customHeight="1" x14ac:dyDescent="0.25">
      <c r="A1678" s="156">
        <v>45513</v>
      </c>
      <c r="B1678" s="136" t="s">
        <v>18</v>
      </c>
      <c r="C1678" s="157" t="str">
        <f t="shared" si="52"/>
        <v>09.08.2024_ORB1</v>
      </c>
      <c r="D1678" s="190">
        <f t="shared" si="53"/>
        <v>0</v>
      </c>
      <c r="E1678" s="133">
        <v>7.41</v>
      </c>
      <c r="F1678" s="134"/>
      <c r="G1678" s="135">
        <v>121</v>
      </c>
      <c r="H1678" s="137">
        <v>11.7</v>
      </c>
      <c r="I1678" s="134"/>
      <c r="J1678" s="137">
        <v>17.3</v>
      </c>
      <c r="K1678" s="134"/>
      <c r="L1678" s="136">
        <v>17</v>
      </c>
      <c r="M1678" s="181"/>
      <c r="N1678" s="159"/>
      <c r="O1678" s="159"/>
      <c r="P1678" s="136"/>
    </row>
    <row r="1679" spans="1:16" ht="16.5" customHeight="1" x14ac:dyDescent="0.25">
      <c r="A1679" s="156">
        <v>45513</v>
      </c>
      <c r="B1679" s="136" t="s">
        <v>21</v>
      </c>
      <c r="C1679" s="157" t="str">
        <f t="shared" si="52"/>
        <v>09.08.2024_ORB2</v>
      </c>
      <c r="D1679" s="190">
        <f t="shared" si="53"/>
        <v>0</v>
      </c>
      <c r="E1679" s="133">
        <v>7</v>
      </c>
      <c r="F1679" s="134"/>
      <c r="G1679" s="135">
        <v>169</v>
      </c>
      <c r="H1679" s="137">
        <v>11.2</v>
      </c>
      <c r="I1679" s="134"/>
      <c r="J1679" s="137">
        <v>17.600000000000001</v>
      </c>
      <c r="K1679" s="134"/>
      <c r="L1679" s="136">
        <v>22</v>
      </c>
      <c r="M1679" s="181"/>
      <c r="N1679" s="159"/>
      <c r="O1679" s="159"/>
      <c r="P1679" s="136"/>
    </row>
    <row r="1680" spans="1:16" ht="16.5" customHeight="1" x14ac:dyDescent="0.25">
      <c r="A1680" s="156">
        <v>45513</v>
      </c>
      <c r="B1680" s="136" t="s">
        <v>10</v>
      </c>
      <c r="C1680" s="157" t="str">
        <f t="shared" si="52"/>
        <v>09.08.2024_SAL1</v>
      </c>
      <c r="D1680" s="190">
        <f t="shared" si="53"/>
        <v>0</v>
      </c>
      <c r="E1680" s="133">
        <v>8.1300000000000008</v>
      </c>
      <c r="F1680" s="134"/>
      <c r="G1680" s="135">
        <v>228</v>
      </c>
      <c r="H1680" s="137">
        <v>11.2</v>
      </c>
      <c r="I1680" s="134"/>
      <c r="J1680" s="137">
        <v>17.399999999999999</v>
      </c>
      <c r="K1680" s="134"/>
      <c r="L1680" s="136">
        <v>45</v>
      </c>
      <c r="M1680" s="181"/>
      <c r="N1680" s="159"/>
      <c r="O1680" s="159"/>
      <c r="P1680" s="136"/>
    </row>
    <row r="1681" spans="1:16" ht="16.5" customHeight="1" x14ac:dyDescent="0.25">
      <c r="A1681" s="156">
        <v>45513</v>
      </c>
      <c r="B1681" s="136" t="s">
        <v>12</v>
      </c>
      <c r="C1681" s="157" t="str">
        <f t="shared" si="52"/>
        <v>09.08.2024_SAL2</v>
      </c>
      <c r="D1681" s="190">
        <f t="shared" si="53"/>
        <v>0</v>
      </c>
      <c r="E1681" s="133">
        <v>8.4</v>
      </c>
      <c r="F1681" s="134"/>
      <c r="G1681" s="135">
        <v>246</v>
      </c>
      <c r="H1681" s="137">
        <v>11.7</v>
      </c>
      <c r="I1681" s="134"/>
      <c r="J1681" s="137">
        <v>17.899999999999999</v>
      </c>
      <c r="K1681" s="134"/>
      <c r="L1681" s="136">
        <v>35</v>
      </c>
      <c r="M1681" s="181"/>
      <c r="N1681" s="159"/>
      <c r="O1681" s="159"/>
      <c r="P1681" s="136"/>
    </row>
    <row r="1682" spans="1:16" ht="16.5" customHeight="1" x14ac:dyDescent="0.25">
      <c r="A1682" s="156">
        <v>45513</v>
      </c>
      <c r="B1682" s="136" t="s">
        <v>7</v>
      </c>
      <c r="C1682" s="157" t="str">
        <f t="shared" si="52"/>
        <v>09.08.2024_STE1</v>
      </c>
      <c r="D1682" s="190">
        <f t="shared" si="53"/>
        <v>0</v>
      </c>
      <c r="E1682" s="133">
        <v>8.18</v>
      </c>
      <c r="F1682" s="134"/>
      <c r="G1682" s="135">
        <v>362</v>
      </c>
      <c r="H1682" s="137">
        <v>11.3</v>
      </c>
      <c r="I1682" s="134"/>
      <c r="J1682" s="137">
        <v>16.7</v>
      </c>
      <c r="K1682" s="134"/>
      <c r="L1682" s="136">
        <v>33</v>
      </c>
      <c r="M1682" s="181"/>
      <c r="N1682" s="159"/>
      <c r="O1682" s="159"/>
      <c r="P1682" s="136"/>
    </row>
    <row r="1683" spans="1:16" ht="16.5" customHeight="1" x14ac:dyDescent="0.25">
      <c r="A1683" s="156">
        <v>45513</v>
      </c>
      <c r="B1683" s="136" t="s">
        <v>9</v>
      </c>
      <c r="C1683" s="157" t="str">
        <f t="shared" si="52"/>
        <v>09.08.2024_STE2</v>
      </c>
      <c r="D1683" s="190">
        <f t="shared" si="53"/>
        <v>0</v>
      </c>
      <c r="E1683" s="133">
        <v>8.36</v>
      </c>
      <c r="F1683" s="134"/>
      <c r="G1683" s="135">
        <v>368</v>
      </c>
      <c r="H1683" s="137">
        <v>11.1</v>
      </c>
      <c r="I1683" s="134"/>
      <c r="J1683" s="137">
        <v>17.7</v>
      </c>
      <c r="K1683" s="134"/>
      <c r="L1683" s="136">
        <v>45</v>
      </c>
      <c r="M1683" s="181"/>
      <c r="N1683" s="159"/>
      <c r="O1683" s="159"/>
      <c r="P1683" s="136"/>
    </row>
    <row r="1684" spans="1:16" ht="16.5" customHeight="1" x14ac:dyDescent="0.25">
      <c r="A1684" s="156">
        <v>45526</v>
      </c>
      <c r="B1684" s="136" t="s">
        <v>22</v>
      </c>
      <c r="C1684" s="157" t="str">
        <f t="shared" si="52"/>
        <v>22.08.2024_BIE1</v>
      </c>
      <c r="D1684" s="190">
        <f t="shared" si="53"/>
        <v>0</v>
      </c>
      <c r="E1684" s="133">
        <v>7.67</v>
      </c>
      <c r="F1684" s="134"/>
      <c r="G1684" s="135">
        <v>195.6</v>
      </c>
      <c r="H1684" s="137">
        <v>10</v>
      </c>
      <c r="I1684" s="134"/>
      <c r="J1684" s="137">
        <v>14.4</v>
      </c>
      <c r="K1684" s="134"/>
      <c r="L1684" s="136">
        <v>25</v>
      </c>
      <c r="M1684" s="181"/>
      <c r="N1684" s="159"/>
      <c r="O1684" s="159"/>
      <c r="P1684" s="136"/>
    </row>
    <row r="1685" spans="1:16" ht="16.5" customHeight="1" x14ac:dyDescent="0.25">
      <c r="A1685" s="156">
        <v>45526</v>
      </c>
      <c r="B1685" s="136" t="s">
        <v>25</v>
      </c>
      <c r="C1685" s="157" t="str">
        <f t="shared" si="52"/>
        <v>22.08.2024_BIE2</v>
      </c>
      <c r="D1685" s="190">
        <f t="shared" si="53"/>
        <v>0</v>
      </c>
      <c r="E1685" s="133">
        <v>7.71</v>
      </c>
      <c r="F1685" s="134"/>
      <c r="G1685" s="135">
        <v>197.9</v>
      </c>
      <c r="H1685" s="137">
        <v>10.1</v>
      </c>
      <c r="I1685" s="134"/>
      <c r="J1685" s="137">
        <v>14.5</v>
      </c>
      <c r="K1685" s="134"/>
      <c r="L1685" s="136">
        <v>40</v>
      </c>
      <c r="M1685" s="181"/>
      <c r="N1685" s="159"/>
      <c r="O1685" s="159"/>
      <c r="P1685" s="136"/>
    </row>
    <row r="1686" spans="1:16" ht="16.5" customHeight="1" x14ac:dyDescent="0.25">
      <c r="A1686" s="156">
        <v>45526</v>
      </c>
      <c r="B1686" s="136" t="s">
        <v>30</v>
      </c>
      <c r="C1686" s="157" t="str">
        <f t="shared" si="52"/>
        <v>22.08.2024_FAL1</v>
      </c>
      <c r="D1686" s="190">
        <f t="shared" si="53"/>
        <v>0</v>
      </c>
      <c r="E1686" s="133">
        <v>7.87</v>
      </c>
      <c r="F1686" s="134"/>
      <c r="G1686" s="135">
        <v>736</v>
      </c>
      <c r="H1686" s="137">
        <v>9.1</v>
      </c>
      <c r="I1686" s="134"/>
      <c r="J1686" s="137">
        <v>17.100000000000001</v>
      </c>
      <c r="K1686" s="134"/>
      <c r="L1686" s="136">
        <v>40</v>
      </c>
      <c r="M1686" s="181"/>
      <c r="N1686" s="159"/>
      <c r="O1686" s="159"/>
      <c r="P1686" s="136"/>
    </row>
    <row r="1687" spans="1:16" ht="16.5" customHeight="1" x14ac:dyDescent="0.25">
      <c r="A1687" s="156">
        <v>45526</v>
      </c>
      <c r="B1687" s="136" t="s">
        <v>32</v>
      </c>
      <c r="C1687" s="157" t="str">
        <f t="shared" si="52"/>
        <v>22.08.2024_FAL2</v>
      </c>
      <c r="D1687" s="190">
        <f t="shared" si="53"/>
        <v>0</v>
      </c>
      <c r="E1687" s="133">
        <v>8</v>
      </c>
      <c r="F1687" s="134"/>
      <c r="G1687" s="135">
        <v>703</v>
      </c>
      <c r="H1687" s="137">
        <v>7.9</v>
      </c>
      <c r="I1687" s="134"/>
      <c r="J1687" s="137">
        <v>17.5</v>
      </c>
      <c r="K1687" s="134"/>
      <c r="L1687" s="136">
        <v>45</v>
      </c>
      <c r="M1687" s="181"/>
      <c r="N1687" s="159"/>
      <c r="O1687" s="159"/>
      <c r="P1687" s="136"/>
    </row>
    <row r="1688" spans="1:16" ht="16.5" customHeight="1" x14ac:dyDescent="0.25">
      <c r="A1688" s="156">
        <v>45526</v>
      </c>
      <c r="B1688" s="136" t="s">
        <v>26</v>
      </c>
      <c r="C1688" s="157" t="str">
        <f t="shared" si="52"/>
        <v>22.08.2024_GRU1</v>
      </c>
      <c r="D1688" s="190">
        <f t="shared" si="53"/>
        <v>0</v>
      </c>
      <c r="E1688" s="133">
        <v>7.52</v>
      </c>
      <c r="F1688" s="134"/>
      <c r="G1688" s="135">
        <v>152.5</v>
      </c>
      <c r="H1688" s="137">
        <v>9.4</v>
      </c>
      <c r="I1688" s="134"/>
      <c r="J1688" s="137">
        <v>17.600000000000001</v>
      </c>
      <c r="K1688" s="134"/>
      <c r="L1688" s="136">
        <v>30</v>
      </c>
      <c r="M1688" s="181"/>
      <c r="N1688" s="159"/>
      <c r="O1688" s="159"/>
      <c r="P1688" s="136"/>
    </row>
    <row r="1689" spans="1:16" ht="16.5" customHeight="1" x14ac:dyDescent="0.25">
      <c r="A1689" s="156">
        <v>45526</v>
      </c>
      <c r="B1689" s="136" t="s">
        <v>28</v>
      </c>
      <c r="C1689" s="157" t="str">
        <f t="shared" si="52"/>
        <v>22.08.2024_GRU2</v>
      </c>
      <c r="D1689" s="190">
        <f t="shared" si="53"/>
        <v>0</v>
      </c>
      <c r="E1689" s="133">
        <v>7.24</v>
      </c>
      <c r="F1689" s="134"/>
      <c r="G1689" s="135">
        <v>170.8</v>
      </c>
      <c r="H1689" s="137">
        <v>8.9</v>
      </c>
      <c r="I1689" s="134"/>
      <c r="J1689" s="137">
        <v>17</v>
      </c>
      <c r="K1689" s="134"/>
      <c r="L1689" s="136">
        <v>35</v>
      </c>
      <c r="M1689" s="181"/>
      <c r="N1689" s="159"/>
      <c r="O1689" s="159"/>
      <c r="P1689" s="136"/>
    </row>
    <row r="1690" spans="1:16" ht="16.5" customHeight="1" x14ac:dyDescent="0.25">
      <c r="A1690" s="156">
        <v>45526</v>
      </c>
      <c r="B1690" s="136" t="s">
        <v>34</v>
      </c>
      <c r="C1690" s="157" t="str">
        <f t="shared" si="52"/>
        <v>22.08.2024_KRE1</v>
      </c>
      <c r="D1690" s="190">
        <f t="shared" si="53"/>
        <v>0</v>
      </c>
      <c r="E1690" s="133">
        <v>7.79</v>
      </c>
      <c r="F1690" s="134"/>
      <c r="G1690" s="135">
        <v>640</v>
      </c>
      <c r="H1690" s="137">
        <v>7.1</v>
      </c>
      <c r="I1690" s="134"/>
      <c r="J1690" s="137">
        <v>18.100000000000001</v>
      </c>
      <c r="K1690" s="134"/>
      <c r="L1690" s="136">
        <v>45</v>
      </c>
      <c r="M1690" s="181"/>
      <c r="N1690" s="159"/>
      <c r="O1690" s="159"/>
      <c r="P1690" s="136"/>
    </row>
    <row r="1691" spans="1:16" ht="16.5" customHeight="1" x14ac:dyDescent="0.25">
      <c r="A1691" s="156">
        <v>45526</v>
      </c>
      <c r="B1691" s="136" t="s">
        <v>37</v>
      </c>
      <c r="C1691" s="157" t="str">
        <f t="shared" si="52"/>
        <v>22.08.2024_KRE2</v>
      </c>
      <c r="D1691" s="190">
        <f t="shared" si="53"/>
        <v>0</v>
      </c>
      <c r="E1691" s="133">
        <v>7.78</v>
      </c>
      <c r="F1691" s="134"/>
      <c r="G1691" s="135">
        <v>640</v>
      </c>
      <c r="H1691" s="137">
        <v>7.8</v>
      </c>
      <c r="I1691" s="134"/>
      <c r="J1691" s="137">
        <v>18</v>
      </c>
      <c r="K1691" s="134"/>
      <c r="L1691" s="136">
        <v>40</v>
      </c>
      <c r="M1691" s="181"/>
      <c r="N1691" s="159"/>
      <c r="O1691" s="159"/>
      <c r="P1691" s="136"/>
    </row>
    <row r="1692" spans="1:16" ht="16.5" customHeight="1" x14ac:dyDescent="0.25">
      <c r="A1692" s="156">
        <v>45526</v>
      </c>
      <c r="B1692" s="136" t="s">
        <v>14</v>
      </c>
      <c r="C1692" s="157" t="str">
        <f t="shared" si="52"/>
        <v>22.08.2024_BRA1</v>
      </c>
      <c r="D1692" s="190">
        <f t="shared" si="53"/>
        <v>0</v>
      </c>
      <c r="E1692" s="133">
        <v>7.93</v>
      </c>
      <c r="F1692" s="134"/>
      <c r="G1692" s="135">
        <v>195</v>
      </c>
      <c r="H1692" s="137">
        <v>10.3</v>
      </c>
      <c r="I1692" s="134"/>
      <c r="J1692" s="137">
        <v>18.600000000000001</v>
      </c>
      <c r="K1692" s="134"/>
      <c r="L1692" s="136">
        <v>22</v>
      </c>
      <c r="M1692" s="181"/>
      <c r="N1692" s="159"/>
      <c r="O1692" s="159"/>
      <c r="P1692" s="136"/>
    </row>
    <row r="1693" spans="1:16" ht="16.5" customHeight="1" x14ac:dyDescent="0.25">
      <c r="A1693" s="156">
        <v>45526</v>
      </c>
      <c r="B1693" s="136" t="s">
        <v>17</v>
      </c>
      <c r="C1693" s="157" t="str">
        <f t="shared" si="52"/>
        <v>22.08.2024_BRA2</v>
      </c>
      <c r="D1693" s="190">
        <f t="shared" si="53"/>
        <v>0</v>
      </c>
      <c r="E1693" s="133">
        <v>8.18</v>
      </c>
      <c r="F1693" s="134"/>
      <c r="G1693" s="135">
        <v>237</v>
      </c>
      <c r="H1693" s="137">
        <v>10.5</v>
      </c>
      <c r="I1693" s="134"/>
      <c r="J1693" s="137">
        <v>17.3</v>
      </c>
      <c r="K1693" s="134"/>
      <c r="L1693" s="136">
        <v>40</v>
      </c>
      <c r="M1693" s="181"/>
      <c r="N1693" s="159"/>
      <c r="O1693" s="159"/>
      <c r="P1693" s="136"/>
    </row>
    <row r="1694" spans="1:16" ht="16.5" customHeight="1" x14ac:dyDescent="0.25">
      <c r="A1694" s="156">
        <v>45526</v>
      </c>
      <c r="B1694" s="136" t="s">
        <v>0</v>
      </c>
      <c r="C1694" s="157" t="str">
        <f t="shared" si="52"/>
        <v>22.08.2024_KIN1</v>
      </c>
      <c r="D1694" s="190">
        <f t="shared" si="53"/>
        <v>0</v>
      </c>
      <c r="E1694" s="133">
        <v>8.52</v>
      </c>
      <c r="F1694" s="134"/>
      <c r="G1694" s="135">
        <v>436</v>
      </c>
      <c r="H1694" s="137">
        <v>10.3</v>
      </c>
      <c r="I1694" s="134"/>
      <c r="J1694" s="137">
        <v>16</v>
      </c>
      <c r="K1694" s="134"/>
      <c r="L1694" s="136">
        <v>44</v>
      </c>
      <c r="M1694" s="181"/>
      <c r="N1694" s="159"/>
      <c r="O1694" s="159"/>
      <c r="P1694" s="136"/>
    </row>
    <row r="1695" spans="1:16" ht="16.5" customHeight="1" x14ac:dyDescent="0.25">
      <c r="A1695" s="156">
        <v>45526</v>
      </c>
      <c r="B1695" s="136" t="s">
        <v>2</v>
      </c>
      <c r="C1695" s="157" t="str">
        <f t="shared" si="52"/>
        <v>22.08.2024_KIN2</v>
      </c>
      <c r="D1695" s="190">
        <f t="shared" si="53"/>
        <v>0</v>
      </c>
      <c r="E1695" s="133">
        <v>8.4</v>
      </c>
      <c r="F1695" s="134"/>
      <c r="G1695" s="135">
        <v>514</v>
      </c>
      <c r="H1695" s="137">
        <v>11.4</v>
      </c>
      <c r="I1695" s="134"/>
      <c r="J1695" s="137">
        <v>16.600000000000001</v>
      </c>
      <c r="K1695" s="134"/>
      <c r="L1695" s="136">
        <v>33</v>
      </c>
      <c r="M1695" s="181"/>
      <c r="N1695" s="159"/>
      <c r="O1695" s="159"/>
      <c r="P1695" s="136"/>
    </row>
    <row r="1696" spans="1:16" ht="16.5" customHeight="1" x14ac:dyDescent="0.25">
      <c r="A1696" s="156">
        <v>45526</v>
      </c>
      <c r="B1696" s="136" t="s">
        <v>4</v>
      </c>
      <c r="C1696" s="157" t="str">
        <f t="shared" si="52"/>
        <v>22.08.2024_KIN3</v>
      </c>
      <c r="D1696" s="190">
        <f t="shared" si="53"/>
        <v>0</v>
      </c>
      <c r="E1696" s="133">
        <v>8.3699999999999992</v>
      </c>
      <c r="F1696" s="134"/>
      <c r="G1696" s="135">
        <v>507</v>
      </c>
      <c r="H1696" s="137">
        <v>10.9</v>
      </c>
      <c r="I1696" s="134"/>
      <c r="J1696" s="137">
        <v>16.5</v>
      </c>
      <c r="K1696" s="134"/>
      <c r="L1696" s="136">
        <v>65</v>
      </c>
      <c r="M1696" s="181"/>
      <c r="N1696" s="159"/>
      <c r="O1696" s="159"/>
      <c r="P1696" s="136"/>
    </row>
    <row r="1697" spans="1:16" ht="16.5" customHeight="1" x14ac:dyDescent="0.25">
      <c r="A1697" s="156">
        <v>45526</v>
      </c>
      <c r="B1697" s="136" t="s">
        <v>6</v>
      </c>
      <c r="C1697" s="157" t="str">
        <f t="shared" si="52"/>
        <v>22.08.2024_KIN4</v>
      </c>
      <c r="D1697" s="190">
        <f t="shared" si="53"/>
        <v>0</v>
      </c>
      <c r="E1697" s="133">
        <v>8.25</v>
      </c>
      <c r="F1697" s="134"/>
      <c r="G1697" s="135">
        <v>522</v>
      </c>
      <c r="H1697" s="137">
        <v>10.199999999999999</v>
      </c>
      <c r="I1697" s="134"/>
      <c r="J1697" s="137">
        <v>16.3</v>
      </c>
      <c r="K1697" s="134"/>
      <c r="L1697" s="136">
        <v>42</v>
      </c>
      <c r="M1697" s="181"/>
      <c r="N1697" s="159"/>
      <c r="O1697" s="159"/>
      <c r="P1697" s="136"/>
    </row>
    <row r="1698" spans="1:16" ht="16.5" customHeight="1" x14ac:dyDescent="0.25">
      <c r="A1698" s="156">
        <v>45526</v>
      </c>
      <c r="B1698" s="136" t="s">
        <v>18</v>
      </c>
      <c r="C1698" s="157" t="str">
        <f t="shared" si="52"/>
        <v>22.08.2024_ORB1</v>
      </c>
      <c r="D1698" s="190">
        <f t="shared" si="53"/>
        <v>0</v>
      </c>
      <c r="E1698" s="133">
        <v>7.63</v>
      </c>
      <c r="F1698" s="134"/>
      <c r="G1698" s="135">
        <v>114</v>
      </c>
      <c r="H1698" s="137">
        <v>10.3</v>
      </c>
      <c r="I1698" s="134"/>
      <c r="J1698" s="137">
        <v>17.100000000000001</v>
      </c>
      <c r="K1698" s="134"/>
      <c r="L1698" s="136">
        <v>19</v>
      </c>
      <c r="M1698" s="181"/>
      <c r="N1698" s="159"/>
      <c r="O1698" s="159"/>
      <c r="P1698" s="136"/>
    </row>
    <row r="1699" spans="1:16" ht="16.5" customHeight="1" x14ac:dyDescent="0.25">
      <c r="A1699" s="156">
        <v>45526</v>
      </c>
      <c r="B1699" s="136" t="s">
        <v>21</v>
      </c>
      <c r="C1699" s="157" t="str">
        <f t="shared" si="52"/>
        <v>22.08.2024_ORB2</v>
      </c>
      <c r="D1699" s="190">
        <f t="shared" si="53"/>
        <v>0</v>
      </c>
      <c r="E1699" s="133">
        <v>7.27</v>
      </c>
      <c r="F1699" s="134"/>
      <c r="G1699" s="135">
        <v>186</v>
      </c>
      <c r="H1699" s="137">
        <v>10.1</v>
      </c>
      <c r="I1699" s="134"/>
      <c r="J1699" s="137">
        <v>17.3</v>
      </c>
      <c r="K1699" s="134"/>
      <c r="L1699" s="136">
        <v>25</v>
      </c>
      <c r="M1699" s="181"/>
      <c r="N1699" s="159" t="s">
        <v>288</v>
      </c>
      <c r="O1699" s="159"/>
      <c r="P1699" s="136"/>
    </row>
    <row r="1700" spans="1:16" ht="16.5" customHeight="1" x14ac:dyDescent="0.25">
      <c r="A1700" s="156">
        <v>45526</v>
      </c>
      <c r="B1700" s="136" t="s">
        <v>10</v>
      </c>
      <c r="C1700" s="157" t="str">
        <f t="shared" si="52"/>
        <v>22.08.2024_SAL1</v>
      </c>
      <c r="D1700" s="190">
        <f t="shared" si="53"/>
        <v>0</v>
      </c>
      <c r="E1700" s="133">
        <v>8.26</v>
      </c>
      <c r="F1700" s="134"/>
      <c r="G1700" s="135">
        <v>220</v>
      </c>
      <c r="H1700" s="137">
        <v>11.1</v>
      </c>
      <c r="I1700" s="134"/>
      <c r="J1700" s="137">
        <v>16.399999999999999</v>
      </c>
      <c r="K1700" s="134"/>
      <c r="L1700" s="136">
        <v>45</v>
      </c>
      <c r="M1700" s="181"/>
      <c r="N1700" s="159"/>
      <c r="O1700" s="159"/>
      <c r="P1700" s="136"/>
    </row>
    <row r="1701" spans="1:16" ht="16.5" customHeight="1" x14ac:dyDescent="0.25">
      <c r="A1701" s="156">
        <v>45526</v>
      </c>
      <c r="B1701" s="136" t="s">
        <v>12</v>
      </c>
      <c r="C1701" s="157" t="str">
        <f t="shared" si="52"/>
        <v>22.08.2024_SAL2</v>
      </c>
      <c r="D1701" s="190">
        <f t="shared" si="53"/>
        <v>0</v>
      </c>
      <c r="E1701" s="133">
        <v>8.17</v>
      </c>
      <c r="F1701" s="134"/>
      <c r="G1701" s="135">
        <v>243</v>
      </c>
      <c r="H1701" s="137">
        <v>11</v>
      </c>
      <c r="I1701" s="134"/>
      <c r="J1701" s="137">
        <v>16.600000000000001</v>
      </c>
      <c r="K1701" s="134"/>
      <c r="L1701" s="136">
        <v>35</v>
      </c>
      <c r="M1701" s="181"/>
      <c r="N1701" s="159"/>
      <c r="O1701" s="159"/>
      <c r="P1701" s="136"/>
    </row>
    <row r="1702" spans="1:16" ht="16.5" customHeight="1" x14ac:dyDescent="0.25">
      <c r="A1702" s="156">
        <v>45526</v>
      </c>
      <c r="B1702" s="136" t="s">
        <v>7</v>
      </c>
      <c r="C1702" s="157" t="str">
        <f t="shared" si="52"/>
        <v>22.08.2024_STE1</v>
      </c>
      <c r="D1702" s="190">
        <f t="shared" si="53"/>
        <v>0</v>
      </c>
      <c r="E1702" s="133">
        <v>8.15</v>
      </c>
      <c r="F1702" s="134"/>
      <c r="G1702" s="135">
        <v>361</v>
      </c>
      <c r="H1702" s="137">
        <v>10.3</v>
      </c>
      <c r="I1702" s="134"/>
      <c r="J1702" s="137">
        <v>15.5</v>
      </c>
      <c r="K1702" s="134"/>
      <c r="L1702" s="136">
        <v>35</v>
      </c>
      <c r="M1702" s="181"/>
      <c r="N1702" s="159"/>
      <c r="O1702" s="159"/>
      <c r="P1702" s="136"/>
    </row>
    <row r="1703" spans="1:16" ht="16.5" customHeight="1" x14ac:dyDescent="0.25">
      <c r="A1703" s="156">
        <v>45526</v>
      </c>
      <c r="B1703" s="136" t="s">
        <v>9</v>
      </c>
      <c r="C1703" s="157" t="str">
        <f t="shared" si="52"/>
        <v>22.08.2024_STE2</v>
      </c>
      <c r="D1703" s="190">
        <f t="shared" si="53"/>
        <v>0</v>
      </c>
      <c r="E1703" s="133">
        <v>8.4499999999999993</v>
      </c>
      <c r="F1703" s="134"/>
      <c r="G1703" s="135">
        <v>363</v>
      </c>
      <c r="H1703" s="137">
        <v>10.7</v>
      </c>
      <c r="I1703" s="134"/>
      <c r="J1703" s="137">
        <v>16.3</v>
      </c>
      <c r="K1703" s="134"/>
      <c r="L1703" s="136">
        <v>40</v>
      </c>
      <c r="M1703" s="181"/>
      <c r="N1703" s="159"/>
      <c r="O1703" s="159"/>
      <c r="P1703" s="136"/>
    </row>
    <row r="1704" spans="1:16" ht="16.5" customHeight="1" x14ac:dyDescent="0.25">
      <c r="A1704" s="156">
        <v>45539</v>
      </c>
      <c r="B1704" s="136" t="s">
        <v>22</v>
      </c>
      <c r="C1704" s="157" t="str">
        <f t="shared" si="52"/>
        <v>04.09.2024_BIE1</v>
      </c>
      <c r="D1704" s="190">
        <f t="shared" si="53"/>
        <v>0</v>
      </c>
      <c r="E1704" s="133">
        <v>7.55</v>
      </c>
      <c r="F1704" s="134"/>
      <c r="G1704" s="135">
        <v>189.9</v>
      </c>
      <c r="H1704" s="137">
        <v>10.4</v>
      </c>
      <c r="I1704" s="134"/>
      <c r="J1704" s="137">
        <v>16.5</v>
      </c>
      <c r="K1704" s="134"/>
      <c r="L1704" s="136">
        <v>65</v>
      </c>
      <c r="M1704" s="181"/>
      <c r="N1704" s="159"/>
      <c r="O1704" s="159"/>
      <c r="P1704" s="136"/>
    </row>
    <row r="1705" spans="1:16" ht="16.5" customHeight="1" x14ac:dyDescent="0.25">
      <c r="A1705" s="156">
        <v>45539</v>
      </c>
      <c r="B1705" s="136" t="s">
        <v>25</v>
      </c>
      <c r="C1705" s="157" t="str">
        <f t="shared" si="52"/>
        <v>04.09.2024_BIE2</v>
      </c>
      <c r="D1705" s="190">
        <f t="shared" si="53"/>
        <v>0</v>
      </c>
      <c r="E1705" s="133">
        <v>7.6</v>
      </c>
      <c r="F1705" s="134"/>
      <c r="G1705" s="135">
        <v>193.3</v>
      </c>
      <c r="H1705" s="137">
        <v>10.1</v>
      </c>
      <c r="I1705" s="134"/>
      <c r="J1705" s="137">
        <v>17</v>
      </c>
      <c r="K1705" s="134"/>
      <c r="L1705" s="136">
        <v>25</v>
      </c>
      <c r="M1705" s="181"/>
      <c r="N1705" s="159"/>
      <c r="O1705" s="159"/>
      <c r="P1705" s="136"/>
    </row>
    <row r="1706" spans="1:16" ht="16.5" customHeight="1" x14ac:dyDescent="0.25">
      <c r="A1706" s="156">
        <v>45539</v>
      </c>
      <c r="B1706" s="136" t="s">
        <v>30</v>
      </c>
      <c r="C1706" s="157" t="str">
        <f t="shared" si="52"/>
        <v>04.09.2024_FAL1</v>
      </c>
      <c r="D1706" s="190">
        <f t="shared" si="53"/>
        <v>0</v>
      </c>
      <c r="E1706" s="133">
        <v>7.92</v>
      </c>
      <c r="F1706" s="134"/>
      <c r="G1706" s="135">
        <v>883</v>
      </c>
      <c r="H1706" s="137">
        <v>9.5</v>
      </c>
      <c r="I1706" s="134"/>
      <c r="J1706" s="137">
        <v>19</v>
      </c>
      <c r="K1706" s="134"/>
      <c r="L1706" s="136">
        <v>45</v>
      </c>
      <c r="M1706" s="181"/>
      <c r="N1706" s="159"/>
      <c r="O1706" s="159"/>
      <c r="P1706" s="136"/>
    </row>
    <row r="1707" spans="1:16" ht="16.5" customHeight="1" x14ac:dyDescent="0.25">
      <c r="A1707" s="156">
        <v>45539</v>
      </c>
      <c r="B1707" s="136" t="s">
        <v>32</v>
      </c>
      <c r="C1707" s="157" t="str">
        <f t="shared" si="52"/>
        <v>04.09.2024_FAL2</v>
      </c>
      <c r="D1707" s="190">
        <f t="shared" si="53"/>
        <v>0</v>
      </c>
      <c r="E1707" s="133">
        <v>8.08</v>
      </c>
      <c r="F1707" s="134"/>
      <c r="G1707" s="135">
        <v>882</v>
      </c>
      <c r="H1707" s="137">
        <v>8.6</v>
      </c>
      <c r="I1707" s="134"/>
      <c r="J1707" s="137">
        <v>20</v>
      </c>
      <c r="K1707" s="134"/>
      <c r="L1707" s="136">
        <v>40</v>
      </c>
      <c r="M1707" s="181"/>
      <c r="N1707" s="159"/>
      <c r="O1707" s="159"/>
      <c r="P1707" s="136"/>
    </row>
    <row r="1708" spans="1:16" ht="16.5" customHeight="1" x14ac:dyDescent="0.25">
      <c r="A1708" s="156">
        <v>45539</v>
      </c>
      <c r="B1708" s="136" t="s">
        <v>26</v>
      </c>
      <c r="C1708" s="157" t="str">
        <f t="shared" si="52"/>
        <v>04.09.2024_GRU1</v>
      </c>
      <c r="D1708" s="190">
        <f t="shared" si="53"/>
        <v>0</v>
      </c>
      <c r="E1708" s="133">
        <v>7.12</v>
      </c>
      <c r="F1708" s="134"/>
      <c r="G1708" s="135">
        <v>155</v>
      </c>
      <c r="H1708" s="137">
        <v>10.4</v>
      </c>
      <c r="I1708" s="134"/>
      <c r="J1708" s="137">
        <v>17.600000000000001</v>
      </c>
      <c r="K1708" s="134"/>
      <c r="L1708" s="136">
        <v>30</v>
      </c>
      <c r="M1708" s="181"/>
      <c r="N1708" s="159"/>
      <c r="O1708" s="159"/>
      <c r="P1708" s="136"/>
    </row>
    <row r="1709" spans="1:16" ht="16.5" customHeight="1" x14ac:dyDescent="0.25">
      <c r="A1709" s="156">
        <v>45539</v>
      </c>
      <c r="B1709" s="136" t="s">
        <v>28</v>
      </c>
      <c r="C1709" s="157" t="str">
        <f t="shared" si="52"/>
        <v>04.09.2024_GRU2</v>
      </c>
      <c r="D1709" s="190">
        <f t="shared" si="53"/>
        <v>0</v>
      </c>
      <c r="E1709" s="133">
        <v>6.95</v>
      </c>
      <c r="F1709" s="134"/>
      <c r="G1709" s="135">
        <v>171.7</v>
      </c>
      <c r="H1709" s="137">
        <v>9.8000000000000007</v>
      </c>
      <c r="I1709" s="134"/>
      <c r="J1709" s="137">
        <v>18.899999999999999</v>
      </c>
      <c r="K1709" s="134"/>
      <c r="L1709" s="136">
        <v>30</v>
      </c>
      <c r="M1709" s="181"/>
      <c r="N1709" s="159"/>
      <c r="O1709" s="159"/>
      <c r="P1709" s="136"/>
    </row>
    <row r="1710" spans="1:16" ht="16.5" customHeight="1" x14ac:dyDescent="0.25">
      <c r="A1710" s="156">
        <v>45539</v>
      </c>
      <c r="B1710" s="136" t="s">
        <v>34</v>
      </c>
      <c r="C1710" s="157" t="str">
        <f t="shared" si="52"/>
        <v>04.09.2024_KRE1</v>
      </c>
      <c r="D1710" s="190">
        <f t="shared" si="53"/>
        <v>0</v>
      </c>
      <c r="E1710" s="133">
        <v>7.82</v>
      </c>
      <c r="F1710" s="134"/>
      <c r="G1710" s="135">
        <v>969</v>
      </c>
      <c r="H1710" s="137">
        <v>6.7</v>
      </c>
      <c r="I1710" s="134"/>
      <c r="J1710" s="137">
        <v>21</v>
      </c>
      <c r="K1710" s="134"/>
      <c r="L1710" s="136">
        <v>35</v>
      </c>
      <c r="M1710" s="181"/>
      <c r="N1710" s="159"/>
      <c r="O1710" s="159"/>
      <c r="P1710" s="136"/>
    </row>
    <row r="1711" spans="1:16" ht="16.5" customHeight="1" x14ac:dyDescent="0.25">
      <c r="A1711" s="156">
        <v>45539</v>
      </c>
      <c r="B1711" s="136" t="s">
        <v>37</v>
      </c>
      <c r="C1711" s="157" t="str">
        <f t="shared" si="52"/>
        <v>04.09.2024_KRE2</v>
      </c>
      <c r="D1711" s="190">
        <f t="shared" si="53"/>
        <v>0</v>
      </c>
      <c r="E1711" s="133">
        <v>8.02</v>
      </c>
      <c r="F1711" s="134"/>
      <c r="G1711" s="135">
        <v>970</v>
      </c>
      <c r="H1711" s="137">
        <v>8.4</v>
      </c>
      <c r="I1711" s="134"/>
      <c r="J1711" s="137">
        <v>21.8</v>
      </c>
      <c r="K1711" s="134"/>
      <c r="L1711" s="136">
        <v>10</v>
      </c>
      <c r="M1711" s="181"/>
      <c r="N1711" s="159"/>
      <c r="O1711" s="159"/>
      <c r="P1711" s="136"/>
    </row>
    <row r="1712" spans="1:16" ht="16.5" customHeight="1" x14ac:dyDescent="0.25">
      <c r="A1712" s="156">
        <v>45539</v>
      </c>
      <c r="B1712" s="136" t="s">
        <v>14</v>
      </c>
      <c r="C1712" s="157" t="str">
        <f t="shared" si="52"/>
        <v>04.09.2024_BRA1</v>
      </c>
      <c r="D1712" s="190">
        <f t="shared" si="53"/>
        <v>0</v>
      </c>
      <c r="E1712" s="133">
        <v>7.9</v>
      </c>
      <c r="F1712" s="134"/>
      <c r="G1712" s="135">
        <v>209</v>
      </c>
      <c r="H1712" s="137">
        <v>10.9</v>
      </c>
      <c r="I1712" s="134"/>
      <c r="J1712" s="137">
        <v>20.7</v>
      </c>
      <c r="K1712" s="134"/>
      <c r="L1712" s="136">
        <v>18</v>
      </c>
      <c r="M1712" s="181"/>
      <c r="N1712" s="159"/>
      <c r="O1712" s="159"/>
      <c r="P1712" s="136"/>
    </row>
    <row r="1713" spans="1:16" ht="16.5" customHeight="1" x14ac:dyDescent="0.25">
      <c r="A1713" s="156">
        <v>45539</v>
      </c>
      <c r="B1713" s="136" t="s">
        <v>17</v>
      </c>
      <c r="C1713" s="157" t="str">
        <f t="shared" si="52"/>
        <v>04.09.2024_BRA2</v>
      </c>
      <c r="D1713" s="190">
        <f t="shared" si="53"/>
        <v>0</v>
      </c>
      <c r="E1713" s="133">
        <v>8.08</v>
      </c>
      <c r="F1713" s="134"/>
      <c r="G1713" s="135">
        <v>241</v>
      </c>
      <c r="H1713" s="137">
        <v>11.1</v>
      </c>
      <c r="I1713" s="134"/>
      <c r="J1713" s="137">
        <v>19.5</v>
      </c>
      <c r="K1713" s="134"/>
      <c r="L1713" s="136">
        <v>37</v>
      </c>
      <c r="M1713" s="181"/>
      <c r="N1713" s="159"/>
      <c r="O1713" s="159"/>
      <c r="P1713" s="136"/>
    </row>
    <row r="1714" spans="1:16" ht="16.5" customHeight="1" x14ac:dyDescent="0.25">
      <c r="A1714" s="156">
        <v>45539</v>
      </c>
      <c r="B1714" s="136" t="s">
        <v>0</v>
      </c>
      <c r="C1714" s="157" t="str">
        <f t="shared" si="52"/>
        <v>04.09.2024_KIN1</v>
      </c>
      <c r="D1714" s="190">
        <f t="shared" si="53"/>
        <v>0</v>
      </c>
      <c r="E1714" s="133">
        <v>8.0500000000000007</v>
      </c>
      <c r="F1714" s="134"/>
      <c r="G1714" s="135">
        <v>447</v>
      </c>
      <c r="H1714" s="137">
        <v>10.4</v>
      </c>
      <c r="I1714" s="134"/>
      <c r="J1714" s="137">
        <v>18.899999999999999</v>
      </c>
      <c r="K1714" s="134"/>
      <c r="L1714" s="136">
        <v>45</v>
      </c>
      <c r="M1714" s="181"/>
      <c r="N1714" s="159"/>
      <c r="O1714" s="159"/>
      <c r="P1714" s="136"/>
    </row>
    <row r="1715" spans="1:16" ht="16.5" customHeight="1" x14ac:dyDescent="0.25">
      <c r="A1715" s="156">
        <v>45539</v>
      </c>
      <c r="B1715" s="136" t="s">
        <v>2</v>
      </c>
      <c r="C1715" s="157" t="str">
        <f t="shared" si="52"/>
        <v>04.09.2024_KIN2</v>
      </c>
      <c r="D1715" s="190">
        <f t="shared" si="53"/>
        <v>0</v>
      </c>
      <c r="E1715" s="133">
        <v>8.07</v>
      </c>
      <c r="F1715" s="134"/>
      <c r="G1715" s="135">
        <v>527</v>
      </c>
      <c r="H1715" s="137">
        <v>12.2</v>
      </c>
      <c r="I1715" s="134"/>
      <c r="J1715" s="137">
        <v>17.3</v>
      </c>
      <c r="K1715" s="134"/>
      <c r="L1715" s="136">
        <v>30</v>
      </c>
      <c r="M1715" s="181"/>
      <c r="N1715" s="159"/>
      <c r="O1715" s="159"/>
      <c r="P1715" s="136"/>
    </row>
    <row r="1716" spans="1:16" ht="16.5" customHeight="1" x14ac:dyDescent="0.25">
      <c r="A1716" s="156">
        <v>45539</v>
      </c>
      <c r="B1716" s="136" t="s">
        <v>4</v>
      </c>
      <c r="C1716" s="157" t="str">
        <f t="shared" si="52"/>
        <v>04.09.2024_KIN3</v>
      </c>
      <c r="D1716" s="190">
        <f t="shared" si="53"/>
        <v>0</v>
      </c>
      <c r="E1716" s="133">
        <v>8.15</v>
      </c>
      <c r="F1716" s="134"/>
      <c r="G1716" s="135">
        <v>534</v>
      </c>
      <c r="H1716" s="137">
        <v>11.4</v>
      </c>
      <c r="I1716" s="134"/>
      <c r="J1716" s="137">
        <v>18.2</v>
      </c>
      <c r="K1716" s="134"/>
      <c r="L1716" s="136">
        <v>44</v>
      </c>
      <c r="M1716" s="181"/>
      <c r="N1716" s="159"/>
      <c r="O1716" s="159"/>
      <c r="P1716" s="136"/>
    </row>
    <row r="1717" spans="1:16" ht="16.5" customHeight="1" x14ac:dyDescent="0.25">
      <c r="A1717" s="156">
        <v>45539</v>
      </c>
      <c r="B1717" s="136" t="s">
        <v>6</v>
      </c>
      <c r="C1717" s="157" t="str">
        <f t="shared" si="52"/>
        <v>04.09.2024_KIN4</v>
      </c>
      <c r="D1717" s="190">
        <f t="shared" si="53"/>
        <v>0</v>
      </c>
      <c r="E1717" s="133">
        <v>7.86</v>
      </c>
      <c r="F1717" s="134"/>
      <c r="G1717" s="135">
        <v>547</v>
      </c>
      <c r="H1717" s="137">
        <v>10.4</v>
      </c>
      <c r="I1717" s="134"/>
      <c r="J1717" s="137">
        <v>18.7</v>
      </c>
      <c r="K1717" s="134"/>
      <c r="L1717" s="136">
        <v>38</v>
      </c>
      <c r="M1717" s="181"/>
      <c r="N1717" s="159"/>
      <c r="O1717" s="159"/>
      <c r="P1717" s="136"/>
    </row>
    <row r="1718" spans="1:16" ht="16.5" customHeight="1" x14ac:dyDescent="0.25">
      <c r="A1718" s="156">
        <v>45539</v>
      </c>
      <c r="B1718" s="136" t="s">
        <v>18</v>
      </c>
      <c r="C1718" s="157" t="str">
        <f t="shared" si="52"/>
        <v>04.09.2024_ORB1</v>
      </c>
      <c r="D1718" s="190">
        <f t="shared" si="53"/>
        <v>0</v>
      </c>
      <c r="E1718" s="133">
        <v>7.78</v>
      </c>
      <c r="F1718" s="134"/>
      <c r="G1718" s="135">
        <v>113</v>
      </c>
      <c r="H1718" s="137">
        <v>11.4</v>
      </c>
      <c r="I1718" s="134"/>
      <c r="J1718" s="137">
        <v>18.3</v>
      </c>
      <c r="K1718" s="134"/>
      <c r="L1718" s="136">
        <v>12</v>
      </c>
      <c r="M1718" s="181"/>
      <c r="N1718" s="159"/>
      <c r="O1718" s="159"/>
      <c r="P1718" s="136"/>
    </row>
    <row r="1719" spans="1:16" ht="16.5" customHeight="1" x14ac:dyDescent="0.25">
      <c r="A1719" s="156">
        <v>45539</v>
      </c>
      <c r="B1719" s="136" t="s">
        <v>21</v>
      </c>
      <c r="C1719" s="157" t="str">
        <f t="shared" si="52"/>
        <v>04.09.2024_ORB2</v>
      </c>
      <c r="D1719" s="190">
        <f t="shared" si="53"/>
        <v>0</v>
      </c>
      <c r="E1719" s="133">
        <v>7.38</v>
      </c>
      <c r="F1719" s="134"/>
      <c r="G1719" s="135">
        <v>175</v>
      </c>
      <c r="H1719" s="137">
        <v>10.6</v>
      </c>
      <c r="I1719" s="134"/>
      <c r="J1719" s="137">
        <v>19</v>
      </c>
      <c r="K1719" s="134"/>
      <c r="L1719" s="136">
        <v>18</v>
      </c>
      <c r="M1719" s="181"/>
      <c r="N1719" s="159"/>
      <c r="O1719" s="159"/>
      <c r="P1719" s="136"/>
    </row>
    <row r="1720" spans="1:16" ht="16.5" customHeight="1" x14ac:dyDescent="0.25">
      <c r="A1720" s="156">
        <v>45539</v>
      </c>
      <c r="B1720" s="136" t="s">
        <v>10</v>
      </c>
      <c r="C1720" s="157" t="str">
        <f t="shared" si="52"/>
        <v>04.09.2024_SAL1</v>
      </c>
      <c r="D1720" s="190">
        <f t="shared" si="53"/>
        <v>0</v>
      </c>
      <c r="E1720" s="133">
        <v>8.19</v>
      </c>
      <c r="F1720" s="134"/>
      <c r="G1720" s="135">
        <v>247</v>
      </c>
      <c r="H1720" s="137">
        <v>11.2</v>
      </c>
      <c r="I1720" s="134"/>
      <c r="J1720" s="137">
        <v>19.3</v>
      </c>
      <c r="K1720" s="134"/>
      <c r="L1720" s="136">
        <v>40</v>
      </c>
      <c r="M1720" s="181"/>
      <c r="N1720" s="159"/>
      <c r="O1720" s="159"/>
      <c r="P1720" s="136"/>
    </row>
    <row r="1721" spans="1:16" ht="16.5" customHeight="1" x14ac:dyDescent="0.25">
      <c r="A1721" s="156">
        <v>45539</v>
      </c>
      <c r="B1721" s="136" t="s">
        <v>12</v>
      </c>
      <c r="C1721" s="157" t="str">
        <f t="shared" si="52"/>
        <v>04.09.2024_SAL2</v>
      </c>
      <c r="D1721" s="190">
        <f t="shared" si="53"/>
        <v>0</v>
      </c>
      <c r="E1721" s="133">
        <v>8.3000000000000007</v>
      </c>
      <c r="F1721" s="134"/>
      <c r="G1721" s="135">
        <v>262</v>
      </c>
      <c r="H1721" s="137">
        <v>11.4</v>
      </c>
      <c r="I1721" s="134"/>
      <c r="J1721" s="137">
        <v>19.600000000000001</v>
      </c>
      <c r="K1721" s="134"/>
      <c r="L1721" s="136">
        <v>33</v>
      </c>
      <c r="M1721" s="181"/>
      <c r="N1721" s="159"/>
      <c r="O1721" s="159"/>
      <c r="P1721" s="136"/>
    </row>
    <row r="1722" spans="1:16" ht="16.5" customHeight="1" x14ac:dyDescent="0.25">
      <c r="A1722" s="156">
        <v>45539</v>
      </c>
      <c r="B1722" s="136" t="s">
        <v>7</v>
      </c>
      <c r="C1722" s="157" t="str">
        <f t="shared" si="52"/>
        <v>04.09.2024_STE1</v>
      </c>
      <c r="D1722" s="190">
        <f t="shared" si="53"/>
        <v>0</v>
      </c>
      <c r="E1722" s="133">
        <v>8.0399999999999991</v>
      </c>
      <c r="F1722" s="134"/>
      <c r="G1722" s="135">
        <v>373</v>
      </c>
      <c r="H1722" s="137">
        <v>12</v>
      </c>
      <c r="I1722" s="134"/>
      <c r="J1722" s="137">
        <v>17.7</v>
      </c>
      <c r="K1722" s="134"/>
      <c r="L1722" s="136">
        <v>30</v>
      </c>
      <c r="M1722" s="181"/>
      <c r="N1722" s="159"/>
      <c r="O1722" s="159"/>
      <c r="P1722" s="136"/>
    </row>
    <row r="1723" spans="1:16" ht="16.5" customHeight="1" x14ac:dyDescent="0.25">
      <c r="A1723" s="156">
        <v>45539</v>
      </c>
      <c r="B1723" s="136" t="s">
        <v>9</v>
      </c>
      <c r="C1723" s="157" t="str">
        <f t="shared" si="52"/>
        <v>04.09.2024_STE2</v>
      </c>
      <c r="D1723" s="190">
        <f t="shared" si="53"/>
        <v>0</v>
      </c>
      <c r="E1723" s="133">
        <v>8.15</v>
      </c>
      <c r="F1723" s="134"/>
      <c r="G1723" s="135">
        <v>386</v>
      </c>
      <c r="H1723" s="137">
        <v>11.6</v>
      </c>
      <c r="I1723" s="134"/>
      <c r="J1723" s="137">
        <v>18.100000000000001</v>
      </c>
      <c r="K1723" s="134"/>
      <c r="L1723" s="136">
        <v>35</v>
      </c>
      <c r="M1723" s="181"/>
      <c r="N1723" s="159"/>
      <c r="O1723" s="159"/>
      <c r="P1723" s="136"/>
    </row>
    <row r="1724" spans="1:16" ht="16.5" customHeight="1" x14ac:dyDescent="0.25">
      <c r="A1724" s="156">
        <v>45554</v>
      </c>
      <c r="B1724" s="136" t="s">
        <v>22</v>
      </c>
      <c r="C1724" s="157" t="str">
        <f t="shared" si="52"/>
        <v>19.09.2024_BIE1</v>
      </c>
      <c r="D1724" s="190">
        <f t="shared" si="53"/>
        <v>0</v>
      </c>
      <c r="E1724" s="133">
        <v>8.0399999999999991</v>
      </c>
      <c r="F1724" s="134"/>
      <c r="G1724" s="135">
        <v>215</v>
      </c>
      <c r="H1724" s="137">
        <v>8.6999999999999993</v>
      </c>
      <c r="I1724" s="134"/>
      <c r="J1724" s="137">
        <v>13.9</v>
      </c>
      <c r="K1724" s="134"/>
      <c r="L1724" s="136">
        <v>35</v>
      </c>
      <c r="M1724" s="181"/>
      <c r="N1724" s="159"/>
      <c r="O1724" s="159"/>
      <c r="P1724" s="136"/>
    </row>
    <row r="1725" spans="1:16" ht="16.5" customHeight="1" x14ac:dyDescent="0.25">
      <c r="A1725" s="156">
        <v>45554</v>
      </c>
      <c r="B1725" s="136" t="s">
        <v>25</v>
      </c>
      <c r="C1725" s="157" t="str">
        <f t="shared" si="52"/>
        <v>19.09.2024_BIE2</v>
      </c>
      <c r="D1725" s="190">
        <f t="shared" si="53"/>
        <v>0</v>
      </c>
      <c r="E1725" s="133">
        <v>7.82</v>
      </c>
      <c r="F1725" s="134"/>
      <c r="G1725" s="135">
        <v>221</v>
      </c>
      <c r="H1725" s="137">
        <v>8.5</v>
      </c>
      <c r="I1725" s="134"/>
      <c r="J1725" s="137">
        <v>13.4</v>
      </c>
      <c r="K1725" s="134"/>
      <c r="L1725" s="136">
        <v>35</v>
      </c>
      <c r="M1725" s="181"/>
      <c r="N1725" s="159"/>
      <c r="O1725" s="159"/>
      <c r="P1725" s="136"/>
    </row>
    <row r="1726" spans="1:16" ht="16.5" customHeight="1" x14ac:dyDescent="0.25">
      <c r="A1726" s="156">
        <v>45554</v>
      </c>
      <c r="B1726" s="136" t="s">
        <v>30</v>
      </c>
      <c r="C1726" s="157" t="str">
        <f t="shared" si="52"/>
        <v>19.09.2024_FAL1</v>
      </c>
      <c r="D1726" s="190">
        <f t="shared" si="53"/>
        <v>0</v>
      </c>
      <c r="E1726" s="133">
        <v>7.84</v>
      </c>
      <c r="F1726" s="134"/>
      <c r="G1726" s="135">
        <v>713</v>
      </c>
      <c r="H1726" s="137">
        <v>8.1999999999999993</v>
      </c>
      <c r="I1726" s="134"/>
      <c r="J1726" s="137">
        <v>14.8</v>
      </c>
      <c r="K1726" s="134"/>
      <c r="L1726" s="136">
        <v>20</v>
      </c>
      <c r="M1726" s="181"/>
      <c r="N1726" s="159"/>
      <c r="O1726" s="159"/>
      <c r="P1726" s="136"/>
    </row>
    <row r="1727" spans="1:16" ht="16.5" customHeight="1" x14ac:dyDescent="0.25">
      <c r="A1727" s="156">
        <v>45554</v>
      </c>
      <c r="B1727" s="136" t="s">
        <v>32</v>
      </c>
      <c r="C1727" s="157" t="str">
        <f t="shared" si="52"/>
        <v>19.09.2024_FAL2</v>
      </c>
      <c r="D1727" s="190">
        <f t="shared" si="53"/>
        <v>0</v>
      </c>
      <c r="E1727" s="133">
        <v>8.19</v>
      </c>
      <c r="F1727" s="134"/>
      <c r="G1727" s="135">
        <v>967</v>
      </c>
      <c r="H1727" s="137">
        <v>8.1999999999999993</v>
      </c>
      <c r="I1727" s="134"/>
      <c r="J1727" s="137">
        <v>15.3</v>
      </c>
      <c r="K1727" s="134"/>
      <c r="L1727" s="136">
        <v>80</v>
      </c>
      <c r="M1727" s="181"/>
      <c r="N1727" s="159"/>
      <c r="O1727" s="159"/>
      <c r="P1727" s="136"/>
    </row>
    <row r="1728" spans="1:16" ht="16.5" customHeight="1" x14ac:dyDescent="0.25">
      <c r="A1728" s="156">
        <v>45554</v>
      </c>
      <c r="B1728" s="136" t="s">
        <v>26</v>
      </c>
      <c r="C1728" s="157" t="str">
        <f t="shared" si="52"/>
        <v>19.09.2024_GRU1</v>
      </c>
      <c r="D1728" s="190">
        <f t="shared" si="53"/>
        <v>0</v>
      </c>
      <c r="E1728" s="133">
        <v>7.86</v>
      </c>
      <c r="F1728" s="134"/>
      <c r="G1728" s="135">
        <v>206</v>
      </c>
      <c r="H1728" s="137">
        <v>8.8000000000000007</v>
      </c>
      <c r="I1728" s="134"/>
      <c r="J1728" s="137">
        <v>15</v>
      </c>
      <c r="K1728" s="134"/>
      <c r="L1728" s="136">
        <v>30</v>
      </c>
      <c r="M1728" s="181"/>
      <c r="N1728" s="159"/>
      <c r="O1728" s="159"/>
      <c r="P1728" s="136"/>
    </row>
    <row r="1729" spans="1:16" ht="16.5" customHeight="1" x14ac:dyDescent="0.25">
      <c r="A1729" s="156">
        <v>45554</v>
      </c>
      <c r="B1729" s="136" t="s">
        <v>28</v>
      </c>
      <c r="C1729" s="157" t="str">
        <f t="shared" si="52"/>
        <v>19.09.2024_GRU2</v>
      </c>
      <c r="D1729" s="190">
        <f t="shared" si="53"/>
        <v>0</v>
      </c>
      <c r="E1729" s="133">
        <v>7.68</v>
      </c>
      <c r="F1729" s="134"/>
      <c r="G1729" s="135">
        <v>210</v>
      </c>
      <c r="H1729" s="137">
        <v>8.9</v>
      </c>
      <c r="I1729" s="134"/>
      <c r="J1729" s="137">
        <v>14.4</v>
      </c>
      <c r="K1729" s="134"/>
      <c r="L1729" s="136">
        <v>50</v>
      </c>
      <c r="M1729" s="181"/>
      <c r="N1729" s="159"/>
      <c r="O1729" s="159"/>
      <c r="P1729" s="136"/>
    </row>
    <row r="1730" spans="1:16" ht="16.5" customHeight="1" x14ac:dyDescent="0.25">
      <c r="A1730" s="156">
        <v>45554</v>
      </c>
      <c r="B1730" s="136" t="s">
        <v>34</v>
      </c>
      <c r="C1730" s="157" t="str">
        <f t="shared" si="52"/>
        <v>19.09.2024_KRE1</v>
      </c>
      <c r="D1730" s="190">
        <f t="shared" si="53"/>
        <v>0</v>
      </c>
      <c r="E1730" s="133">
        <v>7.81</v>
      </c>
      <c r="F1730" s="134"/>
      <c r="G1730" s="135">
        <v>941</v>
      </c>
      <c r="H1730" s="137">
        <v>7.7</v>
      </c>
      <c r="I1730" s="134"/>
      <c r="J1730" s="137">
        <v>15.4</v>
      </c>
      <c r="K1730" s="134"/>
      <c r="L1730" s="136">
        <v>50</v>
      </c>
      <c r="M1730" s="181"/>
      <c r="N1730" s="159"/>
      <c r="O1730" s="159"/>
      <c r="P1730" s="136"/>
    </row>
    <row r="1731" spans="1:16" ht="16.5" customHeight="1" x14ac:dyDescent="0.25">
      <c r="A1731" s="156">
        <v>45554</v>
      </c>
      <c r="B1731" s="136" t="s">
        <v>37</v>
      </c>
      <c r="C1731" s="157" t="str">
        <f t="shared" si="52"/>
        <v>19.09.2024_KRE2</v>
      </c>
      <c r="D1731" s="190">
        <f t="shared" si="53"/>
        <v>0</v>
      </c>
      <c r="E1731" s="187">
        <v>7.96</v>
      </c>
      <c r="F1731" s="161" t="s">
        <v>269</v>
      </c>
      <c r="G1731" s="135">
        <v>1003</v>
      </c>
      <c r="H1731" s="137">
        <v>6.7</v>
      </c>
      <c r="I1731" s="161"/>
      <c r="J1731" s="137">
        <v>15.1</v>
      </c>
      <c r="K1731" s="161"/>
      <c r="L1731" s="136">
        <v>50</v>
      </c>
      <c r="M1731" s="181"/>
      <c r="N1731" s="159" t="s">
        <v>378</v>
      </c>
      <c r="O1731" s="159"/>
      <c r="P1731" s="136"/>
    </row>
    <row r="1732" spans="1:16" ht="16.5" customHeight="1" x14ac:dyDescent="0.25">
      <c r="A1732" s="156">
        <v>45554</v>
      </c>
      <c r="B1732" s="136" t="s">
        <v>14</v>
      </c>
      <c r="C1732" s="157" t="str">
        <f t="shared" si="52"/>
        <v>19.09.2024_BRA1</v>
      </c>
      <c r="D1732" s="190">
        <f t="shared" si="53"/>
        <v>0</v>
      </c>
      <c r="E1732" s="133">
        <v>7.98</v>
      </c>
      <c r="F1732" s="134"/>
      <c r="G1732" s="135">
        <v>187</v>
      </c>
      <c r="H1732" s="137">
        <v>8.8000000000000007</v>
      </c>
      <c r="I1732" s="134"/>
      <c r="J1732" s="137">
        <v>17.8</v>
      </c>
      <c r="K1732" s="134"/>
      <c r="L1732" s="136">
        <v>18</v>
      </c>
      <c r="M1732" s="181"/>
      <c r="N1732" s="159"/>
      <c r="O1732" s="159"/>
      <c r="P1732" s="136" t="s">
        <v>260</v>
      </c>
    </row>
    <row r="1733" spans="1:16" ht="16.5" customHeight="1" x14ac:dyDescent="0.25">
      <c r="A1733" s="156">
        <v>45554</v>
      </c>
      <c r="B1733" s="136" t="s">
        <v>17</v>
      </c>
      <c r="C1733" s="157" t="str">
        <f t="shared" ref="C1733:C1796" si="54">CONCATENATE(TEXT(A1733,"TT.MM.JJJJ"),"_",B1733)</f>
        <v>19.09.2024_BRA2</v>
      </c>
      <c r="D1733" s="190">
        <f t="shared" ref="D1733:D1796" si="55">COUNTBLANK(E1733)+COUNTBLANK(G1733:H1733)+COUNTBLANK(J1733)+COUNTBLANK(L1733)</f>
        <v>0</v>
      </c>
      <c r="E1733" s="133">
        <v>8.0399999999999991</v>
      </c>
      <c r="F1733" s="134"/>
      <c r="G1733" s="135">
        <v>224</v>
      </c>
      <c r="H1733" s="137">
        <v>9</v>
      </c>
      <c r="I1733" s="134"/>
      <c r="J1733" s="137">
        <v>16.3</v>
      </c>
      <c r="K1733" s="134"/>
      <c r="L1733" s="136">
        <v>18</v>
      </c>
      <c r="M1733" s="181"/>
      <c r="N1733" s="159"/>
      <c r="O1733" s="159"/>
      <c r="P1733" s="136"/>
    </row>
    <row r="1734" spans="1:16" ht="16.5" customHeight="1" x14ac:dyDescent="0.25">
      <c r="A1734" s="156">
        <v>45554</v>
      </c>
      <c r="B1734" s="136" t="s">
        <v>0</v>
      </c>
      <c r="C1734" s="157" t="str">
        <f t="shared" si="54"/>
        <v>19.09.2024_KIN1</v>
      </c>
      <c r="D1734" s="190">
        <f t="shared" si="55"/>
        <v>0</v>
      </c>
      <c r="E1734" s="133">
        <v>8.48</v>
      </c>
      <c r="F1734" s="134"/>
      <c r="G1734" s="135">
        <v>270</v>
      </c>
      <c r="H1734" s="137">
        <v>8.1</v>
      </c>
      <c r="I1734" s="134"/>
      <c r="J1734" s="137">
        <v>14.8</v>
      </c>
      <c r="K1734" s="134"/>
      <c r="L1734" s="136">
        <v>18</v>
      </c>
      <c r="M1734" s="181"/>
      <c r="N1734" s="159"/>
      <c r="O1734" s="159" t="s">
        <v>397</v>
      </c>
      <c r="P1734" s="159" t="s">
        <v>261</v>
      </c>
    </row>
    <row r="1735" spans="1:16" ht="16.5" customHeight="1" x14ac:dyDescent="0.25">
      <c r="A1735" s="156">
        <v>45554</v>
      </c>
      <c r="B1735" s="136" t="s">
        <v>2</v>
      </c>
      <c r="C1735" s="157" t="str">
        <f t="shared" si="54"/>
        <v>19.09.2024_KIN2</v>
      </c>
      <c r="D1735" s="190">
        <f t="shared" si="55"/>
        <v>0</v>
      </c>
      <c r="E1735" s="133">
        <v>8.4499999999999993</v>
      </c>
      <c r="F1735" s="134"/>
      <c r="G1735" s="135">
        <v>533</v>
      </c>
      <c r="H1735" s="137">
        <v>9.1999999999999993</v>
      </c>
      <c r="I1735" s="134"/>
      <c r="J1735" s="137">
        <v>15</v>
      </c>
      <c r="K1735" s="134"/>
      <c r="L1735" s="136">
        <v>8</v>
      </c>
      <c r="M1735" s="181"/>
      <c r="N1735" s="159"/>
      <c r="O1735" s="159"/>
      <c r="P1735" s="136"/>
    </row>
    <row r="1736" spans="1:16" ht="16.5" customHeight="1" x14ac:dyDescent="0.25">
      <c r="A1736" s="156">
        <v>45554</v>
      </c>
      <c r="B1736" s="136" t="s">
        <v>4</v>
      </c>
      <c r="C1736" s="157" t="str">
        <f t="shared" si="54"/>
        <v>19.09.2024_KIN3</v>
      </c>
      <c r="D1736" s="190">
        <f t="shared" si="55"/>
        <v>0</v>
      </c>
      <c r="E1736" s="133">
        <v>8.51</v>
      </c>
      <c r="F1736" s="134"/>
      <c r="G1736" s="135">
        <v>548</v>
      </c>
      <c r="H1736" s="137">
        <v>9.6</v>
      </c>
      <c r="I1736" s="134"/>
      <c r="J1736" s="137">
        <v>15.4</v>
      </c>
      <c r="K1736" s="134"/>
      <c r="L1736" s="136">
        <v>22</v>
      </c>
      <c r="M1736" s="181"/>
      <c r="N1736" s="159"/>
      <c r="O1736" s="159"/>
      <c r="P1736" s="136" t="s">
        <v>261</v>
      </c>
    </row>
    <row r="1737" spans="1:16" ht="16.5" customHeight="1" x14ac:dyDescent="0.25">
      <c r="A1737" s="156">
        <v>45554</v>
      </c>
      <c r="B1737" s="136" t="s">
        <v>6</v>
      </c>
      <c r="C1737" s="157" t="str">
        <f t="shared" si="54"/>
        <v>19.09.2024_KIN4</v>
      </c>
      <c r="D1737" s="190">
        <f t="shared" si="55"/>
        <v>0</v>
      </c>
      <c r="E1737" s="133">
        <v>8.2799999999999994</v>
      </c>
      <c r="F1737" s="134"/>
      <c r="G1737" s="135">
        <v>570</v>
      </c>
      <c r="H1737" s="137">
        <v>8.6</v>
      </c>
      <c r="I1737" s="134"/>
      <c r="J1737" s="137">
        <v>16.100000000000001</v>
      </c>
      <c r="K1737" s="134"/>
      <c r="L1737" s="136">
        <v>28.999999999999996</v>
      </c>
      <c r="M1737" s="181"/>
      <c r="N1737" s="159"/>
      <c r="O1737" s="159"/>
      <c r="P1737" s="136"/>
    </row>
    <row r="1738" spans="1:16" ht="16.5" customHeight="1" x14ac:dyDescent="0.25">
      <c r="A1738" s="156">
        <v>45554</v>
      </c>
      <c r="B1738" s="136" t="s">
        <v>18</v>
      </c>
      <c r="C1738" s="157" t="str">
        <f t="shared" si="54"/>
        <v>19.09.2024_ORB1</v>
      </c>
      <c r="D1738" s="190">
        <f t="shared" si="55"/>
        <v>0</v>
      </c>
      <c r="E1738" s="133">
        <v>7.81</v>
      </c>
      <c r="F1738" s="134"/>
      <c r="G1738" s="135">
        <v>128.9</v>
      </c>
      <c r="H1738" s="137">
        <v>8.6999999999999993</v>
      </c>
      <c r="I1738" s="134"/>
      <c r="J1738" s="137">
        <v>14.9</v>
      </c>
      <c r="K1738" s="134"/>
      <c r="L1738" s="136">
        <v>15</v>
      </c>
      <c r="M1738" s="181"/>
      <c r="N1738" s="159"/>
      <c r="O1738" s="159"/>
      <c r="P1738" s="136"/>
    </row>
    <row r="1739" spans="1:16" ht="16.5" customHeight="1" x14ac:dyDescent="0.25">
      <c r="A1739" s="156">
        <v>45554</v>
      </c>
      <c r="B1739" s="136" t="s">
        <v>21</v>
      </c>
      <c r="C1739" s="157" t="str">
        <f t="shared" si="54"/>
        <v>19.09.2024_ORB2</v>
      </c>
      <c r="D1739" s="190">
        <f t="shared" si="55"/>
        <v>0</v>
      </c>
      <c r="E1739" s="187">
        <v>7.65</v>
      </c>
      <c r="F1739" s="161" t="s">
        <v>269</v>
      </c>
      <c r="G1739" s="135">
        <v>163.1</v>
      </c>
      <c r="H1739" s="137">
        <v>8.6</v>
      </c>
      <c r="I1739" s="161"/>
      <c r="J1739" s="137">
        <v>14.3</v>
      </c>
      <c r="K1739" s="161"/>
      <c r="L1739" s="136">
        <v>45</v>
      </c>
      <c r="M1739" s="181"/>
      <c r="N1739" s="159" t="s">
        <v>379</v>
      </c>
      <c r="O1739" s="159"/>
      <c r="P1739" s="159" t="s">
        <v>267</v>
      </c>
    </row>
    <row r="1740" spans="1:16" ht="16.5" customHeight="1" x14ac:dyDescent="0.25">
      <c r="A1740" s="156">
        <v>45554</v>
      </c>
      <c r="B1740" s="136" t="s">
        <v>10</v>
      </c>
      <c r="C1740" s="157" t="str">
        <f t="shared" si="54"/>
        <v>19.09.2024_SAL1</v>
      </c>
      <c r="D1740" s="190">
        <f t="shared" si="55"/>
        <v>0</v>
      </c>
      <c r="E1740" s="133">
        <v>8.16</v>
      </c>
      <c r="F1740" s="134"/>
      <c r="G1740" s="135">
        <v>248</v>
      </c>
      <c r="H1740" s="137">
        <v>9.1</v>
      </c>
      <c r="I1740" s="134"/>
      <c r="J1740" s="137">
        <v>15.7</v>
      </c>
      <c r="K1740" s="134"/>
      <c r="L1740" s="136">
        <v>42</v>
      </c>
      <c r="M1740" s="181"/>
      <c r="N1740" s="159"/>
      <c r="O1740" s="159"/>
      <c r="P1740" s="136" t="s">
        <v>261</v>
      </c>
    </row>
    <row r="1741" spans="1:16" ht="16.5" customHeight="1" x14ac:dyDescent="0.25">
      <c r="A1741" s="156">
        <v>45554</v>
      </c>
      <c r="B1741" s="136" t="s">
        <v>12</v>
      </c>
      <c r="C1741" s="157" t="str">
        <f t="shared" si="54"/>
        <v>19.09.2024_SAL2</v>
      </c>
      <c r="D1741" s="190">
        <f t="shared" si="55"/>
        <v>0</v>
      </c>
      <c r="E1741" s="133">
        <v>8.26</v>
      </c>
      <c r="F1741" s="134"/>
      <c r="G1741" s="135">
        <v>254</v>
      </c>
      <c r="H1741" s="137">
        <v>8.1999999999999993</v>
      </c>
      <c r="I1741" s="134"/>
      <c r="J1741" s="137">
        <v>17.2</v>
      </c>
      <c r="K1741" s="134"/>
      <c r="L1741" s="136">
        <v>30</v>
      </c>
      <c r="M1741" s="181"/>
      <c r="N1741" s="159"/>
      <c r="O1741" s="159"/>
      <c r="P1741" s="136" t="s">
        <v>261</v>
      </c>
    </row>
    <row r="1742" spans="1:16" ht="16.5" customHeight="1" x14ac:dyDescent="0.25">
      <c r="A1742" s="156">
        <v>45554</v>
      </c>
      <c r="B1742" s="136" t="s">
        <v>7</v>
      </c>
      <c r="C1742" s="157" t="str">
        <f t="shared" si="54"/>
        <v>19.09.2024_STE1</v>
      </c>
      <c r="D1742" s="190">
        <f t="shared" si="55"/>
        <v>0</v>
      </c>
      <c r="E1742" s="133">
        <v>8.1199999999999992</v>
      </c>
      <c r="F1742" s="134"/>
      <c r="G1742" s="135">
        <v>369</v>
      </c>
      <c r="H1742" s="137">
        <v>9.5</v>
      </c>
      <c r="I1742" s="134"/>
      <c r="J1742" s="137">
        <v>15.7</v>
      </c>
      <c r="K1742" s="134"/>
      <c r="L1742" s="136">
        <v>32</v>
      </c>
      <c r="M1742" s="181"/>
      <c r="N1742" s="159" t="s">
        <v>288</v>
      </c>
      <c r="O1742" s="159"/>
      <c r="P1742" s="159" t="s">
        <v>261</v>
      </c>
    </row>
    <row r="1743" spans="1:16" ht="16.5" customHeight="1" x14ac:dyDescent="0.25">
      <c r="A1743" s="156">
        <v>45554</v>
      </c>
      <c r="B1743" s="136" t="s">
        <v>9</v>
      </c>
      <c r="C1743" s="157" t="str">
        <f t="shared" si="54"/>
        <v>19.09.2024_STE2</v>
      </c>
      <c r="D1743" s="190">
        <f t="shared" si="55"/>
        <v>0</v>
      </c>
      <c r="E1743" s="133">
        <v>8.4700000000000006</v>
      </c>
      <c r="F1743" s="134"/>
      <c r="G1743" s="135">
        <v>389</v>
      </c>
      <c r="H1743" s="137">
        <v>9.1999999999999993</v>
      </c>
      <c r="I1743" s="134"/>
      <c r="J1743" s="137">
        <v>15.5</v>
      </c>
      <c r="K1743" s="134"/>
      <c r="L1743" s="136">
        <v>43</v>
      </c>
      <c r="M1743" s="181"/>
      <c r="N1743" s="159"/>
      <c r="O1743" s="159"/>
      <c r="P1743" s="136" t="s">
        <v>261</v>
      </c>
    </row>
    <row r="1744" spans="1:16" ht="16.5" customHeight="1" x14ac:dyDescent="0.25">
      <c r="A1744" s="156">
        <v>45569</v>
      </c>
      <c r="B1744" s="136" t="s">
        <v>22</v>
      </c>
      <c r="C1744" s="157" t="str">
        <f t="shared" si="54"/>
        <v>04.10.2024_BIE1</v>
      </c>
      <c r="D1744" s="190">
        <f t="shared" si="55"/>
        <v>1</v>
      </c>
      <c r="E1744" s="133">
        <v>7.82</v>
      </c>
      <c r="F1744" s="134"/>
      <c r="G1744" s="135">
        <v>196.5</v>
      </c>
      <c r="H1744" s="288"/>
      <c r="I1744" s="134"/>
      <c r="J1744" s="182">
        <v>12.7</v>
      </c>
      <c r="K1744" s="134"/>
      <c r="L1744" s="136">
        <v>40</v>
      </c>
      <c r="M1744" s="181"/>
      <c r="N1744" s="159"/>
      <c r="O1744" s="159" t="s">
        <v>396</v>
      </c>
      <c r="P1744" s="159"/>
    </row>
    <row r="1745" spans="1:16" ht="16.5" customHeight="1" x14ac:dyDescent="0.25">
      <c r="A1745" s="156">
        <v>45569</v>
      </c>
      <c r="B1745" s="136" t="s">
        <v>25</v>
      </c>
      <c r="C1745" s="157" t="str">
        <f t="shared" si="54"/>
        <v>04.10.2024_BIE2</v>
      </c>
      <c r="D1745" s="190">
        <f t="shared" si="55"/>
        <v>1</v>
      </c>
      <c r="E1745" s="133">
        <v>7.53</v>
      </c>
      <c r="F1745" s="134"/>
      <c r="G1745" s="135">
        <v>192.1</v>
      </c>
      <c r="H1745" s="288"/>
      <c r="I1745" s="134"/>
      <c r="J1745" s="182">
        <v>12.1</v>
      </c>
      <c r="K1745" s="134"/>
      <c r="L1745" s="136">
        <v>40</v>
      </c>
      <c r="M1745" s="181"/>
      <c r="N1745" s="159"/>
      <c r="O1745" s="159" t="s">
        <v>396</v>
      </c>
      <c r="P1745" s="136"/>
    </row>
    <row r="1746" spans="1:16" ht="16.5" customHeight="1" x14ac:dyDescent="0.25">
      <c r="A1746" s="156">
        <v>45569</v>
      </c>
      <c r="B1746" s="136" t="s">
        <v>30</v>
      </c>
      <c r="C1746" s="157" t="str">
        <f t="shared" si="54"/>
        <v>04.10.2024_FAL1</v>
      </c>
      <c r="D1746" s="190">
        <f t="shared" si="55"/>
        <v>1</v>
      </c>
      <c r="E1746" s="133">
        <v>7.85</v>
      </c>
      <c r="F1746" s="134"/>
      <c r="G1746" s="135">
        <v>689</v>
      </c>
      <c r="H1746" s="288"/>
      <c r="I1746" s="134"/>
      <c r="J1746" s="182">
        <v>12.9</v>
      </c>
      <c r="K1746" s="134"/>
      <c r="L1746" s="136">
        <v>30</v>
      </c>
      <c r="M1746" s="181"/>
      <c r="N1746" s="159"/>
      <c r="O1746" s="159" t="s">
        <v>396</v>
      </c>
      <c r="P1746" s="136"/>
    </row>
    <row r="1747" spans="1:16" ht="16.5" customHeight="1" x14ac:dyDescent="0.25">
      <c r="A1747" s="156">
        <v>45569</v>
      </c>
      <c r="B1747" s="136" t="s">
        <v>32</v>
      </c>
      <c r="C1747" s="157" t="str">
        <f t="shared" si="54"/>
        <v>04.10.2024_FAL2</v>
      </c>
      <c r="D1747" s="190">
        <f t="shared" si="55"/>
        <v>1</v>
      </c>
      <c r="E1747" s="133">
        <v>8</v>
      </c>
      <c r="F1747" s="134"/>
      <c r="G1747" s="135">
        <v>652</v>
      </c>
      <c r="H1747" s="288"/>
      <c r="I1747" s="134"/>
      <c r="J1747" s="182">
        <v>12.5</v>
      </c>
      <c r="K1747" s="134"/>
      <c r="L1747" s="136">
        <v>64</v>
      </c>
      <c r="M1747" s="181"/>
      <c r="N1747" s="159"/>
      <c r="O1747" s="159" t="s">
        <v>396</v>
      </c>
      <c r="P1747" s="136"/>
    </row>
    <row r="1748" spans="1:16" ht="16.5" customHeight="1" x14ac:dyDescent="0.25">
      <c r="A1748" s="156">
        <v>45569</v>
      </c>
      <c r="B1748" s="136" t="s">
        <v>26</v>
      </c>
      <c r="C1748" s="157" t="str">
        <f t="shared" si="54"/>
        <v>04.10.2024_GRU1</v>
      </c>
      <c r="D1748" s="190">
        <f t="shared" si="55"/>
        <v>1</v>
      </c>
      <c r="E1748" s="133">
        <v>7.39</v>
      </c>
      <c r="F1748" s="134"/>
      <c r="G1748" s="135">
        <v>166.5</v>
      </c>
      <c r="H1748" s="288"/>
      <c r="I1748" s="134"/>
      <c r="J1748" s="182">
        <v>11.6</v>
      </c>
      <c r="K1748" s="134"/>
      <c r="L1748" s="136">
        <v>30</v>
      </c>
      <c r="M1748" s="181"/>
      <c r="N1748" s="159"/>
      <c r="O1748" s="159" t="s">
        <v>396</v>
      </c>
      <c r="P1748" s="136"/>
    </row>
    <row r="1749" spans="1:16" ht="16.5" customHeight="1" x14ac:dyDescent="0.25">
      <c r="A1749" s="156">
        <v>45569</v>
      </c>
      <c r="B1749" s="136" t="s">
        <v>28</v>
      </c>
      <c r="C1749" s="157" t="str">
        <f t="shared" si="54"/>
        <v>04.10.2024_GRU2</v>
      </c>
      <c r="D1749" s="190">
        <f t="shared" si="55"/>
        <v>1</v>
      </c>
      <c r="E1749" s="133">
        <v>7.22</v>
      </c>
      <c r="F1749" s="134"/>
      <c r="G1749" s="135">
        <v>175.8</v>
      </c>
      <c r="H1749" s="288"/>
      <c r="I1749" s="134"/>
      <c r="J1749" s="182">
        <v>11.6</v>
      </c>
      <c r="K1749" s="134"/>
      <c r="L1749" s="136">
        <v>45</v>
      </c>
      <c r="M1749" s="181"/>
      <c r="N1749" s="159"/>
      <c r="O1749" s="159" t="s">
        <v>396</v>
      </c>
      <c r="P1749" s="136"/>
    </row>
    <row r="1750" spans="1:16" ht="16.5" customHeight="1" x14ac:dyDescent="0.25">
      <c r="A1750" s="156">
        <v>45569</v>
      </c>
      <c r="B1750" s="136" t="s">
        <v>34</v>
      </c>
      <c r="C1750" s="157" t="str">
        <f t="shared" si="54"/>
        <v>04.10.2024_KRE1</v>
      </c>
      <c r="D1750" s="190">
        <f t="shared" si="55"/>
        <v>2</v>
      </c>
      <c r="E1750" s="133">
        <v>7.85</v>
      </c>
      <c r="F1750" s="134"/>
      <c r="G1750" s="135">
        <v>756</v>
      </c>
      <c r="H1750" s="288"/>
      <c r="I1750" s="134"/>
      <c r="J1750" s="288"/>
      <c r="K1750" s="134"/>
      <c r="L1750" s="136">
        <v>40</v>
      </c>
      <c r="M1750" s="181"/>
      <c r="N1750" s="159"/>
      <c r="O1750" s="159" t="s">
        <v>396</v>
      </c>
      <c r="P1750" s="136"/>
    </row>
    <row r="1751" spans="1:16" ht="16.5" customHeight="1" x14ac:dyDescent="0.25">
      <c r="A1751" s="156">
        <v>45569</v>
      </c>
      <c r="B1751" s="136" t="s">
        <v>37</v>
      </c>
      <c r="C1751" s="157" t="str">
        <f t="shared" si="54"/>
        <v>04.10.2024_KRE2</v>
      </c>
      <c r="D1751" s="190">
        <f t="shared" si="55"/>
        <v>2</v>
      </c>
      <c r="E1751" s="133">
        <v>7.85</v>
      </c>
      <c r="F1751" s="134"/>
      <c r="G1751" s="135">
        <v>776</v>
      </c>
      <c r="H1751" s="288"/>
      <c r="I1751" s="134"/>
      <c r="J1751" s="288"/>
      <c r="K1751" s="134"/>
      <c r="L1751" s="136">
        <v>40</v>
      </c>
      <c r="M1751" s="181"/>
      <c r="N1751" s="159"/>
      <c r="O1751" s="159" t="s">
        <v>396</v>
      </c>
      <c r="P1751" s="136"/>
    </row>
    <row r="1752" spans="1:16" ht="16.5" customHeight="1" x14ac:dyDescent="0.25">
      <c r="A1752" s="156">
        <v>45569</v>
      </c>
      <c r="B1752" s="136" t="s">
        <v>14</v>
      </c>
      <c r="C1752" s="157" t="str">
        <f t="shared" si="54"/>
        <v>04.10.2024_BRA1</v>
      </c>
      <c r="D1752" s="190">
        <f t="shared" si="55"/>
        <v>0</v>
      </c>
      <c r="E1752" s="133">
        <v>7.59</v>
      </c>
      <c r="F1752" s="134"/>
      <c r="G1752" s="135">
        <v>161</v>
      </c>
      <c r="H1752" s="137">
        <v>10.7</v>
      </c>
      <c r="I1752" s="134"/>
      <c r="J1752" s="137">
        <v>12.3</v>
      </c>
      <c r="K1752" s="134"/>
      <c r="L1752" s="136">
        <v>27</v>
      </c>
      <c r="M1752" s="181"/>
      <c r="N1752" s="159"/>
      <c r="O1752" s="159"/>
      <c r="P1752" s="136"/>
    </row>
    <row r="1753" spans="1:16" ht="16.5" customHeight="1" x14ac:dyDescent="0.25">
      <c r="A1753" s="156">
        <v>45569</v>
      </c>
      <c r="B1753" s="136" t="s">
        <v>17</v>
      </c>
      <c r="C1753" s="157" t="str">
        <f t="shared" si="54"/>
        <v>04.10.2024_BRA2</v>
      </c>
      <c r="D1753" s="190">
        <f t="shared" si="55"/>
        <v>0</v>
      </c>
      <c r="E1753" s="133">
        <v>7.92</v>
      </c>
      <c r="F1753" s="134"/>
      <c r="G1753" s="135">
        <v>182</v>
      </c>
      <c r="H1753" s="137">
        <v>10.8</v>
      </c>
      <c r="I1753" s="134"/>
      <c r="J1753" s="137">
        <v>12.2</v>
      </c>
      <c r="K1753" s="134"/>
      <c r="L1753" s="136">
        <v>38</v>
      </c>
      <c r="M1753" s="181"/>
      <c r="N1753" s="159"/>
      <c r="O1753" s="159"/>
      <c r="P1753" s="136"/>
    </row>
    <row r="1754" spans="1:16" ht="16.5" customHeight="1" x14ac:dyDescent="0.25">
      <c r="A1754" s="156">
        <v>45569</v>
      </c>
      <c r="B1754" s="136" t="s">
        <v>0</v>
      </c>
      <c r="C1754" s="157" t="str">
        <f t="shared" si="54"/>
        <v>04.10.2024_KIN1</v>
      </c>
      <c r="D1754" s="190">
        <f t="shared" si="55"/>
        <v>0</v>
      </c>
      <c r="E1754" s="133">
        <v>8.17</v>
      </c>
      <c r="F1754" s="134"/>
      <c r="G1754" s="135">
        <v>397</v>
      </c>
      <c r="H1754" s="137">
        <v>11.1</v>
      </c>
      <c r="I1754" s="134"/>
      <c r="J1754" s="137">
        <v>11.3</v>
      </c>
      <c r="K1754" s="134"/>
      <c r="L1754" s="136">
        <v>40</v>
      </c>
      <c r="M1754" s="181"/>
      <c r="N1754" s="159"/>
      <c r="O1754" s="159"/>
      <c r="P1754" s="136"/>
    </row>
    <row r="1755" spans="1:16" ht="16.5" customHeight="1" x14ac:dyDescent="0.25">
      <c r="A1755" s="156">
        <v>45569</v>
      </c>
      <c r="B1755" s="136" t="s">
        <v>2</v>
      </c>
      <c r="C1755" s="157" t="str">
        <f t="shared" si="54"/>
        <v>04.10.2024_KIN2</v>
      </c>
      <c r="D1755" s="190">
        <f t="shared" si="55"/>
        <v>0</v>
      </c>
      <c r="E1755" s="133">
        <v>8.0299999999999994</v>
      </c>
      <c r="F1755" s="134"/>
      <c r="G1755" s="135">
        <v>459</v>
      </c>
      <c r="H1755" s="137">
        <v>10.9</v>
      </c>
      <c r="I1755" s="134"/>
      <c r="J1755" s="137">
        <v>11.6</v>
      </c>
      <c r="K1755" s="134"/>
      <c r="L1755" s="136">
        <v>35</v>
      </c>
      <c r="M1755" s="181"/>
      <c r="N1755" s="159"/>
      <c r="O1755" s="159"/>
      <c r="P1755" s="136"/>
    </row>
    <row r="1756" spans="1:16" ht="16.5" customHeight="1" x14ac:dyDescent="0.25">
      <c r="A1756" s="156">
        <v>45569</v>
      </c>
      <c r="B1756" s="136" t="s">
        <v>4</v>
      </c>
      <c r="C1756" s="157" t="str">
        <f t="shared" si="54"/>
        <v>04.10.2024_KIN3</v>
      </c>
      <c r="D1756" s="190">
        <f t="shared" si="55"/>
        <v>0</v>
      </c>
      <c r="E1756" s="133">
        <v>8.1999999999999993</v>
      </c>
      <c r="F1756" s="134"/>
      <c r="G1756" s="135">
        <v>450</v>
      </c>
      <c r="H1756" s="137">
        <v>11.2</v>
      </c>
      <c r="I1756" s="134"/>
      <c r="J1756" s="137">
        <v>11.6</v>
      </c>
      <c r="K1756" s="134"/>
      <c r="L1756" s="136">
        <v>44</v>
      </c>
      <c r="M1756" s="181"/>
      <c r="N1756" s="159"/>
      <c r="O1756" s="159"/>
      <c r="P1756" s="136"/>
    </row>
    <row r="1757" spans="1:16" ht="16.5" customHeight="1" x14ac:dyDescent="0.25">
      <c r="A1757" s="156">
        <v>45569</v>
      </c>
      <c r="B1757" s="136" t="s">
        <v>6</v>
      </c>
      <c r="C1757" s="157" t="str">
        <f t="shared" si="54"/>
        <v>04.10.2024_KIN4</v>
      </c>
      <c r="D1757" s="190">
        <f t="shared" si="55"/>
        <v>0</v>
      </c>
      <c r="E1757" s="133">
        <v>8.0399999999999991</v>
      </c>
      <c r="F1757" s="134"/>
      <c r="G1757" s="135">
        <v>470</v>
      </c>
      <c r="H1757" s="137">
        <v>10.7</v>
      </c>
      <c r="I1757" s="134"/>
      <c r="J1757" s="137">
        <v>11.7</v>
      </c>
      <c r="K1757" s="134"/>
      <c r="L1757" s="136">
        <v>40</v>
      </c>
      <c r="M1757" s="181"/>
      <c r="N1757" s="159"/>
      <c r="O1757" s="159"/>
      <c r="P1757" s="136"/>
    </row>
    <row r="1758" spans="1:16" ht="16.5" customHeight="1" x14ac:dyDescent="0.25">
      <c r="A1758" s="156">
        <v>45569</v>
      </c>
      <c r="B1758" s="136" t="s">
        <v>18</v>
      </c>
      <c r="C1758" s="157" t="str">
        <f t="shared" si="54"/>
        <v>04.10.2024_ORB1</v>
      </c>
      <c r="D1758" s="190">
        <f t="shared" si="55"/>
        <v>0</v>
      </c>
      <c r="E1758" s="133">
        <v>7.39</v>
      </c>
      <c r="F1758" s="134"/>
      <c r="G1758" s="135">
        <v>125</v>
      </c>
      <c r="H1758" s="137">
        <v>11</v>
      </c>
      <c r="I1758" s="134"/>
      <c r="J1758" s="137">
        <v>12.2</v>
      </c>
      <c r="K1758" s="134"/>
      <c r="L1758" s="136">
        <v>10</v>
      </c>
      <c r="M1758" s="181"/>
      <c r="N1758" s="159"/>
      <c r="O1758" s="159"/>
      <c r="P1758" s="136"/>
    </row>
    <row r="1759" spans="1:16" ht="16.5" customHeight="1" x14ac:dyDescent="0.25">
      <c r="A1759" s="156">
        <v>45569</v>
      </c>
      <c r="B1759" s="136" t="s">
        <v>21</v>
      </c>
      <c r="C1759" s="157" t="str">
        <f t="shared" si="54"/>
        <v>04.10.2024_ORB2</v>
      </c>
      <c r="D1759" s="190">
        <f t="shared" si="55"/>
        <v>0</v>
      </c>
      <c r="E1759" s="133">
        <v>7.08</v>
      </c>
      <c r="F1759" s="134"/>
      <c r="G1759" s="135">
        <v>181</v>
      </c>
      <c r="H1759" s="137">
        <v>10.3</v>
      </c>
      <c r="I1759" s="134"/>
      <c r="J1759" s="137">
        <v>12.1</v>
      </c>
      <c r="K1759" s="134"/>
      <c r="L1759" s="136">
        <v>18</v>
      </c>
      <c r="M1759" s="181"/>
      <c r="N1759" s="159"/>
      <c r="O1759" s="159"/>
      <c r="P1759" s="136"/>
    </row>
    <row r="1760" spans="1:16" ht="16.5" customHeight="1" x14ac:dyDescent="0.25">
      <c r="A1760" s="156">
        <v>45569</v>
      </c>
      <c r="B1760" s="136" t="s">
        <v>10</v>
      </c>
      <c r="C1760" s="157" t="str">
        <f t="shared" si="54"/>
        <v>04.10.2024_SAL1</v>
      </c>
      <c r="D1760" s="190">
        <f t="shared" si="55"/>
        <v>0</v>
      </c>
      <c r="E1760" s="133">
        <v>7.87</v>
      </c>
      <c r="F1760" s="134"/>
      <c r="G1760" s="135">
        <v>175</v>
      </c>
      <c r="H1760" s="137">
        <v>10.9</v>
      </c>
      <c r="I1760" s="134"/>
      <c r="J1760" s="137">
        <v>11.7</v>
      </c>
      <c r="K1760" s="134"/>
      <c r="L1760" s="136">
        <v>50</v>
      </c>
      <c r="M1760" s="181"/>
      <c r="N1760" s="159"/>
      <c r="O1760" s="159"/>
      <c r="P1760" s="136"/>
    </row>
    <row r="1761" spans="1:16" ht="16.5" customHeight="1" x14ac:dyDescent="0.25">
      <c r="A1761" s="156">
        <v>45569</v>
      </c>
      <c r="B1761" s="136" t="s">
        <v>12</v>
      </c>
      <c r="C1761" s="157" t="str">
        <f t="shared" si="54"/>
        <v>04.10.2024_SAL2</v>
      </c>
      <c r="D1761" s="190">
        <f t="shared" si="55"/>
        <v>0</v>
      </c>
      <c r="E1761" s="133">
        <v>7.99</v>
      </c>
      <c r="F1761" s="134"/>
      <c r="G1761" s="135">
        <v>183</v>
      </c>
      <c r="H1761" s="137">
        <v>11</v>
      </c>
      <c r="I1761" s="134"/>
      <c r="J1761" s="137">
        <v>11.9</v>
      </c>
      <c r="K1761" s="134"/>
      <c r="L1761" s="136">
        <v>43</v>
      </c>
      <c r="M1761" s="181"/>
      <c r="N1761" s="159"/>
      <c r="O1761" s="159"/>
      <c r="P1761" s="136"/>
    </row>
    <row r="1762" spans="1:16" ht="16.5" customHeight="1" x14ac:dyDescent="0.25">
      <c r="A1762" s="156">
        <v>45569</v>
      </c>
      <c r="B1762" s="136" t="s">
        <v>7</v>
      </c>
      <c r="C1762" s="157" t="str">
        <f t="shared" si="54"/>
        <v>04.10.2024_STE1</v>
      </c>
      <c r="D1762" s="190">
        <f t="shared" si="55"/>
        <v>0</v>
      </c>
      <c r="E1762" s="133">
        <v>8.0500000000000007</v>
      </c>
      <c r="F1762" s="134"/>
      <c r="G1762" s="135">
        <v>280</v>
      </c>
      <c r="H1762" s="137">
        <v>11.2</v>
      </c>
      <c r="I1762" s="134"/>
      <c r="J1762" s="137">
        <v>11.7</v>
      </c>
      <c r="K1762" s="134"/>
      <c r="L1762" s="136">
        <v>33</v>
      </c>
      <c r="M1762" s="181"/>
      <c r="N1762" s="159"/>
      <c r="O1762" s="159"/>
      <c r="P1762" s="136"/>
    </row>
    <row r="1763" spans="1:16" ht="16.5" customHeight="1" x14ac:dyDescent="0.25">
      <c r="A1763" s="156">
        <v>45569</v>
      </c>
      <c r="B1763" s="136" t="s">
        <v>9</v>
      </c>
      <c r="C1763" s="157" t="str">
        <f t="shared" si="54"/>
        <v>04.10.2024_STE2</v>
      </c>
      <c r="D1763" s="190">
        <f t="shared" si="55"/>
        <v>0</v>
      </c>
      <c r="E1763" s="133">
        <v>8.17</v>
      </c>
      <c r="F1763" s="134"/>
      <c r="G1763" s="135">
        <v>289</v>
      </c>
      <c r="H1763" s="137">
        <v>11</v>
      </c>
      <c r="I1763" s="134"/>
      <c r="J1763" s="137">
        <v>11.7</v>
      </c>
      <c r="K1763" s="134"/>
      <c r="L1763" s="136">
        <v>45</v>
      </c>
      <c r="M1763" s="181"/>
      <c r="N1763" s="159"/>
      <c r="O1763" s="159"/>
      <c r="P1763" s="136"/>
    </row>
    <row r="1764" spans="1:16" ht="16.5" customHeight="1" x14ac:dyDescent="0.25">
      <c r="A1764" s="156">
        <v>45582</v>
      </c>
      <c r="B1764" s="136" t="s">
        <v>22</v>
      </c>
      <c r="C1764" s="157" t="str">
        <f t="shared" si="54"/>
        <v>17.10.2024_BIE1</v>
      </c>
      <c r="D1764" s="190">
        <f t="shared" si="55"/>
        <v>0</v>
      </c>
      <c r="E1764" s="133">
        <v>7.68</v>
      </c>
      <c r="F1764" s="134"/>
      <c r="G1764" s="135">
        <v>183.9</v>
      </c>
      <c r="H1764" s="137">
        <v>11.6</v>
      </c>
      <c r="I1764" s="134"/>
      <c r="J1764" s="137">
        <v>11</v>
      </c>
      <c r="K1764" s="134"/>
      <c r="L1764" s="136">
        <v>35</v>
      </c>
      <c r="M1764" s="181"/>
      <c r="N1764" s="159"/>
      <c r="O1764" s="159"/>
      <c r="P1764" s="136"/>
    </row>
    <row r="1765" spans="1:16" ht="16.5" customHeight="1" x14ac:dyDescent="0.25">
      <c r="A1765" s="156">
        <v>45582</v>
      </c>
      <c r="B1765" s="136" t="s">
        <v>25</v>
      </c>
      <c r="C1765" s="157" t="str">
        <f t="shared" si="54"/>
        <v>17.10.2024_BIE2</v>
      </c>
      <c r="D1765" s="190">
        <f t="shared" si="55"/>
        <v>0</v>
      </c>
      <c r="E1765" s="133">
        <v>7.65</v>
      </c>
      <c r="F1765" s="134"/>
      <c r="G1765" s="135">
        <v>179.5</v>
      </c>
      <c r="H1765" s="137">
        <v>11.5</v>
      </c>
      <c r="I1765" s="134"/>
      <c r="J1765" s="137">
        <v>11</v>
      </c>
      <c r="K1765" s="134"/>
      <c r="L1765" s="136">
        <v>50</v>
      </c>
      <c r="M1765" s="181"/>
      <c r="N1765" s="159"/>
      <c r="O1765" s="159"/>
      <c r="P1765" s="136"/>
    </row>
    <row r="1766" spans="1:16" ht="16.5" customHeight="1" x14ac:dyDescent="0.25">
      <c r="A1766" s="156">
        <v>45582</v>
      </c>
      <c r="B1766" s="136" t="s">
        <v>30</v>
      </c>
      <c r="C1766" s="157" t="str">
        <f t="shared" si="54"/>
        <v>17.10.2024_FAL1</v>
      </c>
      <c r="D1766" s="190">
        <f t="shared" si="55"/>
        <v>0</v>
      </c>
      <c r="E1766" s="133">
        <v>7.96</v>
      </c>
      <c r="F1766" s="134"/>
      <c r="G1766" s="135">
        <v>706</v>
      </c>
      <c r="H1766" s="137">
        <v>11.1</v>
      </c>
      <c r="I1766" s="134"/>
      <c r="J1766" s="137">
        <v>11.4</v>
      </c>
      <c r="K1766" s="134"/>
      <c r="L1766" s="136">
        <v>30</v>
      </c>
      <c r="M1766" s="181"/>
      <c r="N1766" s="159"/>
      <c r="O1766" s="159"/>
      <c r="P1766" s="136"/>
    </row>
    <row r="1767" spans="1:16" ht="16.5" customHeight="1" x14ac:dyDescent="0.25">
      <c r="A1767" s="156">
        <v>45582</v>
      </c>
      <c r="B1767" s="136" t="s">
        <v>32</v>
      </c>
      <c r="C1767" s="157" t="str">
        <f t="shared" si="54"/>
        <v>17.10.2024_FAL2</v>
      </c>
      <c r="D1767" s="190">
        <f t="shared" si="55"/>
        <v>0</v>
      </c>
      <c r="E1767" s="133">
        <v>7.94</v>
      </c>
      <c r="F1767" s="134"/>
      <c r="G1767" s="135">
        <v>641</v>
      </c>
      <c r="H1767" s="137">
        <v>9.1999999999999993</v>
      </c>
      <c r="I1767" s="134"/>
      <c r="J1767" s="137">
        <v>10.5</v>
      </c>
      <c r="K1767" s="134"/>
      <c r="L1767" s="136">
        <v>30</v>
      </c>
      <c r="M1767" s="181"/>
      <c r="N1767" s="159"/>
      <c r="O1767" s="159"/>
      <c r="P1767" s="136" t="s">
        <v>262</v>
      </c>
    </row>
    <row r="1768" spans="1:16" ht="16.5" customHeight="1" x14ac:dyDescent="0.25">
      <c r="A1768" s="156">
        <v>45582</v>
      </c>
      <c r="B1768" s="136" t="s">
        <v>26</v>
      </c>
      <c r="C1768" s="157" t="str">
        <f t="shared" si="54"/>
        <v>17.10.2024_GRU1</v>
      </c>
      <c r="D1768" s="190">
        <f t="shared" si="55"/>
        <v>0</v>
      </c>
      <c r="E1768" s="133">
        <v>7.5</v>
      </c>
      <c r="F1768" s="134"/>
      <c r="G1768" s="135">
        <v>139.9</v>
      </c>
      <c r="H1768" s="137">
        <v>12</v>
      </c>
      <c r="I1768" s="134"/>
      <c r="J1768" s="137">
        <v>10.3</v>
      </c>
      <c r="K1768" s="134"/>
      <c r="L1768" s="136">
        <v>40</v>
      </c>
      <c r="M1768" s="181"/>
      <c r="N1768" s="159"/>
      <c r="O1768" s="159"/>
      <c r="P1768" s="136"/>
    </row>
    <row r="1769" spans="1:16" ht="16.5" customHeight="1" x14ac:dyDescent="0.25">
      <c r="A1769" s="156">
        <v>45582</v>
      </c>
      <c r="B1769" s="136" t="s">
        <v>28</v>
      </c>
      <c r="C1769" s="157" t="str">
        <f t="shared" si="54"/>
        <v>17.10.2024_GRU2</v>
      </c>
      <c r="D1769" s="190">
        <f t="shared" si="55"/>
        <v>0</v>
      </c>
      <c r="E1769" s="133">
        <v>7.39</v>
      </c>
      <c r="F1769" s="134"/>
      <c r="G1769" s="135">
        <v>145.5</v>
      </c>
      <c r="H1769" s="137">
        <v>11.3</v>
      </c>
      <c r="I1769" s="134"/>
      <c r="J1769" s="137">
        <v>10.1</v>
      </c>
      <c r="K1769" s="134"/>
      <c r="L1769" s="136">
        <v>50</v>
      </c>
      <c r="M1769" s="181"/>
      <c r="N1769" s="159"/>
      <c r="O1769" s="159"/>
      <c r="P1769" s="136"/>
    </row>
    <row r="1770" spans="1:16" ht="16.5" customHeight="1" x14ac:dyDescent="0.25">
      <c r="A1770" s="156">
        <v>45582</v>
      </c>
      <c r="B1770" s="136" t="s">
        <v>34</v>
      </c>
      <c r="C1770" s="157" t="str">
        <f t="shared" si="54"/>
        <v>17.10.2024_KRE1</v>
      </c>
      <c r="D1770" s="190">
        <f t="shared" si="55"/>
        <v>0</v>
      </c>
      <c r="E1770" s="133">
        <v>8.01</v>
      </c>
      <c r="F1770" s="134"/>
      <c r="G1770" s="135">
        <v>745</v>
      </c>
      <c r="H1770" s="137">
        <v>10.8</v>
      </c>
      <c r="I1770" s="134"/>
      <c r="J1770" s="137">
        <v>11</v>
      </c>
      <c r="K1770" s="134"/>
      <c r="L1770" s="136">
        <v>70</v>
      </c>
      <c r="M1770" s="181"/>
      <c r="N1770" s="159"/>
      <c r="O1770" s="159"/>
      <c r="P1770" s="136"/>
    </row>
    <row r="1771" spans="1:16" ht="16.5" customHeight="1" x14ac:dyDescent="0.25">
      <c r="A1771" s="156">
        <v>45582</v>
      </c>
      <c r="B1771" s="136" t="s">
        <v>37</v>
      </c>
      <c r="C1771" s="157" t="str">
        <f t="shared" si="54"/>
        <v>17.10.2024_KRE2</v>
      </c>
      <c r="D1771" s="190">
        <f t="shared" si="55"/>
        <v>0</v>
      </c>
      <c r="E1771" s="133">
        <v>8</v>
      </c>
      <c r="F1771" s="134"/>
      <c r="G1771" s="135">
        <v>734</v>
      </c>
      <c r="H1771" s="137">
        <v>10.4</v>
      </c>
      <c r="I1771" s="134"/>
      <c r="J1771" s="137">
        <v>11.1</v>
      </c>
      <c r="K1771" s="134"/>
      <c r="L1771" s="136">
        <v>70</v>
      </c>
      <c r="M1771" s="181"/>
      <c r="N1771" s="159"/>
      <c r="O1771" s="159"/>
      <c r="P1771" s="136"/>
    </row>
    <row r="1772" spans="1:16" ht="16.5" customHeight="1" x14ac:dyDescent="0.25">
      <c r="A1772" s="156">
        <v>45582</v>
      </c>
      <c r="B1772" s="136" t="s">
        <v>14</v>
      </c>
      <c r="C1772" s="157" t="str">
        <f t="shared" si="54"/>
        <v>17.10.2024_BRA1</v>
      </c>
      <c r="D1772" s="190">
        <f t="shared" si="55"/>
        <v>0</v>
      </c>
      <c r="E1772" s="133">
        <v>7.48</v>
      </c>
      <c r="F1772" s="134"/>
      <c r="G1772" s="135">
        <v>152</v>
      </c>
      <c r="H1772" s="137">
        <v>10.7</v>
      </c>
      <c r="I1772" s="134"/>
      <c r="J1772" s="137">
        <v>12.4</v>
      </c>
      <c r="K1772" s="134"/>
      <c r="L1772" s="136">
        <v>19</v>
      </c>
      <c r="M1772" s="181"/>
      <c r="N1772" s="159"/>
      <c r="O1772" s="159"/>
      <c r="P1772" s="136"/>
    </row>
    <row r="1773" spans="1:16" ht="16.5" customHeight="1" x14ac:dyDescent="0.25">
      <c r="A1773" s="156">
        <v>45582</v>
      </c>
      <c r="B1773" s="136" t="s">
        <v>17</v>
      </c>
      <c r="C1773" s="157" t="str">
        <f t="shared" si="54"/>
        <v>17.10.2024_BRA2</v>
      </c>
      <c r="D1773" s="190">
        <f t="shared" si="55"/>
        <v>0</v>
      </c>
      <c r="E1773" s="133">
        <v>7.82</v>
      </c>
      <c r="F1773" s="134"/>
      <c r="G1773" s="135">
        <v>163</v>
      </c>
      <c r="H1773" s="137">
        <v>10.8</v>
      </c>
      <c r="I1773" s="134"/>
      <c r="J1773" s="137">
        <v>12.7</v>
      </c>
      <c r="K1773" s="134"/>
      <c r="L1773" s="136">
        <v>14.000000000000002</v>
      </c>
      <c r="M1773" s="181"/>
      <c r="N1773" s="159"/>
      <c r="O1773" s="159"/>
      <c r="P1773" s="136"/>
    </row>
    <row r="1774" spans="1:16" ht="16.5" customHeight="1" x14ac:dyDescent="0.25">
      <c r="A1774" s="156">
        <v>45582</v>
      </c>
      <c r="B1774" s="136" t="s">
        <v>0</v>
      </c>
      <c r="C1774" s="157" t="str">
        <f t="shared" si="54"/>
        <v>17.10.2024_KIN1</v>
      </c>
      <c r="D1774" s="190">
        <f t="shared" si="55"/>
        <v>0</v>
      </c>
      <c r="E1774" s="133">
        <v>8.16</v>
      </c>
      <c r="F1774" s="134"/>
      <c r="G1774" s="135">
        <v>361</v>
      </c>
      <c r="H1774" s="137">
        <v>11.3</v>
      </c>
      <c r="I1774" s="134"/>
      <c r="J1774" s="137">
        <v>11.6</v>
      </c>
      <c r="K1774" s="134"/>
      <c r="L1774" s="136">
        <v>40</v>
      </c>
      <c r="M1774" s="181"/>
      <c r="N1774" s="159"/>
      <c r="O1774" s="159"/>
      <c r="P1774" s="136"/>
    </row>
    <row r="1775" spans="1:16" ht="16.5" customHeight="1" x14ac:dyDescent="0.25">
      <c r="A1775" s="156">
        <v>45582</v>
      </c>
      <c r="B1775" s="136" t="s">
        <v>2</v>
      </c>
      <c r="C1775" s="157" t="str">
        <f t="shared" si="54"/>
        <v>17.10.2024_KIN2</v>
      </c>
      <c r="D1775" s="190">
        <f t="shared" si="55"/>
        <v>0</v>
      </c>
      <c r="E1775" s="133">
        <v>8.07</v>
      </c>
      <c r="F1775" s="134"/>
      <c r="G1775" s="135">
        <v>424</v>
      </c>
      <c r="H1775" s="137">
        <v>10.9</v>
      </c>
      <c r="I1775" s="134"/>
      <c r="J1775" s="137">
        <v>11.9</v>
      </c>
      <c r="K1775" s="134"/>
      <c r="L1775" s="136">
        <v>13</v>
      </c>
      <c r="M1775" s="181"/>
      <c r="N1775" s="159"/>
      <c r="O1775" s="159"/>
      <c r="P1775" s="136"/>
    </row>
    <row r="1776" spans="1:16" ht="16.5" customHeight="1" x14ac:dyDescent="0.25">
      <c r="A1776" s="156">
        <v>45582</v>
      </c>
      <c r="B1776" s="136" t="s">
        <v>4</v>
      </c>
      <c r="C1776" s="157" t="str">
        <f t="shared" si="54"/>
        <v>17.10.2024_KIN3</v>
      </c>
      <c r="D1776" s="190">
        <f t="shared" si="55"/>
        <v>0</v>
      </c>
      <c r="E1776" s="133">
        <v>8.18</v>
      </c>
      <c r="F1776" s="134"/>
      <c r="G1776" s="135">
        <v>418</v>
      </c>
      <c r="H1776" s="137">
        <v>11.3</v>
      </c>
      <c r="I1776" s="134"/>
      <c r="J1776" s="137">
        <v>12.3</v>
      </c>
      <c r="K1776" s="134"/>
      <c r="L1776" s="136">
        <v>52</v>
      </c>
      <c r="M1776" s="181"/>
      <c r="N1776" s="159"/>
      <c r="O1776" s="159"/>
      <c r="P1776" s="136"/>
    </row>
    <row r="1777" spans="1:16" ht="16.5" customHeight="1" x14ac:dyDescent="0.25">
      <c r="A1777" s="156">
        <v>45582</v>
      </c>
      <c r="B1777" s="136" t="s">
        <v>6</v>
      </c>
      <c r="C1777" s="157" t="str">
        <f t="shared" si="54"/>
        <v>17.10.2024_KIN4</v>
      </c>
      <c r="D1777" s="190">
        <f t="shared" si="55"/>
        <v>0</v>
      </c>
      <c r="E1777" s="133">
        <v>8.0399999999999991</v>
      </c>
      <c r="F1777" s="134"/>
      <c r="G1777" s="135">
        <v>419</v>
      </c>
      <c r="H1777" s="137">
        <v>10.7</v>
      </c>
      <c r="I1777" s="134"/>
      <c r="J1777" s="137">
        <v>12.4</v>
      </c>
      <c r="K1777" s="134"/>
      <c r="L1777" s="136">
        <v>37</v>
      </c>
      <c r="M1777" s="181"/>
      <c r="N1777" s="159"/>
      <c r="O1777" s="159"/>
      <c r="P1777" s="136"/>
    </row>
    <row r="1778" spans="1:16" ht="16.5" customHeight="1" x14ac:dyDescent="0.25">
      <c r="A1778" s="156">
        <v>45582</v>
      </c>
      <c r="B1778" s="136" t="s">
        <v>18</v>
      </c>
      <c r="C1778" s="157" t="str">
        <f t="shared" si="54"/>
        <v>17.10.2024_ORB1</v>
      </c>
      <c r="D1778" s="190">
        <f t="shared" si="55"/>
        <v>0</v>
      </c>
      <c r="E1778" s="133">
        <v>7.36</v>
      </c>
      <c r="F1778" s="134"/>
      <c r="G1778" s="135">
        <v>142</v>
      </c>
      <c r="H1778" s="137">
        <v>11.3</v>
      </c>
      <c r="I1778" s="134"/>
      <c r="J1778" s="137">
        <v>12.9</v>
      </c>
      <c r="K1778" s="134"/>
      <c r="L1778" s="136">
        <v>14.000000000000002</v>
      </c>
      <c r="M1778" s="181"/>
      <c r="N1778" s="159"/>
      <c r="O1778" s="159"/>
      <c r="P1778" s="136"/>
    </row>
    <row r="1779" spans="1:16" ht="16.5" customHeight="1" x14ac:dyDescent="0.25">
      <c r="A1779" s="156">
        <v>45582</v>
      </c>
      <c r="B1779" s="136" t="s">
        <v>21</v>
      </c>
      <c r="C1779" s="157" t="str">
        <f t="shared" si="54"/>
        <v>17.10.2024_ORB2</v>
      </c>
      <c r="D1779" s="190">
        <f t="shared" si="55"/>
        <v>0</v>
      </c>
      <c r="E1779" s="133">
        <v>7.02</v>
      </c>
      <c r="F1779" s="134"/>
      <c r="G1779" s="135">
        <v>165</v>
      </c>
      <c r="H1779" s="137">
        <v>10.6</v>
      </c>
      <c r="I1779" s="134"/>
      <c r="J1779" s="137">
        <v>12.6</v>
      </c>
      <c r="K1779" s="134"/>
      <c r="L1779" s="136">
        <v>16</v>
      </c>
      <c r="M1779" s="181"/>
      <c r="N1779" s="159"/>
      <c r="O1779" s="159"/>
      <c r="P1779" s="136"/>
    </row>
    <row r="1780" spans="1:16" ht="16.5" customHeight="1" x14ac:dyDescent="0.25">
      <c r="A1780" s="156">
        <v>45582</v>
      </c>
      <c r="B1780" s="136" t="s">
        <v>10</v>
      </c>
      <c r="C1780" s="157" t="str">
        <f t="shared" si="54"/>
        <v>17.10.2024_SAL1</v>
      </c>
      <c r="D1780" s="190">
        <f t="shared" si="55"/>
        <v>0</v>
      </c>
      <c r="E1780" s="133">
        <v>7.78</v>
      </c>
      <c r="F1780" s="134"/>
      <c r="G1780" s="135">
        <v>158</v>
      </c>
      <c r="H1780" s="137">
        <v>11.3</v>
      </c>
      <c r="I1780" s="134"/>
      <c r="J1780" s="137">
        <v>11.8</v>
      </c>
      <c r="K1780" s="134"/>
      <c r="L1780" s="136">
        <v>53</v>
      </c>
      <c r="M1780" s="181"/>
      <c r="N1780" s="159"/>
      <c r="O1780" s="159"/>
      <c r="P1780" s="136"/>
    </row>
    <row r="1781" spans="1:16" ht="16.5" customHeight="1" x14ac:dyDescent="0.25">
      <c r="A1781" s="156">
        <v>45582</v>
      </c>
      <c r="B1781" s="136" t="s">
        <v>12</v>
      </c>
      <c r="C1781" s="157" t="str">
        <f t="shared" si="54"/>
        <v>17.10.2024_SAL2</v>
      </c>
      <c r="D1781" s="190">
        <f t="shared" si="55"/>
        <v>0</v>
      </c>
      <c r="E1781" s="133">
        <v>7.89</v>
      </c>
      <c r="F1781" s="134"/>
      <c r="G1781" s="135">
        <v>162</v>
      </c>
      <c r="H1781" s="137">
        <v>11.3</v>
      </c>
      <c r="I1781" s="134"/>
      <c r="J1781" s="137">
        <v>12</v>
      </c>
      <c r="K1781" s="134"/>
      <c r="L1781" s="136">
        <v>44</v>
      </c>
      <c r="M1781" s="181"/>
      <c r="N1781" s="159"/>
      <c r="O1781" s="159"/>
      <c r="P1781" s="136"/>
    </row>
    <row r="1782" spans="1:16" ht="16.5" customHeight="1" x14ac:dyDescent="0.25">
      <c r="A1782" s="156">
        <v>45582</v>
      </c>
      <c r="B1782" s="136" t="s">
        <v>7</v>
      </c>
      <c r="C1782" s="157" t="str">
        <f t="shared" si="54"/>
        <v>17.10.2024_STE1</v>
      </c>
      <c r="D1782" s="190">
        <f t="shared" si="55"/>
        <v>0</v>
      </c>
      <c r="E1782" s="133">
        <v>7.97</v>
      </c>
      <c r="F1782" s="134"/>
      <c r="G1782" s="135">
        <v>230</v>
      </c>
      <c r="H1782" s="137">
        <v>10.9</v>
      </c>
      <c r="I1782" s="134"/>
      <c r="J1782" s="137">
        <v>12.6</v>
      </c>
      <c r="K1782" s="134"/>
      <c r="L1782" s="136">
        <v>43</v>
      </c>
      <c r="M1782" s="181"/>
      <c r="N1782" s="159"/>
      <c r="O1782" s="159"/>
      <c r="P1782" s="136"/>
    </row>
    <row r="1783" spans="1:16" ht="16.5" customHeight="1" x14ac:dyDescent="0.25">
      <c r="A1783" s="156">
        <v>45582</v>
      </c>
      <c r="B1783" s="136" t="s">
        <v>9</v>
      </c>
      <c r="C1783" s="157" t="str">
        <f t="shared" si="54"/>
        <v>17.10.2024_STE2</v>
      </c>
      <c r="D1783" s="190">
        <f t="shared" si="55"/>
        <v>0</v>
      </c>
      <c r="E1783" s="133">
        <v>8.07</v>
      </c>
      <c r="F1783" s="134"/>
      <c r="G1783" s="135">
        <v>228</v>
      </c>
      <c r="H1783" s="137">
        <v>11</v>
      </c>
      <c r="I1783" s="134"/>
      <c r="J1783" s="137">
        <v>12.9</v>
      </c>
      <c r="K1783" s="134"/>
      <c r="L1783" s="136">
        <v>54</v>
      </c>
      <c r="M1783" s="181"/>
      <c r="N1783" s="159"/>
      <c r="O1783" s="159"/>
      <c r="P1783" s="136"/>
    </row>
    <row r="1784" spans="1:16" ht="16.5" customHeight="1" x14ac:dyDescent="0.25">
      <c r="A1784" s="156">
        <v>45593</v>
      </c>
      <c r="B1784" s="136" t="s">
        <v>22</v>
      </c>
      <c r="C1784" s="157" t="str">
        <f t="shared" si="54"/>
        <v>28.10.2024_BIE1</v>
      </c>
      <c r="D1784" s="190">
        <f t="shared" si="55"/>
        <v>0</v>
      </c>
      <c r="E1784" s="133">
        <v>7.67</v>
      </c>
      <c r="F1784" s="134"/>
      <c r="G1784" s="135">
        <v>197.5</v>
      </c>
      <c r="H1784" s="137">
        <v>11</v>
      </c>
      <c r="I1784" s="134"/>
      <c r="J1784" s="137">
        <v>12.8</v>
      </c>
      <c r="K1784" s="134"/>
      <c r="L1784" s="136">
        <v>35</v>
      </c>
      <c r="M1784" s="181"/>
      <c r="N1784" s="159"/>
      <c r="O1784" s="159"/>
      <c r="P1784" s="136"/>
    </row>
    <row r="1785" spans="1:16" ht="16.5" customHeight="1" x14ac:dyDescent="0.25">
      <c r="A1785" s="156">
        <v>45593</v>
      </c>
      <c r="B1785" s="136" t="s">
        <v>25</v>
      </c>
      <c r="C1785" s="157" t="str">
        <f t="shared" si="54"/>
        <v>28.10.2024_BIE2</v>
      </c>
      <c r="D1785" s="190">
        <f t="shared" si="55"/>
        <v>0</v>
      </c>
      <c r="E1785" s="133">
        <v>7.68</v>
      </c>
      <c r="F1785" s="134"/>
      <c r="G1785" s="135">
        <v>193.2</v>
      </c>
      <c r="H1785" s="137">
        <v>10.9</v>
      </c>
      <c r="I1785" s="134"/>
      <c r="J1785" s="137">
        <v>13.1</v>
      </c>
      <c r="K1785" s="134"/>
      <c r="L1785" s="136">
        <v>50</v>
      </c>
      <c r="M1785" s="181"/>
      <c r="N1785" s="159"/>
      <c r="O1785" s="159"/>
      <c r="P1785" s="136"/>
    </row>
    <row r="1786" spans="1:16" ht="16.5" customHeight="1" x14ac:dyDescent="0.25">
      <c r="A1786" s="156">
        <v>45593</v>
      </c>
      <c r="B1786" s="136" t="s">
        <v>30</v>
      </c>
      <c r="C1786" s="157" t="str">
        <f t="shared" si="54"/>
        <v>28.10.2024_FAL1</v>
      </c>
      <c r="D1786" s="190">
        <f t="shared" si="55"/>
        <v>0</v>
      </c>
      <c r="E1786" s="133">
        <v>7.98</v>
      </c>
      <c r="F1786" s="134"/>
      <c r="G1786" s="135">
        <v>828</v>
      </c>
      <c r="H1786" s="137">
        <v>10.199999999999999</v>
      </c>
      <c r="I1786" s="134"/>
      <c r="J1786" s="137">
        <v>12.7</v>
      </c>
      <c r="K1786" s="134"/>
      <c r="L1786" s="136">
        <v>20</v>
      </c>
      <c r="M1786" s="181"/>
      <c r="N1786" s="159"/>
      <c r="O1786" s="159"/>
      <c r="P1786" s="136"/>
    </row>
    <row r="1787" spans="1:16" ht="16.5" customHeight="1" x14ac:dyDescent="0.25">
      <c r="A1787" s="156">
        <v>45593</v>
      </c>
      <c r="B1787" s="136" t="s">
        <v>32</v>
      </c>
      <c r="C1787" s="157" t="str">
        <f t="shared" si="54"/>
        <v>28.10.2024_FAL2</v>
      </c>
      <c r="D1787" s="190">
        <f t="shared" si="55"/>
        <v>0</v>
      </c>
      <c r="E1787" s="133">
        <v>8.23</v>
      </c>
      <c r="F1787" s="134"/>
      <c r="G1787" s="135">
        <v>834</v>
      </c>
      <c r="H1787" s="137">
        <v>10.1</v>
      </c>
      <c r="I1787" s="134"/>
      <c r="J1787" s="137">
        <v>12.1</v>
      </c>
      <c r="K1787" s="134"/>
      <c r="L1787" s="136">
        <v>45</v>
      </c>
      <c r="M1787" s="181"/>
      <c r="N1787" s="159"/>
      <c r="O1787" s="159"/>
      <c r="P1787" s="136"/>
    </row>
    <row r="1788" spans="1:16" ht="16.5" customHeight="1" x14ac:dyDescent="0.25">
      <c r="A1788" s="156">
        <v>45593</v>
      </c>
      <c r="B1788" s="136" t="s">
        <v>26</v>
      </c>
      <c r="C1788" s="157" t="str">
        <f t="shared" si="54"/>
        <v>28.10.2024_GRU1</v>
      </c>
      <c r="D1788" s="190">
        <f t="shared" si="55"/>
        <v>0</v>
      </c>
      <c r="E1788" s="133">
        <v>7.49</v>
      </c>
      <c r="F1788" s="134"/>
      <c r="G1788" s="135">
        <v>177</v>
      </c>
      <c r="H1788" s="137">
        <v>11.4</v>
      </c>
      <c r="I1788" s="134"/>
      <c r="J1788" s="137">
        <v>12.2</v>
      </c>
      <c r="K1788" s="134"/>
      <c r="L1788" s="136">
        <v>30</v>
      </c>
      <c r="M1788" s="181"/>
      <c r="N1788" s="159"/>
      <c r="O1788" s="159"/>
      <c r="P1788" s="136"/>
    </row>
    <row r="1789" spans="1:16" ht="16.5" customHeight="1" x14ac:dyDescent="0.25">
      <c r="A1789" s="156">
        <v>45593</v>
      </c>
      <c r="B1789" s="136" t="s">
        <v>28</v>
      </c>
      <c r="C1789" s="157" t="str">
        <f t="shared" si="54"/>
        <v>28.10.2024_GRU2</v>
      </c>
      <c r="D1789" s="190">
        <f t="shared" si="55"/>
        <v>0</v>
      </c>
      <c r="E1789" s="133">
        <v>7.32</v>
      </c>
      <c r="F1789" s="134"/>
      <c r="G1789" s="135">
        <v>174</v>
      </c>
      <c r="H1789" s="137">
        <v>11</v>
      </c>
      <c r="I1789" s="134"/>
      <c r="J1789" s="137">
        <v>11.9</v>
      </c>
      <c r="K1789" s="134"/>
      <c r="L1789" s="136">
        <v>40</v>
      </c>
      <c r="M1789" s="181"/>
      <c r="N1789" s="159"/>
      <c r="O1789" s="159"/>
      <c r="P1789" s="136"/>
    </row>
    <row r="1790" spans="1:16" ht="16.5" customHeight="1" x14ac:dyDescent="0.25">
      <c r="A1790" s="156">
        <v>45593</v>
      </c>
      <c r="B1790" s="136" t="s">
        <v>34</v>
      </c>
      <c r="C1790" s="157" t="str">
        <f t="shared" si="54"/>
        <v>28.10.2024_KRE1</v>
      </c>
      <c r="D1790" s="190">
        <f t="shared" si="55"/>
        <v>0</v>
      </c>
      <c r="E1790" s="133">
        <v>8.01</v>
      </c>
      <c r="F1790" s="134"/>
      <c r="G1790" s="135">
        <v>872</v>
      </c>
      <c r="H1790" s="137">
        <v>9.5</v>
      </c>
      <c r="I1790" s="134"/>
      <c r="J1790" s="137">
        <v>12.2</v>
      </c>
      <c r="K1790" s="134"/>
      <c r="L1790" s="136">
        <v>50</v>
      </c>
      <c r="M1790" s="181"/>
      <c r="N1790" s="159"/>
      <c r="O1790" s="159"/>
      <c r="P1790" s="136"/>
    </row>
    <row r="1791" spans="1:16" ht="16.5" customHeight="1" x14ac:dyDescent="0.25">
      <c r="A1791" s="156">
        <v>45593</v>
      </c>
      <c r="B1791" s="136" t="s">
        <v>37</v>
      </c>
      <c r="C1791" s="157" t="str">
        <f t="shared" si="54"/>
        <v>28.10.2024_KRE2</v>
      </c>
      <c r="D1791" s="190">
        <f t="shared" si="55"/>
        <v>0</v>
      </c>
      <c r="E1791" s="133">
        <v>8.01</v>
      </c>
      <c r="F1791" s="134"/>
      <c r="G1791" s="135">
        <v>891</v>
      </c>
      <c r="H1791" s="137">
        <v>10.199999999999999</v>
      </c>
      <c r="I1791" s="134"/>
      <c r="J1791" s="137">
        <v>12.3</v>
      </c>
      <c r="K1791" s="134"/>
      <c r="L1791" s="136">
        <v>50</v>
      </c>
      <c r="M1791" s="181"/>
      <c r="N1791" s="159"/>
      <c r="O1791" s="159"/>
      <c r="P1791" s="136"/>
    </row>
    <row r="1792" spans="1:16" ht="16.5" customHeight="1" x14ac:dyDescent="0.25">
      <c r="A1792" s="156">
        <v>45593</v>
      </c>
      <c r="B1792" s="136" t="s">
        <v>14</v>
      </c>
      <c r="C1792" s="157" t="str">
        <f t="shared" si="54"/>
        <v>28.10.2024_BRA1</v>
      </c>
      <c r="D1792" s="190">
        <f t="shared" si="55"/>
        <v>0</v>
      </c>
      <c r="E1792" s="133">
        <v>7.4</v>
      </c>
      <c r="F1792" s="134"/>
      <c r="G1792" s="135">
        <v>168</v>
      </c>
      <c r="H1792" s="137">
        <v>9.16</v>
      </c>
      <c r="I1792" s="134"/>
      <c r="J1792" s="137">
        <v>11.7</v>
      </c>
      <c r="K1792" s="134"/>
      <c r="L1792" s="136">
        <v>20</v>
      </c>
      <c r="M1792" s="181"/>
      <c r="N1792" s="159"/>
      <c r="O1792" s="159"/>
      <c r="P1792" s="136"/>
    </row>
    <row r="1793" spans="1:16" ht="16.5" customHeight="1" x14ac:dyDescent="0.25">
      <c r="A1793" s="156">
        <v>45593</v>
      </c>
      <c r="B1793" s="136" t="s">
        <v>17</v>
      </c>
      <c r="C1793" s="157" t="str">
        <f t="shared" si="54"/>
        <v>28.10.2024_BRA2</v>
      </c>
      <c r="D1793" s="190">
        <f t="shared" si="55"/>
        <v>0</v>
      </c>
      <c r="E1793" s="133">
        <v>7.6</v>
      </c>
      <c r="F1793" s="134"/>
      <c r="G1793" s="135">
        <v>193</v>
      </c>
      <c r="H1793" s="137">
        <v>9.3000000000000007</v>
      </c>
      <c r="I1793" s="134"/>
      <c r="J1793" s="137">
        <v>12.1</v>
      </c>
      <c r="K1793" s="134"/>
      <c r="L1793" s="136">
        <v>40</v>
      </c>
      <c r="M1793" s="181"/>
      <c r="N1793" s="159"/>
      <c r="O1793" s="159"/>
      <c r="P1793" s="136"/>
    </row>
    <row r="1794" spans="1:16" ht="16.5" customHeight="1" x14ac:dyDescent="0.25">
      <c r="A1794" s="156">
        <v>45593</v>
      </c>
      <c r="B1794" s="136" t="s">
        <v>0</v>
      </c>
      <c r="C1794" s="157" t="str">
        <f t="shared" si="54"/>
        <v>28.10.2024_KIN1</v>
      </c>
      <c r="D1794" s="190">
        <f t="shared" si="55"/>
        <v>0</v>
      </c>
      <c r="E1794" s="133">
        <v>7.91</v>
      </c>
      <c r="F1794" s="134"/>
      <c r="G1794" s="135">
        <v>435</v>
      </c>
      <c r="H1794" s="137">
        <v>10.5</v>
      </c>
      <c r="I1794" s="134"/>
      <c r="J1794" s="137">
        <v>11.2</v>
      </c>
      <c r="K1794" s="134"/>
      <c r="L1794" s="136">
        <v>45</v>
      </c>
      <c r="M1794" s="181"/>
      <c r="N1794" s="159"/>
      <c r="O1794" s="159"/>
      <c r="P1794" s="136"/>
    </row>
    <row r="1795" spans="1:16" ht="16.5" customHeight="1" x14ac:dyDescent="0.25">
      <c r="A1795" s="156">
        <v>45593</v>
      </c>
      <c r="B1795" s="136" t="s">
        <v>2</v>
      </c>
      <c r="C1795" s="157" t="str">
        <f t="shared" si="54"/>
        <v>28.10.2024_KIN2</v>
      </c>
      <c r="D1795" s="190">
        <f t="shared" si="55"/>
        <v>0</v>
      </c>
      <c r="E1795" s="133">
        <v>7.84</v>
      </c>
      <c r="F1795" s="134"/>
      <c r="G1795" s="135">
        <v>502</v>
      </c>
      <c r="H1795" s="137">
        <v>10.73</v>
      </c>
      <c r="I1795" s="134"/>
      <c r="J1795" s="137">
        <v>11.5</v>
      </c>
      <c r="K1795" s="134"/>
      <c r="L1795" s="136">
        <v>38</v>
      </c>
      <c r="M1795" s="181"/>
      <c r="N1795" s="159"/>
      <c r="O1795" s="159"/>
      <c r="P1795" s="136"/>
    </row>
    <row r="1796" spans="1:16" ht="16.5" customHeight="1" x14ac:dyDescent="0.25">
      <c r="A1796" s="156">
        <v>45593</v>
      </c>
      <c r="B1796" s="136" t="s">
        <v>4</v>
      </c>
      <c r="C1796" s="157" t="str">
        <f t="shared" si="54"/>
        <v>28.10.2024_KIN3</v>
      </c>
      <c r="D1796" s="190">
        <f t="shared" si="55"/>
        <v>0</v>
      </c>
      <c r="E1796" s="133">
        <v>7.94</v>
      </c>
      <c r="F1796" s="134"/>
      <c r="G1796" s="135">
        <v>496</v>
      </c>
      <c r="H1796" s="137">
        <v>10.75</v>
      </c>
      <c r="I1796" s="134"/>
      <c r="J1796" s="137">
        <v>11.4</v>
      </c>
      <c r="K1796" s="134"/>
      <c r="L1796" s="136">
        <v>28.000000000000004</v>
      </c>
      <c r="M1796" s="181"/>
      <c r="N1796" s="159"/>
      <c r="O1796" s="159"/>
      <c r="P1796" s="136"/>
    </row>
    <row r="1797" spans="1:16" ht="16.5" customHeight="1" x14ac:dyDescent="0.25">
      <c r="A1797" s="156">
        <v>45593</v>
      </c>
      <c r="B1797" s="136" t="s">
        <v>6</v>
      </c>
      <c r="C1797" s="157" t="str">
        <f t="shared" ref="C1797:C1860" si="56">CONCATENATE(TEXT(A1797,"TT.MM.JJJJ"),"_",B1797)</f>
        <v>28.10.2024_KIN4</v>
      </c>
      <c r="D1797" s="190">
        <f t="shared" ref="D1797:D1860" si="57">COUNTBLANK(E1797)+COUNTBLANK(G1797:H1797)+COUNTBLANK(J1797)+COUNTBLANK(L1797)</f>
        <v>0</v>
      </c>
      <c r="E1797" s="133">
        <v>7.84</v>
      </c>
      <c r="F1797" s="134"/>
      <c r="G1797" s="135">
        <v>504</v>
      </c>
      <c r="H1797" s="137">
        <v>10.08</v>
      </c>
      <c r="I1797" s="134"/>
      <c r="J1797" s="137">
        <v>11.8</v>
      </c>
      <c r="K1797" s="134"/>
      <c r="L1797" s="136">
        <v>41</v>
      </c>
      <c r="M1797" s="181"/>
      <c r="N1797" s="159"/>
      <c r="O1797" s="159"/>
      <c r="P1797" s="136"/>
    </row>
    <row r="1798" spans="1:16" ht="16.5" customHeight="1" x14ac:dyDescent="0.25">
      <c r="A1798" s="156">
        <v>45593</v>
      </c>
      <c r="B1798" s="136" t="s">
        <v>18</v>
      </c>
      <c r="C1798" s="157" t="str">
        <f t="shared" si="56"/>
        <v>28.10.2024_ORB1</v>
      </c>
      <c r="D1798" s="190">
        <f t="shared" si="57"/>
        <v>0</v>
      </c>
      <c r="E1798" s="133">
        <v>7.11</v>
      </c>
      <c r="F1798" s="134"/>
      <c r="G1798" s="135">
        <v>116</v>
      </c>
      <c r="H1798" s="137">
        <v>10</v>
      </c>
      <c r="I1798" s="134"/>
      <c r="J1798" s="137">
        <v>6</v>
      </c>
      <c r="K1798" s="134"/>
      <c r="L1798" s="136">
        <v>20</v>
      </c>
      <c r="M1798" s="181"/>
      <c r="N1798" s="159"/>
      <c r="O1798" s="159"/>
      <c r="P1798" s="136"/>
    </row>
    <row r="1799" spans="1:16" ht="16.5" customHeight="1" x14ac:dyDescent="0.25">
      <c r="A1799" s="156">
        <v>45593</v>
      </c>
      <c r="B1799" s="136" t="s">
        <v>21</v>
      </c>
      <c r="C1799" s="157" t="str">
        <f t="shared" si="56"/>
        <v>28.10.2024_ORB2</v>
      </c>
      <c r="D1799" s="190">
        <f t="shared" si="57"/>
        <v>0</v>
      </c>
      <c r="E1799" s="133">
        <v>6.78</v>
      </c>
      <c r="F1799" s="134"/>
      <c r="G1799" s="135">
        <v>158</v>
      </c>
      <c r="H1799" s="137">
        <v>8.77</v>
      </c>
      <c r="I1799" s="134"/>
      <c r="J1799" s="137">
        <v>12.3</v>
      </c>
      <c r="K1799" s="134"/>
      <c r="L1799" s="136">
        <v>22</v>
      </c>
      <c r="M1799" s="181"/>
      <c r="N1799" s="159"/>
      <c r="O1799" s="159"/>
      <c r="P1799" s="136"/>
    </row>
    <row r="1800" spans="1:16" ht="16.5" customHeight="1" x14ac:dyDescent="0.25">
      <c r="A1800" s="156">
        <v>45593</v>
      </c>
      <c r="B1800" s="136" t="s">
        <v>10</v>
      </c>
      <c r="C1800" s="157" t="str">
        <f t="shared" si="56"/>
        <v>28.10.2024_SAL1</v>
      </c>
      <c r="D1800" s="190">
        <f t="shared" si="57"/>
        <v>0</v>
      </c>
      <c r="E1800" s="133">
        <v>7.66</v>
      </c>
      <c r="F1800" s="134"/>
      <c r="G1800" s="135">
        <v>194</v>
      </c>
      <c r="H1800" s="137">
        <v>11</v>
      </c>
      <c r="I1800" s="134"/>
      <c r="J1800" s="137">
        <v>11.8</v>
      </c>
      <c r="K1800" s="134"/>
      <c r="L1800" s="136">
        <v>45</v>
      </c>
      <c r="M1800" s="181"/>
      <c r="N1800" s="159"/>
      <c r="O1800" s="159"/>
      <c r="P1800" s="136"/>
    </row>
    <row r="1801" spans="1:16" ht="16.5" customHeight="1" x14ac:dyDescent="0.25">
      <c r="A1801" s="156">
        <v>45593</v>
      </c>
      <c r="B1801" s="136" t="s">
        <v>12</v>
      </c>
      <c r="C1801" s="157" t="str">
        <f t="shared" si="56"/>
        <v>28.10.2024_SAL2</v>
      </c>
      <c r="D1801" s="190">
        <f t="shared" si="57"/>
        <v>0</v>
      </c>
      <c r="E1801" s="133">
        <v>7.87</v>
      </c>
      <c r="F1801" s="134"/>
      <c r="G1801" s="135">
        <v>204</v>
      </c>
      <c r="H1801" s="137">
        <v>11.32</v>
      </c>
      <c r="I1801" s="134"/>
      <c r="J1801" s="137">
        <v>11.7</v>
      </c>
      <c r="K1801" s="134"/>
      <c r="L1801" s="136">
        <v>40</v>
      </c>
      <c r="M1801" s="181"/>
      <c r="N1801" s="159"/>
      <c r="O1801" s="159"/>
      <c r="P1801" s="136"/>
    </row>
    <row r="1802" spans="1:16" ht="16.5" customHeight="1" x14ac:dyDescent="0.25">
      <c r="A1802" s="156">
        <v>45593</v>
      </c>
      <c r="B1802" s="136" t="s">
        <v>7</v>
      </c>
      <c r="C1802" s="157" t="str">
        <f t="shared" si="56"/>
        <v>28.10.2024_STE1</v>
      </c>
      <c r="D1802" s="190">
        <f t="shared" si="57"/>
        <v>0</v>
      </c>
      <c r="E1802" s="133">
        <v>7.88</v>
      </c>
      <c r="F1802" s="134"/>
      <c r="G1802" s="135">
        <v>322</v>
      </c>
      <c r="H1802" s="137">
        <v>11.3</v>
      </c>
      <c r="I1802" s="134"/>
      <c r="J1802" s="137">
        <v>11.7</v>
      </c>
      <c r="K1802" s="134"/>
      <c r="L1802" s="136">
        <v>48</v>
      </c>
      <c r="M1802" s="181"/>
      <c r="N1802" s="159"/>
      <c r="O1802" s="159"/>
      <c r="P1802" s="136"/>
    </row>
    <row r="1803" spans="1:16" ht="16.5" customHeight="1" x14ac:dyDescent="0.25">
      <c r="A1803" s="156">
        <v>45593</v>
      </c>
      <c r="B1803" s="136" t="s">
        <v>9</v>
      </c>
      <c r="C1803" s="157" t="str">
        <f t="shared" si="56"/>
        <v>28.10.2024_STE2</v>
      </c>
      <c r="D1803" s="190">
        <f t="shared" si="57"/>
        <v>0</v>
      </c>
      <c r="E1803" s="133">
        <v>7.91</v>
      </c>
      <c r="F1803" s="134"/>
      <c r="G1803" s="135">
        <v>316</v>
      </c>
      <c r="H1803" s="137">
        <v>11.08</v>
      </c>
      <c r="I1803" s="134"/>
      <c r="J1803" s="137">
        <v>11.6</v>
      </c>
      <c r="K1803" s="134"/>
      <c r="L1803" s="136">
        <v>55.000000000000007</v>
      </c>
      <c r="M1803" s="181"/>
      <c r="N1803" s="159"/>
      <c r="O1803" s="159"/>
      <c r="P1803" s="136"/>
    </row>
    <row r="1804" spans="1:16" ht="16.5" customHeight="1" x14ac:dyDescent="0.25">
      <c r="A1804" s="156">
        <v>45607</v>
      </c>
      <c r="B1804" s="136" t="s">
        <v>22</v>
      </c>
      <c r="C1804" s="157" t="str">
        <f t="shared" si="56"/>
        <v>11.11.2024_BIE1</v>
      </c>
      <c r="D1804" s="190">
        <f t="shared" si="57"/>
        <v>0</v>
      </c>
      <c r="E1804" s="133">
        <v>7.74</v>
      </c>
      <c r="F1804" s="134"/>
      <c r="G1804" s="135">
        <v>194.4</v>
      </c>
      <c r="H1804" s="137">
        <v>11.8</v>
      </c>
      <c r="I1804" s="134"/>
      <c r="J1804" s="137">
        <v>8.4</v>
      </c>
      <c r="K1804" s="134"/>
      <c r="L1804" s="136">
        <v>25</v>
      </c>
      <c r="M1804" s="181"/>
      <c r="N1804" s="159"/>
      <c r="O1804" s="159"/>
      <c r="P1804" s="136"/>
    </row>
    <row r="1805" spans="1:16" ht="16.5" customHeight="1" x14ac:dyDescent="0.25">
      <c r="A1805" s="156">
        <v>45607</v>
      </c>
      <c r="B1805" s="136" t="s">
        <v>25</v>
      </c>
      <c r="C1805" s="157" t="str">
        <f t="shared" si="56"/>
        <v>11.11.2024_BIE2</v>
      </c>
      <c r="D1805" s="190">
        <f t="shared" si="57"/>
        <v>0</v>
      </c>
      <c r="E1805" s="133">
        <v>7.71</v>
      </c>
      <c r="F1805" s="134"/>
      <c r="G1805" s="135">
        <v>191.7</v>
      </c>
      <c r="H1805" s="137">
        <v>11.4</v>
      </c>
      <c r="I1805" s="134"/>
      <c r="J1805" s="137">
        <v>9.1</v>
      </c>
      <c r="K1805" s="134"/>
      <c r="L1805" s="136">
        <v>45</v>
      </c>
      <c r="M1805" s="181"/>
      <c r="N1805" s="159"/>
      <c r="O1805" s="159"/>
      <c r="P1805" s="136"/>
    </row>
    <row r="1806" spans="1:16" ht="16.5" customHeight="1" x14ac:dyDescent="0.25">
      <c r="A1806" s="156">
        <v>45607</v>
      </c>
      <c r="B1806" s="136" t="s">
        <v>30</v>
      </c>
      <c r="C1806" s="157" t="str">
        <f t="shared" si="56"/>
        <v>11.11.2024_FAL1</v>
      </c>
      <c r="D1806" s="190">
        <f t="shared" si="57"/>
        <v>0</v>
      </c>
      <c r="E1806" s="133">
        <v>8</v>
      </c>
      <c r="F1806" s="134"/>
      <c r="G1806" s="135">
        <v>827</v>
      </c>
      <c r="H1806" s="137">
        <v>10.9</v>
      </c>
      <c r="I1806" s="134"/>
      <c r="J1806" s="137">
        <v>9.4</v>
      </c>
      <c r="K1806" s="134"/>
      <c r="L1806" s="136">
        <v>20</v>
      </c>
      <c r="M1806" s="181"/>
      <c r="N1806" s="159"/>
      <c r="O1806" s="159"/>
      <c r="P1806" s="136"/>
    </row>
    <row r="1807" spans="1:16" ht="16.5" customHeight="1" x14ac:dyDescent="0.25">
      <c r="A1807" s="156">
        <v>45607</v>
      </c>
      <c r="B1807" s="136" t="s">
        <v>32</v>
      </c>
      <c r="C1807" s="157" t="str">
        <f t="shared" si="56"/>
        <v>11.11.2024_FAL2</v>
      </c>
      <c r="D1807" s="190">
        <f t="shared" si="57"/>
        <v>0</v>
      </c>
      <c r="E1807" s="133">
        <v>8.27</v>
      </c>
      <c r="F1807" s="134"/>
      <c r="G1807" s="135">
        <v>836</v>
      </c>
      <c r="H1807" s="137">
        <v>11.1</v>
      </c>
      <c r="I1807" s="134"/>
      <c r="J1807" s="137">
        <v>8.3000000000000007</v>
      </c>
      <c r="K1807" s="134"/>
      <c r="L1807" s="136">
        <v>40</v>
      </c>
      <c r="M1807" s="181"/>
      <c r="N1807" s="159"/>
      <c r="O1807" s="159"/>
      <c r="P1807" s="136"/>
    </row>
    <row r="1808" spans="1:16" ht="16.5" customHeight="1" x14ac:dyDescent="0.25">
      <c r="A1808" s="156">
        <v>45607</v>
      </c>
      <c r="B1808" s="136" t="s">
        <v>26</v>
      </c>
      <c r="C1808" s="157" t="str">
        <f t="shared" si="56"/>
        <v>11.11.2024_GRU1</v>
      </c>
      <c r="D1808" s="190">
        <f t="shared" si="57"/>
        <v>0</v>
      </c>
      <c r="E1808" s="133">
        <v>7.4</v>
      </c>
      <c r="F1808" s="134"/>
      <c r="G1808" s="135">
        <v>171.4</v>
      </c>
      <c r="H1808" s="137">
        <v>12.1</v>
      </c>
      <c r="I1808" s="134"/>
      <c r="J1808" s="137">
        <v>7.9</v>
      </c>
      <c r="K1808" s="134"/>
      <c r="L1808" s="136">
        <v>35</v>
      </c>
      <c r="M1808" s="181"/>
      <c r="N1808" s="159"/>
      <c r="O1808" s="159"/>
      <c r="P1808" s="136"/>
    </row>
    <row r="1809" spans="1:16" ht="16.5" customHeight="1" x14ac:dyDescent="0.25">
      <c r="A1809" s="156">
        <v>45607</v>
      </c>
      <c r="B1809" s="136" t="s">
        <v>28</v>
      </c>
      <c r="C1809" s="157" t="str">
        <f t="shared" si="56"/>
        <v>11.11.2024_GRU2</v>
      </c>
      <c r="D1809" s="190">
        <f t="shared" si="57"/>
        <v>0</v>
      </c>
      <c r="E1809" s="133">
        <v>7.28</v>
      </c>
      <c r="F1809" s="134"/>
      <c r="G1809" s="135">
        <v>175.3</v>
      </c>
      <c r="H1809" s="137">
        <v>11.8</v>
      </c>
      <c r="I1809" s="134"/>
      <c r="J1809" s="137">
        <v>8.4</v>
      </c>
      <c r="K1809" s="134"/>
      <c r="L1809" s="136">
        <v>40</v>
      </c>
      <c r="M1809" s="181"/>
      <c r="N1809" s="159"/>
      <c r="O1809" s="159"/>
      <c r="P1809" s="136"/>
    </row>
    <row r="1810" spans="1:16" ht="16.5" customHeight="1" x14ac:dyDescent="0.25">
      <c r="A1810" s="156">
        <v>45607</v>
      </c>
      <c r="B1810" s="136" t="s">
        <v>34</v>
      </c>
      <c r="C1810" s="157" t="str">
        <f t="shared" si="56"/>
        <v>11.11.2024_KRE1</v>
      </c>
      <c r="D1810" s="190">
        <f t="shared" si="57"/>
        <v>0</v>
      </c>
      <c r="E1810" s="133">
        <v>8.02</v>
      </c>
      <c r="F1810" s="134"/>
      <c r="G1810" s="135">
        <v>872</v>
      </c>
      <c r="H1810" s="137">
        <v>10.7</v>
      </c>
      <c r="I1810" s="134"/>
      <c r="J1810" s="137">
        <v>8.3000000000000007</v>
      </c>
      <c r="K1810" s="134"/>
      <c r="L1810" s="136">
        <v>40</v>
      </c>
      <c r="M1810" s="181"/>
      <c r="N1810" s="159"/>
      <c r="O1810" s="159"/>
      <c r="P1810" s="136"/>
    </row>
    <row r="1811" spans="1:16" ht="16.5" customHeight="1" x14ac:dyDescent="0.25">
      <c r="A1811" s="156">
        <v>45607</v>
      </c>
      <c r="B1811" s="136" t="s">
        <v>37</v>
      </c>
      <c r="C1811" s="157" t="str">
        <f t="shared" si="56"/>
        <v>11.11.2024_KRE2</v>
      </c>
      <c r="D1811" s="190">
        <f t="shared" si="57"/>
        <v>0</v>
      </c>
      <c r="E1811" s="133">
        <v>8.08</v>
      </c>
      <c r="F1811" s="134"/>
      <c r="G1811" s="135">
        <v>891</v>
      </c>
      <c r="H1811" s="137">
        <v>10.8</v>
      </c>
      <c r="I1811" s="134"/>
      <c r="J1811" s="137">
        <v>8.1999999999999993</v>
      </c>
      <c r="K1811" s="134"/>
      <c r="L1811" s="136">
        <v>45</v>
      </c>
      <c r="M1811" s="181"/>
      <c r="N1811" s="159"/>
      <c r="O1811" s="159"/>
      <c r="P1811" s="136"/>
    </row>
    <row r="1812" spans="1:16" ht="16.5" customHeight="1" x14ac:dyDescent="0.25">
      <c r="A1812" s="156">
        <v>45607</v>
      </c>
      <c r="B1812" s="136" t="s">
        <v>14</v>
      </c>
      <c r="C1812" s="157" t="str">
        <f t="shared" si="56"/>
        <v>11.11.2024_BRA1</v>
      </c>
      <c r="D1812" s="190">
        <f t="shared" si="57"/>
        <v>0</v>
      </c>
      <c r="E1812" s="133">
        <v>7.79</v>
      </c>
      <c r="F1812" s="134"/>
      <c r="G1812" s="135">
        <v>185</v>
      </c>
      <c r="H1812" s="137">
        <v>12.2</v>
      </c>
      <c r="I1812" s="134"/>
      <c r="J1812" s="137">
        <v>9.6999999999999993</v>
      </c>
      <c r="K1812" s="134"/>
      <c r="L1812" s="136">
        <v>0.2</v>
      </c>
      <c r="M1812" s="181"/>
      <c r="N1812" s="159"/>
      <c r="O1812" s="159"/>
      <c r="P1812" s="136"/>
    </row>
    <row r="1813" spans="1:16" ht="16.5" customHeight="1" x14ac:dyDescent="0.25">
      <c r="A1813" s="156">
        <v>45607</v>
      </c>
      <c r="B1813" s="136" t="s">
        <v>17</v>
      </c>
      <c r="C1813" s="157" t="str">
        <f t="shared" si="56"/>
        <v>11.11.2024_BRA2</v>
      </c>
      <c r="D1813" s="190">
        <f t="shared" si="57"/>
        <v>0</v>
      </c>
      <c r="E1813" s="133">
        <v>7.91</v>
      </c>
      <c r="F1813" s="134"/>
      <c r="G1813" s="135">
        <v>203</v>
      </c>
      <c r="H1813" s="137">
        <v>11.9</v>
      </c>
      <c r="I1813" s="134"/>
      <c r="J1813" s="137">
        <v>10.5</v>
      </c>
      <c r="K1813" s="134"/>
      <c r="L1813" s="136">
        <v>0.34</v>
      </c>
      <c r="M1813" s="181"/>
      <c r="N1813" s="159"/>
      <c r="O1813" s="159"/>
      <c r="P1813" s="136"/>
    </row>
    <row r="1814" spans="1:16" ht="16.5" customHeight="1" x14ac:dyDescent="0.25">
      <c r="A1814" s="156">
        <v>45607</v>
      </c>
      <c r="B1814" s="136" t="s">
        <v>0</v>
      </c>
      <c r="C1814" s="157" t="str">
        <f t="shared" si="56"/>
        <v>11.11.2024_KIN1</v>
      </c>
      <c r="D1814" s="190">
        <f t="shared" si="57"/>
        <v>0</v>
      </c>
      <c r="E1814" s="133">
        <v>8.19</v>
      </c>
      <c r="F1814" s="134"/>
      <c r="G1814" s="135">
        <v>412</v>
      </c>
      <c r="H1814" s="137">
        <v>12</v>
      </c>
      <c r="I1814" s="134"/>
      <c r="J1814" s="137">
        <v>7.4</v>
      </c>
      <c r="K1814" s="134"/>
      <c r="L1814" s="136">
        <v>0.4</v>
      </c>
      <c r="M1814" s="181"/>
      <c r="N1814" s="159"/>
      <c r="O1814" s="159"/>
      <c r="P1814" s="136"/>
    </row>
    <row r="1815" spans="1:16" ht="16.5" customHeight="1" x14ac:dyDescent="0.25">
      <c r="A1815" s="156">
        <v>45607</v>
      </c>
      <c r="B1815" s="136" t="s">
        <v>2</v>
      </c>
      <c r="C1815" s="157" t="str">
        <f t="shared" si="56"/>
        <v>11.11.2024_KIN2</v>
      </c>
      <c r="D1815" s="190">
        <f t="shared" si="57"/>
        <v>0</v>
      </c>
      <c r="E1815" s="133">
        <v>8.08</v>
      </c>
      <c r="F1815" s="134"/>
      <c r="G1815" s="135">
        <v>490</v>
      </c>
      <c r="H1815" s="137">
        <v>12.1</v>
      </c>
      <c r="I1815" s="134"/>
      <c r="J1815" s="137">
        <v>9</v>
      </c>
      <c r="K1815" s="134"/>
      <c r="L1815" s="136">
        <v>0.35</v>
      </c>
      <c r="M1815" s="181"/>
      <c r="N1815" s="159"/>
      <c r="O1815" s="159"/>
      <c r="P1815" s="136"/>
    </row>
    <row r="1816" spans="1:16" ht="16.5" customHeight="1" x14ac:dyDescent="0.25">
      <c r="A1816" s="156">
        <v>45607</v>
      </c>
      <c r="B1816" s="136" t="s">
        <v>4</v>
      </c>
      <c r="C1816" s="157" t="str">
        <f t="shared" si="56"/>
        <v>11.11.2024_KIN3</v>
      </c>
      <c r="D1816" s="190">
        <f t="shared" si="57"/>
        <v>0</v>
      </c>
      <c r="E1816" s="133">
        <v>8.17</v>
      </c>
      <c r="F1816" s="134"/>
      <c r="G1816" s="135">
        <v>476</v>
      </c>
      <c r="H1816" s="137">
        <v>12</v>
      </c>
      <c r="I1816" s="134"/>
      <c r="J1816" s="137">
        <v>9.5</v>
      </c>
      <c r="K1816" s="134"/>
      <c r="L1816" s="136">
        <v>0.4</v>
      </c>
      <c r="M1816" s="181"/>
      <c r="N1816" s="159"/>
      <c r="O1816" s="159"/>
      <c r="P1816" s="136"/>
    </row>
    <row r="1817" spans="1:16" ht="16.5" customHeight="1" x14ac:dyDescent="0.25">
      <c r="A1817" s="156">
        <v>45607</v>
      </c>
      <c r="B1817" s="136" t="s">
        <v>6</v>
      </c>
      <c r="C1817" s="157" t="str">
        <f t="shared" si="56"/>
        <v>11.11.2024_KIN4</v>
      </c>
      <c r="D1817" s="190">
        <f t="shared" si="57"/>
        <v>0</v>
      </c>
      <c r="E1817" s="133">
        <v>7.98</v>
      </c>
      <c r="F1817" s="134"/>
      <c r="G1817" s="135">
        <v>482</v>
      </c>
      <c r="H1817" s="137">
        <v>11</v>
      </c>
      <c r="I1817" s="134"/>
      <c r="J1817" s="137">
        <v>9.1</v>
      </c>
      <c r="K1817" s="134"/>
      <c r="L1817" s="136">
        <v>0.44</v>
      </c>
      <c r="M1817" s="181"/>
      <c r="N1817" s="159"/>
      <c r="O1817" s="159"/>
      <c r="P1817" s="136"/>
    </row>
    <row r="1818" spans="1:16" ht="16.5" customHeight="1" x14ac:dyDescent="0.25">
      <c r="A1818" s="156">
        <v>45607</v>
      </c>
      <c r="B1818" s="136" t="s">
        <v>18</v>
      </c>
      <c r="C1818" s="157" t="str">
        <f t="shared" si="56"/>
        <v>11.11.2024_ORB1</v>
      </c>
      <c r="D1818" s="190">
        <f t="shared" si="57"/>
        <v>0</v>
      </c>
      <c r="E1818" s="133">
        <v>7.22</v>
      </c>
      <c r="F1818" s="134"/>
      <c r="G1818" s="135">
        <v>117</v>
      </c>
      <c r="H1818" s="137">
        <v>11.7</v>
      </c>
      <c r="I1818" s="134"/>
      <c r="J1818" s="137">
        <v>10.1</v>
      </c>
      <c r="K1818" s="134"/>
      <c r="L1818" s="136">
        <v>0.15</v>
      </c>
      <c r="M1818" s="181"/>
      <c r="N1818" s="159"/>
      <c r="O1818" s="159"/>
      <c r="P1818" s="136"/>
    </row>
    <row r="1819" spans="1:16" ht="16.5" customHeight="1" x14ac:dyDescent="0.25">
      <c r="A1819" s="156">
        <v>45607</v>
      </c>
      <c r="B1819" s="136" t="s">
        <v>21</v>
      </c>
      <c r="C1819" s="157" t="str">
        <f t="shared" si="56"/>
        <v>11.11.2024_ORB2</v>
      </c>
      <c r="D1819" s="190">
        <f t="shared" si="57"/>
        <v>0</v>
      </c>
      <c r="E1819" s="133">
        <v>6.91</v>
      </c>
      <c r="F1819" s="134"/>
      <c r="G1819" s="135">
        <v>169</v>
      </c>
      <c r="H1819" s="137">
        <v>11.5</v>
      </c>
      <c r="I1819" s="134"/>
      <c r="J1819" s="137">
        <v>10.7</v>
      </c>
      <c r="K1819" s="134"/>
      <c r="L1819" s="136">
        <v>0.19</v>
      </c>
      <c r="M1819" s="181"/>
      <c r="N1819" s="159"/>
      <c r="O1819" s="159"/>
      <c r="P1819" s="136"/>
    </row>
    <row r="1820" spans="1:16" ht="16.5" customHeight="1" x14ac:dyDescent="0.25">
      <c r="A1820" s="156">
        <v>45607</v>
      </c>
      <c r="B1820" s="136" t="s">
        <v>10</v>
      </c>
      <c r="C1820" s="157" t="str">
        <f t="shared" si="56"/>
        <v>11.11.2024_SAL1</v>
      </c>
      <c r="D1820" s="190">
        <f t="shared" si="57"/>
        <v>0</v>
      </c>
      <c r="E1820" s="133">
        <v>7.9</v>
      </c>
      <c r="F1820" s="134"/>
      <c r="G1820" s="135">
        <v>200</v>
      </c>
      <c r="H1820" s="137">
        <v>12.3</v>
      </c>
      <c r="I1820" s="134"/>
      <c r="J1820" s="137">
        <v>10.5</v>
      </c>
      <c r="K1820" s="134"/>
      <c r="L1820" s="136">
        <v>0.45</v>
      </c>
      <c r="M1820" s="181"/>
      <c r="N1820" s="159"/>
      <c r="O1820" s="159"/>
      <c r="P1820" s="136"/>
    </row>
    <row r="1821" spans="1:16" ht="16.5" customHeight="1" x14ac:dyDescent="0.25">
      <c r="A1821" s="156">
        <v>45607</v>
      </c>
      <c r="B1821" s="136" t="s">
        <v>12</v>
      </c>
      <c r="C1821" s="157" t="str">
        <f t="shared" si="56"/>
        <v>11.11.2024_SAL2</v>
      </c>
      <c r="D1821" s="190">
        <f t="shared" si="57"/>
        <v>0</v>
      </c>
      <c r="E1821" s="133">
        <v>8.14</v>
      </c>
      <c r="F1821" s="134"/>
      <c r="G1821" s="135">
        <v>225</v>
      </c>
      <c r="H1821" s="137">
        <v>12.3</v>
      </c>
      <c r="I1821" s="134"/>
      <c r="J1821" s="137">
        <v>10.199999999999999</v>
      </c>
      <c r="K1821" s="134"/>
      <c r="L1821" s="136">
        <v>0.35</v>
      </c>
      <c r="M1821" s="181"/>
      <c r="N1821" s="159"/>
      <c r="O1821" s="159"/>
      <c r="P1821" s="136"/>
    </row>
    <row r="1822" spans="1:16" ht="16.5" customHeight="1" x14ac:dyDescent="0.25">
      <c r="A1822" s="156">
        <v>45607</v>
      </c>
      <c r="B1822" s="136" t="s">
        <v>7</v>
      </c>
      <c r="C1822" s="157" t="str">
        <f t="shared" si="56"/>
        <v>11.11.2024_STE1</v>
      </c>
      <c r="D1822" s="190">
        <f t="shared" si="57"/>
        <v>0</v>
      </c>
      <c r="E1822" s="133">
        <v>8.1300000000000008</v>
      </c>
      <c r="F1822" s="134"/>
      <c r="G1822" s="135">
        <v>325</v>
      </c>
      <c r="H1822" s="137">
        <v>12.3</v>
      </c>
      <c r="I1822" s="134"/>
      <c r="J1822" s="137">
        <v>10.1</v>
      </c>
      <c r="K1822" s="134"/>
      <c r="L1822" s="136">
        <v>0.3</v>
      </c>
      <c r="M1822" s="181"/>
      <c r="N1822" s="159"/>
      <c r="O1822" s="159"/>
      <c r="P1822" s="136"/>
    </row>
    <row r="1823" spans="1:16" ht="16.5" customHeight="1" x14ac:dyDescent="0.25">
      <c r="A1823" s="156">
        <v>45607</v>
      </c>
      <c r="B1823" s="136" t="s">
        <v>9</v>
      </c>
      <c r="C1823" s="157" t="str">
        <f t="shared" si="56"/>
        <v>11.11.2024_STE2</v>
      </c>
      <c r="D1823" s="190">
        <f t="shared" si="57"/>
        <v>0</v>
      </c>
      <c r="E1823" s="133">
        <v>8.18</v>
      </c>
      <c r="F1823" s="134"/>
      <c r="G1823" s="135">
        <v>331</v>
      </c>
      <c r="H1823" s="137">
        <v>12.1</v>
      </c>
      <c r="I1823" s="134"/>
      <c r="J1823" s="137">
        <v>9.6</v>
      </c>
      <c r="K1823" s="134"/>
      <c r="L1823" s="136">
        <v>0.35</v>
      </c>
      <c r="M1823" s="181"/>
      <c r="N1823" s="159"/>
      <c r="O1823" s="159"/>
      <c r="P1823" s="136"/>
    </row>
    <row r="1824" spans="1:16" ht="16.5" customHeight="1" x14ac:dyDescent="0.25">
      <c r="A1824" s="156">
        <v>45622</v>
      </c>
      <c r="B1824" s="136" t="s">
        <v>22</v>
      </c>
      <c r="C1824" s="157" t="str">
        <f t="shared" si="56"/>
        <v>26.11.2024_BIE1</v>
      </c>
      <c r="D1824" s="190">
        <f t="shared" si="57"/>
        <v>0</v>
      </c>
      <c r="E1824" s="133">
        <v>7.68</v>
      </c>
      <c r="F1824" s="134"/>
      <c r="G1824" s="135">
        <v>191.2</v>
      </c>
      <c r="H1824" s="137">
        <v>12.1</v>
      </c>
      <c r="I1824" s="134"/>
      <c r="J1824" s="137">
        <v>8.6</v>
      </c>
      <c r="K1824" s="134"/>
      <c r="L1824" s="136">
        <v>30</v>
      </c>
      <c r="M1824" s="181"/>
      <c r="N1824" s="159"/>
      <c r="O1824" s="159"/>
      <c r="P1824" s="136"/>
    </row>
    <row r="1825" spans="1:16" ht="16.5" customHeight="1" x14ac:dyDescent="0.25">
      <c r="A1825" s="156">
        <v>45622</v>
      </c>
      <c r="B1825" s="136" t="s">
        <v>25</v>
      </c>
      <c r="C1825" s="157" t="str">
        <f t="shared" si="56"/>
        <v>26.11.2024_BIE2</v>
      </c>
      <c r="D1825" s="190">
        <f t="shared" si="57"/>
        <v>0</v>
      </c>
      <c r="E1825" s="133">
        <v>7.63</v>
      </c>
      <c r="F1825" s="134"/>
      <c r="G1825" s="135">
        <v>185</v>
      </c>
      <c r="H1825" s="137">
        <v>12.2</v>
      </c>
      <c r="I1825" s="134"/>
      <c r="J1825" s="137">
        <v>8.6999999999999993</v>
      </c>
      <c r="K1825" s="134"/>
      <c r="L1825" s="136">
        <v>50</v>
      </c>
      <c r="M1825" s="181"/>
      <c r="N1825" s="159"/>
      <c r="O1825" s="159"/>
      <c r="P1825" s="136"/>
    </row>
    <row r="1826" spans="1:16" ht="16.5" customHeight="1" x14ac:dyDescent="0.25">
      <c r="A1826" s="156">
        <v>45622</v>
      </c>
      <c r="B1826" s="136" t="s">
        <v>30</v>
      </c>
      <c r="C1826" s="157" t="str">
        <f t="shared" si="56"/>
        <v>26.11.2024_FAL1</v>
      </c>
      <c r="D1826" s="190">
        <f t="shared" si="57"/>
        <v>0</v>
      </c>
      <c r="E1826" s="133">
        <v>7.95</v>
      </c>
      <c r="F1826" s="134"/>
      <c r="G1826" s="135">
        <v>787</v>
      </c>
      <c r="H1826" s="137">
        <v>10.8</v>
      </c>
      <c r="I1826" s="134"/>
      <c r="J1826" s="137">
        <v>9.9</v>
      </c>
      <c r="K1826" s="134"/>
      <c r="L1826" s="136">
        <v>25</v>
      </c>
      <c r="M1826" s="181"/>
      <c r="N1826" s="159"/>
      <c r="O1826" s="159"/>
      <c r="P1826" s="136"/>
    </row>
    <row r="1827" spans="1:16" ht="16.5" customHeight="1" x14ac:dyDescent="0.25">
      <c r="A1827" s="156">
        <v>45622</v>
      </c>
      <c r="B1827" s="136" t="s">
        <v>32</v>
      </c>
      <c r="C1827" s="157" t="str">
        <f t="shared" si="56"/>
        <v>26.11.2024_FAL2</v>
      </c>
      <c r="D1827" s="190">
        <f t="shared" si="57"/>
        <v>0</v>
      </c>
      <c r="E1827" s="133">
        <v>8.24</v>
      </c>
      <c r="F1827" s="134"/>
      <c r="G1827" s="135">
        <v>790</v>
      </c>
      <c r="H1827" s="137">
        <v>11.1</v>
      </c>
      <c r="I1827" s="134"/>
      <c r="J1827" s="137">
        <v>9.1</v>
      </c>
      <c r="K1827" s="134"/>
      <c r="L1827" s="136">
        <v>30</v>
      </c>
      <c r="M1827" s="181"/>
      <c r="N1827" s="159"/>
      <c r="O1827" s="159"/>
      <c r="P1827" s="136"/>
    </row>
    <row r="1828" spans="1:16" ht="16.5" customHeight="1" x14ac:dyDescent="0.25">
      <c r="A1828" s="156">
        <v>45622</v>
      </c>
      <c r="B1828" s="136" t="s">
        <v>26</v>
      </c>
      <c r="C1828" s="157" t="str">
        <f t="shared" si="56"/>
        <v>26.11.2024_GRU1</v>
      </c>
      <c r="D1828" s="190">
        <f t="shared" si="57"/>
        <v>0</v>
      </c>
      <c r="E1828" s="133">
        <v>7.55</v>
      </c>
      <c r="F1828" s="134"/>
      <c r="G1828" s="135">
        <v>157.19999999999999</v>
      </c>
      <c r="H1828" s="137">
        <v>11.6</v>
      </c>
      <c r="I1828" s="134"/>
      <c r="J1828" s="137">
        <v>7.9</v>
      </c>
      <c r="K1828" s="134"/>
      <c r="L1828" s="136">
        <v>40</v>
      </c>
      <c r="M1828" s="181"/>
      <c r="N1828" s="159"/>
      <c r="O1828" s="159"/>
      <c r="P1828" s="136"/>
    </row>
    <row r="1829" spans="1:16" ht="16.5" customHeight="1" x14ac:dyDescent="0.25">
      <c r="A1829" s="156">
        <v>45622</v>
      </c>
      <c r="B1829" s="136" t="s">
        <v>28</v>
      </c>
      <c r="C1829" s="157" t="str">
        <f t="shared" si="56"/>
        <v>26.11.2024_GRU2</v>
      </c>
      <c r="D1829" s="190">
        <f t="shared" si="57"/>
        <v>0</v>
      </c>
      <c r="E1829" s="133">
        <v>7.33</v>
      </c>
      <c r="F1829" s="134"/>
      <c r="G1829" s="135">
        <v>176.1</v>
      </c>
      <c r="H1829" s="137">
        <v>11.9</v>
      </c>
      <c r="I1829" s="134"/>
      <c r="J1829" s="137">
        <v>8</v>
      </c>
      <c r="K1829" s="134"/>
      <c r="L1829" s="136">
        <v>40</v>
      </c>
      <c r="M1829" s="181"/>
      <c r="N1829" s="159"/>
      <c r="O1829" s="159"/>
      <c r="P1829" s="136"/>
    </row>
    <row r="1830" spans="1:16" ht="16.5" customHeight="1" x14ac:dyDescent="0.25">
      <c r="A1830" s="156">
        <v>45622</v>
      </c>
      <c r="B1830" s="136" t="s">
        <v>34</v>
      </c>
      <c r="C1830" s="157" t="str">
        <f t="shared" si="56"/>
        <v>26.11.2024_KRE1</v>
      </c>
      <c r="D1830" s="190">
        <f t="shared" si="57"/>
        <v>0</v>
      </c>
      <c r="E1830" s="133">
        <v>8.0500000000000007</v>
      </c>
      <c r="F1830" s="134"/>
      <c r="G1830" s="135">
        <v>851</v>
      </c>
      <c r="H1830" s="137">
        <v>11.1</v>
      </c>
      <c r="I1830" s="134"/>
      <c r="J1830" s="137">
        <v>8.9</v>
      </c>
      <c r="K1830" s="134"/>
      <c r="L1830" s="136">
        <v>60</v>
      </c>
      <c r="M1830" s="181"/>
      <c r="N1830" s="159"/>
      <c r="O1830" s="159"/>
      <c r="P1830" s="136"/>
    </row>
    <row r="1831" spans="1:16" ht="16.5" customHeight="1" x14ac:dyDescent="0.25">
      <c r="A1831" s="156">
        <v>45622</v>
      </c>
      <c r="B1831" s="136" t="s">
        <v>37</v>
      </c>
      <c r="C1831" s="157" t="str">
        <f t="shared" si="56"/>
        <v>26.11.2024_KRE2</v>
      </c>
      <c r="D1831" s="190">
        <f t="shared" si="57"/>
        <v>0</v>
      </c>
      <c r="E1831" s="133">
        <v>8.06</v>
      </c>
      <c r="F1831" s="134"/>
      <c r="G1831" s="135">
        <v>860</v>
      </c>
      <c r="H1831" s="137">
        <v>10.9</v>
      </c>
      <c r="I1831" s="134"/>
      <c r="J1831" s="137">
        <v>8.6999999999999993</v>
      </c>
      <c r="K1831" s="134"/>
      <c r="L1831" s="136">
        <v>60</v>
      </c>
      <c r="M1831" s="181"/>
      <c r="N1831" s="159"/>
      <c r="O1831" s="159"/>
      <c r="P1831" s="136"/>
    </row>
    <row r="1832" spans="1:16" ht="16.5" customHeight="1" x14ac:dyDescent="0.25">
      <c r="A1832" s="156">
        <v>45622</v>
      </c>
      <c r="B1832" s="136" t="s">
        <v>14</v>
      </c>
      <c r="C1832" s="157" t="str">
        <f t="shared" si="56"/>
        <v>26.11.2024_BRA1</v>
      </c>
      <c r="D1832" s="190">
        <f t="shared" si="57"/>
        <v>0</v>
      </c>
      <c r="E1832" s="133">
        <v>7.33</v>
      </c>
      <c r="F1832" s="134"/>
      <c r="G1832" s="135">
        <v>131</v>
      </c>
      <c r="H1832" s="137">
        <v>10.7</v>
      </c>
      <c r="I1832" s="134"/>
      <c r="J1832" s="137">
        <v>8.5</v>
      </c>
      <c r="K1832" s="134"/>
      <c r="L1832" s="136">
        <v>33</v>
      </c>
      <c r="M1832" s="181"/>
      <c r="N1832" s="159"/>
      <c r="O1832" s="159"/>
      <c r="P1832" s="136"/>
    </row>
    <row r="1833" spans="1:16" ht="16.5" customHeight="1" x14ac:dyDescent="0.25">
      <c r="A1833" s="156">
        <v>45622</v>
      </c>
      <c r="B1833" s="136" t="s">
        <v>17</v>
      </c>
      <c r="C1833" s="157" t="str">
        <f t="shared" si="56"/>
        <v>26.11.2024_BRA2</v>
      </c>
      <c r="D1833" s="190">
        <f t="shared" si="57"/>
        <v>0</v>
      </c>
      <c r="E1833" s="133">
        <v>7.98</v>
      </c>
      <c r="F1833" s="134"/>
      <c r="G1833" s="135">
        <v>145</v>
      </c>
      <c r="H1833" s="137">
        <v>11.2</v>
      </c>
      <c r="I1833" s="134"/>
      <c r="J1833" s="137">
        <v>8.6</v>
      </c>
      <c r="K1833" s="134"/>
      <c r="L1833" s="136">
        <v>50</v>
      </c>
      <c r="M1833" s="181"/>
      <c r="N1833" s="159"/>
      <c r="O1833" s="159"/>
      <c r="P1833" s="136"/>
    </row>
    <row r="1834" spans="1:16" ht="16.5" customHeight="1" x14ac:dyDescent="0.25">
      <c r="A1834" s="156">
        <v>45622</v>
      </c>
      <c r="B1834" s="136" t="s">
        <v>0</v>
      </c>
      <c r="C1834" s="157" t="str">
        <f t="shared" si="56"/>
        <v>26.11.2024_KIN1</v>
      </c>
      <c r="D1834" s="190">
        <f t="shared" si="57"/>
        <v>0</v>
      </c>
      <c r="E1834" s="133">
        <v>8.6</v>
      </c>
      <c r="F1834" s="134"/>
      <c r="G1834" s="135">
        <v>303</v>
      </c>
      <c r="H1834" s="137">
        <v>11.5</v>
      </c>
      <c r="I1834" s="134"/>
      <c r="J1834" s="137">
        <v>8.4</v>
      </c>
      <c r="K1834" s="134"/>
      <c r="L1834" s="136">
        <v>45</v>
      </c>
      <c r="M1834" s="181"/>
      <c r="N1834" s="159"/>
      <c r="O1834" s="159"/>
      <c r="P1834" s="136"/>
    </row>
    <row r="1835" spans="1:16" ht="16.5" customHeight="1" x14ac:dyDescent="0.25">
      <c r="A1835" s="156">
        <v>45622</v>
      </c>
      <c r="B1835" s="136" t="s">
        <v>2</v>
      </c>
      <c r="C1835" s="157" t="str">
        <f t="shared" si="56"/>
        <v>26.11.2024_KIN2</v>
      </c>
      <c r="D1835" s="190">
        <f t="shared" si="57"/>
        <v>0</v>
      </c>
      <c r="E1835" s="133">
        <v>8.43</v>
      </c>
      <c r="F1835" s="134"/>
      <c r="G1835" s="135">
        <v>377</v>
      </c>
      <c r="H1835" s="137">
        <v>11.3</v>
      </c>
      <c r="I1835" s="134"/>
      <c r="J1835" s="137">
        <v>8.8000000000000007</v>
      </c>
      <c r="K1835" s="134"/>
      <c r="L1835" s="136">
        <v>44</v>
      </c>
      <c r="M1835" s="181"/>
      <c r="N1835" s="159"/>
      <c r="O1835" s="159"/>
      <c r="P1835" s="136"/>
    </row>
    <row r="1836" spans="1:16" ht="16.5" customHeight="1" x14ac:dyDescent="0.25">
      <c r="A1836" s="156">
        <v>45622</v>
      </c>
      <c r="B1836" s="136" t="s">
        <v>4</v>
      </c>
      <c r="C1836" s="157" t="str">
        <f t="shared" si="56"/>
        <v>26.11.2024_KIN3</v>
      </c>
      <c r="D1836" s="190">
        <f t="shared" si="57"/>
        <v>0</v>
      </c>
      <c r="E1836" s="133">
        <v>8.57</v>
      </c>
      <c r="F1836" s="134"/>
      <c r="G1836" s="135">
        <v>340</v>
      </c>
      <c r="H1836" s="137">
        <v>11</v>
      </c>
      <c r="I1836" s="134"/>
      <c r="J1836" s="137">
        <v>8.9</v>
      </c>
      <c r="K1836" s="134"/>
      <c r="L1836" s="136">
        <v>32</v>
      </c>
      <c r="M1836" s="181"/>
      <c r="N1836" s="159"/>
      <c r="O1836" s="159"/>
      <c r="P1836" s="136"/>
    </row>
    <row r="1837" spans="1:16" ht="16.5" customHeight="1" x14ac:dyDescent="0.25">
      <c r="A1837" s="156">
        <v>45622</v>
      </c>
      <c r="B1837" s="136" t="s">
        <v>6</v>
      </c>
      <c r="C1837" s="157" t="str">
        <f t="shared" si="56"/>
        <v>26.11.2024_KIN4</v>
      </c>
      <c r="D1837" s="190">
        <f t="shared" si="57"/>
        <v>0</v>
      </c>
      <c r="E1837" s="133">
        <v>8.39</v>
      </c>
      <c r="F1837" s="134"/>
      <c r="G1837" s="135">
        <v>354</v>
      </c>
      <c r="H1837" s="137">
        <v>10.9</v>
      </c>
      <c r="I1837" s="134"/>
      <c r="J1837" s="137">
        <v>9</v>
      </c>
      <c r="K1837" s="134"/>
      <c r="L1837" s="136">
        <v>60</v>
      </c>
      <c r="M1837" s="181"/>
      <c r="N1837" s="159"/>
      <c r="O1837" s="159"/>
      <c r="P1837" s="136"/>
    </row>
    <row r="1838" spans="1:16" ht="16.5" customHeight="1" x14ac:dyDescent="0.25">
      <c r="A1838" s="156">
        <v>45622</v>
      </c>
      <c r="B1838" s="136" t="s">
        <v>18</v>
      </c>
      <c r="C1838" s="157" t="str">
        <f t="shared" si="56"/>
        <v>26.11.2024_ORB1</v>
      </c>
      <c r="D1838" s="190">
        <f t="shared" si="57"/>
        <v>0</v>
      </c>
      <c r="E1838" s="133">
        <v>7.25</v>
      </c>
      <c r="F1838" s="134"/>
      <c r="G1838" s="135">
        <v>113</v>
      </c>
      <c r="H1838" s="137">
        <v>10.4</v>
      </c>
      <c r="I1838" s="134"/>
      <c r="J1838" s="137">
        <v>9.3000000000000007</v>
      </c>
      <c r="K1838" s="134"/>
      <c r="L1838" s="136">
        <v>18</v>
      </c>
      <c r="M1838" s="181"/>
      <c r="N1838" s="159"/>
      <c r="O1838" s="159"/>
      <c r="P1838" s="136"/>
    </row>
    <row r="1839" spans="1:16" ht="16.5" customHeight="1" x14ac:dyDescent="0.25">
      <c r="A1839" s="156">
        <v>45622</v>
      </c>
      <c r="B1839" s="136" t="s">
        <v>21</v>
      </c>
      <c r="C1839" s="157" t="str">
        <f t="shared" si="56"/>
        <v>26.11.2024_ORB2</v>
      </c>
      <c r="D1839" s="190">
        <f t="shared" si="57"/>
        <v>0</v>
      </c>
      <c r="E1839" s="133">
        <v>7.17</v>
      </c>
      <c r="F1839" s="134"/>
      <c r="G1839" s="135">
        <v>155</v>
      </c>
      <c r="H1839" s="137">
        <v>10.5</v>
      </c>
      <c r="I1839" s="134"/>
      <c r="J1839" s="137">
        <v>9</v>
      </c>
      <c r="K1839" s="134"/>
      <c r="L1839" s="136">
        <v>20</v>
      </c>
      <c r="M1839" s="181"/>
      <c r="N1839" s="159"/>
      <c r="O1839" s="159"/>
      <c r="P1839" s="136"/>
    </row>
    <row r="1840" spans="1:16" ht="16.5" customHeight="1" x14ac:dyDescent="0.25">
      <c r="A1840" s="156">
        <v>45622</v>
      </c>
      <c r="B1840" s="136" t="s">
        <v>10</v>
      </c>
      <c r="C1840" s="157" t="str">
        <f t="shared" si="56"/>
        <v>26.11.2024_SAL1</v>
      </c>
      <c r="D1840" s="190">
        <f t="shared" si="57"/>
        <v>0</v>
      </c>
      <c r="E1840" s="133">
        <v>7.97</v>
      </c>
      <c r="F1840" s="134"/>
      <c r="G1840" s="135">
        <v>127</v>
      </c>
      <c r="H1840" s="137">
        <v>11.1</v>
      </c>
      <c r="I1840" s="134"/>
      <c r="J1840" s="137">
        <v>8.6999999999999993</v>
      </c>
      <c r="K1840" s="134"/>
      <c r="L1840" s="136">
        <v>70</v>
      </c>
      <c r="M1840" s="181"/>
      <c r="N1840" s="159"/>
      <c r="O1840" s="159"/>
      <c r="P1840" s="136"/>
    </row>
    <row r="1841" spans="1:16" ht="16.5" customHeight="1" x14ac:dyDescent="0.25">
      <c r="A1841" s="156">
        <v>45622</v>
      </c>
      <c r="B1841" s="136" t="s">
        <v>12</v>
      </c>
      <c r="C1841" s="157" t="str">
        <f t="shared" si="56"/>
        <v>26.11.2024_SAL2</v>
      </c>
      <c r="D1841" s="190">
        <f t="shared" si="57"/>
        <v>0</v>
      </c>
      <c r="E1841" s="133">
        <v>7.97</v>
      </c>
      <c r="F1841" s="134"/>
      <c r="G1841" s="135">
        <v>132</v>
      </c>
      <c r="H1841" s="137">
        <v>11</v>
      </c>
      <c r="I1841" s="134"/>
      <c r="J1841" s="137">
        <v>8.6999999999999993</v>
      </c>
      <c r="K1841" s="134"/>
      <c r="L1841" s="136">
        <v>61</v>
      </c>
      <c r="M1841" s="181"/>
      <c r="N1841" s="159"/>
      <c r="O1841" s="159"/>
      <c r="P1841" s="136"/>
    </row>
    <row r="1842" spans="1:16" ht="16.5" customHeight="1" x14ac:dyDescent="0.25">
      <c r="A1842" s="156">
        <v>45622</v>
      </c>
      <c r="B1842" s="136" t="s">
        <v>7</v>
      </c>
      <c r="C1842" s="157" t="str">
        <f t="shared" si="56"/>
        <v>26.11.2024_STE1</v>
      </c>
      <c r="D1842" s="190">
        <f t="shared" si="57"/>
        <v>0</v>
      </c>
      <c r="E1842" s="133">
        <v>8.26</v>
      </c>
      <c r="F1842" s="134"/>
      <c r="G1842" s="135">
        <v>178</v>
      </c>
      <c r="H1842" s="137">
        <v>11.1</v>
      </c>
      <c r="I1842" s="134"/>
      <c r="J1842" s="137">
        <v>9</v>
      </c>
      <c r="K1842" s="134"/>
      <c r="L1842" s="136">
        <v>44</v>
      </c>
      <c r="M1842" s="181"/>
      <c r="N1842" s="159"/>
      <c r="O1842" s="159"/>
      <c r="P1842" s="136"/>
    </row>
    <row r="1843" spans="1:16" ht="16.5" customHeight="1" x14ac:dyDescent="0.25">
      <c r="A1843" s="156">
        <v>45622</v>
      </c>
      <c r="B1843" s="136" t="s">
        <v>9</v>
      </c>
      <c r="C1843" s="157" t="str">
        <f t="shared" si="56"/>
        <v>26.11.2024_STE2</v>
      </c>
      <c r="D1843" s="190">
        <f t="shared" si="57"/>
        <v>0</v>
      </c>
      <c r="E1843" s="133">
        <v>8.32</v>
      </c>
      <c r="F1843" s="134"/>
      <c r="G1843" s="135">
        <v>190</v>
      </c>
      <c r="H1843" s="137">
        <v>11.2</v>
      </c>
      <c r="I1843" s="134"/>
      <c r="J1843" s="137">
        <v>9.1999999999999993</v>
      </c>
      <c r="K1843" s="134"/>
      <c r="L1843" s="136">
        <v>62</v>
      </c>
      <c r="M1843" s="181"/>
      <c r="N1843" s="159"/>
      <c r="O1843" s="159"/>
      <c r="P1843" s="136"/>
    </row>
    <row r="1844" spans="1:16" ht="16.5" customHeight="1" x14ac:dyDescent="0.25">
      <c r="A1844" s="156">
        <v>45649</v>
      </c>
      <c r="B1844" s="136" t="s">
        <v>22</v>
      </c>
      <c r="C1844" s="157" t="str">
        <f t="shared" si="56"/>
        <v>23.12.2024_BIE1</v>
      </c>
      <c r="D1844" s="190">
        <f t="shared" si="57"/>
        <v>0</v>
      </c>
      <c r="E1844" s="133">
        <v>7.33</v>
      </c>
      <c r="F1844" s="134"/>
      <c r="G1844" s="135">
        <v>156.5</v>
      </c>
      <c r="H1844" s="137">
        <v>13.1</v>
      </c>
      <c r="I1844" s="134"/>
      <c r="J1844" s="137">
        <v>7.1</v>
      </c>
      <c r="K1844" s="134"/>
      <c r="L1844" s="136">
        <v>35</v>
      </c>
      <c r="M1844" s="181"/>
      <c r="N1844" s="159"/>
      <c r="O1844" s="159"/>
      <c r="P1844" s="136"/>
    </row>
    <row r="1845" spans="1:16" ht="16.5" customHeight="1" x14ac:dyDescent="0.25">
      <c r="A1845" s="156">
        <v>45649</v>
      </c>
      <c r="B1845" s="136" t="s">
        <v>25</v>
      </c>
      <c r="C1845" s="157" t="str">
        <f t="shared" si="56"/>
        <v>23.12.2024_BIE2</v>
      </c>
      <c r="D1845" s="190">
        <f t="shared" si="57"/>
        <v>0</v>
      </c>
      <c r="E1845" s="133">
        <v>7.5</v>
      </c>
      <c r="F1845" s="134"/>
      <c r="G1845" s="135">
        <v>147.80000000000001</v>
      </c>
      <c r="H1845" s="137">
        <v>13.2</v>
      </c>
      <c r="I1845" s="134"/>
      <c r="J1845" s="137">
        <v>7.1</v>
      </c>
      <c r="K1845" s="134"/>
      <c r="L1845" s="136">
        <v>55.000000000000007</v>
      </c>
      <c r="M1845" s="181"/>
      <c r="N1845" s="159"/>
      <c r="O1845" s="159"/>
      <c r="P1845" s="136"/>
    </row>
    <row r="1846" spans="1:16" ht="16.5" customHeight="1" x14ac:dyDescent="0.25">
      <c r="A1846" s="156">
        <v>45649</v>
      </c>
      <c r="B1846" s="136" t="s">
        <v>30</v>
      </c>
      <c r="C1846" s="157" t="str">
        <f t="shared" si="56"/>
        <v>23.12.2024_FAL1</v>
      </c>
      <c r="D1846" s="190">
        <f t="shared" si="57"/>
        <v>0</v>
      </c>
      <c r="E1846" s="133">
        <v>8.2100000000000009</v>
      </c>
      <c r="F1846" s="134"/>
      <c r="G1846" s="135">
        <v>635</v>
      </c>
      <c r="H1846" s="137">
        <v>12.9</v>
      </c>
      <c r="I1846" s="134"/>
      <c r="J1846" s="137">
        <v>6.4</v>
      </c>
      <c r="K1846" s="134"/>
      <c r="L1846" s="136">
        <v>40</v>
      </c>
      <c r="M1846" s="181"/>
      <c r="N1846" s="159"/>
      <c r="O1846" s="159"/>
      <c r="P1846" s="136"/>
    </row>
    <row r="1847" spans="1:16" ht="16.5" customHeight="1" x14ac:dyDescent="0.25">
      <c r="A1847" s="156">
        <v>45649</v>
      </c>
      <c r="B1847" s="136" t="s">
        <v>32</v>
      </c>
      <c r="C1847" s="157" t="str">
        <f t="shared" si="56"/>
        <v>23.12.2024_FAL2</v>
      </c>
      <c r="D1847" s="190">
        <f t="shared" si="57"/>
        <v>0</v>
      </c>
      <c r="E1847" s="133">
        <v>8.52</v>
      </c>
      <c r="F1847" s="134"/>
      <c r="G1847" s="135">
        <v>633</v>
      </c>
      <c r="H1847" s="137">
        <v>11.3</v>
      </c>
      <c r="I1847" s="134"/>
      <c r="J1847" s="137">
        <v>5.5</v>
      </c>
      <c r="K1847" s="134"/>
      <c r="L1847" s="136">
        <v>40</v>
      </c>
      <c r="M1847" s="181"/>
      <c r="N1847" s="159"/>
      <c r="O1847" s="159"/>
      <c r="P1847" s="136"/>
    </row>
    <row r="1848" spans="1:16" ht="16.5" customHeight="1" x14ac:dyDescent="0.25">
      <c r="A1848" s="156">
        <v>45649</v>
      </c>
      <c r="B1848" s="136" t="s">
        <v>26</v>
      </c>
      <c r="C1848" s="157" t="str">
        <f t="shared" si="56"/>
        <v>23.12.2024_GRU1</v>
      </c>
      <c r="D1848" s="190">
        <f t="shared" si="57"/>
        <v>0</v>
      </c>
      <c r="E1848" s="133">
        <v>7.31</v>
      </c>
      <c r="F1848" s="134"/>
      <c r="G1848" s="135">
        <v>121.1</v>
      </c>
      <c r="H1848" s="137">
        <v>13.4</v>
      </c>
      <c r="I1848" s="134"/>
      <c r="J1848" s="137">
        <v>5.9</v>
      </c>
      <c r="K1848" s="134"/>
      <c r="L1848" s="136">
        <v>50</v>
      </c>
      <c r="M1848" s="181"/>
      <c r="N1848" s="159"/>
      <c r="O1848" s="159"/>
      <c r="P1848" s="136"/>
    </row>
    <row r="1849" spans="1:16" ht="16.5" customHeight="1" x14ac:dyDescent="0.25">
      <c r="A1849" s="156">
        <v>45649</v>
      </c>
      <c r="B1849" s="136" t="s">
        <v>28</v>
      </c>
      <c r="C1849" s="157" t="str">
        <f t="shared" si="56"/>
        <v>23.12.2024_GRU2</v>
      </c>
      <c r="D1849" s="190">
        <f t="shared" si="57"/>
        <v>0</v>
      </c>
      <c r="E1849" s="133">
        <v>7.28</v>
      </c>
      <c r="F1849" s="134"/>
      <c r="G1849" s="135">
        <v>126</v>
      </c>
      <c r="H1849" s="137">
        <v>12.9</v>
      </c>
      <c r="I1849" s="134"/>
      <c r="J1849" s="137">
        <v>5.9</v>
      </c>
      <c r="K1849" s="134"/>
      <c r="L1849" s="136">
        <v>60</v>
      </c>
      <c r="M1849" s="181"/>
      <c r="N1849" s="159"/>
      <c r="O1849" s="159"/>
      <c r="P1849" s="136"/>
    </row>
    <row r="1850" spans="1:16" ht="16.5" customHeight="1" x14ac:dyDescent="0.25">
      <c r="A1850" s="156">
        <v>45649</v>
      </c>
      <c r="B1850" s="136" t="s">
        <v>34</v>
      </c>
      <c r="C1850" s="157" t="str">
        <f t="shared" si="56"/>
        <v>23.12.2024_KRE1</v>
      </c>
      <c r="D1850" s="190">
        <f t="shared" si="57"/>
        <v>0</v>
      </c>
      <c r="E1850" s="133">
        <v>8.23</v>
      </c>
      <c r="F1850" s="134"/>
      <c r="G1850" s="135">
        <v>700</v>
      </c>
      <c r="H1850" s="137">
        <v>10.6</v>
      </c>
      <c r="I1850" s="134"/>
      <c r="J1850" s="137">
        <v>5.4</v>
      </c>
      <c r="K1850" s="134"/>
      <c r="L1850" s="136">
        <v>60</v>
      </c>
      <c r="M1850" s="181"/>
      <c r="N1850" s="159"/>
      <c r="O1850" s="159"/>
      <c r="P1850" s="136"/>
    </row>
    <row r="1851" spans="1:16" ht="16.5" customHeight="1" x14ac:dyDescent="0.25">
      <c r="A1851" s="156">
        <v>45649</v>
      </c>
      <c r="B1851" s="136" t="s">
        <v>37</v>
      </c>
      <c r="C1851" s="157" t="str">
        <f t="shared" si="56"/>
        <v>23.12.2024_KRE2</v>
      </c>
      <c r="D1851" s="190">
        <f t="shared" si="57"/>
        <v>0</v>
      </c>
      <c r="E1851" s="133">
        <v>8.33</v>
      </c>
      <c r="F1851" s="134"/>
      <c r="G1851" s="135">
        <v>724</v>
      </c>
      <c r="H1851" s="137">
        <v>12.3</v>
      </c>
      <c r="I1851" s="134"/>
      <c r="J1851" s="137">
        <v>5.3</v>
      </c>
      <c r="K1851" s="134"/>
      <c r="L1851" s="136">
        <v>75</v>
      </c>
      <c r="M1851" s="181"/>
      <c r="N1851" s="159"/>
      <c r="O1851" s="159"/>
      <c r="P1851" s="136"/>
    </row>
    <row r="1852" spans="1:16" ht="16.5" customHeight="1" x14ac:dyDescent="0.25">
      <c r="A1852" s="156">
        <v>45649</v>
      </c>
      <c r="B1852" s="136" t="s">
        <v>14</v>
      </c>
      <c r="C1852" s="157" t="str">
        <f t="shared" si="56"/>
        <v>23.12.2024_BRA1</v>
      </c>
      <c r="D1852" s="190">
        <f t="shared" si="57"/>
        <v>0</v>
      </c>
      <c r="E1852" s="133">
        <v>7.17</v>
      </c>
      <c r="F1852" s="134"/>
      <c r="G1852" s="135">
        <v>129</v>
      </c>
      <c r="H1852" s="137">
        <v>11.7</v>
      </c>
      <c r="I1852" s="134"/>
      <c r="J1852" s="137">
        <v>6.8</v>
      </c>
      <c r="K1852" s="134"/>
      <c r="L1852" s="136">
        <v>40</v>
      </c>
      <c r="M1852" s="181"/>
      <c r="N1852" s="159"/>
      <c r="O1852" s="159"/>
      <c r="P1852" s="136"/>
    </row>
    <row r="1853" spans="1:16" ht="16.5" customHeight="1" x14ac:dyDescent="0.25">
      <c r="A1853" s="156">
        <v>45649</v>
      </c>
      <c r="B1853" s="136" t="s">
        <v>17</v>
      </c>
      <c r="C1853" s="157" t="str">
        <f t="shared" si="56"/>
        <v>23.12.2024_BRA2</v>
      </c>
      <c r="D1853" s="190">
        <f t="shared" si="57"/>
        <v>0</v>
      </c>
      <c r="E1853" s="133">
        <v>7.62</v>
      </c>
      <c r="F1853" s="134"/>
      <c r="G1853" s="135">
        <v>145</v>
      </c>
      <c r="H1853" s="137">
        <v>11.9</v>
      </c>
      <c r="I1853" s="134"/>
      <c r="J1853" s="137">
        <v>7.5</v>
      </c>
      <c r="K1853" s="134"/>
      <c r="L1853" s="136">
        <v>45</v>
      </c>
      <c r="M1853" s="181"/>
      <c r="N1853" s="159"/>
      <c r="O1853" s="159"/>
      <c r="P1853" s="136"/>
    </row>
    <row r="1854" spans="1:16" ht="16.5" customHeight="1" x14ac:dyDescent="0.25">
      <c r="A1854" s="156">
        <v>45649</v>
      </c>
      <c r="B1854" s="136" t="s">
        <v>0</v>
      </c>
      <c r="C1854" s="157" t="str">
        <f t="shared" si="56"/>
        <v>23.12.2024_KIN1</v>
      </c>
      <c r="D1854" s="190">
        <f t="shared" si="57"/>
        <v>0</v>
      </c>
      <c r="E1854" s="133">
        <v>7.98</v>
      </c>
      <c r="F1854" s="134"/>
      <c r="G1854" s="135">
        <v>265</v>
      </c>
      <c r="H1854" s="137">
        <v>11.9</v>
      </c>
      <c r="I1854" s="134"/>
      <c r="J1854" s="137">
        <v>5.6</v>
      </c>
      <c r="K1854" s="134"/>
      <c r="L1854" s="136">
        <v>40</v>
      </c>
      <c r="M1854" s="181"/>
      <c r="N1854" s="159"/>
      <c r="O1854" s="159"/>
      <c r="P1854" s="136"/>
    </row>
    <row r="1855" spans="1:16" ht="16.5" customHeight="1" x14ac:dyDescent="0.25">
      <c r="A1855" s="156">
        <v>45649</v>
      </c>
      <c r="B1855" s="136" t="s">
        <v>2</v>
      </c>
      <c r="C1855" s="157" t="str">
        <f t="shared" si="56"/>
        <v>23.12.2024_KIN2</v>
      </c>
      <c r="D1855" s="190">
        <f t="shared" si="57"/>
        <v>0</v>
      </c>
      <c r="E1855" s="133">
        <v>7.94</v>
      </c>
      <c r="F1855" s="134"/>
      <c r="G1855" s="135">
        <v>308</v>
      </c>
      <c r="H1855" s="137">
        <v>12</v>
      </c>
      <c r="I1855" s="134"/>
      <c r="J1855" s="137">
        <v>6.1</v>
      </c>
      <c r="K1855" s="134"/>
      <c r="L1855" s="136">
        <v>55.000000000000007</v>
      </c>
      <c r="M1855" s="181"/>
      <c r="N1855" s="159"/>
      <c r="O1855" s="159"/>
      <c r="P1855" s="136"/>
    </row>
    <row r="1856" spans="1:16" ht="16.5" customHeight="1" x14ac:dyDescent="0.25">
      <c r="A1856" s="156">
        <v>45649</v>
      </c>
      <c r="B1856" s="136" t="s">
        <v>4</v>
      </c>
      <c r="C1856" s="157" t="str">
        <f t="shared" si="56"/>
        <v>23.12.2024_KIN3</v>
      </c>
      <c r="D1856" s="190">
        <f t="shared" si="57"/>
        <v>0</v>
      </c>
      <c r="E1856" s="133">
        <v>8.02</v>
      </c>
      <c r="F1856" s="134"/>
      <c r="G1856" s="135">
        <v>292</v>
      </c>
      <c r="H1856" s="137">
        <v>12</v>
      </c>
      <c r="I1856" s="134"/>
      <c r="J1856" s="137">
        <v>7.4</v>
      </c>
      <c r="K1856" s="134"/>
      <c r="L1856" s="136">
        <v>45</v>
      </c>
      <c r="M1856" s="181"/>
      <c r="N1856" s="159"/>
      <c r="O1856" s="159"/>
      <c r="P1856" s="136"/>
    </row>
    <row r="1857" spans="1:16" ht="16.5" customHeight="1" x14ac:dyDescent="0.25">
      <c r="A1857" s="156">
        <v>45649</v>
      </c>
      <c r="B1857" s="136" t="s">
        <v>6</v>
      </c>
      <c r="C1857" s="157" t="str">
        <f t="shared" si="56"/>
        <v>23.12.2024_KIN4</v>
      </c>
      <c r="D1857" s="190">
        <f t="shared" si="57"/>
        <v>0</v>
      </c>
      <c r="E1857" s="133">
        <v>7.95</v>
      </c>
      <c r="F1857" s="134"/>
      <c r="G1857" s="135">
        <v>297</v>
      </c>
      <c r="H1857" s="137">
        <v>11.7</v>
      </c>
      <c r="I1857" s="134"/>
      <c r="J1857" s="137">
        <v>7.2</v>
      </c>
      <c r="K1857" s="134"/>
      <c r="L1857" s="136">
        <v>70</v>
      </c>
      <c r="M1857" s="181"/>
      <c r="N1857" s="159"/>
      <c r="O1857" s="159"/>
      <c r="P1857" s="136"/>
    </row>
    <row r="1858" spans="1:16" ht="16.5" customHeight="1" x14ac:dyDescent="0.25">
      <c r="A1858" s="156">
        <v>45649</v>
      </c>
      <c r="B1858" s="136" t="s">
        <v>18</v>
      </c>
      <c r="C1858" s="157" t="str">
        <f t="shared" si="56"/>
        <v>23.12.2024_ORB1</v>
      </c>
      <c r="D1858" s="190">
        <f t="shared" si="57"/>
        <v>0</v>
      </c>
      <c r="E1858" s="133">
        <v>7.3</v>
      </c>
      <c r="F1858" s="134"/>
      <c r="G1858" s="135">
        <v>126</v>
      </c>
      <c r="H1858" s="137">
        <v>11.6</v>
      </c>
      <c r="I1858" s="134"/>
      <c r="J1858" s="137">
        <v>8.1</v>
      </c>
      <c r="K1858" s="134"/>
      <c r="L1858" s="136">
        <v>20</v>
      </c>
      <c r="M1858" s="181"/>
      <c r="N1858" s="159"/>
      <c r="O1858" s="159"/>
      <c r="P1858" s="136"/>
    </row>
    <row r="1859" spans="1:16" ht="16.5" customHeight="1" x14ac:dyDescent="0.25">
      <c r="A1859" s="156">
        <v>45649</v>
      </c>
      <c r="B1859" s="136" t="s">
        <v>21</v>
      </c>
      <c r="C1859" s="157" t="str">
        <f t="shared" si="56"/>
        <v>23.12.2024_ORB2</v>
      </c>
      <c r="D1859" s="190">
        <f t="shared" si="57"/>
        <v>0</v>
      </c>
      <c r="E1859" s="133">
        <v>7.13</v>
      </c>
      <c r="F1859" s="134"/>
      <c r="G1859" s="135">
        <v>164</v>
      </c>
      <c r="H1859" s="137">
        <v>11.3</v>
      </c>
      <c r="I1859" s="134"/>
      <c r="J1859" s="137">
        <v>7.8</v>
      </c>
      <c r="K1859" s="134"/>
      <c r="L1859" s="136">
        <v>26</v>
      </c>
      <c r="M1859" s="181"/>
      <c r="N1859" s="159"/>
      <c r="O1859" s="159"/>
      <c r="P1859" s="136"/>
    </row>
    <row r="1860" spans="1:16" ht="16.5" customHeight="1" x14ac:dyDescent="0.25">
      <c r="A1860" s="156">
        <v>45649</v>
      </c>
      <c r="B1860" s="136" t="s">
        <v>10</v>
      </c>
      <c r="C1860" s="157" t="str">
        <f t="shared" si="56"/>
        <v>23.12.2024_SAL1</v>
      </c>
      <c r="D1860" s="190">
        <f t="shared" si="57"/>
        <v>0</v>
      </c>
      <c r="E1860" s="133">
        <v>7.54</v>
      </c>
      <c r="F1860" s="134"/>
      <c r="G1860" s="135">
        <v>124</v>
      </c>
      <c r="H1860" s="137">
        <v>12.2</v>
      </c>
      <c r="I1860" s="134"/>
      <c r="J1860" s="137">
        <v>6.3</v>
      </c>
      <c r="K1860" s="134"/>
      <c r="L1860" s="136">
        <v>70</v>
      </c>
      <c r="M1860" s="181"/>
      <c r="N1860" s="159"/>
      <c r="O1860" s="159"/>
      <c r="P1860" s="136"/>
    </row>
    <row r="1861" spans="1:16" ht="16.5" customHeight="1" x14ac:dyDescent="0.25">
      <c r="A1861" s="156">
        <v>45649</v>
      </c>
      <c r="B1861" s="136" t="s">
        <v>12</v>
      </c>
      <c r="C1861" s="157" t="str">
        <f t="shared" ref="C1861:C1923" si="58">CONCATENATE(TEXT(A1861,"TT.MM.JJJJ"),"_",B1861)</f>
        <v>23.12.2024_SAL2</v>
      </c>
      <c r="D1861" s="190">
        <f t="shared" ref="D1861:D1923" si="59">COUNTBLANK(E1861)+COUNTBLANK(G1861:H1861)+COUNTBLANK(J1861)+COUNTBLANK(L1861)</f>
        <v>0</v>
      </c>
      <c r="E1861" s="133">
        <v>7.59</v>
      </c>
      <c r="F1861" s="134"/>
      <c r="G1861" s="135">
        <v>135</v>
      </c>
      <c r="H1861" s="137">
        <v>12.3</v>
      </c>
      <c r="I1861" s="134"/>
      <c r="J1861" s="137">
        <v>5.7</v>
      </c>
      <c r="K1861" s="134"/>
      <c r="L1861" s="136">
        <v>62</v>
      </c>
      <c r="M1861" s="181"/>
      <c r="N1861" s="159"/>
      <c r="O1861" s="159"/>
      <c r="P1861" s="136"/>
    </row>
    <row r="1862" spans="1:16" ht="16.5" customHeight="1" x14ac:dyDescent="0.25">
      <c r="A1862" s="156">
        <v>45649</v>
      </c>
      <c r="B1862" s="136" t="s">
        <v>7</v>
      </c>
      <c r="C1862" s="157" t="str">
        <f t="shared" si="58"/>
        <v>23.12.2024_STE1</v>
      </c>
      <c r="D1862" s="190">
        <f t="shared" si="59"/>
        <v>0</v>
      </c>
      <c r="E1862" s="133">
        <v>7.82</v>
      </c>
      <c r="F1862" s="134"/>
      <c r="G1862" s="135">
        <v>170</v>
      </c>
      <c r="H1862" s="137">
        <v>11.9</v>
      </c>
      <c r="I1862" s="134"/>
      <c r="J1862" s="137">
        <v>6.5</v>
      </c>
      <c r="K1862" s="134"/>
      <c r="L1862" s="136">
        <v>46</v>
      </c>
      <c r="M1862" s="181"/>
      <c r="N1862" s="159"/>
      <c r="O1862" s="159"/>
      <c r="P1862" s="136"/>
    </row>
    <row r="1863" spans="1:16" ht="16.5" customHeight="1" x14ac:dyDescent="0.25">
      <c r="A1863" s="156">
        <v>45649</v>
      </c>
      <c r="B1863" s="136" t="s">
        <v>9</v>
      </c>
      <c r="C1863" s="157" t="str">
        <f t="shared" si="58"/>
        <v>23.12.2024_STE2</v>
      </c>
      <c r="D1863" s="190">
        <f t="shared" si="59"/>
        <v>0</v>
      </c>
      <c r="E1863" s="133">
        <v>7.85</v>
      </c>
      <c r="F1863" s="134"/>
      <c r="G1863" s="135">
        <v>170</v>
      </c>
      <c r="H1863" s="137">
        <v>12</v>
      </c>
      <c r="I1863" s="134"/>
      <c r="J1863" s="137">
        <v>7.6</v>
      </c>
      <c r="K1863" s="134"/>
      <c r="L1863" s="136">
        <v>80</v>
      </c>
      <c r="M1863" s="181"/>
      <c r="N1863" s="159"/>
      <c r="O1863" s="159"/>
      <c r="P1863" s="136"/>
    </row>
    <row r="1864" spans="1:16" ht="16.5" customHeight="1" x14ac:dyDescent="0.25">
      <c r="A1864" s="156">
        <v>45670</v>
      </c>
      <c r="B1864" s="136" t="s">
        <v>22</v>
      </c>
      <c r="C1864" s="157" t="str">
        <f t="shared" si="58"/>
        <v>13.01.2025_BIE1</v>
      </c>
      <c r="D1864" s="190">
        <f t="shared" si="59"/>
        <v>0</v>
      </c>
      <c r="E1864" s="133">
        <v>7.5</v>
      </c>
      <c r="F1864" s="134"/>
      <c r="G1864" s="135">
        <v>143.6</v>
      </c>
      <c r="H1864" s="137">
        <v>12.9</v>
      </c>
      <c r="I1864" s="134"/>
      <c r="J1864" s="137">
        <v>3.7</v>
      </c>
      <c r="K1864" s="134"/>
      <c r="L1864" s="136">
        <v>35</v>
      </c>
      <c r="M1864" s="181"/>
      <c r="N1864" s="159"/>
      <c r="O1864" s="159"/>
      <c r="P1864" s="136"/>
    </row>
    <row r="1865" spans="1:16" ht="16.5" customHeight="1" x14ac:dyDescent="0.25">
      <c r="A1865" s="156">
        <v>45670</v>
      </c>
      <c r="B1865" s="136" t="s">
        <v>25</v>
      </c>
      <c r="C1865" s="157" t="str">
        <f t="shared" si="58"/>
        <v>13.01.2025_BIE2</v>
      </c>
      <c r="D1865" s="190">
        <f t="shared" si="59"/>
        <v>0</v>
      </c>
      <c r="E1865" s="133">
        <v>7.39</v>
      </c>
      <c r="F1865" s="134"/>
      <c r="G1865" s="135">
        <v>148.30000000000001</v>
      </c>
      <c r="H1865" s="137">
        <v>12.8</v>
      </c>
      <c r="I1865" s="134"/>
      <c r="J1865" s="137">
        <v>3.5</v>
      </c>
      <c r="K1865" s="134"/>
      <c r="L1865" s="136">
        <v>60</v>
      </c>
      <c r="M1865" s="181"/>
      <c r="N1865" s="159"/>
      <c r="O1865" s="159"/>
      <c r="P1865" s="136"/>
    </row>
    <row r="1866" spans="1:16" ht="16.5" customHeight="1" x14ac:dyDescent="0.25">
      <c r="A1866" s="156">
        <v>45670</v>
      </c>
      <c r="B1866" s="136" t="s">
        <v>30</v>
      </c>
      <c r="C1866" s="157" t="str">
        <f t="shared" si="58"/>
        <v>13.01.2025_FAL1</v>
      </c>
      <c r="D1866" s="190">
        <f t="shared" si="59"/>
        <v>5</v>
      </c>
      <c r="E1866" s="283"/>
      <c r="F1866" s="161"/>
      <c r="G1866" s="287"/>
      <c r="H1866" s="285"/>
      <c r="I1866" s="161"/>
      <c r="J1866" s="285"/>
      <c r="K1866" s="161"/>
      <c r="L1866" s="282"/>
      <c r="M1866" s="181"/>
      <c r="N1866" s="159"/>
      <c r="O1866" s="159"/>
      <c r="P1866" s="159" t="s">
        <v>415</v>
      </c>
    </row>
    <row r="1867" spans="1:16" ht="16.5" customHeight="1" x14ac:dyDescent="0.25">
      <c r="A1867" s="156">
        <v>45670</v>
      </c>
      <c r="B1867" s="136" t="s">
        <v>32</v>
      </c>
      <c r="C1867" s="157" t="str">
        <f t="shared" si="58"/>
        <v>13.01.2025_FAL2</v>
      </c>
      <c r="D1867" s="190">
        <f t="shared" si="59"/>
        <v>0</v>
      </c>
      <c r="E1867" s="133">
        <v>8.2799999999999994</v>
      </c>
      <c r="F1867" s="134"/>
      <c r="G1867" s="135">
        <v>711</v>
      </c>
      <c r="H1867" s="137">
        <v>12.7</v>
      </c>
      <c r="I1867" s="134"/>
      <c r="J1867" s="137">
        <v>2</v>
      </c>
      <c r="K1867" s="134"/>
      <c r="L1867" s="136">
        <v>30</v>
      </c>
      <c r="M1867" s="181"/>
      <c r="N1867" s="159"/>
      <c r="O1867" s="159"/>
      <c r="P1867" s="136"/>
    </row>
    <row r="1868" spans="1:16" ht="16.5" customHeight="1" x14ac:dyDescent="0.25">
      <c r="A1868" s="156">
        <v>45670</v>
      </c>
      <c r="B1868" s="136" t="s">
        <v>26</v>
      </c>
      <c r="C1868" s="157" t="str">
        <f t="shared" si="58"/>
        <v>13.01.2025_GRU1</v>
      </c>
      <c r="D1868" s="190">
        <f t="shared" si="59"/>
        <v>0</v>
      </c>
      <c r="E1868" s="133">
        <v>7.41</v>
      </c>
      <c r="F1868" s="134"/>
      <c r="G1868" s="135">
        <v>154.5</v>
      </c>
      <c r="H1868" s="137">
        <v>13.6</v>
      </c>
      <c r="I1868" s="134"/>
      <c r="J1868" s="137">
        <v>3.3</v>
      </c>
      <c r="K1868" s="134"/>
      <c r="L1868" s="136">
        <v>40</v>
      </c>
      <c r="M1868" s="181"/>
      <c r="N1868" s="159"/>
      <c r="O1868" s="159"/>
      <c r="P1868" s="136"/>
    </row>
    <row r="1869" spans="1:16" ht="16.5" customHeight="1" x14ac:dyDescent="0.25">
      <c r="A1869" s="156">
        <v>45670</v>
      </c>
      <c r="B1869" s="136" t="s">
        <v>28</v>
      </c>
      <c r="C1869" s="157" t="str">
        <f t="shared" si="58"/>
        <v>13.01.2025_GRU2</v>
      </c>
      <c r="D1869" s="190">
        <f t="shared" si="59"/>
        <v>0</v>
      </c>
      <c r="E1869" s="133">
        <v>7.28</v>
      </c>
      <c r="F1869" s="134"/>
      <c r="G1869" s="135">
        <v>165.7</v>
      </c>
      <c r="H1869" s="137">
        <v>13.6</v>
      </c>
      <c r="I1869" s="134"/>
      <c r="J1869" s="137">
        <v>2</v>
      </c>
      <c r="K1869" s="134"/>
      <c r="L1869" s="136">
        <v>50</v>
      </c>
      <c r="M1869" s="181"/>
      <c r="N1869" s="159" t="s">
        <v>288</v>
      </c>
      <c r="O1869" s="159"/>
      <c r="P1869" s="136"/>
    </row>
    <row r="1870" spans="1:16" ht="16.5" customHeight="1" x14ac:dyDescent="0.25">
      <c r="A1870" s="156">
        <v>45670</v>
      </c>
      <c r="B1870" s="136" t="s">
        <v>34</v>
      </c>
      <c r="C1870" s="157" t="str">
        <f t="shared" si="58"/>
        <v>13.01.2025_KRE1</v>
      </c>
      <c r="D1870" s="190">
        <f t="shared" si="59"/>
        <v>0</v>
      </c>
      <c r="E1870" s="133">
        <v>8.0500000000000007</v>
      </c>
      <c r="F1870" s="134"/>
      <c r="G1870" s="135">
        <v>769</v>
      </c>
      <c r="H1870" s="137">
        <v>12.9</v>
      </c>
      <c r="I1870" s="134"/>
      <c r="J1870" s="137">
        <v>2.4</v>
      </c>
      <c r="K1870" s="134"/>
      <c r="L1870" s="136">
        <v>60</v>
      </c>
      <c r="M1870" s="181"/>
      <c r="N1870" s="159"/>
      <c r="O1870" s="159"/>
      <c r="P1870" s="136"/>
    </row>
    <row r="1871" spans="1:16" ht="16.5" customHeight="1" x14ac:dyDescent="0.25">
      <c r="A1871" s="156">
        <v>45670</v>
      </c>
      <c r="B1871" s="136" t="s">
        <v>37</v>
      </c>
      <c r="C1871" s="157" t="str">
        <f t="shared" si="58"/>
        <v>13.01.2025_KRE2</v>
      </c>
      <c r="D1871" s="190">
        <f t="shared" si="59"/>
        <v>0</v>
      </c>
      <c r="E1871" s="133">
        <v>8.08</v>
      </c>
      <c r="F1871" s="134"/>
      <c r="G1871" s="135">
        <v>772</v>
      </c>
      <c r="H1871" s="137">
        <v>12.4</v>
      </c>
      <c r="I1871" s="134"/>
      <c r="J1871" s="137">
        <v>2.2999999999999998</v>
      </c>
      <c r="K1871" s="134"/>
      <c r="L1871" s="136">
        <v>70</v>
      </c>
      <c r="M1871" s="181"/>
      <c r="N1871" s="159"/>
      <c r="O1871" s="159"/>
      <c r="P1871" s="136"/>
    </row>
    <row r="1872" spans="1:16" ht="16.5" customHeight="1" x14ac:dyDescent="0.25">
      <c r="A1872" s="156">
        <v>45670</v>
      </c>
      <c r="B1872" s="136" t="s">
        <v>14</v>
      </c>
      <c r="C1872" s="157" t="str">
        <f t="shared" si="58"/>
        <v>13.01.2025_BRA1</v>
      </c>
      <c r="D1872" s="190">
        <f t="shared" si="59"/>
        <v>0</v>
      </c>
      <c r="E1872" s="133">
        <v>7.5</v>
      </c>
      <c r="F1872" s="134"/>
      <c r="G1872" s="135">
        <v>131</v>
      </c>
      <c r="H1872" s="137">
        <v>13.2</v>
      </c>
      <c r="I1872" s="134"/>
      <c r="J1872" s="137">
        <v>2.4</v>
      </c>
      <c r="K1872" s="134"/>
      <c r="L1872" s="136">
        <v>28.999999999999996</v>
      </c>
      <c r="M1872" s="181"/>
      <c r="N1872" s="159"/>
      <c r="O1872" s="159"/>
      <c r="P1872" s="136"/>
    </row>
    <row r="1873" spans="1:16" ht="16.5" customHeight="1" x14ac:dyDescent="0.25">
      <c r="A1873" s="156">
        <v>45670</v>
      </c>
      <c r="B1873" s="136" t="s">
        <v>17</v>
      </c>
      <c r="C1873" s="157" t="str">
        <f t="shared" si="58"/>
        <v>13.01.2025_BRA2</v>
      </c>
      <c r="D1873" s="190">
        <f t="shared" si="59"/>
        <v>0</v>
      </c>
      <c r="E1873" s="133">
        <v>7.77</v>
      </c>
      <c r="F1873" s="134"/>
      <c r="G1873" s="135">
        <v>144</v>
      </c>
      <c r="H1873" s="137">
        <v>13.3</v>
      </c>
      <c r="I1873" s="134"/>
      <c r="J1873" s="137">
        <v>2.5</v>
      </c>
      <c r="K1873" s="134"/>
      <c r="L1873" s="136">
        <v>30</v>
      </c>
      <c r="M1873" s="181"/>
      <c r="N1873" s="159"/>
      <c r="O1873" s="159"/>
      <c r="P1873" s="136"/>
    </row>
    <row r="1874" spans="1:16" ht="16.5" customHeight="1" x14ac:dyDescent="0.25">
      <c r="A1874" s="156">
        <v>45670</v>
      </c>
      <c r="B1874" s="136" t="s">
        <v>0</v>
      </c>
      <c r="C1874" s="157" t="str">
        <f t="shared" si="58"/>
        <v>13.01.2025_KIN1</v>
      </c>
      <c r="D1874" s="190">
        <f t="shared" si="59"/>
        <v>0</v>
      </c>
      <c r="E1874" s="133">
        <v>8.25</v>
      </c>
      <c r="F1874" s="134"/>
      <c r="G1874" s="135">
        <v>285</v>
      </c>
      <c r="H1874" s="137">
        <v>13.7</v>
      </c>
      <c r="I1874" s="134"/>
      <c r="J1874" s="137">
        <v>2.1</v>
      </c>
      <c r="K1874" s="134"/>
      <c r="L1874" s="136">
        <v>42</v>
      </c>
      <c r="M1874" s="181"/>
      <c r="N1874" s="159"/>
      <c r="O1874" s="159"/>
      <c r="P1874" s="136"/>
    </row>
    <row r="1875" spans="1:16" ht="16.5" customHeight="1" x14ac:dyDescent="0.25">
      <c r="A1875" s="156">
        <v>45670</v>
      </c>
      <c r="B1875" s="136" t="s">
        <v>2</v>
      </c>
      <c r="C1875" s="157" t="str">
        <f t="shared" si="58"/>
        <v>13.01.2025_KIN2</v>
      </c>
      <c r="D1875" s="190">
        <f t="shared" si="59"/>
        <v>0</v>
      </c>
      <c r="E1875" s="133">
        <v>8.09</v>
      </c>
      <c r="F1875" s="134"/>
      <c r="G1875" s="135">
        <v>340</v>
      </c>
      <c r="H1875" s="137">
        <v>13</v>
      </c>
      <c r="I1875" s="134"/>
      <c r="J1875" s="137">
        <v>2.2999999999999998</v>
      </c>
      <c r="K1875" s="134"/>
      <c r="L1875" s="136">
        <v>41</v>
      </c>
      <c r="M1875" s="181"/>
      <c r="N1875" s="159"/>
      <c r="O1875" s="159"/>
      <c r="P1875" s="136"/>
    </row>
    <row r="1876" spans="1:16" ht="16.5" customHeight="1" x14ac:dyDescent="0.25">
      <c r="A1876" s="156">
        <v>45670</v>
      </c>
      <c r="B1876" s="136" t="s">
        <v>4</v>
      </c>
      <c r="C1876" s="157" t="str">
        <f t="shared" si="58"/>
        <v>13.01.2025_KIN3</v>
      </c>
      <c r="D1876" s="190">
        <f t="shared" si="59"/>
        <v>0</v>
      </c>
      <c r="E1876" s="133">
        <v>8.11</v>
      </c>
      <c r="F1876" s="134"/>
      <c r="G1876" s="135">
        <v>336</v>
      </c>
      <c r="H1876" s="137">
        <v>13.3</v>
      </c>
      <c r="I1876" s="134"/>
      <c r="J1876" s="137">
        <v>2.1</v>
      </c>
      <c r="K1876" s="134"/>
      <c r="L1876" s="136">
        <v>33</v>
      </c>
      <c r="M1876" s="181"/>
      <c r="N1876" s="159"/>
      <c r="O1876" s="159"/>
      <c r="P1876" s="136"/>
    </row>
    <row r="1877" spans="1:16" ht="16.5" customHeight="1" x14ac:dyDescent="0.25">
      <c r="A1877" s="156">
        <v>45670</v>
      </c>
      <c r="B1877" s="136" t="s">
        <v>6</v>
      </c>
      <c r="C1877" s="157" t="str">
        <f t="shared" si="58"/>
        <v>13.01.2025_KIN4</v>
      </c>
      <c r="D1877" s="190">
        <f t="shared" si="59"/>
        <v>0</v>
      </c>
      <c r="E1877" s="133">
        <v>8.0399999999999991</v>
      </c>
      <c r="F1877" s="134"/>
      <c r="G1877" s="135">
        <v>339</v>
      </c>
      <c r="H1877" s="137">
        <v>13</v>
      </c>
      <c r="I1877" s="134"/>
      <c r="J1877" s="137">
        <v>2.2999999999999998</v>
      </c>
      <c r="K1877" s="134"/>
      <c r="L1877" s="136">
        <v>47</v>
      </c>
      <c r="M1877" s="181"/>
      <c r="N1877" s="159"/>
      <c r="O1877" s="159"/>
      <c r="P1877" s="136"/>
    </row>
    <row r="1878" spans="1:16" ht="16.5" customHeight="1" x14ac:dyDescent="0.25">
      <c r="A1878" s="156">
        <v>45670</v>
      </c>
      <c r="B1878" s="136" t="s">
        <v>18</v>
      </c>
      <c r="C1878" s="157" t="str">
        <f t="shared" si="58"/>
        <v>13.01.2025_ORB1</v>
      </c>
      <c r="D1878" s="190">
        <f t="shared" si="59"/>
        <v>0</v>
      </c>
      <c r="E1878" s="133">
        <v>7.04</v>
      </c>
      <c r="F1878" s="134"/>
      <c r="G1878" s="135">
        <v>121.9</v>
      </c>
      <c r="H1878" s="137">
        <v>12.5</v>
      </c>
      <c r="I1878" s="134"/>
      <c r="J1878" s="137">
        <v>5.6</v>
      </c>
      <c r="K1878" s="134"/>
      <c r="L1878" s="136">
        <v>20</v>
      </c>
      <c r="M1878" s="181"/>
      <c r="N1878" s="159"/>
      <c r="O1878" s="159"/>
      <c r="P1878" s="136"/>
    </row>
    <row r="1879" spans="1:16" ht="16.5" customHeight="1" x14ac:dyDescent="0.25">
      <c r="A1879" s="156">
        <v>45670</v>
      </c>
      <c r="B1879" s="136" t="s">
        <v>21</v>
      </c>
      <c r="C1879" s="157" t="str">
        <f t="shared" si="58"/>
        <v>13.01.2025_ORB2</v>
      </c>
      <c r="D1879" s="190">
        <f t="shared" si="59"/>
        <v>0</v>
      </c>
      <c r="E1879" s="133">
        <v>6.9</v>
      </c>
      <c r="F1879" s="134"/>
      <c r="G1879" s="135">
        <v>136.6</v>
      </c>
      <c r="H1879" s="137">
        <v>12.4</v>
      </c>
      <c r="I1879" s="134"/>
      <c r="J1879" s="137">
        <v>4.8</v>
      </c>
      <c r="K1879" s="134"/>
      <c r="L1879" s="136">
        <v>20</v>
      </c>
      <c r="M1879" s="181"/>
      <c r="N1879" s="159"/>
      <c r="O1879" s="159"/>
      <c r="P1879" s="136"/>
    </row>
    <row r="1880" spans="1:16" ht="16.5" customHeight="1" x14ac:dyDescent="0.25">
      <c r="A1880" s="156">
        <v>45670</v>
      </c>
      <c r="B1880" s="136" t="s">
        <v>10</v>
      </c>
      <c r="C1880" s="157" t="str">
        <f t="shared" si="58"/>
        <v>13.01.2025_SAL1</v>
      </c>
      <c r="D1880" s="190">
        <f t="shared" si="59"/>
        <v>0</v>
      </c>
      <c r="E1880" s="133">
        <v>7.79</v>
      </c>
      <c r="F1880" s="134"/>
      <c r="G1880" s="135">
        <v>142</v>
      </c>
      <c r="H1880" s="137">
        <v>13.8</v>
      </c>
      <c r="I1880" s="134"/>
      <c r="J1880" s="137">
        <v>1.6</v>
      </c>
      <c r="K1880" s="134"/>
      <c r="L1880" s="136">
        <v>52</v>
      </c>
      <c r="M1880" s="181"/>
      <c r="N1880" s="159"/>
      <c r="O1880" s="159"/>
      <c r="P1880" s="136"/>
    </row>
    <row r="1881" spans="1:16" ht="16.5" customHeight="1" x14ac:dyDescent="0.25">
      <c r="A1881" s="156">
        <v>45670</v>
      </c>
      <c r="B1881" s="136" t="s">
        <v>12</v>
      </c>
      <c r="C1881" s="157" t="str">
        <f t="shared" si="58"/>
        <v>13.01.2025_SAL2</v>
      </c>
      <c r="D1881" s="190">
        <f t="shared" si="59"/>
        <v>0</v>
      </c>
      <c r="E1881" s="133">
        <v>7.77</v>
      </c>
      <c r="F1881" s="134"/>
      <c r="G1881" s="135">
        <v>150</v>
      </c>
      <c r="H1881" s="137">
        <v>14</v>
      </c>
      <c r="I1881" s="134"/>
      <c r="J1881" s="137">
        <v>1.9</v>
      </c>
      <c r="K1881" s="134"/>
      <c r="L1881" s="136">
        <v>48</v>
      </c>
      <c r="M1881" s="181"/>
      <c r="N1881" s="159"/>
      <c r="O1881" s="159"/>
      <c r="P1881" s="136"/>
    </row>
    <row r="1882" spans="1:16" ht="16.5" customHeight="1" x14ac:dyDescent="0.25">
      <c r="A1882" s="156">
        <v>45670</v>
      </c>
      <c r="B1882" s="136" t="s">
        <v>7</v>
      </c>
      <c r="C1882" s="157" t="str">
        <f t="shared" si="58"/>
        <v>13.01.2025_STE1</v>
      </c>
      <c r="D1882" s="190">
        <f t="shared" si="59"/>
        <v>0</v>
      </c>
      <c r="E1882" s="133">
        <v>7.92</v>
      </c>
      <c r="F1882" s="134"/>
      <c r="G1882" s="135">
        <v>192</v>
      </c>
      <c r="H1882" s="137">
        <v>13.1</v>
      </c>
      <c r="I1882" s="134"/>
      <c r="J1882" s="137">
        <v>3</v>
      </c>
      <c r="K1882" s="134"/>
      <c r="L1882" s="136">
        <v>38</v>
      </c>
      <c r="M1882" s="181"/>
      <c r="N1882" s="159"/>
      <c r="O1882" s="159"/>
      <c r="P1882" s="136"/>
    </row>
    <row r="1883" spans="1:16" ht="16.5" customHeight="1" x14ac:dyDescent="0.25">
      <c r="A1883" s="156">
        <v>45670</v>
      </c>
      <c r="B1883" s="136" t="s">
        <v>9</v>
      </c>
      <c r="C1883" s="157" t="str">
        <f t="shared" si="58"/>
        <v>13.01.2025_STE2</v>
      </c>
      <c r="D1883" s="190">
        <f t="shared" si="59"/>
        <v>0</v>
      </c>
      <c r="E1883" s="133">
        <v>8.07</v>
      </c>
      <c r="F1883" s="134"/>
      <c r="G1883" s="135">
        <v>196</v>
      </c>
      <c r="H1883" s="137">
        <v>13.2</v>
      </c>
      <c r="I1883" s="134"/>
      <c r="J1883" s="137">
        <v>3</v>
      </c>
      <c r="K1883" s="134"/>
      <c r="L1883" s="136">
        <v>48</v>
      </c>
      <c r="M1883" s="181"/>
      <c r="N1883" s="159"/>
      <c r="O1883" s="159"/>
      <c r="P1883" s="136"/>
    </row>
    <row r="1884" spans="1:16" ht="16.5" customHeight="1" x14ac:dyDescent="0.25">
      <c r="A1884" s="156">
        <v>45685</v>
      </c>
      <c r="B1884" s="136" t="s">
        <v>22</v>
      </c>
      <c r="C1884" s="157" t="str">
        <f t="shared" si="58"/>
        <v>28.01.2025_BIE1</v>
      </c>
      <c r="D1884" s="190">
        <f t="shared" si="59"/>
        <v>0</v>
      </c>
      <c r="E1884" s="133">
        <v>7.58</v>
      </c>
      <c r="F1884" s="134"/>
      <c r="G1884" s="135">
        <v>146.9</v>
      </c>
      <c r="H1884" s="137">
        <v>12.6</v>
      </c>
      <c r="I1884" s="134"/>
      <c r="J1884" s="137">
        <v>7.3</v>
      </c>
      <c r="K1884" s="134"/>
      <c r="L1884" s="136">
        <v>40</v>
      </c>
      <c r="M1884" s="181"/>
      <c r="N1884" s="159"/>
      <c r="O1884" s="159"/>
      <c r="P1884" s="136"/>
    </row>
    <row r="1885" spans="1:16" ht="16.5" customHeight="1" x14ac:dyDescent="0.25">
      <c r="A1885" s="156">
        <v>45685</v>
      </c>
      <c r="B1885" s="136" t="s">
        <v>25</v>
      </c>
      <c r="C1885" s="157" t="str">
        <f t="shared" si="58"/>
        <v>28.01.2025_BIE2</v>
      </c>
      <c r="D1885" s="190">
        <f t="shared" si="59"/>
        <v>0</v>
      </c>
      <c r="E1885" s="133">
        <v>7.55</v>
      </c>
      <c r="F1885" s="134"/>
      <c r="G1885" s="135">
        <v>154.9</v>
      </c>
      <c r="H1885" s="137">
        <v>12.3</v>
      </c>
      <c r="I1885" s="134"/>
      <c r="J1885" s="137">
        <v>7.5</v>
      </c>
      <c r="K1885" s="134"/>
      <c r="L1885" s="136">
        <v>60</v>
      </c>
      <c r="M1885" s="181"/>
      <c r="N1885" s="159"/>
      <c r="O1885" s="159"/>
      <c r="P1885" s="136"/>
    </row>
    <row r="1886" spans="1:16" ht="16.5" customHeight="1" x14ac:dyDescent="0.25">
      <c r="A1886" s="156">
        <v>45685</v>
      </c>
      <c r="B1886" s="136" t="s">
        <v>30</v>
      </c>
      <c r="C1886" s="157" t="str">
        <f t="shared" si="58"/>
        <v>28.01.2025_FAL1</v>
      </c>
      <c r="D1886" s="190">
        <f t="shared" si="59"/>
        <v>5</v>
      </c>
      <c r="E1886" s="283"/>
      <c r="F1886" s="161"/>
      <c r="G1886" s="287"/>
      <c r="H1886" s="285"/>
      <c r="I1886" s="161"/>
      <c r="J1886" s="285"/>
      <c r="K1886" s="161"/>
      <c r="L1886" s="282"/>
      <c r="M1886" s="181"/>
      <c r="N1886" s="159"/>
      <c r="O1886" s="159"/>
      <c r="P1886" s="159" t="s">
        <v>415</v>
      </c>
    </row>
    <row r="1887" spans="1:16" ht="16.5" customHeight="1" x14ac:dyDescent="0.25">
      <c r="A1887" s="156">
        <v>45685</v>
      </c>
      <c r="B1887" s="136" t="s">
        <v>32</v>
      </c>
      <c r="C1887" s="157" t="str">
        <f t="shared" si="58"/>
        <v>28.01.2025_FAL2</v>
      </c>
      <c r="D1887" s="190">
        <f t="shared" si="59"/>
        <v>0</v>
      </c>
      <c r="E1887" s="133">
        <v>8.0299999999999994</v>
      </c>
      <c r="F1887" s="134"/>
      <c r="G1887" s="135">
        <v>565</v>
      </c>
      <c r="H1887" s="137">
        <v>11.3</v>
      </c>
      <c r="I1887" s="134"/>
      <c r="J1887" s="137">
        <v>7.2</v>
      </c>
      <c r="K1887" s="134"/>
      <c r="L1887" s="136">
        <v>40</v>
      </c>
      <c r="M1887" s="181"/>
      <c r="N1887" s="159"/>
      <c r="O1887" s="159"/>
      <c r="P1887" s="136"/>
    </row>
    <row r="1888" spans="1:16" ht="16.5" customHeight="1" x14ac:dyDescent="0.25">
      <c r="A1888" s="156">
        <v>45685</v>
      </c>
      <c r="B1888" s="136" t="s">
        <v>26</v>
      </c>
      <c r="C1888" s="157" t="str">
        <f t="shared" si="58"/>
        <v>28.01.2025_GRU1</v>
      </c>
      <c r="D1888" s="190">
        <f t="shared" si="59"/>
        <v>0</v>
      </c>
      <c r="E1888" s="133">
        <v>7.63</v>
      </c>
      <c r="F1888" s="134"/>
      <c r="G1888" s="135">
        <v>134.9</v>
      </c>
      <c r="H1888" s="137">
        <v>12.8</v>
      </c>
      <c r="I1888" s="134"/>
      <c r="J1888" s="137">
        <v>6.3</v>
      </c>
      <c r="K1888" s="134"/>
      <c r="L1888" s="136">
        <v>50</v>
      </c>
      <c r="M1888" s="181"/>
      <c r="N1888" s="159"/>
      <c r="O1888" s="159"/>
      <c r="P1888" s="136"/>
    </row>
    <row r="1889" spans="1:16" ht="16.5" customHeight="1" x14ac:dyDescent="0.25">
      <c r="A1889" s="156">
        <v>45685</v>
      </c>
      <c r="B1889" s="136" t="s">
        <v>28</v>
      </c>
      <c r="C1889" s="157" t="str">
        <f t="shared" si="58"/>
        <v>28.01.2025_GRU2</v>
      </c>
      <c r="D1889" s="190">
        <f t="shared" si="59"/>
        <v>0</v>
      </c>
      <c r="E1889" s="133">
        <v>7.34</v>
      </c>
      <c r="F1889" s="134"/>
      <c r="G1889" s="135">
        <v>1458</v>
      </c>
      <c r="H1889" s="137">
        <v>12.7</v>
      </c>
      <c r="I1889" s="134"/>
      <c r="J1889" s="137">
        <v>6.7</v>
      </c>
      <c r="K1889" s="134"/>
      <c r="L1889" s="136">
        <v>70</v>
      </c>
      <c r="M1889" s="181"/>
      <c r="N1889" s="159"/>
      <c r="O1889" s="159"/>
      <c r="P1889" s="136"/>
    </row>
    <row r="1890" spans="1:16" ht="16.5" customHeight="1" x14ac:dyDescent="0.25">
      <c r="A1890" s="156">
        <v>45685</v>
      </c>
      <c r="B1890" s="136" t="s">
        <v>34</v>
      </c>
      <c r="C1890" s="157" t="str">
        <f t="shared" si="58"/>
        <v>28.01.2025_KRE1</v>
      </c>
      <c r="D1890" s="190">
        <f t="shared" si="59"/>
        <v>0</v>
      </c>
      <c r="E1890" s="133">
        <v>7.97</v>
      </c>
      <c r="F1890" s="134"/>
      <c r="G1890" s="135">
        <v>640</v>
      </c>
      <c r="H1890" s="137">
        <v>12.1</v>
      </c>
      <c r="I1890" s="134"/>
      <c r="J1890" s="137">
        <v>6.7</v>
      </c>
      <c r="K1890" s="134"/>
      <c r="L1890" s="136">
        <v>75</v>
      </c>
      <c r="M1890" s="181"/>
      <c r="N1890" s="159"/>
      <c r="O1890" s="159"/>
      <c r="P1890" s="136"/>
    </row>
    <row r="1891" spans="1:16" ht="16.5" customHeight="1" x14ac:dyDescent="0.25">
      <c r="A1891" s="156">
        <v>45685</v>
      </c>
      <c r="B1891" s="136" t="s">
        <v>37</v>
      </c>
      <c r="C1891" s="157" t="str">
        <f t="shared" si="58"/>
        <v>28.01.2025_KRE2</v>
      </c>
      <c r="D1891" s="190">
        <f t="shared" si="59"/>
        <v>0</v>
      </c>
      <c r="E1891" s="133">
        <v>7.9</v>
      </c>
      <c r="F1891" s="134"/>
      <c r="G1891" s="135">
        <v>646</v>
      </c>
      <c r="H1891" s="137">
        <v>11.7</v>
      </c>
      <c r="I1891" s="134"/>
      <c r="J1891" s="137">
        <v>6.9</v>
      </c>
      <c r="K1891" s="134"/>
      <c r="L1891" s="136">
        <v>80</v>
      </c>
      <c r="M1891" s="181"/>
      <c r="N1891" s="159"/>
      <c r="O1891" s="159"/>
      <c r="P1891" s="136"/>
    </row>
    <row r="1892" spans="1:16" ht="16.5" customHeight="1" x14ac:dyDescent="0.25">
      <c r="A1892" s="156">
        <v>45685</v>
      </c>
      <c r="B1892" s="136" t="s">
        <v>14</v>
      </c>
      <c r="C1892" s="157" t="str">
        <f t="shared" si="58"/>
        <v>28.01.2025_BRA1</v>
      </c>
      <c r="D1892" s="190">
        <f t="shared" si="59"/>
        <v>0</v>
      </c>
      <c r="E1892" s="133">
        <v>7.26</v>
      </c>
      <c r="F1892" s="134"/>
      <c r="G1892" s="135">
        <v>137</v>
      </c>
      <c r="H1892" s="137">
        <v>13</v>
      </c>
      <c r="I1892" s="134"/>
      <c r="J1892" s="137">
        <v>6.4</v>
      </c>
      <c r="K1892" s="134"/>
      <c r="L1892" s="136">
        <v>50</v>
      </c>
      <c r="M1892" s="181"/>
      <c r="N1892" s="159"/>
      <c r="O1892" s="159"/>
      <c r="P1892" s="136"/>
    </row>
    <row r="1893" spans="1:16" ht="16.5" customHeight="1" x14ac:dyDescent="0.25">
      <c r="A1893" s="156">
        <v>45685</v>
      </c>
      <c r="B1893" s="136" t="s">
        <v>17</v>
      </c>
      <c r="C1893" s="157" t="str">
        <f t="shared" si="58"/>
        <v>28.01.2025_BRA2</v>
      </c>
      <c r="D1893" s="190">
        <f t="shared" si="59"/>
        <v>0</v>
      </c>
      <c r="E1893" s="133">
        <v>7.66</v>
      </c>
      <c r="F1893" s="134"/>
      <c r="G1893" s="135">
        <v>148</v>
      </c>
      <c r="H1893" s="137">
        <v>13.6</v>
      </c>
      <c r="I1893" s="134"/>
      <c r="J1893" s="137">
        <v>6.7</v>
      </c>
      <c r="K1893" s="134"/>
      <c r="L1893" s="136">
        <v>42</v>
      </c>
      <c r="M1893" s="181"/>
      <c r="N1893" s="159"/>
      <c r="O1893" s="159"/>
      <c r="P1893" s="136"/>
    </row>
    <row r="1894" spans="1:16" ht="16.5" customHeight="1" x14ac:dyDescent="0.25">
      <c r="A1894" s="156">
        <v>45685</v>
      </c>
      <c r="B1894" s="136" t="s">
        <v>0</v>
      </c>
      <c r="C1894" s="157" t="str">
        <f t="shared" si="58"/>
        <v>28.01.2025_KIN1</v>
      </c>
      <c r="D1894" s="190">
        <f t="shared" si="59"/>
        <v>0</v>
      </c>
      <c r="E1894" s="133">
        <v>8.0299999999999994</v>
      </c>
      <c r="F1894" s="134"/>
      <c r="G1894" s="135">
        <v>253</v>
      </c>
      <c r="H1894" s="137">
        <v>13.4</v>
      </c>
      <c r="I1894" s="134"/>
      <c r="J1894" s="137">
        <v>6.4</v>
      </c>
      <c r="K1894" s="134"/>
      <c r="L1894" s="136">
        <v>37</v>
      </c>
      <c r="M1894" s="181"/>
      <c r="N1894" s="159"/>
      <c r="O1894" s="159"/>
      <c r="P1894" s="136"/>
    </row>
    <row r="1895" spans="1:16" ht="16.5" customHeight="1" x14ac:dyDescent="0.25">
      <c r="A1895" s="156">
        <v>45685</v>
      </c>
      <c r="B1895" s="136" t="s">
        <v>2</v>
      </c>
      <c r="C1895" s="157" t="str">
        <f t="shared" si="58"/>
        <v>28.01.2025_KIN2</v>
      </c>
      <c r="D1895" s="190">
        <f t="shared" si="59"/>
        <v>0</v>
      </c>
      <c r="E1895" s="133">
        <v>8</v>
      </c>
      <c r="F1895" s="134"/>
      <c r="G1895" s="135">
        <v>295</v>
      </c>
      <c r="H1895" s="137">
        <v>13</v>
      </c>
      <c r="I1895" s="134"/>
      <c r="J1895" s="137">
        <v>7.1</v>
      </c>
      <c r="K1895" s="134"/>
      <c r="L1895" s="136">
        <v>45</v>
      </c>
      <c r="M1895" s="181"/>
      <c r="N1895" s="159"/>
      <c r="O1895" s="159"/>
      <c r="P1895" s="136"/>
    </row>
    <row r="1896" spans="1:16" ht="16.5" customHeight="1" x14ac:dyDescent="0.25">
      <c r="A1896" s="156">
        <v>45685</v>
      </c>
      <c r="B1896" s="136" t="s">
        <v>4</v>
      </c>
      <c r="C1896" s="157" t="str">
        <f t="shared" si="58"/>
        <v>28.01.2025_KIN3</v>
      </c>
      <c r="D1896" s="190">
        <f t="shared" si="59"/>
        <v>0</v>
      </c>
      <c r="E1896" s="133">
        <v>8.06</v>
      </c>
      <c r="F1896" s="134"/>
      <c r="G1896" s="135">
        <v>285</v>
      </c>
      <c r="H1896" s="137">
        <v>13.2</v>
      </c>
      <c r="I1896" s="134"/>
      <c r="J1896" s="137">
        <v>6.7</v>
      </c>
      <c r="K1896" s="134"/>
      <c r="L1896" s="136">
        <v>40</v>
      </c>
      <c r="M1896" s="181"/>
      <c r="N1896" s="159"/>
      <c r="O1896" s="159"/>
      <c r="P1896" s="136"/>
    </row>
    <row r="1897" spans="1:16" ht="16.5" customHeight="1" x14ac:dyDescent="0.25">
      <c r="A1897" s="156">
        <v>45685</v>
      </c>
      <c r="B1897" s="136" t="s">
        <v>6</v>
      </c>
      <c r="C1897" s="157" t="str">
        <f t="shared" si="58"/>
        <v>28.01.2025_KIN4</v>
      </c>
      <c r="D1897" s="190">
        <f t="shared" si="59"/>
        <v>0</v>
      </c>
      <c r="E1897" s="133">
        <v>7.88</v>
      </c>
      <c r="F1897" s="134"/>
      <c r="G1897" s="135">
        <v>283</v>
      </c>
      <c r="H1897" s="137">
        <v>12.9</v>
      </c>
      <c r="I1897" s="134"/>
      <c r="J1897" s="137">
        <v>6.7</v>
      </c>
      <c r="K1897" s="134"/>
      <c r="L1897" s="136">
        <v>72</v>
      </c>
      <c r="M1897" s="181"/>
      <c r="N1897" s="159"/>
      <c r="O1897" s="159"/>
      <c r="P1897" s="136"/>
    </row>
    <row r="1898" spans="1:16" ht="16.5" customHeight="1" x14ac:dyDescent="0.25">
      <c r="A1898" s="156">
        <v>45685</v>
      </c>
      <c r="B1898" s="136" t="s">
        <v>18</v>
      </c>
      <c r="C1898" s="157" t="str">
        <f t="shared" si="58"/>
        <v>28.01.2025_ORB1</v>
      </c>
      <c r="D1898" s="190">
        <f t="shared" si="59"/>
        <v>0</v>
      </c>
      <c r="E1898" s="133">
        <v>7.3</v>
      </c>
      <c r="F1898" s="134"/>
      <c r="G1898" s="135">
        <v>118</v>
      </c>
      <c r="H1898" s="137">
        <v>12.2</v>
      </c>
      <c r="I1898" s="134"/>
      <c r="J1898" s="137">
        <v>8.6</v>
      </c>
      <c r="K1898" s="134"/>
      <c r="L1898" s="136">
        <v>23</v>
      </c>
      <c r="M1898" s="181"/>
      <c r="N1898" s="159"/>
      <c r="O1898" s="159"/>
      <c r="P1898" s="136"/>
    </row>
    <row r="1899" spans="1:16" ht="16.5" customHeight="1" x14ac:dyDescent="0.25">
      <c r="A1899" s="156">
        <v>45685</v>
      </c>
      <c r="B1899" s="136" t="s">
        <v>21</v>
      </c>
      <c r="C1899" s="157" t="str">
        <f t="shared" si="58"/>
        <v>28.01.2025_ORB2</v>
      </c>
      <c r="D1899" s="190">
        <f t="shared" si="59"/>
        <v>0</v>
      </c>
      <c r="E1899" s="133">
        <v>7.2</v>
      </c>
      <c r="F1899" s="134"/>
      <c r="G1899" s="135">
        <v>138</v>
      </c>
      <c r="H1899" s="137">
        <v>12.2</v>
      </c>
      <c r="I1899" s="134"/>
      <c r="J1899" s="137">
        <v>8.5</v>
      </c>
      <c r="K1899" s="134"/>
      <c r="L1899" s="136">
        <v>24</v>
      </c>
      <c r="M1899" s="181"/>
      <c r="N1899" s="159"/>
      <c r="O1899" s="159"/>
      <c r="P1899" s="136"/>
    </row>
    <row r="1900" spans="1:16" ht="16.5" customHeight="1" x14ac:dyDescent="0.25">
      <c r="A1900" s="156">
        <v>45685</v>
      </c>
      <c r="B1900" s="136" t="s">
        <v>10</v>
      </c>
      <c r="C1900" s="157" t="str">
        <f t="shared" si="58"/>
        <v>28.01.2025_SAL1</v>
      </c>
      <c r="D1900" s="190">
        <f t="shared" si="59"/>
        <v>0</v>
      </c>
      <c r="E1900" s="133">
        <v>7.62</v>
      </c>
      <c r="F1900" s="134"/>
      <c r="G1900" s="135">
        <v>130</v>
      </c>
      <c r="H1900" s="137">
        <v>13.3</v>
      </c>
      <c r="I1900" s="134"/>
      <c r="J1900" s="137">
        <v>6.2</v>
      </c>
      <c r="K1900" s="134"/>
      <c r="L1900" s="136">
        <v>53</v>
      </c>
      <c r="M1900" s="181"/>
      <c r="N1900" s="159"/>
      <c r="O1900" s="159"/>
      <c r="P1900" s="136"/>
    </row>
    <row r="1901" spans="1:16" ht="16.5" customHeight="1" x14ac:dyDescent="0.25">
      <c r="A1901" s="156">
        <v>45685</v>
      </c>
      <c r="B1901" s="136" t="s">
        <v>12</v>
      </c>
      <c r="C1901" s="157" t="str">
        <f t="shared" si="58"/>
        <v>28.01.2025_SAL2</v>
      </c>
      <c r="D1901" s="190">
        <f t="shared" si="59"/>
        <v>0</v>
      </c>
      <c r="E1901" s="133">
        <v>7.66</v>
      </c>
      <c r="F1901" s="134"/>
      <c r="G1901" s="135">
        <v>136</v>
      </c>
      <c r="H1901" s="137">
        <v>13.3</v>
      </c>
      <c r="I1901" s="134"/>
      <c r="J1901" s="137">
        <v>6.4</v>
      </c>
      <c r="K1901" s="134"/>
      <c r="L1901" s="136">
        <v>60</v>
      </c>
      <c r="M1901" s="181"/>
      <c r="N1901" s="159"/>
      <c r="O1901" s="159"/>
      <c r="P1901" s="136"/>
    </row>
    <row r="1902" spans="1:16" ht="16.5" customHeight="1" x14ac:dyDescent="0.25">
      <c r="A1902" s="156">
        <v>45685</v>
      </c>
      <c r="B1902" s="136" t="s">
        <v>7</v>
      </c>
      <c r="C1902" s="157" t="str">
        <f t="shared" si="58"/>
        <v>28.01.2025_STE1</v>
      </c>
      <c r="D1902" s="190">
        <f t="shared" si="59"/>
        <v>0</v>
      </c>
      <c r="E1902" s="133">
        <v>7.77</v>
      </c>
      <c r="F1902" s="134"/>
      <c r="G1902" s="135">
        <v>171</v>
      </c>
      <c r="H1902" s="137">
        <v>13.1</v>
      </c>
      <c r="I1902" s="134"/>
      <c r="J1902" s="137">
        <v>6.8</v>
      </c>
      <c r="K1902" s="134"/>
      <c r="L1902" s="136">
        <v>50</v>
      </c>
      <c r="M1902" s="181"/>
      <c r="N1902" s="159"/>
      <c r="O1902" s="159"/>
      <c r="P1902" s="136"/>
    </row>
    <row r="1903" spans="1:16" ht="16.5" customHeight="1" x14ac:dyDescent="0.25">
      <c r="A1903" s="156">
        <v>45685</v>
      </c>
      <c r="B1903" s="136" t="s">
        <v>9</v>
      </c>
      <c r="C1903" s="157" t="str">
        <f t="shared" si="58"/>
        <v>28.01.2025_STE2</v>
      </c>
      <c r="D1903" s="190">
        <f t="shared" si="59"/>
        <v>0</v>
      </c>
      <c r="E1903" s="133">
        <v>7.83</v>
      </c>
      <c r="F1903" s="134"/>
      <c r="G1903" s="135">
        <v>177</v>
      </c>
      <c r="H1903" s="137">
        <v>13.5</v>
      </c>
      <c r="I1903" s="134"/>
      <c r="J1903" s="137">
        <v>7</v>
      </c>
      <c r="K1903" s="134"/>
      <c r="L1903" s="136">
        <v>50</v>
      </c>
      <c r="M1903" s="181"/>
      <c r="N1903" s="159"/>
      <c r="O1903" s="159"/>
      <c r="P1903" s="136"/>
    </row>
    <row r="1904" spans="1:16" ht="16.5" customHeight="1" x14ac:dyDescent="0.25">
      <c r="A1904" s="156">
        <v>45698</v>
      </c>
      <c r="B1904" s="136" t="s">
        <v>22</v>
      </c>
      <c r="C1904" s="157" t="str">
        <f t="shared" si="58"/>
        <v>10.02.2025_BIE1</v>
      </c>
      <c r="D1904" s="190">
        <f t="shared" si="59"/>
        <v>0</v>
      </c>
      <c r="E1904" s="133">
        <v>7.76</v>
      </c>
      <c r="F1904" s="134"/>
      <c r="G1904" s="135">
        <v>145</v>
      </c>
      <c r="H1904" s="137">
        <v>13.3</v>
      </c>
      <c r="I1904" s="134"/>
      <c r="J1904" s="137">
        <v>5.9</v>
      </c>
      <c r="K1904" s="134"/>
      <c r="L1904" s="136">
        <v>35</v>
      </c>
      <c r="M1904" s="181"/>
      <c r="N1904" s="159"/>
      <c r="O1904" s="159"/>
      <c r="P1904" s="136"/>
    </row>
    <row r="1905" spans="1:16" ht="16.5" customHeight="1" x14ac:dyDescent="0.25">
      <c r="A1905" s="156">
        <v>45698</v>
      </c>
      <c r="B1905" s="136" t="s">
        <v>25</v>
      </c>
      <c r="C1905" s="157" t="str">
        <f t="shared" si="58"/>
        <v>10.02.2025_BIE2</v>
      </c>
      <c r="D1905" s="190">
        <f t="shared" si="59"/>
        <v>0</v>
      </c>
      <c r="E1905" s="133">
        <v>7.55</v>
      </c>
      <c r="F1905" s="134"/>
      <c r="G1905" s="135">
        <v>144</v>
      </c>
      <c r="H1905" s="137">
        <v>13</v>
      </c>
      <c r="I1905" s="134"/>
      <c r="J1905" s="137">
        <v>5.9</v>
      </c>
      <c r="K1905" s="134"/>
      <c r="L1905" s="136">
        <v>50</v>
      </c>
      <c r="M1905" s="181"/>
      <c r="N1905" s="159"/>
      <c r="O1905" s="159"/>
      <c r="P1905" s="136"/>
    </row>
    <row r="1906" spans="1:16" ht="16.5" customHeight="1" x14ac:dyDescent="0.25">
      <c r="A1906" s="156">
        <v>45698</v>
      </c>
      <c r="B1906" s="136" t="s">
        <v>30</v>
      </c>
      <c r="C1906" s="157" t="str">
        <f t="shared" si="58"/>
        <v>10.02.2025_FAL1</v>
      </c>
      <c r="D1906" s="190">
        <f t="shared" si="59"/>
        <v>5</v>
      </c>
      <c r="E1906" s="283"/>
      <c r="F1906" s="161"/>
      <c r="G1906" s="287"/>
      <c r="H1906" s="285"/>
      <c r="I1906" s="161"/>
      <c r="J1906" s="285"/>
      <c r="K1906" s="161"/>
      <c r="L1906" s="282"/>
      <c r="M1906" s="181"/>
      <c r="N1906" s="159"/>
      <c r="O1906" s="159"/>
      <c r="P1906" s="159" t="s">
        <v>415</v>
      </c>
    </row>
    <row r="1907" spans="1:16" ht="16.5" customHeight="1" x14ac:dyDescent="0.25">
      <c r="A1907" s="156">
        <v>45698</v>
      </c>
      <c r="B1907" s="136" t="s">
        <v>32</v>
      </c>
      <c r="C1907" s="157" t="str">
        <f t="shared" si="58"/>
        <v>10.02.2025_FAL2</v>
      </c>
      <c r="D1907" s="190">
        <f t="shared" si="59"/>
        <v>0</v>
      </c>
      <c r="E1907" s="133">
        <v>8.31</v>
      </c>
      <c r="F1907" s="134"/>
      <c r="G1907" s="135">
        <v>800</v>
      </c>
      <c r="H1907" s="137">
        <v>13</v>
      </c>
      <c r="I1907" s="134"/>
      <c r="J1907" s="137">
        <v>4.9000000000000004</v>
      </c>
      <c r="K1907" s="134"/>
      <c r="L1907" s="136">
        <v>35</v>
      </c>
      <c r="M1907" s="181"/>
      <c r="N1907" s="159"/>
      <c r="O1907" s="159"/>
      <c r="P1907" s="136"/>
    </row>
    <row r="1908" spans="1:16" ht="16.5" customHeight="1" x14ac:dyDescent="0.25">
      <c r="A1908" s="156">
        <v>45698</v>
      </c>
      <c r="B1908" s="136" t="s">
        <v>26</v>
      </c>
      <c r="C1908" s="157" t="str">
        <f t="shared" si="58"/>
        <v>10.02.2025_GRU1</v>
      </c>
      <c r="D1908" s="190">
        <f t="shared" si="59"/>
        <v>0</v>
      </c>
      <c r="E1908" s="133">
        <v>7.34</v>
      </c>
      <c r="F1908" s="134"/>
      <c r="G1908" s="135">
        <v>143.30000000000001</v>
      </c>
      <c r="H1908" s="137">
        <v>13.4</v>
      </c>
      <c r="I1908" s="134"/>
      <c r="J1908" s="137">
        <v>4.5999999999999996</v>
      </c>
      <c r="K1908" s="134"/>
      <c r="L1908" s="136">
        <v>30</v>
      </c>
      <c r="M1908" s="181"/>
      <c r="N1908" s="159"/>
      <c r="O1908" s="159"/>
      <c r="P1908" s="136"/>
    </row>
    <row r="1909" spans="1:16" ht="16.5" customHeight="1" x14ac:dyDescent="0.25">
      <c r="A1909" s="156">
        <v>45698</v>
      </c>
      <c r="B1909" s="136" t="s">
        <v>28</v>
      </c>
      <c r="C1909" s="157" t="str">
        <f t="shared" si="58"/>
        <v>10.02.2025_GRU2</v>
      </c>
      <c r="D1909" s="190">
        <f t="shared" si="59"/>
        <v>0</v>
      </c>
      <c r="E1909" s="133">
        <v>7.2</v>
      </c>
      <c r="F1909" s="134"/>
      <c r="G1909" s="135">
        <v>156.9</v>
      </c>
      <c r="H1909" s="137">
        <v>13</v>
      </c>
      <c r="I1909" s="134"/>
      <c r="J1909" s="137">
        <v>4.7</v>
      </c>
      <c r="K1909" s="134"/>
      <c r="L1909" s="136">
        <v>45</v>
      </c>
      <c r="M1909" s="181"/>
      <c r="N1909" s="159"/>
      <c r="O1909" s="159"/>
      <c r="P1909" s="136"/>
    </row>
    <row r="1910" spans="1:16" ht="16.5" customHeight="1" x14ac:dyDescent="0.25">
      <c r="A1910" s="156">
        <v>45698</v>
      </c>
      <c r="B1910" s="136" t="s">
        <v>34</v>
      </c>
      <c r="C1910" s="157" t="str">
        <f t="shared" si="58"/>
        <v>10.02.2025_KRE1</v>
      </c>
      <c r="D1910" s="190">
        <f t="shared" si="59"/>
        <v>0</v>
      </c>
      <c r="E1910" s="133">
        <v>8.14</v>
      </c>
      <c r="F1910" s="134"/>
      <c r="G1910" s="135">
        <v>850</v>
      </c>
      <c r="H1910" s="137">
        <v>13.2</v>
      </c>
      <c r="I1910" s="134"/>
      <c r="J1910" s="137">
        <v>4.0999999999999996</v>
      </c>
      <c r="K1910" s="134"/>
      <c r="L1910" s="136">
        <v>55.000000000000007</v>
      </c>
      <c r="M1910" s="181"/>
      <c r="N1910" s="159"/>
      <c r="O1910" s="159"/>
      <c r="P1910" s="136"/>
    </row>
    <row r="1911" spans="1:16" ht="16.5" customHeight="1" x14ac:dyDescent="0.25">
      <c r="A1911" s="156">
        <v>45698</v>
      </c>
      <c r="B1911" s="136" t="s">
        <v>37</v>
      </c>
      <c r="C1911" s="157" t="str">
        <f t="shared" si="58"/>
        <v>10.02.2025_KRE2</v>
      </c>
      <c r="D1911" s="190">
        <f t="shared" si="59"/>
        <v>0</v>
      </c>
      <c r="E1911" s="133">
        <v>8.1199999999999992</v>
      </c>
      <c r="F1911" s="134"/>
      <c r="G1911" s="135">
        <v>862</v>
      </c>
      <c r="H1911" s="137">
        <v>12.5</v>
      </c>
      <c r="I1911" s="134"/>
      <c r="J1911" s="137">
        <v>4</v>
      </c>
      <c r="K1911" s="134"/>
      <c r="L1911" s="136">
        <v>60</v>
      </c>
      <c r="M1911" s="181"/>
      <c r="N1911" s="159"/>
      <c r="O1911" s="159"/>
      <c r="P1911" s="136"/>
    </row>
    <row r="1912" spans="1:16" ht="16.5" customHeight="1" x14ac:dyDescent="0.25">
      <c r="A1912" s="156">
        <v>45698</v>
      </c>
      <c r="B1912" s="136" t="s">
        <v>14</v>
      </c>
      <c r="C1912" s="157" t="str">
        <f t="shared" si="58"/>
        <v>10.02.2025_BRA1</v>
      </c>
      <c r="D1912" s="190">
        <f t="shared" si="59"/>
        <v>0</v>
      </c>
      <c r="E1912" s="133">
        <v>7.77</v>
      </c>
      <c r="F1912" s="134"/>
      <c r="G1912" s="135">
        <v>130</v>
      </c>
      <c r="H1912" s="137">
        <v>13</v>
      </c>
      <c r="I1912" s="134"/>
      <c r="J1912" s="137">
        <v>4.7</v>
      </c>
      <c r="K1912" s="134"/>
      <c r="L1912" s="136">
        <v>21</v>
      </c>
      <c r="M1912" s="181"/>
      <c r="N1912" s="159"/>
      <c r="O1912" s="159"/>
      <c r="P1912" s="136"/>
    </row>
    <row r="1913" spans="1:16" ht="16.5" customHeight="1" x14ac:dyDescent="0.25">
      <c r="A1913" s="156">
        <v>45698</v>
      </c>
      <c r="B1913" s="136" t="s">
        <v>17</v>
      </c>
      <c r="C1913" s="157" t="str">
        <f t="shared" si="58"/>
        <v>10.02.2025_BRA2</v>
      </c>
      <c r="D1913" s="190">
        <f t="shared" si="59"/>
        <v>0</v>
      </c>
      <c r="E1913" s="133">
        <v>8.08</v>
      </c>
      <c r="F1913" s="134"/>
      <c r="G1913" s="135">
        <v>171</v>
      </c>
      <c r="H1913" s="137">
        <v>12.7</v>
      </c>
      <c r="I1913" s="134"/>
      <c r="J1913" s="137">
        <v>6.4</v>
      </c>
      <c r="K1913" s="134"/>
      <c r="L1913" s="136">
        <v>20</v>
      </c>
      <c r="M1913" s="181"/>
      <c r="N1913" s="159"/>
      <c r="O1913" s="159"/>
      <c r="P1913" s="136"/>
    </row>
    <row r="1914" spans="1:16" ht="16.5" customHeight="1" x14ac:dyDescent="0.25">
      <c r="A1914" s="156">
        <v>45698</v>
      </c>
      <c r="B1914" s="136" t="s">
        <v>0</v>
      </c>
      <c r="C1914" s="157" t="str">
        <f t="shared" si="58"/>
        <v>10.02.2025_KIN1</v>
      </c>
      <c r="D1914" s="190">
        <f t="shared" si="59"/>
        <v>0</v>
      </c>
      <c r="E1914" s="133">
        <v>8.67</v>
      </c>
      <c r="F1914" s="134"/>
      <c r="G1914" s="135">
        <v>339</v>
      </c>
      <c r="H1914" s="137">
        <v>12.6</v>
      </c>
      <c r="I1914" s="134"/>
      <c r="J1914" s="137">
        <v>5.6</v>
      </c>
      <c r="K1914" s="134"/>
      <c r="L1914" s="136">
        <v>23</v>
      </c>
      <c r="M1914" s="181"/>
      <c r="N1914" s="159"/>
      <c r="O1914" s="159"/>
      <c r="P1914" s="136"/>
    </row>
    <row r="1915" spans="1:16" ht="16.5" customHeight="1" x14ac:dyDescent="0.25">
      <c r="A1915" s="156">
        <v>45698</v>
      </c>
      <c r="B1915" s="136" t="s">
        <v>2</v>
      </c>
      <c r="C1915" s="157" t="str">
        <f t="shared" si="58"/>
        <v>10.02.2025_KIN2</v>
      </c>
      <c r="D1915" s="190">
        <f t="shared" si="59"/>
        <v>0</v>
      </c>
      <c r="E1915" s="133">
        <v>8.64</v>
      </c>
      <c r="F1915" s="134"/>
      <c r="G1915" s="135">
        <v>406</v>
      </c>
      <c r="H1915" s="137">
        <v>13.3</v>
      </c>
      <c r="I1915" s="134"/>
      <c r="J1915" s="137">
        <v>4.8</v>
      </c>
      <c r="K1915" s="134"/>
      <c r="L1915" s="136">
        <v>21</v>
      </c>
      <c r="M1915" s="181"/>
      <c r="N1915" s="159"/>
      <c r="O1915" s="159"/>
      <c r="P1915" s="136"/>
    </row>
    <row r="1916" spans="1:16" ht="16.5" customHeight="1" x14ac:dyDescent="0.25">
      <c r="A1916" s="156">
        <v>45698</v>
      </c>
      <c r="B1916" s="136" t="s">
        <v>4</v>
      </c>
      <c r="C1916" s="157" t="str">
        <f t="shared" si="58"/>
        <v>10.02.2025_KIN3</v>
      </c>
      <c r="D1916" s="190">
        <f t="shared" si="59"/>
        <v>0</v>
      </c>
      <c r="E1916" s="133">
        <v>8.85</v>
      </c>
      <c r="F1916" s="134"/>
      <c r="G1916" s="135">
        <v>388</v>
      </c>
      <c r="H1916" s="137">
        <v>13.2</v>
      </c>
      <c r="I1916" s="134"/>
      <c r="J1916" s="137">
        <v>5</v>
      </c>
      <c r="K1916" s="134"/>
      <c r="L1916" s="136">
        <v>36</v>
      </c>
      <c r="M1916" s="181"/>
      <c r="N1916" s="159"/>
      <c r="O1916" s="159"/>
      <c r="P1916" s="136"/>
    </row>
    <row r="1917" spans="1:16" ht="16.5" customHeight="1" x14ac:dyDescent="0.25">
      <c r="A1917" s="156">
        <v>45698</v>
      </c>
      <c r="B1917" s="136" t="s">
        <v>6</v>
      </c>
      <c r="C1917" s="157" t="str">
        <f t="shared" si="58"/>
        <v>10.02.2025_KIN4</v>
      </c>
      <c r="D1917" s="190">
        <f t="shared" si="59"/>
        <v>0</v>
      </c>
      <c r="E1917" s="133">
        <v>8.66</v>
      </c>
      <c r="F1917" s="134"/>
      <c r="G1917" s="135">
        <v>399</v>
      </c>
      <c r="H1917" s="137">
        <v>13.1</v>
      </c>
      <c r="I1917" s="134"/>
      <c r="J1917" s="137">
        <v>4.9000000000000004</v>
      </c>
      <c r="K1917" s="134"/>
      <c r="L1917" s="136">
        <v>47</v>
      </c>
      <c r="M1917" s="181"/>
      <c r="N1917" s="159"/>
      <c r="O1917" s="159"/>
      <c r="P1917" s="136"/>
    </row>
    <row r="1918" spans="1:16" ht="16.5" customHeight="1" x14ac:dyDescent="0.25">
      <c r="A1918" s="156">
        <v>45698</v>
      </c>
      <c r="B1918" s="136" t="s">
        <v>18</v>
      </c>
      <c r="C1918" s="157" t="str">
        <f t="shared" si="58"/>
        <v>10.02.2025_ORB1</v>
      </c>
      <c r="D1918" s="190">
        <f t="shared" si="59"/>
        <v>0</v>
      </c>
      <c r="E1918" s="133">
        <v>7.09</v>
      </c>
      <c r="F1918" s="134"/>
      <c r="G1918" s="135">
        <v>112</v>
      </c>
      <c r="H1918" s="137">
        <v>12.6</v>
      </c>
      <c r="I1918" s="134"/>
      <c r="J1918" s="137">
        <v>7.2</v>
      </c>
      <c r="K1918" s="134"/>
      <c r="L1918" s="136">
        <v>19</v>
      </c>
      <c r="M1918" s="181"/>
      <c r="N1918" s="159"/>
      <c r="O1918" s="159"/>
      <c r="P1918" s="136"/>
    </row>
    <row r="1919" spans="1:16" ht="16.5" customHeight="1" x14ac:dyDescent="0.25">
      <c r="A1919" s="156">
        <v>45698</v>
      </c>
      <c r="B1919" s="136" t="s">
        <v>21</v>
      </c>
      <c r="C1919" s="157" t="str">
        <f t="shared" si="58"/>
        <v>10.02.2025_ORB2</v>
      </c>
      <c r="D1919" s="190">
        <f t="shared" si="59"/>
        <v>0</v>
      </c>
      <c r="E1919" s="133">
        <v>6.99</v>
      </c>
      <c r="F1919" s="134"/>
      <c r="G1919" s="135">
        <v>228</v>
      </c>
      <c r="H1919" s="137">
        <v>12.2</v>
      </c>
      <c r="I1919" s="134"/>
      <c r="J1919" s="137">
        <v>7.7</v>
      </c>
      <c r="K1919" s="134"/>
      <c r="L1919" s="136">
        <v>17</v>
      </c>
      <c r="M1919" s="181"/>
      <c r="N1919" s="159"/>
      <c r="O1919" s="159"/>
      <c r="P1919" s="136"/>
    </row>
    <row r="1920" spans="1:16" ht="16.5" customHeight="1" x14ac:dyDescent="0.25">
      <c r="A1920" s="156">
        <v>45698</v>
      </c>
      <c r="B1920" s="136" t="s">
        <v>10</v>
      </c>
      <c r="C1920" s="157" t="str">
        <f t="shared" si="58"/>
        <v>10.02.2025_SAL1</v>
      </c>
      <c r="D1920" s="190">
        <f t="shared" si="59"/>
        <v>0</v>
      </c>
      <c r="E1920" s="133">
        <v>8.4600000000000009</v>
      </c>
      <c r="F1920" s="134"/>
      <c r="G1920" s="135">
        <v>135</v>
      </c>
      <c r="H1920" s="137">
        <v>13.4</v>
      </c>
      <c r="I1920" s="134"/>
      <c r="J1920" s="137">
        <v>6.4</v>
      </c>
      <c r="K1920" s="134"/>
      <c r="L1920" s="136">
        <v>54</v>
      </c>
      <c r="M1920" s="181"/>
      <c r="N1920" s="159"/>
      <c r="O1920" s="159"/>
      <c r="P1920" s="136"/>
    </row>
    <row r="1921" spans="1:16" ht="16.5" customHeight="1" x14ac:dyDescent="0.25">
      <c r="A1921" s="156">
        <v>45698</v>
      </c>
      <c r="B1921" s="136" t="s">
        <v>12</v>
      </c>
      <c r="C1921" s="157" t="str">
        <f t="shared" si="58"/>
        <v>10.02.2025_SAL2</v>
      </c>
      <c r="D1921" s="190">
        <f t="shared" si="59"/>
        <v>0</v>
      </c>
      <c r="E1921" s="133">
        <v>8.42</v>
      </c>
      <c r="F1921" s="134"/>
      <c r="G1921" s="135">
        <v>195</v>
      </c>
      <c r="H1921" s="137">
        <v>12.8</v>
      </c>
      <c r="I1921" s="134"/>
      <c r="J1921" s="137">
        <v>5.0999999999999996</v>
      </c>
      <c r="K1921" s="134"/>
      <c r="L1921" s="136">
        <v>54</v>
      </c>
      <c r="M1921" s="181"/>
      <c r="N1921" s="159"/>
      <c r="O1921" s="159"/>
      <c r="P1921" s="136"/>
    </row>
    <row r="1922" spans="1:16" ht="16.5" customHeight="1" x14ac:dyDescent="0.25">
      <c r="A1922" s="156">
        <v>45698</v>
      </c>
      <c r="B1922" s="136" t="s">
        <v>7</v>
      </c>
      <c r="C1922" s="157" t="str">
        <f t="shared" si="58"/>
        <v>10.02.2025_STE1</v>
      </c>
      <c r="D1922" s="190">
        <f t="shared" si="59"/>
        <v>0</v>
      </c>
      <c r="E1922" s="133">
        <v>8.69</v>
      </c>
      <c r="F1922" s="134"/>
      <c r="G1922" s="135">
        <v>240</v>
      </c>
      <c r="H1922" s="137">
        <v>12.8</v>
      </c>
      <c r="I1922" s="134"/>
      <c r="J1922" s="137">
        <v>7.8</v>
      </c>
      <c r="K1922" s="134"/>
      <c r="L1922" s="136">
        <v>34</v>
      </c>
      <c r="M1922" s="181"/>
      <c r="N1922" s="159"/>
      <c r="O1922" s="159"/>
      <c r="P1922" s="136"/>
    </row>
    <row r="1923" spans="1:16" ht="16.5" customHeight="1" x14ac:dyDescent="0.25">
      <c r="A1923" s="156">
        <v>45698</v>
      </c>
      <c r="B1923" s="136" t="s">
        <v>9</v>
      </c>
      <c r="C1923" s="157" t="str">
        <f t="shared" si="58"/>
        <v>10.02.2025_STE2</v>
      </c>
      <c r="D1923" s="190">
        <f t="shared" si="59"/>
        <v>0</v>
      </c>
      <c r="E1923" s="133">
        <v>8.94</v>
      </c>
      <c r="F1923" s="134"/>
      <c r="G1923" s="135">
        <v>245</v>
      </c>
      <c r="H1923" s="137">
        <v>13.3</v>
      </c>
      <c r="I1923" s="134"/>
      <c r="J1923" s="137">
        <v>7.2</v>
      </c>
      <c r="K1923" s="134"/>
      <c r="L1923" s="136">
        <v>72</v>
      </c>
      <c r="M1923" s="181"/>
      <c r="N1923" s="159"/>
      <c r="O1923" s="159"/>
      <c r="P1923" s="136"/>
    </row>
    <row r="1924" spans="1:16" x14ac:dyDescent="0.25">
      <c r="A1924" s="156">
        <v>45726</v>
      </c>
      <c r="B1924" s="136" t="s">
        <v>22</v>
      </c>
      <c r="C1924" s="157" t="str">
        <f t="shared" ref="C1924:C1944" si="60">CONCATENATE(TEXT(A1924,"TT.MM.JJJJ"),"_",B1924)</f>
        <v>10.03.2025_BIE1</v>
      </c>
      <c r="D1924" s="190">
        <f t="shared" ref="D1924:D1944" si="61">COUNTBLANK(E1924)+COUNTBLANK(G1924:H1924)+COUNTBLANK(J1924)+COUNTBLANK(L1924)</f>
        <v>0</v>
      </c>
      <c r="E1924" s="133">
        <v>7.64</v>
      </c>
      <c r="F1924" s="134"/>
      <c r="G1924" s="135">
        <v>150.5</v>
      </c>
      <c r="H1924" s="137">
        <v>10.9</v>
      </c>
      <c r="I1924" s="134"/>
      <c r="J1924" s="137">
        <v>8.6999999999999993</v>
      </c>
      <c r="K1924" s="134"/>
      <c r="L1924" s="136">
        <v>30</v>
      </c>
      <c r="M1924" s="181"/>
      <c r="N1924" s="159"/>
      <c r="O1924" s="159"/>
      <c r="P1924" s="136"/>
    </row>
    <row r="1925" spans="1:16" x14ac:dyDescent="0.25">
      <c r="A1925" s="156">
        <v>45726</v>
      </c>
      <c r="B1925" s="136" t="s">
        <v>25</v>
      </c>
      <c r="C1925" s="157" t="str">
        <f t="shared" si="60"/>
        <v>10.03.2025_BIE2</v>
      </c>
      <c r="D1925" s="190">
        <f t="shared" si="61"/>
        <v>0</v>
      </c>
      <c r="E1925" s="133">
        <v>7.7</v>
      </c>
      <c r="F1925" s="134"/>
      <c r="G1925" s="135">
        <v>152.1</v>
      </c>
      <c r="H1925" s="137">
        <v>11.1</v>
      </c>
      <c r="I1925" s="134"/>
      <c r="J1925" s="137">
        <v>9.6999999999999993</v>
      </c>
      <c r="K1925" s="134"/>
      <c r="L1925" s="136">
        <v>25</v>
      </c>
      <c r="M1925" s="181"/>
      <c r="N1925" s="159"/>
      <c r="O1925" s="159"/>
      <c r="P1925" s="136"/>
    </row>
    <row r="1926" spans="1:16" x14ac:dyDescent="0.25">
      <c r="A1926" s="156">
        <v>45726</v>
      </c>
      <c r="B1926" s="136" t="s">
        <v>14</v>
      </c>
      <c r="C1926" s="157" t="str">
        <f t="shared" si="60"/>
        <v>10.03.2025_BRA1</v>
      </c>
      <c r="D1926" s="190">
        <f t="shared" si="61"/>
        <v>0</v>
      </c>
      <c r="E1926" s="133">
        <v>7.95</v>
      </c>
      <c r="F1926" s="134"/>
      <c r="G1926" s="135">
        <v>144</v>
      </c>
      <c r="H1926" s="137">
        <v>17.600000000000001</v>
      </c>
      <c r="I1926" s="134"/>
      <c r="J1926" s="137">
        <v>8.8000000000000007</v>
      </c>
      <c r="K1926" s="134"/>
      <c r="L1926" s="136">
        <v>18</v>
      </c>
      <c r="M1926" s="181"/>
      <c r="N1926" s="159"/>
      <c r="O1926" s="159"/>
      <c r="P1926" s="136"/>
    </row>
    <row r="1927" spans="1:16" x14ac:dyDescent="0.25">
      <c r="A1927" s="156">
        <v>45726</v>
      </c>
      <c r="B1927" s="136" t="s">
        <v>17</v>
      </c>
      <c r="C1927" s="157" t="str">
        <f t="shared" si="60"/>
        <v>10.03.2025_BRA2</v>
      </c>
      <c r="D1927" s="190">
        <f t="shared" si="61"/>
        <v>0</v>
      </c>
      <c r="E1927" s="133">
        <v>8.35</v>
      </c>
      <c r="F1927" s="134"/>
      <c r="G1927" s="135">
        <v>164</v>
      </c>
      <c r="H1927" s="137">
        <v>16.5</v>
      </c>
      <c r="I1927" s="134"/>
      <c r="J1927" s="137">
        <v>8.9</v>
      </c>
      <c r="K1927" s="134"/>
      <c r="L1927" s="136">
        <v>16</v>
      </c>
      <c r="M1927" s="181"/>
      <c r="N1927" s="159"/>
      <c r="O1927" s="159"/>
      <c r="P1927" s="136"/>
    </row>
    <row r="1928" spans="1:16" x14ac:dyDescent="0.25">
      <c r="A1928" s="156">
        <v>45726</v>
      </c>
      <c r="B1928" s="136" t="s">
        <v>30</v>
      </c>
      <c r="C1928" s="157" t="str">
        <f t="shared" si="60"/>
        <v>10.03.2025_FAL1</v>
      </c>
      <c r="D1928" s="190">
        <f t="shared" si="61"/>
        <v>0</v>
      </c>
      <c r="E1928" s="133">
        <v>8.11</v>
      </c>
      <c r="F1928" s="134"/>
      <c r="G1928" s="135">
        <v>803</v>
      </c>
      <c r="H1928" s="137">
        <v>10.4</v>
      </c>
      <c r="I1928" s="134"/>
      <c r="J1928" s="137">
        <v>10</v>
      </c>
      <c r="K1928" s="134"/>
      <c r="L1928" s="136">
        <v>20</v>
      </c>
      <c r="M1928" s="181"/>
      <c r="N1928" s="159"/>
      <c r="O1928" s="159"/>
      <c r="P1928" s="136"/>
    </row>
    <row r="1929" spans="1:16" x14ac:dyDescent="0.25">
      <c r="A1929" s="156">
        <v>45726</v>
      </c>
      <c r="B1929" s="136" t="s">
        <v>32</v>
      </c>
      <c r="C1929" s="157" t="str">
        <f t="shared" si="60"/>
        <v>10.03.2025_FAL2</v>
      </c>
      <c r="D1929" s="190">
        <f t="shared" si="61"/>
        <v>0</v>
      </c>
      <c r="E1929" s="133">
        <v>8.4600000000000009</v>
      </c>
      <c r="F1929" s="134"/>
      <c r="G1929" s="135">
        <v>807</v>
      </c>
      <c r="H1929" s="137">
        <v>12.5</v>
      </c>
      <c r="I1929" s="134"/>
      <c r="J1929" s="137">
        <v>10.3</v>
      </c>
      <c r="K1929" s="134"/>
      <c r="L1929" s="136">
        <v>40</v>
      </c>
      <c r="M1929" s="181"/>
      <c r="N1929" s="159"/>
      <c r="O1929" s="159"/>
      <c r="P1929" s="136"/>
    </row>
    <row r="1930" spans="1:16" x14ac:dyDescent="0.25">
      <c r="A1930" s="156">
        <v>45726</v>
      </c>
      <c r="B1930" s="136" t="s">
        <v>26</v>
      </c>
      <c r="C1930" s="157" t="str">
        <f t="shared" si="60"/>
        <v>10.03.2025_GRU1</v>
      </c>
      <c r="D1930" s="190">
        <f t="shared" si="61"/>
        <v>0</v>
      </c>
      <c r="E1930" s="133">
        <v>7.58</v>
      </c>
      <c r="F1930" s="134"/>
      <c r="G1930" s="135">
        <v>147.9</v>
      </c>
      <c r="H1930" s="137">
        <v>11.2</v>
      </c>
      <c r="I1930" s="134"/>
      <c r="J1930" s="137">
        <v>8.5</v>
      </c>
      <c r="K1930" s="134"/>
      <c r="L1930" s="136">
        <v>35</v>
      </c>
      <c r="M1930" s="181"/>
      <c r="N1930" s="159"/>
      <c r="O1930" s="159"/>
      <c r="P1930" s="136"/>
    </row>
    <row r="1931" spans="1:16" x14ac:dyDescent="0.25">
      <c r="A1931" s="156">
        <v>45726</v>
      </c>
      <c r="B1931" s="136" t="s">
        <v>28</v>
      </c>
      <c r="C1931" s="157" t="str">
        <f t="shared" si="60"/>
        <v>10.03.2025_GRU2</v>
      </c>
      <c r="D1931" s="190">
        <f t="shared" si="61"/>
        <v>0</v>
      </c>
      <c r="E1931" s="133">
        <v>7.49</v>
      </c>
      <c r="F1931" s="134"/>
      <c r="G1931" s="135">
        <v>166.8</v>
      </c>
      <c r="H1931" s="137">
        <v>11</v>
      </c>
      <c r="I1931" s="134"/>
      <c r="J1931" s="137">
        <v>8.8000000000000007</v>
      </c>
      <c r="K1931" s="134"/>
      <c r="L1931" s="136">
        <v>40</v>
      </c>
      <c r="M1931" s="181"/>
      <c r="N1931" s="159"/>
      <c r="O1931" s="159"/>
      <c r="P1931" s="136"/>
    </row>
    <row r="1932" spans="1:16" x14ac:dyDescent="0.25">
      <c r="A1932" s="156">
        <v>45726</v>
      </c>
      <c r="B1932" s="136" t="s">
        <v>0</v>
      </c>
      <c r="C1932" s="157" t="str">
        <f t="shared" si="60"/>
        <v>10.03.2025_KIN1</v>
      </c>
      <c r="D1932" s="190">
        <f t="shared" si="61"/>
        <v>0</v>
      </c>
      <c r="E1932" s="133">
        <v>8.8000000000000007</v>
      </c>
      <c r="F1932" s="134"/>
      <c r="G1932" s="135">
        <v>412</v>
      </c>
      <c r="H1932" s="137">
        <v>12.2</v>
      </c>
      <c r="I1932" s="134"/>
      <c r="J1932" s="137">
        <v>9</v>
      </c>
      <c r="K1932" s="134"/>
      <c r="L1932" s="136">
        <v>16</v>
      </c>
      <c r="M1932" s="181"/>
      <c r="N1932" s="159"/>
      <c r="O1932" s="159"/>
      <c r="P1932" s="136"/>
    </row>
    <row r="1933" spans="1:16" x14ac:dyDescent="0.25">
      <c r="A1933" s="156">
        <v>45726</v>
      </c>
      <c r="B1933" s="136" t="s">
        <v>2</v>
      </c>
      <c r="C1933" s="157" t="str">
        <f t="shared" si="60"/>
        <v>10.03.2025_KIN2</v>
      </c>
      <c r="D1933" s="190">
        <f t="shared" si="61"/>
        <v>0</v>
      </c>
      <c r="E1933" s="133">
        <v>9.1</v>
      </c>
      <c r="F1933" s="134"/>
      <c r="G1933" s="135">
        <v>351</v>
      </c>
      <c r="H1933" s="137">
        <v>14.1</v>
      </c>
      <c r="I1933" s="134"/>
      <c r="J1933" s="137">
        <v>8.3000000000000007</v>
      </c>
      <c r="K1933" s="134"/>
      <c r="L1933" s="136">
        <v>36</v>
      </c>
      <c r="M1933" s="181"/>
      <c r="N1933" s="159"/>
      <c r="O1933" s="159"/>
      <c r="P1933" s="136"/>
    </row>
    <row r="1934" spans="1:16" x14ac:dyDescent="0.25">
      <c r="A1934" s="156">
        <v>45726</v>
      </c>
      <c r="B1934" s="136" t="s">
        <v>4</v>
      </c>
      <c r="C1934" s="157" t="str">
        <f t="shared" si="60"/>
        <v>10.03.2025_KIN3</v>
      </c>
      <c r="D1934" s="190">
        <f t="shared" si="61"/>
        <v>0</v>
      </c>
      <c r="E1934" s="133">
        <v>9</v>
      </c>
      <c r="F1934" s="134"/>
      <c r="G1934" s="135">
        <v>390</v>
      </c>
      <c r="H1934" s="137">
        <v>15.1</v>
      </c>
      <c r="I1934" s="134"/>
      <c r="J1934" s="137">
        <v>8</v>
      </c>
      <c r="K1934" s="134"/>
      <c r="L1934" s="136">
        <v>27</v>
      </c>
      <c r="M1934" s="181"/>
      <c r="N1934" s="159"/>
      <c r="O1934" s="159"/>
      <c r="P1934" s="136"/>
    </row>
    <row r="1935" spans="1:16" x14ac:dyDescent="0.25">
      <c r="A1935" s="156">
        <v>45726</v>
      </c>
      <c r="B1935" s="136" t="s">
        <v>6</v>
      </c>
      <c r="C1935" s="157" t="str">
        <f t="shared" si="60"/>
        <v>10.03.2025_KIN4</v>
      </c>
      <c r="D1935" s="190">
        <f t="shared" si="61"/>
        <v>0</v>
      </c>
      <c r="E1935" s="133">
        <v>8.3699999999999992</v>
      </c>
      <c r="F1935" s="134"/>
      <c r="G1935" s="135">
        <v>387</v>
      </c>
      <c r="H1935" s="137">
        <v>12.4</v>
      </c>
      <c r="I1935" s="134"/>
      <c r="J1935" s="137">
        <v>10.1</v>
      </c>
      <c r="K1935" s="134"/>
      <c r="L1935" s="136">
        <v>37</v>
      </c>
      <c r="M1935" s="181"/>
      <c r="N1935" s="159"/>
      <c r="O1935" s="159"/>
      <c r="P1935" s="136"/>
    </row>
    <row r="1936" spans="1:16" x14ac:dyDescent="0.25">
      <c r="A1936" s="156">
        <v>45726</v>
      </c>
      <c r="B1936" s="136" t="s">
        <v>421</v>
      </c>
      <c r="C1936" s="157" t="str">
        <f t="shared" si="60"/>
        <v>10.03.2025_KLI</v>
      </c>
      <c r="D1936" s="190">
        <f t="shared" si="61"/>
        <v>0</v>
      </c>
      <c r="E1936" s="133">
        <v>6.55</v>
      </c>
      <c r="F1936" s="134"/>
      <c r="G1936" s="135">
        <v>103</v>
      </c>
      <c r="H1936" s="137">
        <v>10.7</v>
      </c>
      <c r="I1936" s="134"/>
      <c r="J1936" s="137">
        <v>8.6</v>
      </c>
      <c r="K1936" s="134"/>
      <c r="L1936" s="136">
        <v>16</v>
      </c>
      <c r="M1936" s="181"/>
      <c r="N1936" s="159"/>
      <c r="O1936" s="159"/>
      <c r="P1936" s="136"/>
    </row>
    <row r="1937" spans="1:16" x14ac:dyDescent="0.25">
      <c r="A1937" s="156">
        <v>45726</v>
      </c>
      <c r="B1937" s="136" t="s">
        <v>34</v>
      </c>
      <c r="C1937" s="157" t="str">
        <f t="shared" si="60"/>
        <v>10.03.2025_KRE1</v>
      </c>
      <c r="D1937" s="190">
        <f t="shared" si="61"/>
        <v>0</v>
      </c>
      <c r="E1937" s="133">
        <v>8.26</v>
      </c>
      <c r="F1937" s="134"/>
      <c r="G1937" s="135">
        <v>863</v>
      </c>
      <c r="H1937" s="137">
        <v>11.9</v>
      </c>
      <c r="I1937" s="134"/>
      <c r="J1937" s="137">
        <v>8.1</v>
      </c>
      <c r="K1937" s="134"/>
      <c r="L1937" s="136">
        <v>45</v>
      </c>
      <c r="M1937" s="181"/>
      <c r="N1937" s="159"/>
      <c r="O1937" s="159"/>
      <c r="P1937" s="136"/>
    </row>
    <row r="1938" spans="1:16" x14ac:dyDescent="0.25">
      <c r="A1938" s="156">
        <v>45726</v>
      </c>
      <c r="B1938" s="136" t="s">
        <v>37</v>
      </c>
      <c r="C1938" s="157" t="str">
        <f t="shared" si="60"/>
        <v>10.03.2025_KRE2</v>
      </c>
      <c r="D1938" s="190">
        <f t="shared" si="61"/>
        <v>0</v>
      </c>
      <c r="E1938" s="133">
        <v>8.0299999999999994</v>
      </c>
      <c r="F1938" s="134"/>
      <c r="G1938" s="135">
        <v>859</v>
      </c>
      <c r="H1938" s="137">
        <v>10.8</v>
      </c>
      <c r="I1938" s="134"/>
      <c r="J1938" s="137">
        <v>7.4</v>
      </c>
      <c r="K1938" s="134"/>
      <c r="L1938" s="136">
        <v>55.000000000000007</v>
      </c>
      <c r="M1938" s="181"/>
      <c r="N1938" s="159"/>
      <c r="O1938" s="159"/>
      <c r="P1938" s="136"/>
    </row>
    <row r="1939" spans="1:16" x14ac:dyDescent="0.25">
      <c r="A1939" s="156">
        <v>45726</v>
      </c>
      <c r="B1939" s="136" t="s">
        <v>18</v>
      </c>
      <c r="C1939" s="157" t="str">
        <f t="shared" si="60"/>
        <v>10.03.2025_ORB1</v>
      </c>
      <c r="D1939" s="190">
        <f t="shared" si="61"/>
        <v>0</v>
      </c>
      <c r="E1939" s="133">
        <v>7.2</v>
      </c>
      <c r="F1939" s="134"/>
      <c r="G1939" s="135">
        <v>109</v>
      </c>
      <c r="H1939" s="137">
        <v>11.4</v>
      </c>
      <c r="I1939" s="134"/>
      <c r="J1939" s="137">
        <v>10</v>
      </c>
      <c r="K1939" s="134"/>
      <c r="L1939" s="136">
        <v>18</v>
      </c>
      <c r="M1939" s="181"/>
      <c r="N1939" s="159"/>
      <c r="O1939" s="159"/>
      <c r="P1939" s="136"/>
    </row>
    <row r="1940" spans="1:16" x14ac:dyDescent="0.25">
      <c r="A1940" s="156">
        <v>45726</v>
      </c>
      <c r="B1940" s="136" t="s">
        <v>21</v>
      </c>
      <c r="C1940" s="157" t="str">
        <f t="shared" si="60"/>
        <v>10.03.2025_ORB2</v>
      </c>
      <c r="D1940" s="190">
        <f t="shared" si="61"/>
        <v>0</v>
      </c>
      <c r="E1940" s="133">
        <v>7.04</v>
      </c>
      <c r="F1940" s="134"/>
      <c r="G1940" s="135">
        <v>130</v>
      </c>
      <c r="H1940" s="137">
        <v>11</v>
      </c>
      <c r="I1940" s="134"/>
      <c r="J1940" s="137">
        <v>11.1</v>
      </c>
      <c r="K1940" s="134"/>
      <c r="L1940" s="136">
        <v>35</v>
      </c>
      <c r="M1940" s="181"/>
      <c r="N1940" s="159"/>
      <c r="O1940" s="159"/>
      <c r="P1940" s="136"/>
    </row>
    <row r="1941" spans="1:16" x14ac:dyDescent="0.25">
      <c r="A1941" s="156">
        <v>45726</v>
      </c>
      <c r="B1941" s="136" t="s">
        <v>10</v>
      </c>
      <c r="C1941" s="157" t="str">
        <f t="shared" si="60"/>
        <v>10.03.2025_SAL1</v>
      </c>
      <c r="D1941" s="190">
        <f t="shared" si="61"/>
        <v>0</v>
      </c>
      <c r="E1941" s="133">
        <v>8.3000000000000007</v>
      </c>
      <c r="F1941" s="134"/>
      <c r="G1941" s="135">
        <v>158</v>
      </c>
      <c r="H1941" s="137">
        <v>18.2</v>
      </c>
      <c r="I1941" s="134"/>
      <c r="J1941" s="137">
        <v>7.8</v>
      </c>
      <c r="K1941" s="134"/>
      <c r="L1941" s="136">
        <v>36</v>
      </c>
      <c r="M1941" s="181"/>
      <c r="N1941" s="159"/>
      <c r="O1941" s="159"/>
      <c r="P1941" s="136"/>
    </row>
    <row r="1942" spans="1:16" x14ac:dyDescent="0.25">
      <c r="A1942" s="156">
        <v>45726</v>
      </c>
      <c r="B1942" s="136" t="s">
        <v>12</v>
      </c>
      <c r="C1942" s="157" t="str">
        <f t="shared" si="60"/>
        <v>10.03.2025_SAL2</v>
      </c>
      <c r="D1942" s="190">
        <f t="shared" si="61"/>
        <v>0</v>
      </c>
      <c r="E1942" s="133">
        <v>9.15</v>
      </c>
      <c r="F1942" s="134"/>
      <c r="G1942" s="135">
        <v>167</v>
      </c>
      <c r="H1942" s="137">
        <v>17.8</v>
      </c>
      <c r="I1942" s="134"/>
      <c r="J1942" s="137">
        <v>8.4</v>
      </c>
      <c r="K1942" s="134"/>
      <c r="L1942" s="136">
        <v>38</v>
      </c>
      <c r="M1942" s="181"/>
      <c r="N1942" s="159"/>
      <c r="O1942" s="159"/>
      <c r="P1942" s="136"/>
    </row>
    <row r="1943" spans="1:16" x14ac:dyDescent="0.25">
      <c r="A1943" s="156">
        <v>45726</v>
      </c>
      <c r="B1943" s="136" t="s">
        <v>7</v>
      </c>
      <c r="C1943" s="157" t="str">
        <f t="shared" si="60"/>
        <v>10.03.2025_STE1</v>
      </c>
      <c r="D1943" s="190">
        <f t="shared" si="61"/>
        <v>0</v>
      </c>
      <c r="E1943" s="133">
        <v>8.7100000000000009</v>
      </c>
      <c r="F1943" s="134"/>
      <c r="G1943" s="135">
        <v>245</v>
      </c>
      <c r="H1943" s="137">
        <v>11.5</v>
      </c>
      <c r="I1943" s="134"/>
      <c r="J1943" s="137">
        <v>11.1</v>
      </c>
      <c r="K1943" s="134"/>
      <c r="L1943" s="136">
        <v>20</v>
      </c>
      <c r="M1943" s="181"/>
      <c r="N1943" s="159"/>
      <c r="O1943" s="159"/>
      <c r="P1943" s="136"/>
    </row>
    <row r="1944" spans="1:16" x14ac:dyDescent="0.25">
      <c r="A1944" s="156">
        <v>45726</v>
      </c>
      <c r="B1944" s="136" t="s">
        <v>9</v>
      </c>
      <c r="C1944" s="157" t="str">
        <f t="shared" si="60"/>
        <v>10.03.2025_STE2</v>
      </c>
      <c r="D1944" s="190">
        <f t="shared" si="61"/>
        <v>0</v>
      </c>
      <c r="E1944" s="133">
        <v>9.24</v>
      </c>
      <c r="F1944" s="134"/>
      <c r="G1944" s="135">
        <v>235</v>
      </c>
      <c r="H1944" s="137">
        <v>11.7</v>
      </c>
      <c r="I1944" s="134"/>
      <c r="J1944" s="137">
        <v>10.3</v>
      </c>
      <c r="K1944" s="134"/>
      <c r="L1944" s="136">
        <v>39</v>
      </c>
      <c r="M1944" s="181"/>
      <c r="N1944" s="159"/>
      <c r="O1944" s="159"/>
      <c r="P1944" s="136"/>
    </row>
    <row r="1945" spans="1:16" x14ac:dyDescent="0.25">
      <c r="A1945" s="156">
        <v>45761</v>
      </c>
      <c r="B1945" s="136" t="s">
        <v>22</v>
      </c>
      <c r="C1945" s="157" t="str">
        <f t="shared" ref="C1945:C1965" si="62">CONCATENATE(TEXT(A1945,"TT.MM.JJJJ"),"_",B1945)</f>
        <v>14.04.2025_BIE1</v>
      </c>
      <c r="D1945" s="190">
        <f t="shared" ref="D1945:D1965" si="63">COUNTBLANK(E1945)+COUNTBLANK(G1945:H1945)+COUNTBLANK(J1945)+COUNTBLANK(L1945)</f>
        <v>0</v>
      </c>
      <c r="E1945" s="133">
        <v>7.77</v>
      </c>
      <c r="F1945" s="134"/>
      <c r="G1945" s="135">
        <v>159.69999999999999</v>
      </c>
      <c r="H1945" s="137">
        <v>10.9</v>
      </c>
      <c r="I1945" s="134"/>
      <c r="J1945" s="137">
        <v>12.8</v>
      </c>
      <c r="K1945" s="134"/>
      <c r="L1945" s="136">
        <v>30</v>
      </c>
      <c r="M1945" s="181"/>
      <c r="N1945" s="159"/>
      <c r="O1945" s="159"/>
      <c r="P1945" s="136"/>
    </row>
    <row r="1946" spans="1:16" x14ac:dyDescent="0.25">
      <c r="A1946" s="156">
        <v>45761</v>
      </c>
      <c r="B1946" s="136" t="s">
        <v>25</v>
      </c>
      <c r="C1946" s="157" t="str">
        <f t="shared" si="62"/>
        <v>14.04.2025_BIE2</v>
      </c>
      <c r="D1946" s="190">
        <f t="shared" si="63"/>
        <v>0</v>
      </c>
      <c r="E1946" s="133">
        <v>7.68</v>
      </c>
      <c r="F1946" s="134"/>
      <c r="G1946" s="135">
        <v>169.9</v>
      </c>
      <c r="H1946" s="137">
        <v>10.9</v>
      </c>
      <c r="I1946" s="134"/>
      <c r="J1946" s="137">
        <v>12.6</v>
      </c>
      <c r="K1946" s="134"/>
      <c r="L1946" s="136">
        <v>35</v>
      </c>
      <c r="M1946" s="181"/>
      <c r="N1946" s="159"/>
      <c r="O1946" s="159"/>
      <c r="P1946" s="136"/>
    </row>
    <row r="1947" spans="1:16" x14ac:dyDescent="0.25">
      <c r="A1947" s="156">
        <v>45761</v>
      </c>
      <c r="B1947" s="136" t="s">
        <v>14</v>
      </c>
      <c r="C1947" s="157" t="str">
        <f t="shared" si="62"/>
        <v>14.04.2025_BRA1</v>
      </c>
      <c r="D1947" s="190">
        <f t="shared" si="63"/>
        <v>3</v>
      </c>
      <c r="E1947" s="283"/>
      <c r="F1947" s="134"/>
      <c r="G1947" s="283"/>
      <c r="H1947" s="283"/>
      <c r="I1947" s="134"/>
      <c r="J1947" s="137">
        <v>14.72</v>
      </c>
      <c r="K1947" s="134"/>
      <c r="L1947" s="136">
        <v>17</v>
      </c>
      <c r="M1947" s="181"/>
      <c r="N1947" s="159"/>
      <c r="O1947" s="159"/>
      <c r="P1947" s="292" t="s">
        <v>453</v>
      </c>
    </row>
    <row r="1948" spans="1:16" x14ac:dyDescent="0.25">
      <c r="A1948" s="156">
        <v>45761</v>
      </c>
      <c r="B1948" s="136" t="s">
        <v>17</v>
      </c>
      <c r="C1948" s="157" t="str">
        <f t="shared" si="62"/>
        <v>14.04.2025_BRA2</v>
      </c>
      <c r="D1948" s="190">
        <f t="shared" si="63"/>
        <v>3</v>
      </c>
      <c r="E1948" s="283"/>
      <c r="F1948" s="134"/>
      <c r="G1948" s="283"/>
      <c r="H1948" s="283"/>
      <c r="I1948" s="134"/>
      <c r="J1948" s="137">
        <v>14.08</v>
      </c>
      <c r="K1948" s="134"/>
      <c r="L1948" s="136">
        <v>28.000000000000004</v>
      </c>
      <c r="M1948" s="181"/>
      <c r="N1948" s="159"/>
      <c r="O1948" s="159"/>
      <c r="P1948" s="293"/>
    </row>
    <row r="1949" spans="1:16" x14ac:dyDescent="0.25">
      <c r="A1949" s="156">
        <v>45761</v>
      </c>
      <c r="B1949" s="136" t="s">
        <v>30</v>
      </c>
      <c r="C1949" s="157" t="str">
        <f t="shared" si="62"/>
        <v>14.04.2025_FAL1</v>
      </c>
      <c r="D1949" s="190">
        <f t="shared" si="63"/>
        <v>0</v>
      </c>
      <c r="E1949" s="133">
        <v>7.86</v>
      </c>
      <c r="F1949" s="134"/>
      <c r="G1949" s="135">
        <v>725</v>
      </c>
      <c r="H1949" s="137">
        <v>10.3</v>
      </c>
      <c r="I1949" s="134"/>
      <c r="J1949" s="137">
        <v>11.4</v>
      </c>
      <c r="K1949" s="134"/>
      <c r="L1949" s="136">
        <v>30</v>
      </c>
      <c r="M1949" s="181"/>
      <c r="N1949" s="159"/>
      <c r="O1949" s="159"/>
      <c r="P1949" s="136" t="s">
        <v>451</v>
      </c>
    </row>
    <row r="1950" spans="1:16" x14ac:dyDescent="0.25">
      <c r="A1950" s="156">
        <v>45761</v>
      </c>
      <c r="B1950" s="136" t="s">
        <v>32</v>
      </c>
      <c r="C1950" s="157" t="str">
        <f t="shared" si="62"/>
        <v>14.04.2025_FAL2</v>
      </c>
      <c r="D1950" s="190">
        <f t="shared" si="63"/>
        <v>0</v>
      </c>
      <c r="E1950" s="133">
        <v>8.24</v>
      </c>
      <c r="F1950" s="134"/>
      <c r="G1950" s="135">
        <v>732</v>
      </c>
      <c r="H1950" s="137">
        <v>10.7</v>
      </c>
      <c r="I1950" s="134"/>
      <c r="J1950" s="137">
        <v>12.1</v>
      </c>
      <c r="K1950" s="134"/>
      <c r="L1950" s="136">
        <v>25</v>
      </c>
      <c r="M1950" s="181"/>
      <c r="N1950" s="159"/>
      <c r="O1950" s="159"/>
      <c r="P1950" s="136"/>
    </row>
    <row r="1951" spans="1:16" x14ac:dyDescent="0.25">
      <c r="A1951" s="156">
        <v>45761</v>
      </c>
      <c r="B1951" s="136" t="s">
        <v>26</v>
      </c>
      <c r="C1951" s="157" t="str">
        <f t="shared" si="62"/>
        <v>14.04.2025_GRU1</v>
      </c>
      <c r="D1951" s="190">
        <f t="shared" si="63"/>
        <v>0</v>
      </c>
      <c r="E1951" s="133">
        <v>7.84</v>
      </c>
      <c r="F1951" s="134"/>
      <c r="G1951" s="135">
        <v>158.4</v>
      </c>
      <c r="H1951" s="137">
        <v>11.9</v>
      </c>
      <c r="I1951" s="134"/>
      <c r="J1951" s="137">
        <v>12.8</v>
      </c>
      <c r="K1951" s="134"/>
      <c r="L1951" s="136">
        <v>30</v>
      </c>
      <c r="M1951" s="181"/>
      <c r="N1951" s="159"/>
      <c r="O1951" s="159"/>
      <c r="P1951" s="136"/>
    </row>
    <row r="1952" spans="1:16" x14ac:dyDescent="0.25">
      <c r="A1952" s="156">
        <v>45761</v>
      </c>
      <c r="B1952" s="136" t="s">
        <v>28</v>
      </c>
      <c r="C1952" s="157" t="str">
        <f t="shared" si="62"/>
        <v>14.04.2025_GRU2</v>
      </c>
      <c r="D1952" s="190">
        <f t="shared" si="63"/>
        <v>0</v>
      </c>
      <c r="E1952" s="133">
        <v>7.25</v>
      </c>
      <c r="F1952" s="134"/>
      <c r="G1952" s="135">
        <v>176</v>
      </c>
      <c r="H1952" s="137">
        <v>12.4</v>
      </c>
      <c r="I1952" s="134"/>
      <c r="J1952" s="137">
        <v>13.1</v>
      </c>
      <c r="K1952" s="134"/>
      <c r="L1952" s="136">
        <v>40</v>
      </c>
      <c r="M1952" s="181"/>
      <c r="N1952" s="159"/>
      <c r="O1952" s="159"/>
      <c r="P1952" s="136"/>
    </row>
    <row r="1953" spans="1:16" x14ac:dyDescent="0.25">
      <c r="A1953" s="156">
        <v>45761</v>
      </c>
      <c r="B1953" s="136" t="s">
        <v>0</v>
      </c>
      <c r="C1953" s="157" t="str">
        <f t="shared" si="62"/>
        <v>14.04.2025_KIN1</v>
      </c>
      <c r="D1953" s="190">
        <f t="shared" si="63"/>
        <v>3</v>
      </c>
      <c r="E1953" s="283"/>
      <c r="F1953" s="134"/>
      <c r="G1953" s="283"/>
      <c r="H1953" s="283"/>
      <c r="I1953" s="134"/>
      <c r="J1953" s="137">
        <v>9.6300000000000008</v>
      </c>
      <c r="K1953" s="134"/>
      <c r="L1953" s="136">
        <v>24</v>
      </c>
      <c r="M1953" s="181"/>
      <c r="N1953" s="159"/>
      <c r="O1953" s="159"/>
      <c r="P1953" s="289" t="s">
        <v>452</v>
      </c>
    </row>
    <row r="1954" spans="1:16" x14ac:dyDescent="0.25">
      <c r="A1954" s="156">
        <v>45761</v>
      </c>
      <c r="B1954" s="136" t="s">
        <v>2</v>
      </c>
      <c r="C1954" s="157" t="str">
        <f t="shared" si="62"/>
        <v>14.04.2025_KIN2</v>
      </c>
      <c r="D1954" s="190">
        <f t="shared" si="63"/>
        <v>3</v>
      </c>
      <c r="E1954" s="283"/>
      <c r="F1954" s="134"/>
      <c r="G1954" s="283"/>
      <c r="H1954" s="283"/>
      <c r="I1954" s="134"/>
      <c r="J1954" s="137">
        <v>10.83</v>
      </c>
      <c r="K1954" s="134"/>
      <c r="L1954" s="136">
        <v>11</v>
      </c>
      <c r="M1954" s="181"/>
      <c r="N1954" s="159"/>
      <c r="O1954" s="159"/>
      <c r="P1954" s="290"/>
    </row>
    <row r="1955" spans="1:16" x14ac:dyDescent="0.25">
      <c r="A1955" s="156">
        <v>45761</v>
      </c>
      <c r="B1955" s="136" t="s">
        <v>4</v>
      </c>
      <c r="C1955" s="157" t="str">
        <f t="shared" si="62"/>
        <v>14.04.2025_KIN3</v>
      </c>
      <c r="D1955" s="190">
        <f t="shared" si="63"/>
        <v>3</v>
      </c>
      <c r="E1955" s="283"/>
      <c r="F1955" s="134"/>
      <c r="G1955" s="283"/>
      <c r="H1955" s="283"/>
      <c r="I1955" s="134"/>
      <c r="J1955" s="137">
        <v>10.89</v>
      </c>
      <c r="K1955" s="134"/>
      <c r="L1955" s="136">
        <v>27</v>
      </c>
      <c r="M1955" s="181"/>
      <c r="N1955" s="159"/>
      <c r="O1955" s="159"/>
      <c r="P1955" s="290"/>
    </row>
    <row r="1956" spans="1:16" x14ac:dyDescent="0.25">
      <c r="A1956" s="156">
        <v>45761</v>
      </c>
      <c r="B1956" s="136" t="s">
        <v>6</v>
      </c>
      <c r="C1956" s="157" t="str">
        <f t="shared" si="62"/>
        <v>14.04.2025_KIN4</v>
      </c>
      <c r="D1956" s="190">
        <f t="shared" si="63"/>
        <v>3</v>
      </c>
      <c r="E1956" s="283"/>
      <c r="F1956" s="134"/>
      <c r="G1956" s="283"/>
      <c r="H1956" s="283"/>
      <c r="I1956" s="134"/>
      <c r="J1956" s="137">
        <v>11.58</v>
      </c>
      <c r="K1956" s="134"/>
      <c r="L1956" s="136">
        <v>24</v>
      </c>
      <c r="M1956" s="181"/>
      <c r="N1956" s="159"/>
      <c r="O1956" s="159"/>
      <c r="P1956" s="291"/>
    </row>
    <row r="1957" spans="1:16" x14ac:dyDescent="0.25">
      <c r="A1957" s="156">
        <v>45761</v>
      </c>
      <c r="B1957" s="136" t="s">
        <v>421</v>
      </c>
      <c r="C1957" s="157" t="str">
        <f t="shared" si="62"/>
        <v>14.04.2025_KLI</v>
      </c>
      <c r="D1957" s="190">
        <f t="shared" si="63"/>
        <v>1</v>
      </c>
      <c r="E1957" s="133">
        <v>8.1199999999999992</v>
      </c>
      <c r="F1957" s="134"/>
      <c r="G1957" s="135">
        <v>191</v>
      </c>
      <c r="H1957" s="283"/>
      <c r="I1957" s="134"/>
      <c r="J1957" s="137">
        <v>13.78</v>
      </c>
      <c r="K1957" s="134"/>
      <c r="L1957" s="136">
        <v>2</v>
      </c>
      <c r="M1957" s="181"/>
      <c r="N1957" s="159"/>
      <c r="O1957" s="159"/>
      <c r="P1957" s="136"/>
    </row>
    <row r="1958" spans="1:16" x14ac:dyDescent="0.25">
      <c r="A1958" s="156">
        <v>45761</v>
      </c>
      <c r="B1958" s="136" t="s">
        <v>34</v>
      </c>
      <c r="C1958" s="157" t="str">
        <f t="shared" si="62"/>
        <v>14.04.2025_KRE1</v>
      </c>
      <c r="D1958" s="190">
        <f t="shared" si="63"/>
        <v>0</v>
      </c>
      <c r="E1958" s="133">
        <v>7.94</v>
      </c>
      <c r="F1958" s="134"/>
      <c r="G1958" s="135">
        <v>767</v>
      </c>
      <c r="H1958" s="137">
        <v>9.6999999999999993</v>
      </c>
      <c r="I1958" s="134"/>
      <c r="J1958" s="137">
        <v>11.7</v>
      </c>
      <c r="K1958" s="134"/>
      <c r="L1958" s="136">
        <v>40</v>
      </c>
      <c r="M1958" s="181"/>
      <c r="N1958" s="159"/>
      <c r="O1958" s="159"/>
      <c r="P1958" s="136"/>
    </row>
    <row r="1959" spans="1:16" x14ac:dyDescent="0.25">
      <c r="A1959" s="156">
        <v>45761</v>
      </c>
      <c r="B1959" s="136" t="s">
        <v>37</v>
      </c>
      <c r="C1959" s="157" t="str">
        <f t="shared" si="62"/>
        <v>14.04.2025_KRE2</v>
      </c>
      <c r="D1959" s="190">
        <f t="shared" si="63"/>
        <v>0</v>
      </c>
      <c r="E1959" s="133">
        <v>7.95</v>
      </c>
      <c r="F1959" s="134"/>
      <c r="G1959" s="135">
        <v>771</v>
      </c>
      <c r="H1959" s="137">
        <v>9.3000000000000007</v>
      </c>
      <c r="I1959" s="134"/>
      <c r="J1959" s="137">
        <v>11.7</v>
      </c>
      <c r="K1959" s="134"/>
      <c r="L1959" s="136">
        <v>25</v>
      </c>
      <c r="M1959" s="181"/>
      <c r="N1959" s="159"/>
      <c r="O1959" s="159"/>
      <c r="P1959" s="136"/>
    </row>
    <row r="1960" spans="1:16" x14ac:dyDescent="0.25">
      <c r="A1960" s="156">
        <v>45761</v>
      </c>
      <c r="B1960" s="136" t="s">
        <v>18</v>
      </c>
      <c r="C1960" s="157" t="str">
        <f t="shared" si="62"/>
        <v>14.04.2025_ORB1</v>
      </c>
      <c r="D1960" s="190">
        <f t="shared" si="63"/>
        <v>1</v>
      </c>
      <c r="E1960" s="133">
        <v>197</v>
      </c>
      <c r="F1960" s="134"/>
      <c r="G1960" s="135">
        <v>197</v>
      </c>
      <c r="H1960" s="283"/>
      <c r="I1960" s="134"/>
      <c r="J1960" s="137">
        <v>13.13</v>
      </c>
      <c r="K1960" s="134"/>
      <c r="L1960" s="136">
        <v>24</v>
      </c>
      <c r="M1960" s="181"/>
      <c r="N1960" s="159"/>
      <c r="O1960" s="159"/>
      <c r="P1960" s="292" t="s">
        <v>453</v>
      </c>
    </row>
    <row r="1961" spans="1:16" x14ac:dyDescent="0.25">
      <c r="A1961" s="156">
        <v>45761</v>
      </c>
      <c r="B1961" s="136" t="s">
        <v>21</v>
      </c>
      <c r="C1961" s="157" t="str">
        <f t="shared" si="62"/>
        <v>14.04.2025_ORB2</v>
      </c>
      <c r="D1961" s="190">
        <f t="shared" si="63"/>
        <v>1</v>
      </c>
      <c r="E1961" s="133">
        <v>238</v>
      </c>
      <c r="F1961" s="134"/>
      <c r="G1961" s="135">
        <v>238</v>
      </c>
      <c r="H1961" s="283"/>
      <c r="I1961" s="134"/>
      <c r="J1961" s="137">
        <v>13.33</v>
      </c>
      <c r="K1961" s="134"/>
      <c r="L1961" s="136">
        <v>16</v>
      </c>
      <c r="M1961" s="181"/>
      <c r="N1961" s="159"/>
      <c r="O1961" s="159"/>
      <c r="P1961" s="293"/>
    </row>
    <row r="1962" spans="1:16" x14ac:dyDescent="0.25">
      <c r="A1962" s="156">
        <v>45761</v>
      </c>
      <c r="B1962" s="136" t="s">
        <v>10</v>
      </c>
      <c r="C1962" s="157" t="str">
        <f t="shared" si="62"/>
        <v>14.04.2025_SAL1</v>
      </c>
      <c r="D1962" s="190">
        <f t="shared" si="63"/>
        <v>3</v>
      </c>
      <c r="E1962" s="283"/>
      <c r="F1962" s="134"/>
      <c r="G1962" s="283"/>
      <c r="H1962" s="283"/>
      <c r="I1962" s="134"/>
      <c r="J1962" s="137">
        <v>13.03</v>
      </c>
      <c r="K1962" s="134"/>
      <c r="L1962" s="136">
        <v>35</v>
      </c>
      <c r="M1962" s="181"/>
      <c r="N1962" s="159"/>
      <c r="O1962" s="159"/>
      <c r="P1962" s="292" t="s">
        <v>453</v>
      </c>
    </row>
    <row r="1963" spans="1:16" x14ac:dyDescent="0.25">
      <c r="A1963" s="156">
        <v>45761</v>
      </c>
      <c r="B1963" s="136" t="s">
        <v>12</v>
      </c>
      <c r="C1963" s="157" t="str">
        <f t="shared" si="62"/>
        <v>14.04.2025_SAL2</v>
      </c>
      <c r="D1963" s="190">
        <f t="shared" si="63"/>
        <v>3</v>
      </c>
      <c r="E1963" s="283"/>
      <c r="F1963" s="134"/>
      <c r="G1963" s="283"/>
      <c r="H1963" s="283"/>
      <c r="I1963" s="134"/>
      <c r="J1963" s="137">
        <v>13.57</v>
      </c>
      <c r="K1963" s="134"/>
      <c r="L1963" s="136">
        <v>30</v>
      </c>
      <c r="M1963" s="181"/>
      <c r="N1963" s="159"/>
      <c r="O1963" s="159"/>
      <c r="P1963" s="293"/>
    </row>
    <row r="1964" spans="1:16" x14ac:dyDescent="0.25">
      <c r="A1964" s="156">
        <v>45761</v>
      </c>
      <c r="B1964" s="136" t="s">
        <v>7</v>
      </c>
      <c r="C1964" s="157" t="str">
        <f t="shared" si="62"/>
        <v>14.04.2025_STE1</v>
      </c>
      <c r="D1964" s="190">
        <f t="shared" si="63"/>
        <v>3</v>
      </c>
      <c r="E1964" s="283"/>
      <c r="F1964" s="134"/>
      <c r="G1964" s="283"/>
      <c r="H1964" s="283"/>
      <c r="I1964" s="134"/>
      <c r="J1964" s="137">
        <v>11.8</v>
      </c>
      <c r="K1964" s="134"/>
      <c r="L1964" s="136">
        <v>38</v>
      </c>
      <c r="M1964" s="181"/>
      <c r="N1964" s="159"/>
      <c r="O1964" s="159"/>
      <c r="P1964" s="292" t="s">
        <v>453</v>
      </c>
    </row>
    <row r="1965" spans="1:16" x14ac:dyDescent="0.25">
      <c r="A1965" s="156">
        <v>45761</v>
      </c>
      <c r="B1965" s="136" t="s">
        <v>9</v>
      </c>
      <c r="C1965" s="157" t="str">
        <f t="shared" si="62"/>
        <v>14.04.2025_STE2</v>
      </c>
      <c r="D1965" s="190">
        <f t="shared" si="63"/>
        <v>3</v>
      </c>
      <c r="E1965" s="283"/>
      <c r="F1965" s="134"/>
      <c r="G1965" s="283"/>
      <c r="H1965" s="283"/>
      <c r="I1965" s="134"/>
      <c r="J1965" s="137">
        <v>12</v>
      </c>
      <c r="K1965" s="134"/>
      <c r="L1965" s="136">
        <v>30</v>
      </c>
      <c r="M1965" s="181"/>
      <c r="N1965" s="159"/>
      <c r="O1965" s="159"/>
      <c r="P1965" s="293"/>
    </row>
    <row r="1966" spans="1:16" x14ac:dyDescent="0.25">
      <c r="A1966" s="156">
        <v>45782</v>
      </c>
      <c r="B1966" s="136" t="s">
        <v>22</v>
      </c>
      <c r="C1966" s="157" t="str">
        <f t="shared" ref="C1966:C1986" si="64">CONCATENATE(TEXT(A1966,"TT.MM.JJJJ"),"_",B1966)</f>
        <v>05.05.2025_BIE1</v>
      </c>
      <c r="D1966" s="190">
        <f t="shared" ref="D1966:D1986" si="65">COUNTBLANK(E1966)+COUNTBLANK(G1966:H1966)+COUNTBLANK(J1966)+COUNTBLANK(L1966)</f>
        <v>0</v>
      </c>
      <c r="E1966" s="133">
        <v>7.87</v>
      </c>
      <c r="F1966" s="134"/>
      <c r="G1966" s="135">
        <v>158</v>
      </c>
      <c r="H1966" s="137">
        <v>11.33</v>
      </c>
      <c r="I1966" s="134"/>
      <c r="J1966" s="137">
        <v>10.93</v>
      </c>
      <c r="K1966" s="134"/>
      <c r="L1966" s="136">
        <v>25</v>
      </c>
      <c r="M1966" s="181"/>
      <c r="N1966" s="159"/>
      <c r="O1966" s="159"/>
      <c r="P1966" s="136"/>
    </row>
    <row r="1967" spans="1:16" x14ac:dyDescent="0.25">
      <c r="A1967" s="156">
        <v>45782</v>
      </c>
      <c r="B1967" s="136" t="s">
        <v>25</v>
      </c>
      <c r="C1967" s="157" t="str">
        <f t="shared" si="64"/>
        <v>05.05.2025_BIE2</v>
      </c>
      <c r="D1967" s="190">
        <f t="shared" si="65"/>
        <v>0</v>
      </c>
      <c r="E1967" s="133">
        <v>7.85</v>
      </c>
      <c r="F1967" s="134"/>
      <c r="G1967" s="135">
        <v>165</v>
      </c>
      <c r="H1967" s="137">
        <v>11.2</v>
      </c>
      <c r="I1967" s="134"/>
      <c r="J1967" s="137">
        <v>10.86</v>
      </c>
      <c r="K1967" s="134"/>
      <c r="L1967" s="136">
        <v>50</v>
      </c>
      <c r="M1967" s="181"/>
      <c r="N1967" s="159"/>
      <c r="O1967" s="159"/>
      <c r="P1967" s="136"/>
    </row>
    <row r="1968" spans="1:16" x14ac:dyDescent="0.25">
      <c r="A1968" s="156">
        <v>45782</v>
      </c>
      <c r="B1968" s="136" t="s">
        <v>14</v>
      </c>
      <c r="C1968" s="157" t="str">
        <f t="shared" si="64"/>
        <v>05.05.2025_BRA1</v>
      </c>
      <c r="D1968" s="190">
        <f t="shared" si="65"/>
        <v>0</v>
      </c>
      <c r="E1968" s="133">
        <v>8.1199999999999992</v>
      </c>
      <c r="F1968" s="134"/>
      <c r="G1968" s="135">
        <v>174</v>
      </c>
      <c r="H1968" s="137">
        <v>10.67</v>
      </c>
      <c r="I1968" s="134"/>
      <c r="J1968" s="137">
        <v>13.38</v>
      </c>
      <c r="K1968" s="134"/>
      <c r="L1968" s="136">
        <v>9</v>
      </c>
      <c r="M1968" s="181"/>
      <c r="N1968" s="159"/>
      <c r="O1968" s="159"/>
      <c r="P1968" s="136"/>
    </row>
    <row r="1969" spans="1:16" x14ac:dyDescent="0.25">
      <c r="A1969" s="156">
        <v>45782</v>
      </c>
      <c r="B1969" s="136" t="s">
        <v>17</v>
      </c>
      <c r="C1969" s="157" t="str">
        <f t="shared" si="64"/>
        <v>05.05.2025_BRA2</v>
      </c>
      <c r="D1969" s="190">
        <f t="shared" si="65"/>
        <v>0</v>
      </c>
      <c r="E1969" s="133">
        <v>8.23</v>
      </c>
      <c r="F1969" s="134"/>
      <c r="G1969" s="135">
        <v>202</v>
      </c>
      <c r="H1969" s="137">
        <v>10.96</v>
      </c>
      <c r="I1969" s="134"/>
      <c r="J1969" s="137">
        <v>11.88</v>
      </c>
      <c r="K1969" s="134"/>
      <c r="L1969" s="136">
        <v>22</v>
      </c>
      <c r="M1969" s="181"/>
      <c r="N1969" s="159"/>
      <c r="O1969" s="159"/>
      <c r="P1969" s="136"/>
    </row>
    <row r="1970" spans="1:16" x14ac:dyDescent="0.25">
      <c r="A1970" s="156">
        <v>45782</v>
      </c>
      <c r="B1970" s="136" t="s">
        <v>30</v>
      </c>
      <c r="C1970" s="157" t="str">
        <f t="shared" si="64"/>
        <v>05.05.2025_FAL1</v>
      </c>
      <c r="D1970" s="190">
        <f t="shared" si="65"/>
        <v>0</v>
      </c>
      <c r="E1970" s="133">
        <v>7.96</v>
      </c>
      <c r="F1970" s="134"/>
      <c r="G1970" s="135">
        <v>704</v>
      </c>
      <c r="H1970" s="137">
        <v>10.35</v>
      </c>
      <c r="I1970" s="134"/>
      <c r="J1970" s="137">
        <v>11.45</v>
      </c>
      <c r="K1970" s="134"/>
      <c r="L1970" s="136">
        <v>20</v>
      </c>
      <c r="M1970" s="181"/>
      <c r="N1970" s="159"/>
      <c r="O1970" s="159"/>
      <c r="P1970" s="136"/>
    </row>
    <row r="1971" spans="1:16" x14ac:dyDescent="0.25">
      <c r="A1971" s="156">
        <v>45782</v>
      </c>
      <c r="B1971" s="136" t="s">
        <v>32</v>
      </c>
      <c r="C1971" s="157" t="str">
        <f t="shared" si="64"/>
        <v>05.05.2025_FAL2</v>
      </c>
      <c r="D1971" s="190">
        <f t="shared" si="65"/>
        <v>0</v>
      </c>
      <c r="E1971" s="133">
        <v>8.23</v>
      </c>
      <c r="F1971" s="134"/>
      <c r="G1971" s="135">
        <v>673</v>
      </c>
      <c r="H1971" s="137">
        <v>10.6</v>
      </c>
      <c r="I1971" s="134"/>
      <c r="J1971" s="137">
        <v>11.34</v>
      </c>
      <c r="K1971" s="134"/>
      <c r="L1971" s="136">
        <v>25</v>
      </c>
      <c r="M1971" s="181"/>
      <c r="N1971" s="159"/>
      <c r="O1971" s="159"/>
      <c r="P1971" s="136"/>
    </row>
    <row r="1972" spans="1:16" x14ac:dyDescent="0.25">
      <c r="A1972" s="156">
        <v>45782</v>
      </c>
      <c r="B1972" s="136" t="s">
        <v>26</v>
      </c>
      <c r="C1972" s="157" t="str">
        <f t="shared" si="64"/>
        <v>05.05.2025_GRU1</v>
      </c>
      <c r="D1972" s="190">
        <f t="shared" si="65"/>
        <v>0</v>
      </c>
      <c r="E1972" s="133">
        <v>7.54</v>
      </c>
      <c r="F1972" s="134"/>
      <c r="G1972" s="135">
        <v>149</v>
      </c>
      <c r="H1972" s="137">
        <v>11.1</v>
      </c>
      <c r="I1972" s="134"/>
      <c r="J1972" s="137">
        <v>11.52</v>
      </c>
      <c r="K1972" s="134"/>
      <c r="L1972" s="136">
        <v>30</v>
      </c>
      <c r="M1972" s="181"/>
      <c r="N1972" s="159"/>
      <c r="O1972" s="159"/>
      <c r="P1972" s="136"/>
    </row>
    <row r="1973" spans="1:16" x14ac:dyDescent="0.25">
      <c r="A1973" s="156">
        <v>45782</v>
      </c>
      <c r="B1973" s="136" t="s">
        <v>28</v>
      </c>
      <c r="C1973" s="157" t="str">
        <f t="shared" si="64"/>
        <v>05.05.2025_GRU2</v>
      </c>
      <c r="D1973" s="190">
        <f t="shared" si="65"/>
        <v>0</v>
      </c>
      <c r="E1973" s="133">
        <v>7.57</v>
      </c>
      <c r="F1973" s="134"/>
      <c r="G1973" s="135">
        <v>165</v>
      </c>
      <c r="H1973" s="137">
        <v>10.55</v>
      </c>
      <c r="I1973" s="134"/>
      <c r="J1973" s="137">
        <v>11.97</v>
      </c>
      <c r="K1973" s="134"/>
      <c r="L1973" s="136">
        <v>35</v>
      </c>
      <c r="M1973" s="181"/>
      <c r="N1973" s="159"/>
      <c r="O1973" s="159"/>
      <c r="P1973" s="136"/>
    </row>
    <row r="1974" spans="1:16" x14ac:dyDescent="0.25">
      <c r="A1974" s="156">
        <v>45782</v>
      </c>
      <c r="B1974" s="136" t="s">
        <v>0</v>
      </c>
      <c r="C1974" s="157" t="str">
        <f t="shared" si="64"/>
        <v>05.05.2025_KIN1</v>
      </c>
      <c r="D1974" s="190">
        <f t="shared" si="65"/>
        <v>0</v>
      </c>
      <c r="E1974" s="133">
        <v>8.5</v>
      </c>
      <c r="F1974" s="134"/>
      <c r="G1974" s="135">
        <v>419</v>
      </c>
      <c r="H1974" s="137">
        <v>12.22</v>
      </c>
      <c r="I1974" s="134"/>
      <c r="J1974" s="137">
        <v>9.06</v>
      </c>
      <c r="K1974" s="134"/>
      <c r="L1974" s="136">
        <v>50</v>
      </c>
      <c r="M1974" s="181"/>
      <c r="N1974" s="159"/>
      <c r="O1974" s="159"/>
      <c r="P1974" s="136"/>
    </row>
    <row r="1975" spans="1:16" x14ac:dyDescent="0.25">
      <c r="A1975" s="156">
        <v>45782</v>
      </c>
      <c r="B1975" s="136" t="s">
        <v>2</v>
      </c>
      <c r="C1975" s="157" t="str">
        <f t="shared" si="64"/>
        <v>05.05.2025_KIN2</v>
      </c>
      <c r="D1975" s="190">
        <f t="shared" si="65"/>
        <v>0</v>
      </c>
      <c r="E1975" s="133">
        <v>8.32</v>
      </c>
      <c r="F1975" s="134"/>
      <c r="G1975" s="135">
        <v>470</v>
      </c>
      <c r="H1975" s="137">
        <v>11.85</v>
      </c>
      <c r="I1975" s="134"/>
      <c r="J1975" s="137">
        <v>10.31</v>
      </c>
      <c r="K1975" s="134"/>
      <c r="L1975" s="136">
        <v>10</v>
      </c>
      <c r="M1975" s="181"/>
      <c r="N1975" s="159"/>
      <c r="O1975" s="159"/>
      <c r="P1975" s="136"/>
    </row>
    <row r="1976" spans="1:16" x14ac:dyDescent="0.25">
      <c r="A1976" s="156">
        <v>45782</v>
      </c>
      <c r="B1976" s="136" t="s">
        <v>4</v>
      </c>
      <c r="C1976" s="157" t="str">
        <f t="shared" si="64"/>
        <v>05.05.2025_KIN3</v>
      </c>
      <c r="D1976" s="190">
        <f t="shared" si="65"/>
        <v>0</v>
      </c>
      <c r="E1976" s="133">
        <v>8.41</v>
      </c>
      <c r="F1976" s="134"/>
      <c r="G1976" s="135">
        <v>463</v>
      </c>
      <c r="H1976" s="137">
        <v>11.97</v>
      </c>
      <c r="I1976" s="134"/>
      <c r="J1976" s="137">
        <v>10.62</v>
      </c>
      <c r="K1976" s="134"/>
      <c r="L1976" s="136">
        <v>18</v>
      </c>
      <c r="M1976" s="181"/>
      <c r="N1976" s="159"/>
      <c r="O1976" s="159"/>
      <c r="P1976" s="136"/>
    </row>
    <row r="1977" spans="1:16" x14ac:dyDescent="0.25">
      <c r="A1977" s="156">
        <v>45782</v>
      </c>
      <c r="B1977" s="136" t="s">
        <v>6</v>
      </c>
      <c r="C1977" s="157" t="str">
        <f t="shared" si="64"/>
        <v>05.05.2025_KIN4</v>
      </c>
      <c r="D1977" s="190">
        <f t="shared" si="65"/>
        <v>0</v>
      </c>
      <c r="E1977" s="133">
        <v>8.25</v>
      </c>
      <c r="F1977" s="134"/>
      <c r="G1977" s="135">
        <v>466</v>
      </c>
      <c r="H1977" s="137">
        <v>11.7</v>
      </c>
      <c r="I1977" s="134"/>
      <c r="J1977" s="137">
        <v>10.93</v>
      </c>
      <c r="K1977" s="134"/>
      <c r="L1977" s="136">
        <v>26</v>
      </c>
      <c r="M1977" s="181"/>
      <c r="N1977" s="159"/>
      <c r="O1977" s="159"/>
      <c r="P1977" s="136"/>
    </row>
    <row r="1978" spans="1:16" x14ac:dyDescent="0.25">
      <c r="A1978" s="156">
        <v>45782</v>
      </c>
      <c r="B1978" s="136" t="s">
        <v>421</v>
      </c>
      <c r="C1978" s="157" t="str">
        <f t="shared" si="64"/>
        <v>05.05.2025_KLI</v>
      </c>
      <c r="D1978" s="190">
        <f t="shared" si="65"/>
        <v>5</v>
      </c>
      <c r="E1978" s="283"/>
      <c r="F1978" s="134"/>
      <c r="G1978" s="287"/>
      <c r="H1978" s="285"/>
      <c r="I1978" s="134"/>
      <c r="J1978" s="285"/>
      <c r="K1978" s="134"/>
      <c r="L1978" s="282"/>
      <c r="M1978" s="181"/>
      <c r="N1978" s="159"/>
      <c r="O1978" s="159"/>
      <c r="P1978" s="192" t="s">
        <v>454</v>
      </c>
    </row>
    <row r="1979" spans="1:16" x14ac:dyDescent="0.25">
      <c r="A1979" s="156">
        <v>45782</v>
      </c>
      <c r="B1979" s="136" t="s">
        <v>34</v>
      </c>
      <c r="C1979" s="157" t="str">
        <f t="shared" si="64"/>
        <v>05.05.2025_KRE1</v>
      </c>
      <c r="D1979" s="190">
        <f t="shared" si="65"/>
        <v>0</v>
      </c>
      <c r="E1979" s="133">
        <v>7.86</v>
      </c>
      <c r="F1979" s="134"/>
      <c r="G1979" s="135">
        <v>680</v>
      </c>
      <c r="H1979" s="137">
        <v>8.89</v>
      </c>
      <c r="I1979" s="134"/>
      <c r="J1979" s="137">
        <v>11.72</v>
      </c>
      <c r="K1979" s="134"/>
      <c r="L1979" s="136">
        <v>40</v>
      </c>
      <c r="M1979" s="181"/>
      <c r="N1979" s="159"/>
      <c r="O1979" s="159"/>
      <c r="P1979" s="136"/>
    </row>
    <row r="1980" spans="1:16" x14ac:dyDescent="0.25">
      <c r="A1980" s="156">
        <v>45782</v>
      </c>
      <c r="B1980" s="136" t="s">
        <v>37</v>
      </c>
      <c r="C1980" s="157" t="str">
        <f t="shared" si="64"/>
        <v>05.05.2025_KRE2</v>
      </c>
      <c r="D1980" s="190">
        <f t="shared" si="65"/>
        <v>0</v>
      </c>
      <c r="E1980" s="133">
        <v>7.8</v>
      </c>
      <c r="F1980" s="134"/>
      <c r="G1980" s="135">
        <v>745</v>
      </c>
      <c r="H1980" s="137">
        <v>8.8000000000000007</v>
      </c>
      <c r="I1980" s="134"/>
      <c r="J1980" s="137">
        <v>11.72</v>
      </c>
      <c r="K1980" s="134"/>
      <c r="L1980" s="136">
        <v>20</v>
      </c>
      <c r="M1980" s="181"/>
      <c r="N1980" s="159"/>
      <c r="O1980" s="159"/>
      <c r="P1980" s="136"/>
    </row>
    <row r="1981" spans="1:16" x14ac:dyDescent="0.25">
      <c r="A1981" s="156">
        <v>45782</v>
      </c>
      <c r="B1981" s="136" t="s">
        <v>18</v>
      </c>
      <c r="C1981" s="157" t="str">
        <f t="shared" si="64"/>
        <v>05.05.2025_ORB1</v>
      </c>
      <c r="D1981" s="190">
        <f t="shared" si="65"/>
        <v>0</v>
      </c>
      <c r="E1981" s="133">
        <v>7.62</v>
      </c>
      <c r="F1981" s="134"/>
      <c r="G1981" s="135">
        <v>102</v>
      </c>
      <c r="H1981" s="137">
        <v>11</v>
      </c>
      <c r="I1981" s="134"/>
      <c r="J1981" s="137">
        <v>12.28</v>
      </c>
      <c r="K1981" s="134"/>
      <c r="L1981" s="136">
        <v>12</v>
      </c>
      <c r="M1981" s="181"/>
      <c r="N1981" s="159"/>
      <c r="O1981" s="159"/>
      <c r="P1981" s="136"/>
    </row>
    <row r="1982" spans="1:16" x14ac:dyDescent="0.25">
      <c r="A1982" s="156">
        <v>45782</v>
      </c>
      <c r="B1982" s="136" t="s">
        <v>21</v>
      </c>
      <c r="C1982" s="157" t="str">
        <f t="shared" si="64"/>
        <v>05.05.2025_ORB2</v>
      </c>
      <c r="D1982" s="190">
        <f t="shared" si="65"/>
        <v>0</v>
      </c>
      <c r="E1982" s="133">
        <v>7.39</v>
      </c>
      <c r="F1982" s="134"/>
      <c r="G1982" s="135">
        <v>142</v>
      </c>
      <c r="H1982" s="137">
        <v>10.6</v>
      </c>
      <c r="I1982" s="134"/>
      <c r="J1982" s="137">
        <v>12.3</v>
      </c>
      <c r="K1982" s="134"/>
      <c r="L1982" s="136">
        <v>6</v>
      </c>
      <c r="M1982" s="181"/>
      <c r="N1982" s="159"/>
      <c r="O1982" s="159"/>
      <c r="P1982" s="136"/>
    </row>
    <row r="1983" spans="1:16" x14ac:dyDescent="0.25">
      <c r="A1983" s="156">
        <v>45782</v>
      </c>
      <c r="B1983" s="136" t="s">
        <v>10</v>
      </c>
      <c r="C1983" s="157" t="str">
        <f t="shared" si="64"/>
        <v>05.05.2025_SAL1</v>
      </c>
      <c r="D1983" s="190">
        <f t="shared" si="65"/>
        <v>0</v>
      </c>
      <c r="E1983" s="133">
        <v>8.16</v>
      </c>
      <c r="F1983" s="134"/>
      <c r="G1983" s="135">
        <v>212</v>
      </c>
      <c r="H1983" s="137">
        <v>11.49</v>
      </c>
      <c r="I1983" s="134"/>
      <c r="J1983" s="137">
        <v>10.210000000000001</v>
      </c>
      <c r="K1983" s="134"/>
      <c r="L1983" s="136">
        <v>40</v>
      </c>
      <c r="M1983" s="181"/>
      <c r="N1983" s="159"/>
      <c r="O1983" s="159"/>
      <c r="P1983" s="136"/>
    </row>
    <row r="1984" spans="1:16" x14ac:dyDescent="0.25">
      <c r="A1984" s="156">
        <v>45782</v>
      </c>
      <c r="B1984" s="136" t="s">
        <v>12</v>
      </c>
      <c r="C1984" s="157" t="str">
        <f t="shared" si="64"/>
        <v>05.05.2025_SAL2</v>
      </c>
      <c r="D1984" s="190">
        <f t="shared" si="65"/>
        <v>0</v>
      </c>
      <c r="E1984" s="133">
        <v>8.33</v>
      </c>
      <c r="F1984" s="134"/>
      <c r="G1984" s="135">
        <v>230</v>
      </c>
      <c r="H1984" s="137">
        <v>11.36</v>
      </c>
      <c r="I1984" s="134"/>
      <c r="J1984" s="137">
        <v>11.07</v>
      </c>
      <c r="K1984" s="134"/>
      <c r="L1984" s="136">
        <v>25</v>
      </c>
      <c r="M1984" s="181"/>
      <c r="N1984" s="159"/>
      <c r="O1984" s="159"/>
      <c r="P1984" s="136"/>
    </row>
    <row r="1985" spans="1:16" x14ac:dyDescent="0.25">
      <c r="A1985" s="156">
        <v>45782</v>
      </c>
      <c r="B1985" s="136" t="s">
        <v>7</v>
      </c>
      <c r="C1985" s="157" t="str">
        <f t="shared" si="64"/>
        <v>05.05.2025_STE1</v>
      </c>
      <c r="D1985" s="190">
        <f t="shared" si="65"/>
        <v>0</v>
      </c>
      <c r="E1985" s="133">
        <v>8.4</v>
      </c>
      <c r="F1985" s="134"/>
      <c r="G1985" s="135">
        <v>338</v>
      </c>
      <c r="H1985" s="137">
        <v>11.9</v>
      </c>
      <c r="I1985" s="134"/>
      <c r="J1985" s="137">
        <v>10.130000000000001</v>
      </c>
      <c r="K1985" s="134"/>
      <c r="L1985" s="136">
        <v>19</v>
      </c>
      <c r="M1985" s="181"/>
      <c r="N1985" s="159"/>
      <c r="O1985" s="159"/>
      <c r="P1985" s="136"/>
    </row>
    <row r="1986" spans="1:16" x14ac:dyDescent="0.25">
      <c r="A1986" s="156">
        <v>45782</v>
      </c>
      <c r="B1986" s="136" t="s">
        <v>9</v>
      </c>
      <c r="C1986" s="157" t="str">
        <f t="shared" si="64"/>
        <v>05.05.2025_STE2</v>
      </c>
      <c r="D1986" s="190">
        <f t="shared" si="65"/>
        <v>0</v>
      </c>
      <c r="E1986" s="133">
        <v>8.64</v>
      </c>
      <c r="F1986" s="134"/>
      <c r="G1986" s="135">
        <v>353</v>
      </c>
      <c r="H1986" s="137">
        <v>11.85</v>
      </c>
      <c r="I1986" s="134"/>
      <c r="J1986" s="137">
        <v>10.49</v>
      </c>
      <c r="K1986" s="134"/>
      <c r="L1986" s="136">
        <v>28.000000000000004</v>
      </c>
      <c r="M1986" s="181"/>
      <c r="N1986" s="159"/>
      <c r="O1986" s="159"/>
      <c r="P1986" s="136"/>
    </row>
    <row r="1987" spans="1:16" x14ac:dyDescent="0.25">
      <c r="A1987" s="156">
        <v>45803</v>
      </c>
      <c r="B1987" s="136" t="s">
        <v>22</v>
      </c>
      <c r="C1987" s="157" t="str">
        <f t="shared" ref="C1987" si="66">CONCATENATE(TEXT(A1987,"TT.MM.JJJJ"),"_",B1987)</f>
        <v>26.05.2025_BIE1</v>
      </c>
      <c r="D1987" s="190">
        <f t="shared" ref="D1987" si="67">COUNTBLANK(E1987)+COUNTBLANK(G1987:H1987)+COUNTBLANK(J1987)+COUNTBLANK(L1987)</f>
        <v>0</v>
      </c>
      <c r="E1987" s="133">
        <v>7.4</v>
      </c>
      <c r="F1987" s="134"/>
      <c r="G1987" s="135">
        <v>172</v>
      </c>
      <c r="H1987" s="137">
        <v>10.6</v>
      </c>
      <c r="I1987" s="134"/>
      <c r="J1987" s="137">
        <v>12.16</v>
      </c>
      <c r="K1987" s="134"/>
      <c r="L1987" s="136">
        <v>20</v>
      </c>
      <c r="M1987" s="181"/>
      <c r="N1987" s="159"/>
      <c r="O1987" s="159"/>
      <c r="P1987" s="136"/>
    </row>
    <row r="1988" spans="1:16" x14ac:dyDescent="0.25">
      <c r="A1988" s="156">
        <v>45803</v>
      </c>
      <c r="B1988" s="136" t="s">
        <v>25</v>
      </c>
      <c r="C1988" s="157" t="str">
        <f t="shared" ref="C1988:C2007" si="68">CONCATENATE(TEXT(A1988,"TT.MM.JJJJ"),"_",B1988)</f>
        <v>26.05.2025_BIE2</v>
      </c>
      <c r="D1988" s="190">
        <f t="shared" ref="D1988:D2007" si="69">COUNTBLANK(E1988)+COUNTBLANK(G1988:H1988)+COUNTBLANK(J1988)+COUNTBLANK(L1988)</f>
        <v>0</v>
      </c>
      <c r="E1988" s="133">
        <v>7.86</v>
      </c>
      <c r="F1988" s="134"/>
      <c r="G1988" s="135">
        <v>174</v>
      </c>
      <c r="H1988" s="137">
        <v>10.5</v>
      </c>
      <c r="I1988" s="134"/>
      <c r="J1988" s="137">
        <v>12.23</v>
      </c>
      <c r="K1988" s="134"/>
      <c r="L1988" s="136">
        <v>40</v>
      </c>
      <c r="M1988" s="181"/>
      <c r="N1988" s="159"/>
      <c r="O1988" s="159"/>
      <c r="P1988" s="136"/>
    </row>
    <row r="1989" spans="1:16" x14ac:dyDescent="0.25">
      <c r="A1989" s="156">
        <v>45803</v>
      </c>
      <c r="B1989" s="136" t="s">
        <v>14</v>
      </c>
      <c r="C1989" s="157" t="str">
        <f t="shared" si="68"/>
        <v>26.05.2025_BRA1</v>
      </c>
      <c r="D1989" s="190">
        <f t="shared" si="69"/>
        <v>0</v>
      </c>
      <c r="E1989" s="133">
        <v>7.85</v>
      </c>
      <c r="F1989" s="134"/>
      <c r="G1989" s="135">
        <v>187</v>
      </c>
      <c r="H1989" s="295">
        <v>10.270919999999998</v>
      </c>
      <c r="I1989" s="134"/>
      <c r="J1989" s="137">
        <v>15.32</v>
      </c>
      <c r="K1989" s="134"/>
      <c r="L1989" s="136">
        <v>10</v>
      </c>
      <c r="M1989" s="181"/>
      <c r="N1989" s="159"/>
      <c r="O1989" s="294" t="s">
        <v>466</v>
      </c>
      <c r="P1989" s="136"/>
    </row>
    <row r="1990" spans="1:16" x14ac:dyDescent="0.25">
      <c r="A1990" s="156">
        <v>45803</v>
      </c>
      <c r="B1990" s="136" t="s">
        <v>17</v>
      </c>
      <c r="C1990" s="157" t="str">
        <f t="shared" si="68"/>
        <v>26.05.2025_BRA2</v>
      </c>
      <c r="D1990" s="190">
        <f t="shared" si="69"/>
        <v>0</v>
      </c>
      <c r="E1990" s="133">
        <v>8.02</v>
      </c>
      <c r="F1990" s="134"/>
      <c r="G1990" s="135">
        <v>212</v>
      </c>
      <c r="H1990" s="295">
        <v>10.598140000000001</v>
      </c>
      <c r="I1990" s="134"/>
      <c r="J1990" s="137">
        <v>14.24</v>
      </c>
      <c r="K1990" s="134"/>
      <c r="L1990" s="136">
        <v>13</v>
      </c>
      <c r="M1990" s="181"/>
      <c r="N1990" s="159"/>
      <c r="O1990" s="294" t="s">
        <v>466</v>
      </c>
      <c r="P1990" s="136"/>
    </row>
    <row r="1991" spans="1:16" x14ac:dyDescent="0.25">
      <c r="A1991" s="156">
        <v>45803</v>
      </c>
      <c r="B1991" s="136" t="s">
        <v>30</v>
      </c>
      <c r="C1991" s="157" t="str">
        <f t="shared" si="68"/>
        <v>26.05.2025_FAL1</v>
      </c>
      <c r="D1991" s="190">
        <f t="shared" si="69"/>
        <v>0</v>
      </c>
      <c r="E1991" s="133">
        <v>7.93</v>
      </c>
      <c r="F1991" s="134"/>
      <c r="G1991" s="135">
        <v>757</v>
      </c>
      <c r="H1991" s="137">
        <v>9.6</v>
      </c>
      <c r="I1991" s="134"/>
      <c r="J1991" s="137">
        <v>13.73</v>
      </c>
      <c r="K1991" s="134"/>
      <c r="L1991" s="136">
        <v>10</v>
      </c>
      <c r="M1991" s="181"/>
      <c r="N1991" s="159"/>
      <c r="O1991" s="159"/>
      <c r="P1991" s="136"/>
    </row>
    <row r="1992" spans="1:16" x14ac:dyDescent="0.25">
      <c r="A1992" s="156">
        <v>45803</v>
      </c>
      <c r="B1992" s="136" t="s">
        <v>32</v>
      </c>
      <c r="C1992" s="157" t="str">
        <f t="shared" si="68"/>
        <v>26.05.2025_FAL2</v>
      </c>
      <c r="D1992" s="190">
        <f t="shared" si="69"/>
        <v>0</v>
      </c>
      <c r="E1992" s="133">
        <v>8.24</v>
      </c>
      <c r="F1992" s="134"/>
      <c r="G1992" s="135">
        <v>773</v>
      </c>
      <c r="H1992" s="137">
        <v>10.44</v>
      </c>
      <c r="I1992" s="134"/>
      <c r="J1992" s="137">
        <v>14.77</v>
      </c>
      <c r="K1992" s="134"/>
      <c r="L1992" s="136">
        <v>30</v>
      </c>
      <c r="M1992" s="181"/>
      <c r="N1992" s="159"/>
      <c r="O1992" s="159"/>
      <c r="P1992" s="136"/>
    </row>
    <row r="1993" spans="1:16" x14ac:dyDescent="0.25">
      <c r="A1993" s="156">
        <v>45803</v>
      </c>
      <c r="B1993" s="136" t="s">
        <v>26</v>
      </c>
      <c r="C1993" s="157" t="str">
        <f t="shared" si="68"/>
        <v>26.05.2025_GRU1</v>
      </c>
      <c r="D1993" s="190">
        <f t="shared" si="69"/>
        <v>0</v>
      </c>
      <c r="E1993" s="133">
        <v>7.56</v>
      </c>
      <c r="F1993" s="134"/>
      <c r="G1993" s="135">
        <v>162</v>
      </c>
      <c r="H1993" s="137">
        <v>10.38</v>
      </c>
      <c r="I1993" s="134"/>
      <c r="J1993" s="137">
        <v>12.64</v>
      </c>
      <c r="K1993" s="134"/>
      <c r="L1993" s="136">
        <v>25</v>
      </c>
      <c r="M1993" s="181"/>
      <c r="N1993" s="159"/>
      <c r="O1993" s="159"/>
      <c r="P1993" s="136"/>
    </row>
    <row r="1994" spans="1:16" x14ac:dyDescent="0.25">
      <c r="A1994" s="156">
        <v>45803</v>
      </c>
      <c r="B1994" s="136" t="s">
        <v>28</v>
      </c>
      <c r="C1994" s="157" t="str">
        <f t="shared" si="68"/>
        <v>26.05.2025_GRU2</v>
      </c>
      <c r="D1994" s="190">
        <f t="shared" si="69"/>
        <v>0</v>
      </c>
      <c r="E1994" s="133">
        <v>7.37</v>
      </c>
      <c r="F1994" s="134"/>
      <c r="G1994" s="135">
        <v>177</v>
      </c>
      <c r="H1994" s="137">
        <v>9.9700000000000006</v>
      </c>
      <c r="I1994" s="134"/>
      <c r="J1994" s="137">
        <v>13.29</v>
      </c>
      <c r="K1994" s="134"/>
      <c r="L1994" s="136">
        <v>35</v>
      </c>
      <c r="M1994" s="181"/>
      <c r="N1994" s="159"/>
      <c r="O1994" s="159"/>
      <c r="P1994" s="136"/>
    </row>
    <row r="1995" spans="1:16" x14ac:dyDescent="0.25">
      <c r="A1995" s="156">
        <v>45803</v>
      </c>
      <c r="B1995" s="136" t="s">
        <v>0</v>
      </c>
      <c r="C1995" s="157" t="str">
        <f t="shared" si="68"/>
        <v>26.05.2025_KIN1</v>
      </c>
      <c r="D1995" s="190">
        <f t="shared" si="69"/>
        <v>0</v>
      </c>
      <c r="E1995" s="133">
        <v>8.36</v>
      </c>
      <c r="F1995" s="134"/>
      <c r="G1995" s="135">
        <v>440</v>
      </c>
      <c r="H1995" s="295">
        <v>11.29128</v>
      </c>
      <c r="I1995" s="134"/>
      <c r="J1995" s="137">
        <v>11.39</v>
      </c>
      <c r="K1995" s="134"/>
      <c r="L1995" s="136">
        <v>22</v>
      </c>
      <c r="M1995" s="181"/>
      <c r="N1995" s="159"/>
      <c r="O1995" s="294" t="s">
        <v>466</v>
      </c>
      <c r="P1995" s="136"/>
    </row>
    <row r="1996" spans="1:16" x14ac:dyDescent="0.25">
      <c r="A1996" s="156">
        <v>45803</v>
      </c>
      <c r="B1996" s="136" t="s">
        <v>2</v>
      </c>
      <c r="C1996" s="157" t="str">
        <f t="shared" si="68"/>
        <v>26.05.2025_KIN2</v>
      </c>
      <c r="D1996" s="190">
        <f t="shared" si="69"/>
        <v>0</v>
      </c>
      <c r="E1996" s="133">
        <v>8.1300000000000008</v>
      </c>
      <c r="F1996" s="134"/>
      <c r="G1996" s="135">
        <v>503</v>
      </c>
      <c r="H1996" s="295">
        <v>11.1366</v>
      </c>
      <c r="I1996" s="134"/>
      <c r="J1996" s="137">
        <v>12.09</v>
      </c>
      <c r="K1996" s="134"/>
      <c r="L1996" s="136">
        <v>15</v>
      </c>
      <c r="M1996" s="181"/>
      <c r="N1996" s="159"/>
      <c r="O1996" s="294" t="s">
        <v>466</v>
      </c>
      <c r="P1996" s="136"/>
    </row>
    <row r="1997" spans="1:16" x14ac:dyDescent="0.25">
      <c r="A1997" s="156">
        <v>45803</v>
      </c>
      <c r="B1997" s="136" t="s">
        <v>4</v>
      </c>
      <c r="C1997" s="157" t="str">
        <f t="shared" si="68"/>
        <v>26.05.2025_KIN3</v>
      </c>
      <c r="D1997" s="190">
        <f t="shared" si="69"/>
        <v>0</v>
      </c>
      <c r="E1997" s="133">
        <v>8.14</v>
      </c>
      <c r="F1997" s="134"/>
      <c r="G1997" s="135">
        <v>500</v>
      </c>
      <c r="H1997" s="295">
        <v>10.866739999999998</v>
      </c>
      <c r="I1997" s="134"/>
      <c r="J1997" s="137">
        <v>12.77</v>
      </c>
      <c r="K1997" s="134"/>
      <c r="L1997" s="136">
        <v>20</v>
      </c>
      <c r="M1997" s="181"/>
      <c r="N1997" s="159"/>
      <c r="O1997" s="294" t="s">
        <v>466</v>
      </c>
      <c r="P1997" s="136"/>
    </row>
    <row r="1998" spans="1:16" x14ac:dyDescent="0.25">
      <c r="A1998" s="156">
        <v>45803</v>
      </c>
      <c r="B1998" s="136" t="s">
        <v>6</v>
      </c>
      <c r="C1998" s="157" t="str">
        <f t="shared" si="68"/>
        <v>26.05.2025_KIN4</v>
      </c>
      <c r="D1998" s="190">
        <f t="shared" si="69"/>
        <v>0</v>
      </c>
      <c r="E1998" s="133">
        <v>7.97</v>
      </c>
      <c r="F1998" s="134"/>
      <c r="G1998" s="135">
        <v>506</v>
      </c>
      <c r="H1998" s="295">
        <v>10.376320000000002</v>
      </c>
      <c r="I1998" s="134"/>
      <c r="J1998" s="137">
        <v>13.23</v>
      </c>
      <c r="K1998" s="134"/>
      <c r="L1998" s="136">
        <v>28.999999999999996</v>
      </c>
      <c r="M1998" s="181"/>
      <c r="N1998" s="159"/>
      <c r="O1998" s="294" t="s">
        <v>466</v>
      </c>
      <c r="P1998" s="136"/>
    </row>
    <row r="1999" spans="1:16" x14ac:dyDescent="0.25">
      <c r="A1999" s="156">
        <v>45803</v>
      </c>
      <c r="B1999" s="136" t="s">
        <v>421</v>
      </c>
      <c r="C1999" s="157" t="str">
        <f t="shared" si="68"/>
        <v>26.05.2025_KLI</v>
      </c>
      <c r="D1999" s="190">
        <f t="shared" si="69"/>
        <v>5</v>
      </c>
      <c r="E1999" s="283"/>
      <c r="F1999" s="134"/>
      <c r="G1999" s="287"/>
      <c r="H1999" s="285"/>
      <c r="I1999" s="134"/>
      <c r="J1999" s="285"/>
      <c r="K1999" s="134"/>
      <c r="L1999" s="282"/>
      <c r="M1999" s="181"/>
      <c r="N1999" s="159"/>
      <c r="O1999" s="159"/>
      <c r="P1999" s="136" t="s">
        <v>454</v>
      </c>
    </row>
    <row r="2000" spans="1:16" x14ac:dyDescent="0.25">
      <c r="A2000" s="156">
        <v>45803</v>
      </c>
      <c r="B2000" s="136" t="s">
        <v>34</v>
      </c>
      <c r="C2000" s="157" t="str">
        <f t="shared" si="68"/>
        <v>26.05.2025_KRE1</v>
      </c>
      <c r="D2000" s="190">
        <f t="shared" si="69"/>
        <v>0</v>
      </c>
      <c r="E2000" s="133">
        <v>7.83</v>
      </c>
      <c r="F2000" s="134"/>
      <c r="G2000" s="135">
        <v>988</v>
      </c>
      <c r="H2000" s="137">
        <v>7.4</v>
      </c>
      <c r="I2000" s="134"/>
      <c r="J2000" s="137">
        <v>14.57</v>
      </c>
      <c r="K2000" s="134"/>
      <c r="L2000" s="136">
        <v>35</v>
      </c>
      <c r="M2000" s="181"/>
      <c r="N2000" s="159"/>
      <c r="O2000" s="159"/>
      <c r="P2000" s="136"/>
    </row>
    <row r="2001" spans="1:16" x14ac:dyDescent="0.25">
      <c r="A2001" s="156">
        <v>45803</v>
      </c>
      <c r="B2001" s="136" t="s">
        <v>37</v>
      </c>
      <c r="C2001" s="157" t="str">
        <f t="shared" si="68"/>
        <v>26.05.2025_KRE2</v>
      </c>
      <c r="D2001" s="190">
        <f t="shared" si="69"/>
        <v>0</v>
      </c>
      <c r="E2001" s="133">
        <v>7.95</v>
      </c>
      <c r="F2001" s="134"/>
      <c r="G2001" s="135">
        <v>927</v>
      </c>
      <c r="H2001" s="137">
        <v>8.41</v>
      </c>
      <c r="I2001" s="134"/>
      <c r="J2001" s="137">
        <v>14.87</v>
      </c>
      <c r="K2001" s="134"/>
      <c r="L2001" s="136">
        <v>50</v>
      </c>
      <c r="M2001" s="181"/>
      <c r="N2001" s="159"/>
      <c r="O2001" s="159"/>
      <c r="P2001" s="136"/>
    </row>
    <row r="2002" spans="1:16" x14ac:dyDescent="0.25">
      <c r="A2002" s="156">
        <v>45803</v>
      </c>
      <c r="B2002" s="136" t="s">
        <v>18</v>
      </c>
      <c r="C2002" s="157" t="str">
        <f t="shared" si="68"/>
        <v>26.05.2025_ORB1</v>
      </c>
      <c r="D2002" s="190">
        <f t="shared" si="69"/>
        <v>0</v>
      </c>
      <c r="E2002" s="133">
        <v>7.85</v>
      </c>
      <c r="F2002" s="134"/>
      <c r="G2002" s="135">
        <v>104</v>
      </c>
      <c r="H2002" s="295">
        <v>10.938600000000001</v>
      </c>
      <c r="I2002" s="134"/>
      <c r="J2002" s="137">
        <v>14.04</v>
      </c>
      <c r="K2002" s="134"/>
      <c r="L2002" s="136">
        <v>10</v>
      </c>
      <c r="M2002" s="181"/>
      <c r="N2002" s="159"/>
      <c r="O2002" s="294" t="s">
        <v>466</v>
      </c>
      <c r="P2002" s="136"/>
    </row>
    <row r="2003" spans="1:16" x14ac:dyDescent="0.25">
      <c r="A2003" s="156">
        <v>45803</v>
      </c>
      <c r="B2003" s="136" t="s">
        <v>21</v>
      </c>
      <c r="C2003" s="157" t="str">
        <f t="shared" si="68"/>
        <v>26.05.2025_ORB2</v>
      </c>
      <c r="D2003" s="190">
        <f t="shared" si="69"/>
        <v>0</v>
      </c>
      <c r="E2003" s="133">
        <v>7.47</v>
      </c>
      <c r="F2003" s="134"/>
      <c r="G2003" s="135">
        <v>154</v>
      </c>
      <c r="H2003" s="295">
        <v>10.424159999999999</v>
      </c>
      <c r="I2003" s="134"/>
      <c r="J2003" s="137">
        <v>14.08</v>
      </c>
      <c r="K2003" s="134"/>
      <c r="L2003" s="136">
        <v>10</v>
      </c>
      <c r="M2003" s="181"/>
      <c r="N2003" s="159"/>
      <c r="O2003" s="294" t="s">
        <v>466</v>
      </c>
      <c r="P2003" s="136"/>
    </row>
    <row r="2004" spans="1:16" x14ac:dyDescent="0.25">
      <c r="A2004" s="156">
        <v>45803</v>
      </c>
      <c r="B2004" s="136" t="s">
        <v>10</v>
      </c>
      <c r="C2004" s="157" t="str">
        <f t="shared" si="68"/>
        <v>26.05.2025_SAL1</v>
      </c>
      <c r="D2004" s="190">
        <f t="shared" si="69"/>
        <v>0</v>
      </c>
      <c r="E2004" s="133">
        <v>8.06</v>
      </c>
      <c r="F2004" s="134"/>
      <c r="G2004" s="135">
        <v>229</v>
      </c>
      <c r="H2004" s="295">
        <v>11.05646</v>
      </c>
      <c r="I2004" s="134"/>
      <c r="J2004" s="137">
        <v>12.84</v>
      </c>
      <c r="K2004" s="134"/>
      <c r="L2004" s="136">
        <v>18</v>
      </c>
      <c r="M2004" s="181"/>
      <c r="N2004" s="159"/>
      <c r="O2004" s="294" t="s">
        <v>466</v>
      </c>
      <c r="P2004" s="136"/>
    </row>
    <row r="2005" spans="1:16" x14ac:dyDescent="0.25">
      <c r="A2005" s="156">
        <v>45803</v>
      </c>
      <c r="B2005" s="136" t="s">
        <v>12</v>
      </c>
      <c r="C2005" s="157" t="str">
        <f t="shared" si="68"/>
        <v>26.05.2025_SAL2</v>
      </c>
      <c r="D2005" s="190">
        <f t="shared" si="69"/>
        <v>0</v>
      </c>
      <c r="E2005" s="133">
        <v>8.11</v>
      </c>
      <c r="F2005" s="134"/>
      <c r="G2005" s="135">
        <v>242</v>
      </c>
      <c r="H2005" s="295">
        <v>11.245880000000001</v>
      </c>
      <c r="I2005" s="134"/>
      <c r="J2005" s="137">
        <v>12.86</v>
      </c>
      <c r="K2005" s="134"/>
      <c r="L2005" s="136">
        <v>22</v>
      </c>
      <c r="M2005" s="181"/>
      <c r="N2005" s="159"/>
      <c r="O2005" s="294" t="s">
        <v>466</v>
      </c>
      <c r="P2005" s="136"/>
    </row>
    <row r="2006" spans="1:16" x14ac:dyDescent="0.25">
      <c r="A2006" s="156">
        <v>45803</v>
      </c>
      <c r="B2006" s="136" t="s">
        <v>7</v>
      </c>
      <c r="C2006" s="157" t="str">
        <f t="shared" si="68"/>
        <v>26.05.2025_STE1</v>
      </c>
      <c r="D2006" s="190">
        <f t="shared" si="69"/>
        <v>0</v>
      </c>
      <c r="E2006" s="133">
        <v>8.19</v>
      </c>
      <c r="F2006" s="134"/>
      <c r="G2006" s="135">
        <v>352</v>
      </c>
      <c r="H2006" s="295">
        <v>11.4168</v>
      </c>
      <c r="I2006" s="134"/>
      <c r="J2006" s="137">
        <v>12.18</v>
      </c>
      <c r="K2006" s="134"/>
      <c r="L2006" s="136">
        <v>30</v>
      </c>
      <c r="M2006" s="181"/>
      <c r="N2006" s="159"/>
      <c r="O2006" s="294" t="s">
        <v>466</v>
      </c>
      <c r="P2006" s="136"/>
    </row>
    <row r="2007" spans="1:16" x14ac:dyDescent="0.25">
      <c r="A2007" s="156">
        <v>45803</v>
      </c>
      <c r="B2007" s="136" t="s">
        <v>9</v>
      </c>
      <c r="C2007" s="157" t="str">
        <f t="shared" si="68"/>
        <v>26.05.2025_STE2</v>
      </c>
      <c r="D2007" s="190">
        <f t="shared" si="69"/>
        <v>0</v>
      </c>
      <c r="E2007" s="133">
        <v>8.2100000000000009</v>
      </c>
      <c r="F2007" s="134"/>
      <c r="G2007" s="135">
        <v>359</v>
      </c>
      <c r="H2007" s="295">
        <v>11.2042</v>
      </c>
      <c r="I2007" s="134"/>
      <c r="J2007" s="137">
        <v>12.54</v>
      </c>
      <c r="K2007" s="134"/>
      <c r="L2007" s="136">
        <v>17</v>
      </c>
      <c r="M2007" s="181"/>
      <c r="N2007" s="159"/>
      <c r="O2007" s="294" t="s">
        <v>466</v>
      </c>
      <c r="P2007" s="136"/>
    </row>
    <row r="2008" spans="1:16" x14ac:dyDescent="0.25">
      <c r="A2008" s="156">
        <v>45818</v>
      </c>
      <c r="B2008" s="136" t="s">
        <v>22</v>
      </c>
      <c r="C2008" s="157" t="str">
        <f t="shared" ref="C2008" si="70">CONCATENATE(TEXT(A2008,"TT.MM.JJJJ"),"_",B2008)</f>
        <v>10.06.2025_BIE1</v>
      </c>
      <c r="D2008" s="190">
        <f t="shared" ref="D2008" si="71">COUNTBLANK(E2008)+COUNTBLANK(G2008:H2008)+COUNTBLANK(J2008)+COUNTBLANK(L2008)</f>
        <v>0</v>
      </c>
      <c r="E2008" s="133">
        <v>7.91</v>
      </c>
      <c r="F2008" s="134"/>
      <c r="G2008" s="135">
        <v>187</v>
      </c>
      <c r="H2008" s="137">
        <v>10.15</v>
      </c>
      <c r="I2008" s="134"/>
      <c r="J2008" s="137">
        <v>14.16</v>
      </c>
      <c r="K2008" s="134"/>
      <c r="L2008" s="136">
        <v>20</v>
      </c>
      <c r="M2008" s="181"/>
      <c r="N2008" s="159"/>
      <c r="O2008" s="159"/>
      <c r="P2008" s="136"/>
    </row>
    <row r="2009" spans="1:16" x14ac:dyDescent="0.25">
      <c r="A2009" s="156">
        <v>45818</v>
      </c>
      <c r="B2009" s="136" t="s">
        <v>25</v>
      </c>
      <c r="C2009" s="157" t="str">
        <f t="shared" ref="C2009:C2028" si="72">CONCATENATE(TEXT(A2009,"TT.MM.JJJJ"),"_",B2009)</f>
        <v>10.06.2025_BIE2</v>
      </c>
      <c r="D2009" s="190">
        <f t="shared" ref="D2009:D2028" si="73">COUNTBLANK(E2009)+COUNTBLANK(G2009:H2009)+COUNTBLANK(J2009)+COUNTBLANK(L2009)</f>
        <v>0</v>
      </c>
      <c r="E2009" s="133">
        <v>7.81</v>
      </c>
      <c r="F2009" s="134"/>
      <c r="G2009" s="135">
        <v>193</v>
      </c>
      <c r="H2009" s="137">
        <v>10.06</v>
      </c>
      <c r="I2009" s="134"/>
      <c r="J2009" s="137">
        <v>14.1</v>
      </c>
      <c r="K2009" s="134"/>
      <c r="L2009" s="136">
        <v>45</v>
      </c>
      <c r="M2009" s="181"/>
      <c r="N2009" s="159"/>
      <c r="O2009" s="159"/>
      <c r="P2009" s="136"/>
    </row>
    <row r="2010" spans="1:16" x14ac:dyDescent="0.25">
      <c r="A2010" s="156">
        <v>45818</v>
      </c>
      <c r="B2010" s="136" t="s">
        <v>14</v>
      </c>
      <c r="C2010" s="157" t="str">
        <f t="shared" si="72"/>
        <v>10.06.2025_BRA1</v>
      </c>
      <c r="D2010" s="190">
        <f t="shared" si="73"/>
        <v>0</v>
      </c>
      <c r="E2010" s="133">
        <v>7.72</v>
      </c>
      <c r="F2010" s="134"/>
      <c r="G2010" s="135">
        <v>167</v>
      </c>
      <c r="H2010" s="137">
        <v>9.6300000000000008</v>
      </c>
      <c r="I2010" s="134"/>
      <c r="J2010" s="137">
        <v>16.14</v>
      </c>
      <c r="K2010" s="134"/>
      <c r="L2010" s="136">
        <v>18</v>
      </c>
      <c r="M2010" s="181"/>
      <c r="N2010" s="159"/>
      <c r="O2010" s="159"/>
      <c r="P2010" s="136"/>
    </row>
    <row r="2011" spans="1:16" x14ac:dyDescent="0.25">
      <c r="A2011" s="156">
        <v>45818</v>
      </c>
      <c r="B2011" s="136" t="s">
        <v>17</v>
      </c>
      <c r="C2011" s="157" t="str">
        <f t="shared" si="72"/>
        <v>10.06.2025_BRA2</v>
      </c>
      <c r="D2011" s="190">
        <f t="shared" si="73"/>
        <v>0</v>
      </c>
      <c r="E2011" s="133">
        <v>7.89</v>
      </c>
      <c r="F2011" s="134"/>
      <c r="G2011" s="135">
        <v>183</v>
      </c>
      <c r="H2011" s="137">
        <v>9.8800000000000008</v>
      </c>
      <c r="I2011" s="134"/>
      <c r="J2011" s="137">
        <v>15.74</v>
      </c>
      <c r="K2011" s="134"/>
      <c r="L2011" s="136">
        <v>19</v>
      </c>
      <c r="M2011" s="181"/>
      <c r="N2011" s="159"/>
      <c r="O2011" s="159"/>
      <c r="P2011" s="136"/>
    </row>
    <row r="2012" spans="1:16" x14ac:dyDescent="0.25">
      <c r="A2012" s="156">
        <v>45818</v>
      </c>
      <c r="B2012" s="136" t="s">
        <v>30</v>
      </c>
      <c r="C2012" s="157" t="str">
        <f t="shared" si="72"/>
        <v>10.06.2025_FAL1</v>
      </c>
      <c r="D2012" s="190">
        <f t="shared" si="73"/>
        <v>0</v>
      </c>
      <c r="E2012" s="133">
        <v>7.84</v>
      </c>
      <c r="F2012" s="134"/>
      <c r="G2012" s="135">
        <v>785</v>
      </c>
      <c r="H2012" s="137">
        <v>8.84</v>
      </c>
      <c r="I2012" s="134"/>
      <c r="J2012" s="137">
        <v>14.78</v>
      </c>
      <c r="K2012" s="134"/>
      <c r="L2012" s="136">
        <v>25</v>
      </c>
      <c r="M2012" s="181"/>
      <c r="N2012" s="159"/>
      <c r="O2012" s="159"/>
      <c r="P2012" s="136"/>
    </row>
    <row r="2013" spans="1:16" x14ac:dyDescent="0.25">
      <c r="A2013" s="156">
        <v>45818</v>
      </c>
      <c r="B2013" s="136" t="s">
        <v>32</v>
      </c>
      <c r="C2013" s="157" t="str">
        <f t="shared" si="72"/>
        <v>10.06.2025_FAL2</v>
      </c>
      <c r="D2013" s="190">
        <f t="shared" si="73"/>
        <v>0</v>
      </c>
      <c r="E2013" s="133">
        <v>8.01</v>
      </c>
      <c r="F2013" s="134"/>
      <c r="G2013" s="135">
        <v>682</v>
      </c>
      <c r="H2013" s="137">
        <v>8.23</v>
      </c>
      <c r="I2013" s="134"/>
      <c r="J2013" s="137">
        <v>16.23</v>
      </c>
      <c r="K2013" s="134"/>
      <c r="L2013" s="136">
        <v>12</v>
      </c>
      <c r="M2013" s="181"/>
      <c r="N2013" s="159"/>
      <c r="O2013" s="159"/>
      <c r="P2013" s="136"/>
    </row>
    <row r="2014" spans="1:16" x14ac:dyDescent="0.25">
      <c r="A2014" s="156">
        <v>45818</v>
      </c>
      <c r="B2014" s="136" t="s">
        <v>26</v>
      </c>
      <c r="C2014" s="157" t="str">
        <f t="shared" si="72"/>
        <v>10.06.2025_GRU1</v>
      </c>
      <c r="D2014" s="190">
        <f t="shared" si="73"/>
        <v>0</v>
      </c>
      <c r="E2014" s="133">
        <v>7.69</v>
      </c>
      <c r="F2014" s="134"/>
      <c r="G2014" s="135">
        <v>157</v>
      </c>
      <c r="H2014" s="137">
        <v>10.29</v>
      </c>
      <c r="I2014" s="134"/>
      <c r="J2014" s="137">
        <v>14.01</v>
      </c>
      <c r="K2014" s="134"/>
      <c r="L2014" s="136">
        <v>30</v>
      </c>
      <c r="M2014" s="181"/>
      <c r="N2014" s="159"/>
      <c r="O2014" s="159"/>
      <c r="P2014" s="136"/>
    </row>
    <row r="2015" spans="1:16" x14ac:dyDescent="0.25">
      <c r="A2015" s="156">
        <v>45818</v>
      </c>
      <c r="B2015" s="136" t="s">
        <v>28</v>
      </c>
      <c r="C2015" s="157" t="str">
        <f t="shared" si="72"/>
        <v>10.06.2025_GRU2</v>
      </c>
      <c r="D2015" s="190">
        <f t="shared" si="73"/>
        <v>0</v>
      </c>
      <c r="E2015" s="133">
        <v>7.49</v>
      </c>
      <c r="F2015" s="134"/>
      <c r="G2015" s="135">
        <v>172</v>
      </c>
      <c r="H2015" s="137">
        <v>9.8699999999999992</v>
      </c>
      <c r="I2015" s="134"/>
      <c r="J2015" s="137">
        <v>14.39</v>
      </c>
      <c r="K2015" s="134"/>
      <c r="L2015" s="136">
        <v>40</v>
      </c>
      <c r="M2015" s="181"/>
      <c r="N2015" s="159"/>
      <c r="O2015" s="159"/>
      <c r="P2015" s="136"/>
    </row>
    <row r="2016" spans="1:16" x14ac:dyDescent="0.25">
      <c r="A2016" s="156">
        <v>45818</v>
      </c>
      <c r="B2016" s="136" t="s">
        <v>0</v>
      </c>
      <c r="C2016" s="157" t="str">
        <f t="shared" si="72"/>
        <v>10.06.2025_KIN1</v>
      </c>
      <c r="D2016" s="190">
        <f t="shared" si="73"/>
        <v>0</v>
      </c>
      <c r="E2016" s="133">
        <v>8.39</v>
      </c>
      <c r="F2016" s="134"/>
      <c r="G2016" s="135">
        <v>411</v>
      </c>
      <c r="H2016" s="137">
        <v>10.38</v>
      </c>
      <c r="I2016" s="134"/>
      <c r="J2016" s="137">
        <v>14.11</v>
      </c>
      <c r="K2016" s="134"/>
      <c r="L2016" s="136">
        <v>27</v>
      </c>
      <c r="M2016" s="181"/>
      <c r="N2016" s="159"/>
      <c r="O2016" s="159"/>
      <c r="P2016" s="136"/>
    </row>
    <row r="2017" spans="1:16" x14ac:dyDescent="0.25">
      <c r="A2017" s="156">
        <v>45818</v>
      </c>
      <c r="B2017" s="136" t="s">
        <v>2</v>
      </c>
      <c r="C2017" s="157" t="str">
        <f t="shared" si="72"/>
        <v>10.06.2025_KIN2</v>
      </c>
      <c r="D2017" s="190">
        <f t="shared" si="73"/>
        <v>0</v>
      </c>
      <c r="E2017" s="133">
        <v>8.17</v>
      </c>
      <c r="F2017" s="134"/>
      <c r="G2017" s="135">
        <v>495</v>
      </c>
      <c r="H2017" s="137">
        <v>10.6</v>
      </c>
      <c r="I2017" s="134"/>
      <c r="J2017" s="137">
        <v>15.33</v>
      </c>
      <c r="K2017" s="134"/>
      <c r="L2017" s="136">
        <v>24</v>
      </c>
      <c r="M2017" s="181"/>
      <c r="N2017" s="159"/>
      <c r="O2017" s="159"/>
      <c r="P2017" s="136"/>
    </row>
    <row r="2018" spans="1:16" x14ac:dyDescent="0.25">
      <c r="A2018" s="156">
        <v>45818</v>
      </c>
      <c r="B2018" s="136" t="s">
        <v>4</v>
      </c>
      <c r="C2018" s="157" t="str">
        <f t="shared" si="72"/>
        <v>10.06.2025_KIN3</v>
      </c>
      <c r="D2018" s="190">
        <f t="shared" si="73"/>
        <v>0</v>
      </c>
      <c r="E2018" s="133">
        <v>8.27</v>
      </c>
      <c r="F2018" s="134"/>
      <c r="G2018" s="135">
        <v>478</v>
      </c>
      <c r="H2018" s="137">
        <v>10.31</v>
      </c>
      <c r="I2018" s="134"/>
      <c r="J2018" s="137">
        <v>15.04</v>
      </c>
      <c r="K2018" s="134"/>
      <c r="L2018" s="136">
        <v>15</v>
      </c>
      <c r="M2018" s="181"/>
      <c r="N2018" s="159"/>
      <c r="O2018" s="159"/>
      <c r="P2018" s="136"/>
    </row>
    <row r="2019" spans="1:16" x14ac:dyDescent="0.25">
      <c r="A2019" s="156">
        <v>45818</v>
      </c>
      <c r="B2019" s="136" t="s">
        <v>6</v>
      </c>
      <c r="C2019" s="157" t="str">
        <f t="shared" si="72"/>
        <v>10.06.2025_KIN4</v>
      </c>
      <c r="D2019" s="190">
        <f t="shared" si="73"/>
        <v>0</v>
      </c>
      <c r="E2019" s="133">
        <v>8.0299999999999994</v>
      </c>
      <c r="F2019" s="134"/>
      <c r="G2019" s="135">
        <v>473</v>
      </c>
      <c r="H2019" s="137">
        <v>10.06</v>
      </c>
      <c r="I2019" s="134"/>
      <c r="J2019" s="137">
        <v>15.07</v>
      </c>
      <c r="K2019" s="134"/>
      <c r="L2019" s="136">
        <v>30</v>
      </c>
      <c r="M2019" s="181"/>
      <c r="N2019" s="159"/>
      <c r="O2019" s="159"/>
      <c r="P2019" s="136"/>
    </row>
    <row r="2020" spans="1:16" x14ac:dyDescent="0.25">
      <c r="A2020" s="156">
        <v>45818</v>
      </c>
      <c r="B2020" s="136" t="s">
        <v>421</v>
      </c>
      <c r="C2020" s="157" t="str">
        <f t="shared" si="72"/>
        <v>10.06.2025_KLI</v>
      </c>
      <c r="D2020" s="190">
        <f t="shared" si="73"/>
        <v>5</v>
      </c>
      <c r="E2020" s="283"/>
      <c r="F2020" s="134"/>
      <c r="G2020" s="287"/>
      <c r="H2020" s="285"/>
      <c r="I2020" s="134"/>
      <c r="J2020" s="285"/>
      <c r="K2020" s="134"/>
      <c r="L2020" s="282"/>
      <c r="M2020" s="181"/>
      <c r="N2020" s="159"/>
      <c r="O2020" s="159"/>
      <c r="P2020" s="192" t="s">
        <v>454</v>
      </c>
    </row>
    <row r="2021" spans="1:16" x14ac:dyDescent="0.25">
      <c r="A2021" s="156">
        <v>45818</v>
      </c>
      <c r="B2021" s="136" t="s">
        <v>34</v>
      </c>
      <c r="C2021" s="157" t="str">
        <f t="shared" si="72"/>
        <v>10.06.2025_KRE1</v>
      </c>
      <c r="D2021" s="190">
        <f t="shared" si="73"/>
        <v>0</v>
      </c>
      <c r="E2021" s="133">
        <v>7.71</v>
      </c>
      <c r="F2021" s="134"/>
      <c r="G2021" s="135">
        <v>704</v>
      </c>
      <c r="H2021" s="137">
        <v>8.81</v>
      </c>
      <c r="I2021" s="134"/>
      <c r="J2021" s="137">
        <v>14.79</v>
      </c>
      <c r="K2021" s="134"/>
      <c r="L2021" s="136">
        <v>40</v>
      </c>
      <c r="M2021" s="181"/>
      <c r="N2021" s="159"/>
      <c r="O2021" s="159"/>
      <c r="P2021" s="136"/>
    </row>
    <row r="2022" spans="1:16" x14ac:dyDescent="0.25">
      <c r="A2022" s="156">
        <v>45818</v>
      </c>
      <c r="B2022" s="136" t="s">
        <v>37</v>
      </c>
      <c r="C2022" s="157" t="str">
        <f t="shared" si="72"/>
        <v>10.06.2025_KRE2</v>
      </c>
      <c r="D2022" s="190">
        <f t="shared" si="73"/>
        <v>0</v>
      </c>
      <c r="E2022" s="133">
        <v>7.67</v>
      </c>
      <c r="F2022" s="134"/>
      <c r="G2022" s="135">
        <v>758</v>
      </c>
      <c r="H2022" s="137">
        <v>8.8000000000000007</v>
      </c>
      <c r="I2022" s="134"/>
      <c r="J2022" s="137">
        <v>14.94</v>
      </c>
      <c r="K2022" s="134"/>
      <c r="L2022" s="136">
        <v>40</v>
      </c>
      <c r="M2022" s="181"/>
      <c r="N2022" s="159"/>
      <c r="O2022" s="159"/>
      <c r="P2022" s="136"/>
    </row>
    <row r="2023" spans="1:16" x14ac:dyDescent="0.25">
      <c r="A2023" s="156">
        <v>45818</v>
      </c>
      <c r="B2023" s="136" t="s">
        <v>18</v>
      </c>
      <c r="C2023" s="157" t="str">
        <f t="shared" si="72"/>
        <v>10.06.2025_ORB1</v>
      </c>
      <c r="D2023" s="190">
        <f t="shared" si="73"/>
        <v>0</v>
      </c>
      <c r="E2023" s="133">
        <v>7.6</v>
      </c>
      <c r="F2023" s="134"/>
      <c r="G2023" s="135">
        <v>117</v>
      </c>
      <c r="H2023" s="137">
        <v>9.99</v>
      </c>
      <c r="I2023" s="134"/>
      <c r="J2023" s="137">
        <v>15.82</v>
      </c>
      <c r="K2023" s="134"/>
      <c r="L2023" s="136">
        <v>8</v>
      </c>
      <c r="M2023" s="181"/>
      <c r="N2023" s="159"/>
      <c r="O2023" s="159"/>
      <c r="P2023" s="136"/>
    </row>
    <row r="2024" spans="1:16" x14ac:dyDescent="0.25">
      <c r="A2024" s="156">
        <v>45818</v>
      </c>
      <c r="B2024" s="136" t="s">
        <v>21</v>
      </c>
      <c r="C2024" s="157" t="str">
        <f t="shared" si="72"/>
        <v>10.06.2025_ORB2</v>
      </c>
      <c r="D2024" s="190">
        <f t="shared" si="73"/>
        <v>0</v>
      </c>
      <c r="E2024" s="133">
        <v>7.29</v>
      </c>
      <c r="F2024" s="134"/>
      <c r="G2024" s="135">
        <v>94</v>
      </c>
      <c r="H2024" s="137">
        <v>9.6199999999999992</v>
      </c>
      <c r="I2024" s="134"/>
      <c r="J2024" s="137">
        <v>16.399999999999999</v>
      </c>
      <c r="K2024" s="134"/>
      <c r="L2024" s="136">
        <v>8</v>
      </c>
      <c r="M2024" s="181"/>
      <c r="N2024" s="159"/>
      <c r="O2024" s="159"/>
      <c r="P2024" s="136"/>
    </row>
    <row r="2025" spans="1:16" x14ac:dyDescent="0.25">
      <c r="A2025" s="156">
        <v>45818</v>
      </c>
      <c r="B2025" s="136" t="s">
        <v>10</v>
      </c>
      <c r="C2025" s="157" t="str">
        <f t="shared" si="72"/>
        <v>10.06.2025_SAL1</v>
      </c>
      <c r="D2025" s="190">
        <f t="shared" si="73"/>
        <v>0</v>
      </c>
      <c r="E2025" s="133">
        <v>8.07</v>
      </c>
      <c r="F2025" s="134"/>
      <c r="G2025" s="135">
        <v>190</v>
      </c>
      <c r="H2025" s="137">
        <v>10.28</v>
      </c>
      <c r="I2025" s="134"/>
      <c r="J2025" s="137">
        <v>14.97</v>
      </c>
      <c r="K2025" s="134"/>
      <c r="L2025" s="136">
        <v>22</v>
      </c>
      <c r="M2025" s="181"/>
      <c r="N2025" s="159"/>
      <c r="O2025" s="159"/>
      <c r="P2025" s="136"/>
    </row>
    <row r="2026" spans="1:16" x14ac:dyDescent="0.25">
      <c r="A2026" s="156">
        <v>45818</v>
      </c>
      <c r="B2026" s="136" t="s">
        <v>12</v>
      </c>
      <c r="C2026" s="157" t="str">
        <f t="shared" si="72"/>
        <v>10.06.2025_SAL2</v>
      </c>
      <c r="D2026" s="190">
        <f t="shared" si="73"/>
        <v>0</v>
      </c>
      <c r="E2026" s="133">
        <v>7.98</v>
      </c>
      <c r="F2026" s="134"/>
      <c r="G2026" s="135">
        <v>195</v>
      </c>
      <c r="H2026" s="137">
        <v>10.14</v>
      </c>
      <c r="I2026" s="134"/>
      <c r="J2026" s="137">
        <v>15.04</v>
      </c>
      <c r="K2026" s="134"/>
      <c r="L2026" s="136">
        <v>23</v>
      </c>
      <c r="M2026" s="181"/>
      <c r="N2026" s="159"/>
      <c r="O2026" s="159"/>
      <c r="P2026" s="136"/>
    </row>
    <row r="2027" spans="1:16" x14ac:dyDescent="0.25">
      <c r="A2027" s="156">
        <v>45818</v>
      </c>
      <c r="B2027" s="136" t="s">
        <v>7</v>
      </c>
      <c r="C2027" s="157" t="str">
        <f t="shared" si="72"/>
        <v>10.06.2025_STE1</v>
      </c>
      <c r="D2027" s="190">
        <f t="shared" si="73"/>
        <v>0</v>
      </c>
      <c r="E2027" s="133">
        <v>8.1300000000000008</v>
      </c>
      <c r="F2027" s="134"/>
      <c r="G2027" s="135">
        <v>292</v>
      </c>
      <c r="H2027" s="137">
        <v>10.1</v>
      </c>
      <c r="I2027" s="134"/>
      <c r="J2027" s="137">
        <v>14.92</v>
      </c>
      <c r="K2027" s="134"/>
      <c r="L2027" s="136">
        <v>28.000000000000004</v>
      </c>
      <c r="M2027" s="181"/>
      <c r="N2027" s="159"/>
      <c r="O2027" s="159"/>
      <c r="P2027" s="136"/>
    </row>
    <row r="2028" spans="1:16" x14ac:dyDescent="0.25">
      <c r="A2028" s="156">
        <v>45818</v>
      </c>
      <c r="B2028" s="136" t="s">
        <v>9</v>
      </c>
      <c r="C2028" s="157" t="str">
        <f t="shared" si="72"/>
        <v>10.06.2025_STE2</v>
      </c>
      <c r="D2028" s="190">
        <f t="shared" si="73"/>
        <v>0</v>
      </c>
      <c r="E2028" s="133">
        <v>8.2899999999999991</v>
      </c>
      <c r="F2028" s="134"/>
      <c r="G2028" s="135">
        <v>297</v>
      </c>
      <c r="H2028" s="137">
        <v>10.29</v>
      </c>
      <c r="I2028" s="134"/>
      <c r="J2028" s="137">
        <v>14.68</v>
      </c>
      <c r="K2028" s="134"/>
      <c r="L2028" s="136">
        <v>25</v>
      </c>
      <c r="M2028" s="181"/>
      <c r="N2028" s="159"/>
      <c r="O2028" s="159"/>
      <c r="P2028" s="136"/>
    </row>
    <row r="2029" spans="1:16" x14ac:dyDescent="0.25">
      <c r="A2029" s="156">
        <v>45832</v>
      </c>
      <c r="B2029" s="136" t="s">
        <v>22</v>
      </c>
      <c r="C2029" s="157" t="str">
        <f t="shared" ref="C2029" si="74">CONCATENATE(TEXT(A2029,"TT.MM.JJJJ"),"_",B2029)</f>
        <v>24.06.2025_BIE1</v>
      </c>
      <c r="D2029" s="190">
        <f t="shared" ref="D2029" si="75">COUNTBLANK(E2029)+COUNTBLANK(G2029:H2029)+COUNTBLANK(J2029)+COUNTBLANK(L2029)</f>
        <v>0</v>
      </c>
      <c r="E2029" s="133">
        <v>7.83</v>
      </c>
      <c r="F2029" s="134"/>
      <c r="G2029" s="135">
        <v>180</v>
      </c>
      <c r="H2029" s="137">
        <v>10</v>
      </c>
      <c r="I2029" s="134"/>
      <c r="J2029" s="137">
        <v>15.95</v>
      </c>
      <c r="K2029" s="134"/>
      <c r="L2029" s="136">
        <v>30</v>
      </c>
      <c r="M2029" s="181"/>
      <c r="N2029" s="159"/>
      <c r="O2029" s="159"/>
      <c r="P2029" s="136"/>
    </row>
    <row r="2030" spans="1:16" x14ac:dyDescent="0.25">
      <c r="A2030" s="156">
        <v>45832</v>
      </c>
      <c r="B2030" s="136" t="s">
        <v>25</v>
      </c>
      <c r="C2030" s="157" t="str">
        <f t="shared" ref="C2030:C2049" si="76">CONCATENATE(TEXT(A2030,"TT.MM.JJJJ"),"_",B2030)</f>
        <v>24.06.2025_BIE2</v>
      </c>
      <c r="D2030" s="190">
        <f t="shared" ref="D2030:D2049" si="77">COUNTBLANK(E2030)+COUNTBLANK(G2030:H2030)+COUNTBLANK(J2030)+COUNTBLANK(L2030)</f>
        <v>0</v>
      </c>
      <c r="E2030" s="133">
        <v>7.87</v>
      </c>
      <c r="F2030" s="134"/>
      <c r="G2030" s="135">
        <v>198</v>
      </c>
      <c r="H2030" s="137">
        <v>9.81</v>
      </c>
      <c r="I2030" s="134"/>
      <c r="J2030" s="137">
        <v>15.44</v>
      </c>
      <c r="K2030" s="134"/>
      <c r="L2030" s="136">
        <v>35</v>
      </c>
      <c r="M2030" s="181"/>
      <c r="N2030" s="159"/>
      <c r="O2030" s="159"/>
      <c r="P2030" s="136"/>
    </row>
    <row r="2031" spans="1:16" x14ac:dyDescent="0.25">
      <c r="A2031" s="156">
        <v>45832</v>
      </c>
      <c r="B2031" s="136" t="s">
        <v>14</v>
      </c>
      <c r="C2031" s="157" t="str">
        <f t="shared" si="76"/>
        <v>24.06.2025_BRA1</v>
      </c>
      <c r="D2031" s="190">
        <f t="shared" si="77"/>
        <v>0</v>
      </c>
      <c r="E2031" s="133">
        <v>7.8</v>
      </c>
      <c r="F2031" s="134"/>
      <c r="G2031" s="135">
        <v>196.8</v>
      </c>
      <c r="H2031" s="137">
        <v>13.7</v>
      </c>
      <c r="I2031" s="134"/>
      <c r="J2031" s="137">
        <v>20.5</v>
      </c>
      <c r="K2031" s="134"/>
      <c r="L2031" s="136">
        <v>9</v>
      </c>
      <c r="M2031" s="181"/>
      <c r="N2031" s="159"/>
      <c r="O2031" s="159"/>
      <c r="P2031" s="136"/>
    </row>
    <row r="2032" spans="1:16" x14ac:dyDescent="0.25">
      <c r="A2032" s="156">
        <v>45832</v>
      </c>
      <c r="B2032" s="136" t="s">
        <v>17</v>
      </c>
      <c r="C2032" s="157" t="str">
        <f t="shared" si="76"/>
        <v>24.06.2025_BRA2</v>
      </c>
      <c r="D2032" s="190">
        <f t="shared" si="77"/>
        <v>0</v>
      </c>
      <c r="E2032" s="133">
        <v>7.98</v>
      </c>
      <c r="F2032" s="134"/>
      <c r="G2032" s="135">
        <v>208</v>
      </c>
      <c r="H2032" s="137">
        <v>15.3</v>
      </c>
      <c r="I2032" s="134"/>
      <c r="J2032" s="137">
        <v>19</v>
      </c>
      <c r="K2032" s="134"/>
      <c r="L2032" s="136">
        <v>15</v>
      </c>
      <c r="M2032" s="181"/>
      <c r="N2032" s="159"/>
      <c r="O2032" s="159"/>
      <c r="P2032" s="136"/>
    </row>
    <row r="2033" spans="1:16" x14ac:dyDescent="0.25">
      <c r="A2033" s="156">
        <v>45832</v>
      </c>
      <c r="B2033" s="136" t="s">
        <v>30</v>
      </c>
      <c r="C2033" s="157" t="str">
        <f t="shared" si="76"/>
        <v>24.06.2025_FAL1</v>
      </c>
      <c r="D2033" s="190">
        <f t="shared" si="77"/>
        <v>0</v>
      </c>
      <c r="E2033" s="133">
        <v>7.71</v>
      </c>
      <c r="F2033" s="134"/>
      <c r="G2033" s="135">
        <v>800</v>
      </c>
      <c r="H2033" s="137">
        <v>9.1</v>
      </c>
      <c r="I2033" s="134"/>
      <c r="J2033" s="137">
        <v>15.38</v>
      </c>
      <c r="K2033" s="134"/>
      <c r="L2033" s="136">
        <v>20</v>
      </c>
      <c r="M2033" s="181"/>
      <c r="N2033" s="159"/>
      <c r="O2033" s="159"/>
      <c r="P2033" s="136"/>
    </row>
    <row r="2034" spans="1:16" x14ac:dyDescent="0.25">
      <c r="A2034" s="156">
        <v>45832</v>
      </c>
      <c r="B2034" s="136" t="s">
        <v>32</v>
      </c>
      <c r="C2034" s="157" t="str">
        <f t="shared" si="76"/>
        <v>24.06.2025_FAL2</v>
      </c>
      <c r="D2034" s="190">
        <f t="shared" si="77"/>
        <v>0</v>
      </c>
      <c r="E2034" s="133">
        <v>8.14</v>
      </c>
      <c r="F2034" s="134"/>
      <c r="G2034" s="135">
        <v>820</v>
      </c>
      <c r="H2034" s="137">
        <v>9.5399999999999991</v>
      </c>
      <c r="I2034" s="134"/>
      <c r="J2034" s="137">
        <v>16.239999999999998</v>
      </c>
      <c r="K2034" s="134"/>
      <c r="L2034" s="136">
        <v>25</v>
      </c>
      <c r="M2034" s="181"/>
      <c r="N2034" s="159"/>
      <c r="O2034" s="159"/>
      <c r="P2034" s="136"/>
    </row>
    <row r="2035" spans="1:16" x14ac:dyDescent="0.25">
      <c r="A2035" s="156">
        <v>45832</v>
      </c>
      <c r="B2035" s="136" t="s">
        <v>26</v>
      </c>
      <c r="C2035" s="157" t="str">
        <f t="shared" si="76"/>
        <v>24.06.2025_GRU1</v>
      </c>
      <c r="D2035" s="190">
        <f t="shared" si="77"/>
        <v>0</v>
      </c>
      <c r="E2035" s="133">
        <v>7.6</v>
      </c>
      <c r="F2035" s="134"/>
      <c r="G2035" s="135">
        <v>157</v>
      </c>
      <c r="H2035" s="137">
        <v>9.66</v>
      </c>
      <c r="I2035" s="134"/>
      <c r="J2035" s="137">
        <v>16.260000000000002</v>
      </c>
      <c r="K2035" s="134"/>
      <c r="L2035" s="136">
        <v>20</v>
      </c>
      <c r="M2035" s="181"/>
      <c r="N2035" s="159"/>
      <c r="O2035" s="159"/>
      <c r="P2035" s="136"/>
    </row>
    <row r="2036" spans="1:16" x14ac:dyDescent="0.25">
      <c r="A2036" s="156">
        <v>45832</v>
      </c>
      <c r="B2036" s="136" t="s">
        <v>28</v>
      </c>
      <c r="C2036" s="157" t="str">
        <f t="shared" si="76"/>
        <v>24.06.2025_GRU2</v>
      </c>
      <c r="D2036" s="190">
        <f t="shared" si="77"/>
        <v>0</v>
      </c>
      <c r="E2036" s="133">
        <v>7.63</v>
      </c>
      <c r="F2036" s="134"/>
      <c r="G2036" s="135">
        <v>176</v>
      </c>
      <c r="H2036" s="137">
        <v>9.42</v>
      </c>
      <c r="I2036" s="134"/>
      <c r="J2036" s="137">
        <v>16.39</v>
      </c>
      <c r="K2036" s="134"/>
      <c r="L2036" s="136">
        <v>35</v>
      </c>
      <c r="M2036" s="181"/>
      <c r="N2036" s="159"/>
      <c r="O2036" s="159"/>
      <c r="P2036" s="136"/>
    </row>
    <row r="2037" spans="1:16" x14ac:dyDescent="0.25">
      <c r="A2037" s="156">
        <v>45832</v>
      </c>
      <c r="B2037" s="136" t="s">
        <v>0</v>
      </c>
      <c r="C2037" s="157" t="str">
        <f t="shared" si="76"/>
        <v>24.06.2025_KIN1</v>
      </c>
      <c r="D2037" s="190">
        <f t="shared" si="77"/>
        <v>0</v>
      </c>
      <c r="E2037" s="133">
        <v>8.19</v>
      </c>
      <c r="F2037" s="134"/>
      <c r="G2037" s="135">
        <v>395</v>
      </c>
      <c r="H2037" s="137">
        <v>14.4</v>
      </c>
      <c r="I2037" s="134"/>
      <c r="J2037" s="137">
        <v>15.5</v>
      </c>
      <c r="K2037" s="134"/>
      <c r="L2037" s="136">
        <v>19</v>
      </c>
      <c r="M2037" s="181"/>
      <c r="N2037" s="159"/>
      <c r="O2037" s="159"/>
      <c r="P2037" s="136"/>
    </row>
    <row r="2038" spans="1:16" x14ac:dyDescent="0.25">
      <c r="A2038" s="156">
        <v>45832</v>
      </c>
      <c r="B2038" s="136" t="s">
        <v>2</v>
      </c>
      <c r="C2038" s="157" t="str">
        <f t="shared" si="76"/>
        <v>24.06.2025_KIN2</v>
      </c>
      <c r="D2038" s="190">
        <f t="shared" si="77"/>
        <v>0</v>
      </c>
      <c r="E2038" s="133">
        <v>8.1999999999999993</v>
      </c>
      <c r="F2038" s="134"/>
      <c r="G2038" s="135">
        <v>422</v>
      </c>
      <c r="H2038" s="137">
        <v>19.7</v>
      </c>
      <c r="I2038" s="134"/>
      <c r="J2038" s="137">
        <v>16.5</v>
      </c>
      <c r="K2038" s="134"/>
      <c r="L2038" s="136">
        <v>22</v>
      </c>
      <c r="M2038" s="181"/>
      <c r="N2038" s="159"/>
      <c r="O2038" s="159"/>
      <c r="P2038" s="136"/>
    </row>
    <row r="2039" spans="1:16" x14ac:dyDescent="0.25">
      <c r="A2039" s="156">
        <v>45832</v>
      </c>
      <c r="B2039" s="136" t="s">
        <v>4</v>
      </c>
      <c r="C2039" s="157" t="str">
        <f t="shared" si="76"/>
        <v>24.06.2025_KIN3</v>
      </c>
      <c r="D2039" s="190">
        <f t="shared" si="77"/>
        <v>0</v>
      </c>
      <c r="E2039" s="133">
        <v>8.27</v>
      </c>
      <c r="F2039" s="134"/>
      <c r="G2039" s="135">
        <v>432</v>
      </c>
      <c r="H2039" s="137">
        <v>17.600000000000001</v>
      </c>
      <c r="I2039" s="134"/>
      <c r="J2039" s="137">
        <v>17.3</v>
      </c>
      <c r="K2039" s="134"/>
      <c r="L2039" s="136">
        <v>12</v>
      </c>
      <c r="M2039" s="181"/>
      <c r="N2039" s="159"/>
      <c r="O2039" s="159"/>
      <c r="P2039" s="136"/>
    </row>
    <row r="2040" spans="1:16" x14ac:dyDescent="0.25">
      <c r="A2040" s="156">
        <v>45832</v>
      </c>
      <c r="B2040" s="136" t="s">
        <v>6</v>
      </c>
      <c r="C2040" s="157" t="str">
        <f t="shared" si="76"/>
        <v>24.06.2025_KIN4</v>
      </c>
      <c r="D2040" s="190">
        <f t="shared" si="77"/>
        <v>0</v>
      </c>
      <c r="E2040" s="133">
        <v>7.97</v>
      </c>
      <c r="F2040" s="134"/>
      <c r="G2040" s="135">
        <v>445</v>
      </c>
      <c r="H2040" s="137">
        <v>16.399999999999999</v>
      </c>
      <c r="I2040" s="134"/>
      <c r="J2040" s="137">
        <v>18.5</v>
      </c>
      <c r="K2040" s="134"/>
      <c r="L2040" s="136">
        <v>23</v>
      </c>
      <c r="M2040" s="181"/>
      <c r="N2040" s="159"/>
      <c r="O2040" s="159"/>
      <c r="P2040" s="136"/>
    </row>
    <row r="2041" spans="1:16" x14ac:dyDescent="0.25">
      <c r="A2041" s="156">
        <v>45832</v>
      </c>
      <c r="B2041" s="136" t="s">
        <v>421</v>
      </c>
      <c r="C2041" s="157" t="str">
        <f t="shared" si="76"/>
        <v>24.06.2025_KLI</v>
      </c>
      <c r="D2041" s="190">
        <f t="shared" si="77"/>
        <v>5</v>
      </c>
      <c r="E2041" s="283"/>
      <c r="F2041" s="134"/>
      <c r="G2041" s="287"/>
      <c r="H2041" s="285"/>
      <c r="I2041" s="134"/>
      <c r="J2041" s="285"/>
      <c r="K2041" s="134"/>
      <c r="L2041" s="282"/>
      <c r="M2041" s="181"/>
      <c r="N2041" s="159"/>
      <c r="O2041" s="159"/>
      <c r="P2041" s="192" t="s">
        <v>454</v>
      </c>
    </row>
    <row r="2042" spans="1:16" x14ac:dyDescent="0.25">
      <c r="A2042" s="156">
        <v>45832</v>
      </c>
      <c r="B2042" s="136" t="s">
        <v>34</v>
      </c>
      <c r="C2042" s="157" t="str">
        <f t="shared" si="76"/>
        <v>24.06.2025_KRE1</v>
      </c>
      <c r="D2042" s="190">
        <f t="shared" si="77"/>
        <v>0</v>
      </c>
      <c r="E2042" s="133">
        <v>7.84</v>
      </c>
      <c r="F2042" s="134"/>
      <c r="G2042" s="135">
        <v>953</v>
      </c>
      <c r="H2042" s="137">
        <v>6.8</v>
      </c>
      <c r="I2042" s="134"/>
      <c r="J2042" s="137">
        <v>18.11</v>
      </c>
      <c r="K2042" s="134"/>
      <c r="L2042" s="136">
        <v>30</v>
      </c>
      <c r="M2042" s="181"/>
      <c r="N2042" s="159"/>
      <c r="O2042" s="159"/>
      <c r="P2042" s="136"/>
    </row>
    <row r="2043" spans="1:16" x14ac:dyDescent="0.25">
      <c r="A2043" s="156">
        <v>45832</v>
      </c>
      <c r="B2043" s="136" t="s">
        <v>37</v>
      </c>
      <c r="C2043" s="157" t="str">
        <f t="shared" si="76"/>
        <v>24.06.2025_KRE2</v>
      </c>
      <c r="D2043" s="190">
        <f t="shared" si="77"/>
        <v>0</v>
      </c>
      <c r="E2043" s="133">
        <v>7.75</v>
      </c>
      <c r="F2043" s="134"/>
      <c r="G2043" s="135">
        <v>976</v>
      </c>
      <c r="H2043" s="137">
        <v>7.93</v>
      </c>
      <c r="I2043" s="134"/>
      <c r="J2043" s="137">
        <v>16.68</v>
      </c>
      <c r="K2043" s="134"/>
      <c r="L2043" s="136">
        <v>30</v>
      </c>
      <c r="M2043" s="181"/>
      <c r="N2043" s="159"/>
      <c r="O2043" s="159"/>
      <c r="P2043" s="136"/>
    </row>
    <row r="2044" spans="1:16" x14ac:dyDescent="0.25">
      <c r="A2044" s="156">
        <v>45832</v>
      </c>
      <c r="B2044" s="136" t="s">
        <v>18</v>
      </c>
      <c r="C2044" s="157" t="str">
        <f t="shared" si="76"/>
        <v>24.06.2025_ORB1</v>
      </c>
      <c r="D2044" s="190">
        <f t="shared" si="77"/>
        <v>0</v>
      </c>
      <c r="E2044" s="133">
        <v>7.69</v>
      </c>
      <c r="F2044" s="134"/>
      <c r="G2044" s="135">
        <v>105.8</v>
      </c>
      <c r="H2044" s="137">
        <v>17.899999999999999</v>
      </c>
      <c r="I2044" s="134"/>
      <c r="J2044" s="137">
        <v>17.8</v>
      </c>
      <c r="K2044" s="134"/>
      <c r="L2044" s="136">
        <v>3</v>
      </c>
      <c r="M2044" s="181"/>
      <c r="N2044" s="159"/>
      <c r="O2044" s="159"/>
      <c r="P2044" s="136"/>
    </row>
    <row r="2045" spans="1:16" x14ac:dyDescent="0.25">
      <c r="A2045" s="156">
        <v>45832</v>
      </c>
      <c r="B2045" s="136" t="s">
        <v>21</v>
      </c>
      <c r="C2045" s="157" t="str">
        <f t="shared" si="76"/>
        <v>24.06.2025_ORB2</v>
      </c>
      <c r="D2045" s="190">
        <f t="shared" si="77"/>
        <v>0</v>
      </c>
      <c r="E2045" s="133">
        <v>7.23</v>
      </c>
      <c r="F2045" s="134"/>
      <c r="G2045" s="135">
        <v>196.6</v>
      </c>
      <c r="H2045" s="137">
        <v>15.7</v>
      </c>
      <c r="I2045" s="134"/>
      <c r="J2045" s="137">
        <v>18.100000000000001</v>
      </c>
      <c r="K2045" s="134"/>
      <c r="L2045" s="136">
        <v>5</v>
      </c>
      <c r="M2045" s="181"/>
      <c r="N2045" s="159"/>
      <c r="O2045" s="159"/>
      <c r="P2045" s="136"/>
    </row>
    <row r="2046" spans="1:16" x14ac:dyDescent="0.25">
      <c r="A2046" s="156">
        <v>45832</v>
      </c>
      <c r="B2046" s="136" t="s">
        <v>10</v>
      </c>
      <c r="C2046" s="157" t="str">
        <f t="shared" si="76"/>
        <v>24.06.2025_SAL1</v>
      </c>
      <c r="D2046" s="190">
        <f t="shared" si="77"/>
        <v>0</v>
      </c>
      <c r="E2046" s="133">
        <v>7.95</v>
      </c>
      <c r="F2046" s="134"/>
      <c r="G2046" s="135">
        <v>203</v>
      </c>
      <c r="H2046" s="137">
        <v>16.399999999999999</v>
      </c>
      <c r="I2046" s="134"/>
      <c r="J2046" s="137">
        <v>17.5</v>
      </c>
      <c r="K2046" s="134"/>
      <c r="L2046" s="136">
        <v>13</v>
      </c>
      <c r="M2046" s="181"/>
      <c r="N2046" s="159"/>
      <c r="O2046" s="159"/>
      <c r="P2046" s="136"/>
    </row>
    <row r="2047" spans="1:16" x14ac:dyDescent="0.25">
      <c r="A2047" s="156">
        <v>45832</v>
      </c>
      <c r="B2047" s="136" t="s">
        <v>12</v>
      </c>
      <c r="C2047" s="157" t="str">
        <f t="shared" si="76"/>
        <v>24.06.2025_SAL2</v>
      </c>
      <c r="D2047" s="190">
        <f t="shared" si="77"/>
        <v>0</v>
      </c>
      <c r="E2047" s="133">
        <v>8.23</v>
      </c>
      <c r="F2047" s="134"/>
      <c r="G2047" s="135">
        <v>200</v>
      </c>
      <c r="H2047" s="137">
        <v>16.5</v>
      </c>
      <c r="I2047" s="134"/>
      <c r="J2047" s="137">
        <v>18.899999999999999</v>
      </c>
      <c r="K2047" s="134"/>
      <c r="L2047" s="136">
        <v>20</v>
      </c>
      <c r="M2047" s="181"/>
      <c r="N2047" s="159"/>
      <c r="O2047" s="159"/>
      <c r="P2047" s="136"/>
    </row>
    <row r="2048" spans="1:16" x14ac:dyDescent="0.25">
      <c r="A2048" s="156">
        <v>45832</v>
      </c>
      <c r="B2048" s="136" t="s">
        <v>7</v>
      </c>
      <c r="C2048" s="157" t="str">
        <f t="shared" si="76"/>
        <v>24.06.2025_STE1</v>
      </c>
      <c r="D2048" s="190">
        <f t="shared" si="77"/>
        <v>0</v>
      </c>
      <c r="E2048" s="133">
        <v>8.1300000000000008</v>
      </c>
      <c r="F2048" s="134"/>
      <c r="G2048" s="135">
        <v>319</v>
      </c>
      <c r="H2048" s="137">
        <v>16.399999999999999</v>
      </c>
      <c r="I2048" s="134"/>
      <c r="J2048" s="137">
        <v>19.5</v>
      </c>
      <c r="K2048" s="134"/>
      <c r="L2048" s="136">
        <v>16</v>
      </c>
      <c r="M2048" s="181"/>
      <c r="N2048" s="159"/>
      <c r="O2048" s="159"/>
      <c r="P2048" s="136"/>
    </row>
    <row r="2049" spans="1:16" x14ac:dyDescent="0.25">
      <c r="A2049" s="156">
        <v>45832</v>
      </c>
      <c r="B2049" s="136" t="s">
        <v>9</v>
      </c>
      <c r="C2049" s="157" t="str">
        <f t="shared" si="76"/>
        <v>24.06.2025_STE2</v>
      </c>
      <c r="D2049" s="190">
        <f t="shared" si="77"/>
        <v>0</v>
      </c>
      <c r="E2049" s="133">
        <v>8.33</v>
      </c>
      <c r="F2049" s="134"/>
      <c r="G2049" s="135">
        <v>305</v>
      </c>
      <c r="H2049" s="137">
        <v>17.2</v>
      </c>
      <c r="I2049" s="134"/>
      <c r="J2049" s="137">
        <v>19.2</v>
      </c>
      <c r="K2049" s="134"/>
      <c r="L2049" s="136">
        <v>10</v>
      </c>
      <c r="M2049" s="181"/>
      <c r="N2049" s="159"/>
      <c r="O2049" s="159"/>
      <c r="P2049" s="136"/>
    </row>
    <row r="2050" spans="1:16" x14ac:dyDescent="0.25">
      <c r="A2050" s="156">
        <v>45845</v>
      </c>
      <c r="B2050" s="136" t="s">
        <v>22</v>
      </c>
      <c r="C2050" s="157" t="str">
        <f t="shared" ref="C2050" si="78">CONCATENATE(TEXT(A2050,"TT.MM.JJJJ"),"_",B2050)</f>
        <v>07.07.2025_BIE1</v>
      </c>
      <c r="D2050" s="190">
        <f t="shared" ref="D2050" si="79">COUNTBLANK(E2050)+COUNTBLANK(G2050:H2050)+COUNTBLANK(J2050)+COUNTBLANK(L2050)</f>
        <v>0</v>
      </c>
      <c r="E2050" s="133">
        <v>7.61</v>
      </c>
      <c r="F2050" s="134"/>
      <c r="G2050" s="135">
        <v>168</v>
      </c>
      <c r="H2050" s="137">
        <v>9.1</v>
      </c>
      <c r="I2050" s="134"/>
      <c r="J2050" s="137">
        <v>16.510000000000002</v>
      </c>
      <c r="K2050" s="134"/>
      <c r="L2050" s="136">
        <v>25</v>
      </c>
      <c r="M2050" s="181"/>
      <c r="N2050" s="159"/>
      <c r="O2050" s="159"/>
      <c r="P2050" s="136"/>
    </row>
    <row r="2051" spans="1:16" x14ac:dyDescent="0.25">
      <c r="A2051" s="156">
        <v>45845</v>
      </c>
      <c r="B2051" s="136" t="s">
        <v>25</v>
      </c>
      <c r="C2051" s="157" t="str">
        <f t="shared" ref="C2051:C2070" si="80">CONCATENATE(TEXT(A2051,"TT.MM.JJJJ"),"_",B2051)</f>
        <v>07.07.2025_BIE2</v>
      </c>
      <c r="D2051" s="190">
        <f t="shared" ref="D2051:D2070" si="81">COUNTBLANK(E2051)+COUNTBLANK(G2051:H2051)+COUNTBLANK(J2051)+COUNTBLANK(L2051)</f>
        <v>0</v>
      </c>
      <c r="E2051" s="133">
        <v>7.46</v>
      </c>
      <c r="F2051" s="134"/>
      <c r="G2051" s="135">
        <v>188</v>
      </c>
      <c r="H2051" s="137">
        <v>8.82</v>
      </c>
      <c r="I2051" s="134"/>
      <c r="J2051" s="137">
        <v>16.32</v>
      </c>
      <c r="K2051" s="134"/>
      <c r="L2051" s="136">
        <v>40</v>
      </c>
      <c r="M2051" s="181"/>
      <c r="N2051" s="159"/>
      <c r="O2051" s="159"/>
      <c r="P2051" s="136"/>
    </row>
    <row r="2052" spans="1:16" x14ac:dyDescent="0.25">
      <c r="A2052" s="156">
        <v>45845</v>
      </c>
      <c r="B2052" s="136" t="s">
        <v>14</v>
      </c>
      <c r="C2052" s="157" t="str">
        <f t="shared" si="80"/>
        <v>07.07.2025_BRA1</v>
      </c>
      <c r="D2052" s="190">
        <f t="shared" si="81"/>
        <v>0</v>
      </c>
      <c r="E2052" s="133">
        <v>7.78</v>
      </c>
      <c r="F2052" s="134"/>
      <c r="G2052" s="135">
        <v>108</v>
      </c>
      <c r="H2052" s="137">
        <v>9.6</v>
      </c>
      <c r="I2052" s="134"/>
      <c r="J2052" s="137">
        <v>16.32</v>
      </c>
      <c r="K2052" s="134"/>
      <c r="L2052" s="136">
        <v>15</v>
      </c>
      <c r="M2052" s="181"/>
      <c r="N2052" s="159"/>
      <c r="O2052" s="159"/>
      <c r="P2052" s="136"/>
    </row>
    <row r="2053" spans="1:16" x14ac:dyDescent="0.25">
      <c r="A2053" s="156">
        <v>45845</v>
      </c>
      <c r="B2053" s="136" t="s">
        <v>17</v>
      </c>
      <c r="C2053" s="157" t="str">
        <f t="shared" si="80"/>
        <v>07.07.2025_BRA2</v>
      </c>
      <c r="D2053" s="190">
        <f t="shared" si="81"/>
        <v>0</v>
      </c>
      <c r="E2053" s="133">
        <v>7.9</v>
      </c>
      <c r="F2053" s="134"/>
      <c r="G2053" s="135">
        <v>203</v>
      </c>
      <c r="H2053" s="137">
        <v>9.9</v>
      </c>
      <c r="I2053" s="134"/>
      <c r="J2053" s="137">
        <v>15.53</v>
      </c>
      <c r="K2053" s="134"/>
      <c r="L2053" s="136">
        <v>17</v>
      </c>
      <c r="M2053" s="181"/>
      <c r="N2053" s="159"/>
      <c r="O2053" s="159"/>
      <c r="P2053" s="136"/>
    </row>
    <row r="2054" spans="1:16" x14ac:dyDescent="0.25">
      <c r="A2054" s="156">
        <v>45845</v>
      </c>
      <c r="B2054" s="136" t="s">
        <v>30</v>
      </c>
      <c r="C2054" s="157" t="str">
        <f t="shared" si="80"/>
        <v>07.07.2025_FAL1</v>
      </c>
      <c r="D2054" s="190">
        <f t="shared" si="81"/>
        <v>0</v>
      </c>
      <c r="E2054" s="133">
        <v>7.46</v>
      </c>
      <c r="F2054" s="134"/>
      <c r="G2054" s="135">
        <v>938</v>
      </c>
      <c r="H2054" s="137">
        <v>9.1</v>
      </c>
      <c r="I2054" s="134"/>
      <c r="J2054" s="137">
        <v>16.3</v>
      </c>
      <c r="K2054" s="134"/>
      <c r="L2054" s="136">
        <v>20</v>
      </c>
      <c r="M2054" s="181"/>
      <c r="N2054" s="159"/>
      <c r="O2054" s="159"/>
      <c r="P2054" s="136"/>
    </row>
    <row r="2055" spans="1:16" x14ac:dyDescent="0.25">
      <c r="A2055" s="156">
        <v>45845</v>
      </c>
      <c r="B2055" s="136" t="s">
        <v>32</v>
      </c>
      <c r="C2055" s="157" t="str">
        <f t="shared" si="80"/>
        <v>07.07.2025_FAL2</v>
      </c>
      <c r="D2055" s="190">
        <f t="shared" si="81"/>
        <v>0</v>
      </c>
      <c r="E2055" s="133">
        <v>8.14</v>
      </c>
      <c r="F2055" s="134"/>
      <c r="G2055" s="135">
        <v>924</v>
      </c>
      <c r="H2055" s="137">
        <v>9</v>
      </c>
      <c r="I2055" s="134"/>
      <c r="J2055" s="137">
        <v>17.37</v>
      </c>
      <c r="K2055" s="134"/>
      <c r="L2055" s="136">
        <v>30</v>
      </c>
      <c r="M2055" s="181"/>
      <c r="N2055" s="159"/>
      <c r="O2055" s="159"/>
      <c r="P2055" s="136"/>
    </row>
    <row r="2056" spans="1:16" x14ac:dyDescent="0.25">
      <c r="A2056" s="156">
        <v>45845</v>
      </c>
      <c r="B2056" s="136" t="s">
        <v>26</v>
      </c>
      <c r="C2056" s="157" t="str">
        <f t="shared" si="80"/>
        <v>07.07.2025_GRU1</v>
      </c>
      <c r="D2056" s="190">
        <f t="shared" si="81"/>
        <v>0</v>
      </c>
      <c r="E2056" s="133">
        <v>7.42</v>
      </c>
      <c r="F2056" s="134"/>
      <c r="G2056" s="135">
        <v>153</v>
      </c>
      <c r="H2056" s="137">
        <v>9.33</v>
      </c>
      <c r="I2056" s="134"/>
      <c r="J2056" s="137">
        <v>15.86</v>
      </c>
      <c r="K2056" s="134"/>
      <c r="L2056" s="136">
        <v>30</v>
      </c>
      <c r="M2056" s="181"/>
      <c r="N2056" s="159"/>
      <c r="O2056" s="159"/>
      <c r="P2056" s="136"/>
    </row>
    <row r="2057" spans="1:16" x14ac:dyDescent="0.25">
      <c r="A2057" s="156">
        <v>45845</v>
      </c>
      <c r="B2057" s="136" t="s">
        <v>28</v>
      </c>
      <c r="C2057" s="157" t="str">
        <f t="shared" si="80"/>
        <v>07.07.2025_GRU2</v>
      </c>
      <c r="D2057" s="190">
        <f t="shared" si="81"/>
        <v>0</v>
      </c>
      <c r="E2057" s="133">
        <v>7.85</v>
      </c>
      <c r="F2057" s="134"/>
      <c r="G2057" s="135">
        <v>170</v>
      </c>
      <c r="H2057" s="137">
        <v>8.9</v>
      </c>
      <c r="I2057" s="134"/>
      <c r="J2057" s="137">
        <v>16.28</v>
      </c>
      <c r="K2057" s="134"/>
      <c r="L2057" s="136">
        <v>30</v>
      </c>
      <c r="M2057" s="181"/>
      <c r="N2057" s="159"/>
      <c r="O2057" s="159"/>
      <c r="P2057" s="136"/>
    </row>
    <row r="2058" spans="1:16" x14ac:dyDescent="0.25">
      <c r="A2058" s="156">
        <v>45845</v>
      </c>
      <c r="B2058" s="136" t="s">
        <v>0</v>
      </c>
      <c r="C2058" s="157" t="str">
        <f t="shared" si="80"/>
        <v>07.07.2025_KIN1</v>
      </c>
      <c r="D2058" s="190">
        <f t="shared" si="81"/>
        <v>0</v>
      </c>
      <c r="E2058" s="133">
        <v>8.24</v>
      </c>
      <c r="F2058" s="134"/>
      <c r="G2058" s="135">
        <v>368</v>
      </c>
      <c r="H2058" s="137">
        <v>9.9</v>
      </c>
      <c r="I2058" s="134"/>
      <c r="J2058" s="137">
        <v>14.15</v>
      </c>
      <c r="K2058" s="134"/>
      <c r="L2058" s="136">
        <v>28.000000000000004</v>
      </c>
      <c r="M2058" s="181"/>
      <c r="N2058" s="159"/>
      <c r="O2058" s="159"/>
      <c r="P2058" s="136"/>
    </row>
    <row r="2059" spans="1:16" x14ac:dyDescent="0.25">
      <c r="A2059" s="156">
        <v>45845</v>
      </c>
      <c r="B2059" s="136" t="s">
        <v>2</v>
      </c>
      <c r="C2059" s="157" t="str">
        <f t="shared" si="80"/>
        <v>07.07.2025_KIN2</v>
      </c>
      <c r="D2059" s="190">
        <f t="shared" si="81"/>
        <v>0</v>
      </c>
      <c r="E2059" s="133">
        <v>8.1300000000000008</v>
      </c>
      <c r="F2059" s="134"/>
      <c r="G2059" s="135">
        <v>469</v>
      </c>
      <c r="H2059" s="137">
        <v>10.27</v>
      </c>
      <c r="I2059" s="134"/>
      <c r="J2059" s="137">
        <v>14.1</v>
      </c>
      <c r="K2059" s="134"/>
      <c r="L2059" s="136">
        <v>20</v>
      </c>
      <c r="M2059" s="181"/>
      <c r="N2059" s="159"/>
      <c r="O2059" s="159"/>
      <c r="P2059" s="136"/>
    </row>
    <row r="2060" spans="1:16" x14ac:dyDescent="0.25">
      <c r="A2060" s="156">
        <v>45845</v>
      </c>
      <c r="B2060" s="136" t="s">
        <v>4</v>
      </c>
      <c r="C2060" s="157" t="str">
        <f t="shared" si="80"/>
        <v>07.07.2025_KIN3</v>
      </c>
      <c r="D2060" s="190">
        <f t="shared" si="81"/>
        <v>0</v>
      </c>
      <c r="E2060" s="133">
        <v>8.06</v>
      </c>
      <c r="F2060" s="134"/>
      <c r="G2060" s="135">
        <v>463</v>
      </c>
      <c r="H2060" s="137">
        <v>10.050000000000001</v>
      </c>
      <c r="I2060" s="134"/>
      <c r="J2060" s="137">
        <v>14.52</v>
      </c>
      <c r="K2060" s="134"/>
      <c r="L2060" s="136">
        <v>19</v>
      </c>
      <c r="M2060" s="181"/>
      <c r="N2060" s="159"/>
      <c r="O2060" s="159"/>
      <c r="P2060" s="136"/>
    </row>
    <row r="2061" spans="1:16" x14ac:dyDescent="0.25">
      <c r="A2061" s="156">
        <v>45845</v>
      </c>
      <c r="B2061" s="136" t="s">
        <v>6</v>
      </c>
      <c r="C2061" s="157" t="str">
        <f t="shared" si="80"/>
        <v>07.07.2025_KIN4</v>
      </c>
      <c r="D2061" s="190">
        <f t="shared" si="81"/>
        <v>0</v>
      </c>
      <c r="E2061" s="133">
        <v>8</v>
      </c>
      <c r="F2061" s="134"/>
      <c r="G2061" s="135">
        <v>488</v>
      </c>
      <c r="H2061" s="137">
        <v>9.65</v>
      </c>
      <c r="I2061" s="134"/>
      <c r="J2061" s="137">
        <v>14.91</v>
      </c>
      <c r="K2061" s="134"/>
      <c r="L2061" s="136">
        <v>28.999999999999996</v>
      </c>
      <c r="M2061" s="181"/>
      <c r="N2061" s="159"/>
      <c r="O2061" s="159"/>
      <c r="P2061" s="136"/>
    </row>
    <row r="2062" spans="1:16" x14ac:dyDescent="0.25">
      <c r="A2062" s="156">
        <v>45845</v>
      </c>
      <c r="B2062" s="136" t="s">
        <v>421</v>
      </c>
      <c r="C2062" s="157" t="str">
        <f t="shared" si="80"/>
        <v>07.07.2025_KLI</v>
      </c>
      <c r="D2062" s="190">
        <f t="shared" si="81"/>
        <v>5</v>
      </c>
      <c r="E2062" s="283"/>
      <c r="F2062" s="134"/>
      <c r="G2062" s="287"/>
      <c r="H2062" s="285"/>
      <c r="I2062" s="134"/>
      <c r="J2062" s="285"/>
      <c r="K2062" s="134"/>
      <c r="L2062" s="282"/>
      <c r="M2062" s="181"/>
      <c r="N2062" s="159"/>
      <c r="O2062" s="159"/>
      <c r="P2062" s="136" t="s">
        <v>455</v>
      </c>
    </row>
    <row r="2063" spans="1:16" x14ac:dyDescent="0.25">
      <c r="A2063" s="156">
        <v>45845</v>
      </c>
      <c r="B2063" s="136" t="s">
        <v>34</v>
      </c>
      <c r="C2063" s="157" t="str">
        <f t="shared" si="80"/>
        <v>07.07.2025_KRE1</v>
      </c>
      <c r="D2063" s="190">
        <f t="shared" si="81"/>
        <v>0</v>
      </c>
      <c r="E2063" s="133">
        <v>7.75</v>
      </c>
      <c r="F2063" s="134"/>
      <c r="G2063" s="135">
        <v>1025</v>
      </c>
      <c r="H2063" s="137">
        <v>6.3</v>
      </c>
      <c r="I2063" s="134"/>
      <c r="J2063" s="137">
        <v>18.38</v>
      </c>
      <c r="K2063" s="134"/>
      <c r="L2063" s="136">
        <v>30</v>
      </c>
      <c r="M2063" s="181"/>
      <c r="N2063" s="159"/>
      <c r="O2063" s="159"/>
      <c r="P2063" s="136"/>
    </row>
    <row r="2064" spans="1:16" x14ac:dyDescent="0.25">
      <c r="A2064" s="156">
        <v>45845</v>
      </c>
      <c r="B2064" s="136" t="s">
        <v>37</v>
      </c>
      <c r="C2064" s="157" t="str">
        <f t="shared" si="80"/>
        <v>07.07.2025_KRE2</v>
      </c>
      <c r="D2064" s="190">
        <f t="shared" si="81"/>
        <v>0</v>
      </c>
      <c r="E2064" s="133">
        <v>7.72</v>
      </c>
      <c r="F2064" s="134"/>
      <c r="G2064" s="135">
        <v>1034</v>
      </c>
      <c r="H2064" s="137">
        <v>7.75</v>
      </c>
      <c r="I2064" s="134"/>
      <c r="J2064" s="137">
        <v>17.57</v>
      </c>
      <c r="K2064" s="134"/>
      <c r="L2064" s="136">
        <v>20</v>
      </c>
      <c r="M2064" s="181"/>
      <c r="N2064" s="159"/>
      <c r="O2064" s="159"/>
      <c r="P2064" s="136"/>
    </row>
    <row r="2065" spans="1:16" x14ac:dyDescent="0.25">
      <c r="A2065" s="156">
        <v>45845</v>
      </c>
      <c r="B2065" s="136" t="s">
        <v>18</v>
      </c>
      <c r="C2065" s="157" t="str">
        <f t="shared" si="80"/>
        <v>07.07.2025_ORB1</v>
      </c>
      <c r="D2065" s="190">
        <f t="shared" si="81"/>
        <v>0</v>
      </c>
      <c r="E2065" s="133">
        <v>7.31</v>
      </c>
      <c r="F2065" s="134"/>
      <c r="G2065" s="135">
        <v>101</v>
      </c>
      <c r="H2065" s="137">
        <v>10.11</v>
      </c>
      <c r="I2065" s="134"/>
      <c r="J2065" s="137">
        <v>15.39</v>
      </c>
      <c r="K2065" s="134"/>
      <c r="L2065" s="136">
        <v>7.0000000000000009</v>
      </c>
      <c r="M2065" s="181"/>
      <c r="N2065" s="159"/>
      <c r="O2065" s="159"/>
      <c r="P2065" s="136"/>
    </row>
    <row r="2066" spans="1:16" x14ac:dyDescent="0.25">
      <c r="A2066" s="156">
        <v>45845</v>
      </c>
      <c r="B2066" s="136" t="s">
        <v>21</v>
      </c>
      <c r="C2066" s="157" t="str">
        <f t="shared" si="80"/>
        <v>07.07.2025_ORB2</v>
      </c>
      <c r="D2066" s="190">
        <f t="shared" si="81"/>
        <v>0</v>
      </c>
      <c r="E2066" s="133">
        <v>7.18</v>
      </c>
      <c r="F2066" s="134"/>
      <c r="G2066" s="135">
        <v>160</v>
      </c>
      <c r="H2066" s="137">
        <v>9.77</v>
      </c>
      <c r="I2066" s="134"/>
      <c r="J2066" s="137">
        <v>15.31</v>
      </c>
      <c r="K2066" s="134"/>
      <c r="L2066" s="136">
        <v>6</v>
      </c>
      <c r="M2066" s="181"/>
      <c r="N2066" s="159"/>
      <c r="O2066" s="159"/>
      <c r="P2066" s="136"/>
    </row>
    <row r="2067" spans="1:16" x14ac:dyDescent="0.25">
      <c r="A2067" s="156">
        <v>45845</v>
      </c>
      <c r="B2067" s="136" t="s">
        <v>10</v>
      </c>
      <c r="C2067" s="157" t="str">
        <f t="shared" si="80"/>
        <v>07.07.2025_SAL1</v>
      </c>
      <c r="D2067" s="190">
        <f t="shared" si="81"/>
        <v>0</v>
      </c>
      <c r="E2067" s="133">
        <v>8.02</v>
      </c>
      <c r="F2067" s="134"/>
      <c r="G2067" s="135">
        <v>222</v>
      </c>
      <c r="H2067" s="137">
        <v>10.16</v>
      </c>
      <c r="I2067" s="134"/>
      <c r="J2067" s="137">
        <v>14.34</v>
      </c>
      <c r="K2067" s="134"/>
      <c r="L2067" s="136">
        <v>32</v>
      </c>
      <c r="M2067" s="181"/>
      <c r="N2067" s="159"/>
      <c r="O2067" s="159"/>
      <c r="P2067" s="136"/>
    </row>
    <row r="2068" spans="1:16" x14ac:dyDescent="0.25">
      <c r="A2068" s="156">
        <v>45845</v>
      </c>
      <c r="B2068" s="136" t="s">
        <v>12</v>
      </c>
      <c r="C2068" s="157" t="str">
        <f t="shared" si="80"/>
        <v>07.07.2025_SAL2</v>
      </c>
      <c r="D2068" s="190">
        <f t="shared" si="81"/>
        <v>0</v>
      </c>
      <c r="E2068" s="133">
        <v>8.08</v>
      </c>
      <c r="F2068" s="134"/>
      <c r="G2068" s="135">
        <v>228</v>
      </c>
      <c r="H2068" s="137">
        <v>10.19</v>
      </c>
      <c r="I2068" s="134"/>
      <c r="J2068" s="137">
        <v>14.91</v>
      </c>
      <c r="K2068" s="134"/>
      <c r="L2068" s="136">
        <v>24</v>
      </c>
      <c r="M2068" s="181"/>
      <c r="N2068" s="159"/>
      <c r="O2068" s="159"/>
      <c r="P2068" s="136"/>
    </row>
    <row r="2069" spans="1:16" x14ac:dyDescent="0.25">
      <c r="A2069" s="156">
        <v>45845</v>
      </c>
      <c r="B2069" s="136" t="s">
        <v>7</v>
      </c>
      <c r="C2069" s="157" t="str">
        <f t="shared" si="80"/>
        <v>07.07.2025_STE1</v>
      </c>
      <c r="D2069" s="190">
        <f t="shared" si="81"/>
        <v>0</v>
      </c>
      <c r="E2069" s="133">
        <v>8.1300000000000008</v>
      </c>
      <c r="F2069" s="134"/>
      <c r="G2069" s="135">
        <v>324</v>
      </c>
      <c r="H2069" s="137">
        <v>10.29</v>
      </c>
      <c r="I2069" s="134"/>
      <c r="J2069" s="137">
        <v>13.97</v>
      </c>
      <c r="K2069" s="134"/>
      <c r="L2069" s="136">
        <v>13</v>
      </c>
      <c r="M2069" s="181"/>
      <c r="N2069" s="159"/>
      <c r="O2069" s="159"/>
      <c r="P2069" s="136"/>
    </row>
    <row r="2070" spans="1:16" x14ac:dyDescent="0.25">
      <c r="A2070" s="156">
        <v>45845</v>
      </c>
      <c r="B2070" s="136" t="s">
        <v>9</v>
      </c>
      <c r="C2070" s="157" t="str">
        <f t="shared" si="80"/>
        <v>07.07.2025_STE2</v>
      </c>
      <c r="D2070" s="190">
        <f t="shared" si="81"/>
        <v>0</v>
      </c>
      <c r="E2070" s="133">
        <v>8.1999999999999993</v>
      </c>
      <c r="F2070" s="134"/>
      <c r="G2070" s="135">
        <v>328</v>
      </c>
      <c r="H2070" s="137">
        <v>10.31</v>
      </c>
      <c r="I2070" s="134"/>
      <c r="J2070" s="137">
        <v>14.31</v>
      </c>
      <c r="K2070" s="134"/>
      <c r="L2070" s="136">
        <v>23</v>
      </c>
      <c r="M2070" s="181"/>
      <c r="N2070" s="159"/>
      <c r="O2070" s="159"/>
      <c r="P2070" s="136"/>
    </row>
    <row r="2071" spans="1:16" x14ac:dyDescent="0.25">
      <c r="A2071" s="156">
        <v>45859</v>
      </c>
      <c r="B2071" s="136" t="s">
        <v>22</v>
      </c>
      <c r="C2071" s="157" t="str">
        <f t="shared" ref="C2071" si="82">CONCATENATE(TEXT(A2071,"TT.MM.JJJJ"),"_",B2071)</f>
        <v>21.07.2025_BIE1</v>
      </c>
      <c r="D2071" s="190">
        <f t="shared" ref="D2071" si="83">COUNTBLANK(E2071)+COUNTBLANK(G2071:H2071)+COUNTBLANK(J2071)+COUNTBLANK(L2071)</f>
        <v>0</v>
      </c>
      <c r="E2071" s="133">
        <v>7.74</v>
      </c>
      <c r="F2071" s="134"/>
      <c r="G2071" s="135">
        <v>173</v>
      </c>
      <c r="H2071" s="137">
        <v>9.33</v>
      </c>
      <c r="I2071" s="134"/>
      <c r="J2071" s="137">
        <v>16.86</v>
      </c>
      <c r="K2071" s="134"/>
      <c r="L2071" s="136">
        <v>25</v>
      </c>
      <c r="M2071" s="181"/>
      <c r="N2071" s="159"/>
      <c r="O2071" s="159"/>
      <c r="P2071" s="136"/>
    </row>
    <row r="2072" spans="1:16" x14ac:dyDescent="0.25">
      <c r="A2072" s="156">
        <v>45859</v>
      </c>
      <c r="B2072" s="136" t="s">
        <v>25</v>
      </c>
      <c r="C2072" s="157" t="str">
        <f t="shared" ref="C2072:C2091" si="84">CONCATENATE(TEXT(A2072,"TT.MM.JJJJ"),"_",B2072)</f>
        <v>21.07.2025_BIE2</v>
      </c>
      <c r="D2072" s="190">
        <f t="shared" ref="D2072:D2091" si="85">COUNTBLANK(E2072)+COUNTBLANK(G2072:H2072)+COUNTBLANK(J2072)+COUNTBLANK(L2072)</f>
        <v>0</v>
      </c>
      <c r="E2072" s="133">
        <v>7.8</v>
      </c>
      <c r="F2072" s="134"/>
      <c r="G2072" s="135">
        <v>198</v>
      </c>
      <c r="H2072" s="137">
        <v>9.1300000000000008</v>
      </c>
      <c r="I2072" s="134"/>
      <c r="J2072" s="137">
        <v>16.89</v>
      </c>
      <c r="K2072" s="134"/>
      <c r="L2072" s="136">
        <v>35</v>
      </c>
      <c r="M2072" s="181"/>
      <c r="N2072" s="159"/>
      <c r="O2072" s="159"/>
      <c r="P2072" s="136"/>
    </row>
    <row r="2073" spans="1:16" x14ac:dyDescent="0.25">
      <c r="A2073" s="156">
        <v>45859</v>
      </c>
      <c r="B2073" s="136" t="s">
        <v>14</v>
      </c>
      <c r="C2073" s="157" t="str">
        <f t="shared" si="84"/>
        <v>21.07.2025_BRA1</v>
      </c>
      <c r="D2073" s="190">
        <f t="shared" si="85"/>
        <v>0</v>
      </c>
      <c r="E2073" s="133">
        <v>7.7</v>
      </c>
      <c r="F2073" s="134"/>
      <c r="G2073" s="135">
        <v>172</v>
      </c>
      <c r="H2073" s="137">
        <v>8.84</v>
      </c>
      <c r="I2073" s="134"/>
      <c r="J2073" s="137">
        <v>18.66</v>
      </c>
      <c r="K2073" s="134"/>
      <c r="L2073" s="136">
        <v>9</v>
      </c>
      <c r="M2073" s="181"/>
      <c r="N2073" s="159"/>
      <c r="O2073" s="159"/>
      <c r="P2073" s="136"/>
    </row>
    <row r="2074" spans="1:16" x14ac:dyDescent="0.25">
      <c r="A2074" s="156">
        <v>45859</v>
      </c>
      <c r="B2074" s="136" t="s">
        <v>17</v>
      </c>
      <c r="C2074" s="157" t="str">
        <f t="shared" si="84"/>
        <v>21.07.2025_BRA2</v>
      </c>
      <c r="D2074" s="190">
        <f t="shared" si="85"/>
        <v>0</v>
      </c>
      <c r="E2074" s="133">
        <v>8.02</v>
      </c>
      <c r="F2074" s="134"/>
      <c r="G2074" s="135">
        <v>193</v>
      </c>
      <c r="H2074" s="137">
        <v>9.42</v>
      </c>
      <c r="I2074" s="134"/>
      <c r="J2074" s="137">
        <v>17.54</v>
      </c>
      <c r="K2074" s="134"/>
      <c r="L2074" s="136">
        <v>14.000000000000002</v>
      </c>
      <c r="M2074" s="181"/>
      <c r="N2074" s="159"/>
      <c r="O2074" s="159"/>
      <c r="P2074" s="136"/>
    </row>
    <row r="2075" spans="1:16" x14ac:dyDescent="0.25">
      <c r="A2075" s="156">
        <v>45859</v>
      </c>
      <c r="B2075" s="136" t="s">
        <v>30</v>
      </c>
      <c r="C2075" s="157" t="str">
        <f t="shared" si="84"/>
        <v>21.07.2025_FAL1</v>
      </c>
      <c r="D2075" s="190">
        <f t="shared" si="85"/>
        <v>5</v>
      </c>
      <c r="E2075" s="283"/>
      <c r="F2075" s="134"/>
      <c r="G2075" s="287"/>
      <c r="H2075" s="285"/>
      <c r="I2075" s="134"/>
      <c r="J2075" s="285"/>
      <c r="K2075" s="134"/>
      <c r="L2075" s="282"/>
      <c r="M2075" s="181"/>
      <c r="N2075" s="159"/>
      <c r="O2075" s="159"/>
      <c r="P2075" s="192" t="s">
        <v>461</v>
      </c>
    </row>
    <row r="2076" spans="1:16" x14ac:dyDescent="0.25">
      <c r="A2076" s="156">
        <v>45859</v>
      </c>
      <c r="B2076" s="136" t="s">
        <v>32</v>
      </c>
      <c r="C2076" s="157" t="str">
        <f t="shared" si="84"/>
        <v>21.07.2025_FAL2</v>
      </c>
      <c r="D2076" s="190">
        <f t="shared" si="85"/>
        <v>0</v>
      </c>
      <c r="E2076" s="133">
        <v>7.81</v>
      </c>
      <c r="F2076" s="134"/>
      <c r="G2076" s="135">
        <v>663</v>
      </c>
      <c r="H2076" s="137">
        <v>6.19</v>
      </c>
      <c r="I2076" s="134"/>
      <c r="J2076" s="137">
        <v>19.07</v>
      </c>
      <c r="K2076" s="134"/>
      <c r="L2076" s="136">
        <v>20</v>
      </c>
      <c r="M2076" s="181"/>
      <c r="N2076" s="159"/>
      <c r="O2076" s="159"/>
      <c r="P2076" s="136"/>
    </row>
    <row r="2077" spans="1:16" x14ac:dyDescent="0.25">
      <c r="A2077" s="156">
        <v>45859</v>
      </c>
      <c r="B2077" s="136" t="s">
        <v>26</v>
      </c>
      <c r="C2077" s="157" t="str">
        <f t="shared" si="84"/>
        <v>21.07.2025_GRU1</v>
      </c>
      <c r="D2077" s="190">
        <f t="shared" si="85"/>
        <v>0</v>
      </c>
      <c r="E2077" s="133">
        <v>7.53</v>
      </c>
      <c r="F2077" s="134"/>
      <c r="G2077" s="135">
        <v>158</v>
      </c>
      <c r="H2077" s="137">
        <v>9.31</v>
      </c>
      <c r="I2077" s="134"/>
      <c r="J2077" s="137">
        <v>16.38</v>
      </c>
      <c r="K2077" s="134"/>
      <c r="L2077" s="136">
        <v>30</v>
      </c>
      <c r="M2077" s="181"/>
      <c r="N2077" s="159"/>
      <c r="O2077" s="159"/>
      <c r="P2077" s="136"/>
    </row>
    <row r="2078" spans="1:16" x14ac:dyDescent="0.25">
      <c r="A2078" s="156">
        <v>45859</v>
      </c>
      <c r="B2078" s="136" t="s">
        <v>28</v>
      </c>
      <c r="C2078" s="157" t="str">
        <f t="shared" si="84"/>
        <v>21.07.2025_GRU2</v>
      </c>
      <c r="D2078" s="190">
        <f t="shared" si="85"/>
        <v>0</v>
      </c>
      <c r="E2078" s="133">
        <v>7.44</v>
      </c>
      <c r="F2078" s="134"/>
      <c r="G2078" s="135">
        <v>175</v>
      </c>
      <c r="H2078" s="137">
        <v>8.73</v>
      </c>
      <c r="I2078" s="134"/>
      <c r="J2078" s="137">
        <v>17.12</v>
      </c>
      <c r="K2078" s="134"/>
      <c r="L2078" s="136">
        <v>35</v>
      </c>
      <c r="M2078" s="181"/>
      <c r="N2078" s="159"/>
      <c r="O2078" s="159"/>
      <c r="P2078" s="136"/>
    </row>
    <row r="2079" spans="1:16" x14ac:dyDescent="0.25">
      <c r="A2079" s="156">
        <v>45859</v>
      </c>
      <c r="B2079" s="136" t="s">
        <v>0</v>
      </c>
      <c r="C2079" s="157" t="str">
        <f t="shared" si="84"/>
        <v>21.07.2025_KIN1</v>
      </c>
      <c r="D2079" s="190">
        <f t="shared" si="85"/>
        <v>0</v>
      </c>
      <c r="E2079" s="133">
        <v>8.24</v>
      </c>
      <c r="F2079" s="134"/>
      <c r="G2079" s="135">
        <v>361</v>
      </c>
      <c r="H2079" s="137">
        <v>9.48</v>
      </c>
      <c r="I2079" s="134"/>
      <c r="J2079" s="137">
        <v>16.059999999999999</v>
      </c>
      <c r="K2079" s="134"/>
      <c r="L2079" s="136">
        <v>34</v>
      </c>
      <c r="M2079" s="181"/>
      <c r="N2079" s="159"/>
      <c r="O2079" s="159"/>
      <c r="P2079" s="136"/>
    </row>
    <row r="2080" spans="1:16" x14ac:dyDescent="0.25">
      <c r="A2080" s="156">
        <v>45859</v>
      </c>
      <c r="B2080" s="136" t="s">
        <v>2</v>
      </c>
      <c r="C2080" s="157" t="str">
        <f t="shared" si="84"/>
        <v>21.07.2025_KIN2</v>
      </c>
      <c r="D2080" s="190">
        <f t="shared" si="85"/>
        <v>0</v>
      </c>
      <c r="E2080" s="133">
        <v>8</v>
      </c>
      <c r="F2080" s="134"/>
      <c r="G2080" s="135">
        <v>450</v>
      </c>
      <c r="H2080" s="137">
        <v>9.84</v>
      </c>
      <c r="I2080" s="134"/>
      <c r="J2080" s="137">
        <v>15.74</v>
      </c>
      <c r="K2080" s="134"/>
      <c r="L2080" s="136">
        <v>25</v>
      </c>
      <c r="M2080" s="181"/>
      <c r="N2080" s="159"/>
      <c r="O2080" s="159"/>
      <c r="P2080" s="136"/>
    </row>
    <row r="2081" spans="1:16" x14ac:dyDescent="0.25">
      <c r="A2081" s="156">
        <v>45859</v>
      </c>
      <c r="B2081" s="136" t="s">
        <v>4</v>
      </c>
      <c r="C2081" s="157" t="str">
        <f t="shared" si="84"/>
        <v>21.07.2025_KIN3</v>
      </c>
      <c r="D2081" s="190">
        <f t="shared" si="85"/>
        <v>0</v>
      </c>
      <c r="E2081" s="133">
        <v>8.25</v>
      </c>
      <c r="F2081" s="134"/>
      <c r="G2081" s="135">
        <v>464</v>
      </c>
      <c r="H2081" s="137">
        <v>9.61</v>
      </c>
      <c r="I2081" s="134"/>
      <c r="J2081" s="137">
        <v>16.54</v>
      </c>
      <c r="K2081" s="134"/>
      <c r="L2081" s="136">
        <v>26</v>
      </c>
      <c r="M2081" s="181"/>
      <c r="N2081" s="159"/>
      <c r="O2081" s="159"/>
      <c r="P2081" s="136"/>
    </row>
    <row r="2082" spans="1:16" x14ac:dyDescent="0.25">
      <c r="A2082" s="156">
        <v>45859</v>
      </c>
      <c r="B2082" s="136" t="s">
        <v>6</v>
      </c>
      <c r="C2082" s="157" t="str">
        <f t="shared" si="84"/>
        <v>21.07.2025_KIN4</v>
      </c>
      <c r="D2082" s="190">
        <f t="shared" si="85"/>
        <v>0</v>
      </c>
      <c r="E2082" s="133">
        <v>8.0399999999999991</v>
      </c>
      <c r="F2082" s="134"/>
      <c r="G2082" s="135">
        <v>459</v>
      </c>
      <c r="H2082" s="137">
        <v>9.3000000000000007</v>
      </c>
      <c r="I2082" s="134"/>
      <c r="J2082" s="137">
        <v>16.41</v>
      </c>
      <c r="K2082" s="134"/>
      <c r="L2082" s="136">
        <v>30</v>
      </c>
      <c r="M2082" s="181"/>
      <c r="N2082" s="159"/>
      <c r="O2082" s="159"/>
      <c r="P2082" s="136"/>
    </row>
    <row r="2083" spans="1:16" x14ac:dyDescent="0.25">
      <c r="A2083" s="156">
        <v>45859</v>
      </c>
      <c r="B2083" s="136" t="s">
        <v>421</v>
      </c>
      <c r="C2083" s="157" t="str">
        <f t="shared" si="84"/>
        <v>21.07.2025_KLI</v>
      </c>
      <c r="D2083" s="190">
        <f t="shared" si="85"/>
        <v>5</v>
      </c>
      <c r="E2083" s="283"/>
      <c r="F2083" s="134"/>
      <c r="G2083" s="287"/>
      <c r="H2083" s="285"/>
      <c r="I2083" s="134"/>
      <c r="J2083" s="285"/>
      <c r="K2083" s="134"/>
      <c r="L2083" s="282"/>
      <c r="M2083" s="181"/>
      <c r="N2083" s="159"/>
      <c r="O2083" s="159"/>
      <c r="P2083" s="136" t="s">
        <v>455</v>
      </c>
    </row>
    <row r="2084" spans="1:16" x14ac:dyDescent="0.25">
      <c r="A2084" s="156">
        <v>45859</v>
      </c>
      <c r="B2084" s="136" t="s">
        <v>34</v>
      </c>
      <c r="C2084" s="157" t="str">
        <f t="shared" si="84"/>
        <v>21.07.2025_KRE1</v>
      </c>
      <c r="D2084" s="190">
        <f t="shared" si="85"/>
        <v>0</v>
      </c>
      <c r="E2084" s="133">
        <v>7.67</v>
      </c>
      <c r="F2084" s="134"/>
      <c r="G2084" s="135">
        <v>860</v>
      </c>
      <c r="H2084" s="137">
        <v>6.54</v>
      </c>
      <c r="I2084" s="134"/>
      <c r="J2084" s="137">
        <v>19.61</v>
      </c>
      <c r="K2084" s="134"/>
      <c r="L2084" s="136">
        <v>50</v>
      </c>
      <c r="M2084" s="181"/>
      <c r="N2084" s="159"/>
      <c r="O2084" s="159"/>
      <c r="P2084" s="136"/>
    </row>
    <row r="2085" spans="1:16" x14ac:dyDescent="0.25">
      <c r="A2085" s="156">
        <v>45859</v>
      </c>
      <c r="B2085" s="136" t="s">
        <v>37</v>
      </c>
      <c r="C2085" s="157" t="str">
        <f t="shared" si="84"/>
        <v>21.07.2025_KRE2</v>
      </c>
      <c r="D2085" s="190">
        <f t="shared" si="85"/>
        <v>0</v>
      </c>
      <c r="E2085" s="133">
        <v>7.37</v>
      </c>
      <c r="F2085" s="134"/>
      <c r="G2085" s="135">
        <v>684</v>
      </c>
      <c r="H2085" s="137">
        <v>5.36</v>
      </c>
      <c r="I2085" s="134"/>
      <c r="J2085" s="137">
        <v>19.5</v>
      </c>
      <c r="K2085" s="134"/>
      <c r="L2085" s="136">
        <v>40</v>
      </c>
      <c r="M2085" s="181"/>
      <c r="N2085" s="159"/>
      <c r="O2085" s="159"/>
      <c r="P2085" s="136"/>
    </row>
    <row r="2086" spans="1:16" x14ac:dyDescent="0.25">
      <c r="A2086" s="156">
        <v>45859</v>
      </c>
      <c r="B2086" s="136" t="s">
        <v>18</v>
      </c>
      <c r="C2086" s="157" t="str">
        <f t="shared" si="84"/>
        <v>21.07.2025_ORB1</v>
      </c>
      <c r="D2086" s="190">
        <f t="shared" si="85"/>
        <v>0</v>
      </c>
      <c r="E2086" s="133">
        <v>7.44</v>
      </c>
      <c r="F2086" s="134"/>
      <c r="G2086" s="135">
        <v>103</v>
      </c>
      <c r="H2086" s="137">
        <v>9.44</v>
      </c>
      <c r="I2086" s="134"/>
      <c r="J2086" s="137">
        <v>17.7</v>
      </c>
      <c r="K2086" s="134"/>
      <c r="L2086" s="136">
        <v>6</v>
      </c>
      <c r="M2086" s="181"/>
      <c r="N2086" s="159"/>
      <c r="O2086" s="159"/>
      <c r="P2086" s="136"/>
    </row>
    <row r="2087" spans="1:16" x14ac:dyDescent="0.25">
      <c r="A2087" s="156">
        <v>45859</v>
      </c>
      <c r="B2087" s="136" t="s">
        <v>21</v>
      </c>
      <c r="C2087" s="157" t="str">
        <f t="shared" si="84"/>
        <v>21.07.2025_ORB2</v>
      </c>
      <c r="D2087" s="190">
        <f t="shared" si="85"/>
        <v>0</v>
      </c>
      <c r="E2087" s="133">
        <v>7.23</v>
      </c>
      <c r="F2087" s="134"/>
      <c r="G2087" s="135">
        <v>159</v>
      </c>
      <c r="H2087" s="137">
        <v>9.09</v>
      </c>
      <c r="I2087" s="134"/>
      <c r="J2087" s="137">
        <v>17.2</v>
      </c>
      <c r="K2087" s="134"/>
      <c r="L2087" s="136">
        <v>7.0000000000000009</v>
      </c>
      <c r="M2087" s="181"/>
      <c r="N2087" s="159"/>
      <c r="O2087" s="159"/>
      <c r="P2087" s="136"/>
    </row>
    <row r="2088" spans="1:16" x14ac:dyDescent="0.25">
      <c r="A2088" s="156">
        <v>45859</v>
      </c>
      <c r="B2088" s="136" t="s">
        <v>10</v>
      </c>
      <c r="C2088" s="157" t="str">
        <f t="shared" si="84"/>
        <v>21.07.2025_SAL1</v>
      </c>
      <c r="D2088" s="190">
        <f t="shared" si="85"/>
        <v>0</v>
      </c>
      <c r="E2088" s="133">
        <v>8.06</v>
      </c>
      <c r="F2088" s="134"/>
      <c r="G2088" s="135">
        <v>201</v>
      </c>
      <c r="H2088" s="137">
        <v>9.59</v>
      </c>
      <c r="I2088" s="134"/>
      <c r="J2088" s="137">
        <v>16.45</v>
      </c>
      <c r="K2088" s="134"/>
      <c r="L2088" s="136">
        <v>24</v>
      </c>
      <c r="M2088" s="181"/>
      <c r="N2088" s="159"/>
      <c r="O2088" s="159"/>
      <c r="P2088" s="136"/>
    </row>
    <row r="2089" spans="1:16" x14ac:dyDescent="0.25">
      <c r="A2089" s="156">
        <v>45859</v>
      </c>
      <c r="B2089" s="136" t="s">
        <v>12</v>
      </c>
      <c r="C2089" s="157" t="str">
        <f t="shared" si="84"/>
        <v>21.07.2025_SAL2</v>
      </c>
      <c r="D2089" s="190">
        <f t="shared" si="85"/>
        <v>0</v>
      </c>
      <c r="E2089" s="133">
        <v>8.14</v>
      </c>
      <c r="F2089" s="134"/>
      <c r="G2089" s="135">
        <v>209</v>
      </c>
      <c r="H2089" s="137">
        <v>9.6199999999999992</v>
      </c>
      <c r="I2089" s="134"/>
      <c r="J2089" s="137">
        <v>16.84</v>
      </c>
      <c r="K2089" s="134"/>
      <c r="L2089" s="136">
        <v>25</v>
      </c>
      <c r="M2089" s="181"/>
      <c r="N2089" s="159"/>
      <c r="O2089" s="159"/>
      <c r="P2089" s="136"/>
    </row>
    <row r="2090" spans="1:16" x14ac:dyDescent="0.25">
      <c r="A2090" s="156">
        <v>45859</v>
      </c>
      <c r="B2090" s="136" t="s">
        <v>7</v>
      </c>
      <c r="C2090" s="157" t="str">
        <f t="shared" si="84"/>
        <v>21.07.2025_STE1</v>
      </c>
      <c r="D2090" s="190">
        <f t="shared" si="85"/>
        <v>0</v>
      </c>
      <c r="E2090" s="133">
        <v>8.1</v>
      </c>
      <c r="F2090" s="134"/>
      <c r="G2090" s="135">
        <v>280</v>
      </c>
      <c r="H2090" s="137">
        <v>9.7799999999999994</v>
      </c>
      <c r="I2090" s="134"/>
      <c r="J2090" s="137">
        <v>15.31</v>
      </c>
      <c r="K2090" s="134"/>
      <c r="L2090" s="136">
        <v>12</v>
      </c>
      <c r="M2090" s="181"/>
      <c r="N2090" s="159"/>
      <c r="O2090" s="159"/>
      <c r="P2090" s="136"/>
    </row>
    <row r="2091" spans="1:16" x14ac:dyDescent="0.25">
      <c r="A2091" s="156">
        <v>45859</v>
      </c>
      <c r="B2091" s="136" t="s">
        <v>9</v>
      </c>
      <c r="C2091" s="157" t="str">
        <f t="shared" si="84"/>
        <v>21.07.2025_STE2</v>
      </c>
      <c r="D2091" s="190">
        <f t="shared" si="85"/>
        <v>0</v>
      </c>
      <c r="E2091" s="133">
        <v>8.2100000000000009</v>
      </c>
      <c r="F2091" s="134"/>
      <c r="G2091" s="135">
        <v>278</v>
      </c>
      <c r="H2091" s="137">
        <v>9.77</v>
      </c>
      <c r="I2091" s="134"/>
      <c r="J2091" s="137">
        <v>16.61</v>
      </c>
      <c r="K2091" s="134"/>
      <c r="L2091" s="136">
        <v>36</v>
      </c>
      <c r="M2091" s="181"/>
      <c r="N2091" s="159"/>
      <c r="O2091" s="159"/>
      <c r="P2091" s="136"/>
    </row>
    <row r="2092" spans="1:16" x14ac:dyDescent="0.25">
      <c r="A2092" s="156">
        <v>45873</v>
      </c>
      <c r="B2092" s="136" t="s">
        <v>22</v>
      </c>
      <c r="C2092" s="157" t="str">
        <f t="shared" ref="C2092" si="86">CONCATENATE(TEXT(A2092,"TT.MM.JJJJ"),"_",B2092)</f>
        <v>04.08.2025_BIE1</v>
      </c>
      <c r="D2092" s="190">
        <f t="shared" ref="D2092" si="87">COUNTBLANK(E2092)+COUNTBLANK(G2092:H2092)+COUNTBLANK(J2092)+COUNTBLANK(L2092)</f>
        <v>0</v>
      </c>
      <c r="E2092" s="133">
        <v>7.67</v>
      </c>
      <c r="F2092" s="134"/>
      <c r="G2092" s="135">
        <v>161</v>
      </c>
      <c r="H2092" s="137">
        <v>10.199999999999999</v>
      </c>
      <c r="I2092" s="134"/>
      <c r="J2092" s="137">
        <v>14.6</v>
      </c>
      <c r="K2092" s="134"/>
      <c r="L2092" s="136">
        <v>20</v>
      </c>
      <c r="M2092" s="181"/>
      <c r="N2092" s="159"/>
      <c r="O2092" s="159"/>
      <c r="P2092" s="136"/>
    </row>
    <row r="2093" spans="1:16" x14ac:dyDescent="0.25">
      <c r="A2093" s="156">
        <v>45873</v>
      </c>
      <c r="B2093" s="136" t="s">
        <v>25</v>
      </c>
      <c r="C2093" s="157" t="str">
        <f t="shared" ref="C2093:C2112" si="88">CONCATENATE(TEXT(A2093,"TT.MM.JJJJ"),"_",B2093)</f>
        <v>04.08.2025_BIE2</v>
      </c>
      <c r="D2093" s="190">
        <f t="shared" ref="D2093:D2112" si="89">COUNTBLANK(E2093)+COUNTBLANK(G2093:H2093)+COUNTBLANK(J2093)+COUNTBLANK(L2093)</f>
        <v>0</v>
      </c>
      <c r="E2093" s="133">
        <v>7.77</v>
      </c>
      <c r="F2093" s="134"/>
      <c r="G2093" s="135">
        <v>186</v>
      </c>
      <c r="H2093" s="137">
        <v>9.99</v>
      </c>
      <c r="I2093" s="134"/>
      <c r="J2093" s="137">
        <v>14.75</v>
      </c>
      <c r="K2093" s="134"/>
      <c r="L2093" s="136">
        <v>40</v>
      </c>
      <c r="M2093" s="181"/>
      <c r="N2093" s="159"/>
      <c r="O2093" s="159"/>
      <c r="P2093" s="136"/>
    </row>
    <row r="2094" spans="1:16" x14ac:dyDescent="0.25">
      <c r="A2094" s="156">
        <v>45873</v>
      </c>
      <c r="B2094" s="136" t="s">
        <v>14</v>
      </c>
      <c r="C2094" s="157" t="str">
        <f t="shared" si="88"/>
        <v>04.08.2025_BRA1</v>
      </c>
      <c r="D2094" s="190">
        <f t="shared" si="89"/>
        <v>0</v>
      </c>
      <c r="E2094" s="133">
        <v>7.84</v>
      </c>
      <c r="F2094" s="134"/>
      <c r="G2094" s="135">
        <v>175</v>
      </c>
      <c r="H2094" s="137">
        <v>9.6</v>
      </c>
      <c r="I2094" s="134"/>
      <c r="J2094" s="137">
        <v>16.75</v>
      </c>
      <c r="K2094" s="134"/>
      <c r="L2094" s="136">
        <v>22</v>
      </c>
      <c r="M2094" s="181"/>
      <c r="N2094" s="159"/>
      <c r="O2094" s="159"/>
      <c r="P2094" s="136"/>
    </row>
    <row r="2095" spans="1:16" x14ac:dyDescent="0.25">
      <c r="A2095" s="156">
        <v>45873</v>
      </c>
      <c r="B2095" s="136" t="s">
        <v>17</v>
      </c>
      <c r="C2095" s="157" t="str">
        <f t="shared" si="88"/>
        <v>04.08.2025_BRA2</v>
      </c>
      <c r="D2095" s="190">
        <f t="shared" si="89"/>
        <v>0</v>
      </c>
      <c r="E2095" s="133">
        <v>7.98</v>
      </c>
      <c r="F2095" s="134"/>
      <c r="G2095" s="135">
        <v>196</v>
      </c>
      <c r="H2095" s="137">
        <v>10.02</v>
      </c>
      <c r="I2095" s="134"/>
      <c r="J2095" s="137">
        <v>15.4</v>
      </c>
      <c r="K2095" s="134"/>
      <c r="L2095" s="136">
        <v>18</v>
      </c>
      <c r="M2095" s="181"/>
      <c r="N2095" s="159"/>
      <c r="O2095" s="159"/>
      <c r="P2095" s="136"/>
    </row>
    <row r="2096" spans="1:16" x14ac:dyDescent="0.25">
      <c r="A2096" s="156">
        <v>45873</v>
      </c>
      <c r="B2096" s="136" t="s">
        <v>30</v>
      </c>
      <c r="C2096" s="157" t="str">
        <f t="shared" si="88"/>
        <v>04.08.2025_FAL1</v>
      </c>
      <c r="D2096" s="190">
        <f t="shared" si="89"/>
        <v>0</v>
      </c>
      <c r="E2096" s="133">
        <v>7.78</v>
      </c>
      <c r="F2096" s="134"/>
      <c r="G2096" s="135">
        <v>779</v>
      </c>
      <c r="H2096" s="137">
        <v>9.06</v>
      </c>
      <c r="I2096" s="134"/>
      <c r="J2096" s="137">
        <v>16.68</v>
      </c>
      <c r="K2096" s="134"/>
      <c r="L2096" s="136">
        <v>20</v>
      </c>
      <c r="M2096" s="181"/>
      <c r="N2096" s="159"/>
      <c r="O2096" s="159"/>
      <c r="P2096" s="136"/>
    </row>
    <row r="2097" spans="1:16" x14ac:dyDescent="0.25">
      <c r="A2097" s="156">
        <v>45873</v>
      </c>
      <c r="B2097" s="136" t="s">
        <v>32</v>
      </c>
      <c r="C2097" s="157" t="str">
        <f t="shared" si="88"/>
        <v>04.08.2025_FAL2</v>
      </c>
      <c r="D2097" s="190">
        <f t="shared" si="89"/>
        <v>0</v>
      </c>
      <c r="E2097" s="133">
        <v>7.71</v>
      </c>
      <c r="F2097" s="134"/>
      <c r="G2097" s="135">
        <v>596</v>
      </c>
      <c r="H2097" s="137">
        <v>7.44</v>
      </c>
      <c r="I2097" s="134"/>
      <c r="J2097" s="137">
        <v>16.84</v>
      </c>
      <c r="K2097" s="134"/>
      <c r="L2097" s="136">
        <v>15</v>
      </c>
      <c r="M2097" s="181"/>
      <c r="N2097" s="159"/>
      <c r="O2097" s="159"/>
      <c r="P2097" s="136"/>
    </row>
    <row r="2098" spans="1:16" x14ac:dyDescent="0.25">
      <c r="A2098" s="156">
        <v>45873</v>
      </c>
      <c r="B2098" s="136" t="s">
        <v>26</v>
      </c>
      <c r="C2098" s="157" t="str">
        <f t="shared" si="88"/>
        <v>04.08.2025_GRU1</v>
      </c>
      <c r="D2098" s="190">
        <f t="shared" si="89"/>
        <v>0</v>
      </c>
      <c r="E2098" s="133">
        <v>7.59</v>
      </c>
      <c r="F2098" s="134"/>
      <c r="G2098" s="135">
        <v>159</v>
      </c>
      <c r="H2098" s="137">
        <v>9.9</v>
      </c>
      <c r="I2098" s="134"/>
      <c r="J2098" s="137">
        <v>14.33</v>
      </c>
      <c r="K2098" s="134"/>
      <c r="L2098" s="136">
        <v>30</v>
      </c>
      <c r="M2098" s="181"/>
      <c r="N2098" s="159"/>
      <c r="O2098" s="159"/>
      <c r="P2098" s="136"/>
    </row>
    <row r="2099" spans="1:16" x14ac:dyDescent="0.25">
      <c r="A2099" s="156">
        <v>45873</v>
      </c>
      <c r="B2099" s="136" t="s">
        <v>28</v>
      </c>
      <c r="C2099" s="157" t="str">
        <f t="shared" si="88"/>
        <v>04.08.2025_GRU2</v>
      </c>
      <c r="D2099" s="190">
        <f t="shared" si="89"/>
        <v>0</v>
      </c>
      <c r="E2099" s="133">
        <v>7.66</v>
      </c>
      <c r="F2099" s="134"/>
      <c r="G2099" s="135">
        <v>178</v>
      </c>
      <c r="H2099" s="137">
        <v>9.4700000000000006</v>
      </c>
      <c r="I2099" s="134"/>
      <c r="J2099" s="137">
        <v>14.83</v>
      </c>
      <c r="K2099" s="134"/>
      <c r="L2099" s="136">
        <v>35</v>
      </c>
      <c r="M2099" s="181"/>
      <c r="N2099" s="159"/>
      <c r="O2099" s="159"/>
      <c r="P2099" s="136"/>
    </row>
    <row r="2100" spans="1:16" x14ac:dyDescent="0.25">
      <c r="A2100" s="156">
        <v>45873</v>
      </c>
      <c r="B2100" s="136" t="s">
        <v>0</v>
      </c>
      <c r="C2100" s="157" t="str">
        <f t="shared" si="88"/>
        <v>04.08.2025_KIN1</v>
      </c>
      <c r="D2100" s="190">
        <f t="shared" si="89"/>
        <v>0</v>
      </c>
      <c r="E2100" s="133">
        <v>8.3000000000000007</v>
      </c>
      <c r="F2100" s="134"/>
      <c r="G2100" s="135">
        <v>390</v>
      </c>
      <c r="H2100" s="137">
        <v>10.25</v>
      </c>
      <c r="I2100" s="134"/>
      <c r="J2100" s="137">
        <v>13.35</v>
      </c>
      <c r="K2100" s="134"/>
      <c r="L2100" s="136">
        <v>34</v>
      </c>
      <c r="M2100" s="181"/>
      <c r="N2100" s="159"/>
      <c r="O2100" s="159"/>
      <c r="P2100" s="136" t="s">
        <v>456</v>
      </c>
    </row>
    <row r="2101" spans="1:16" x14ac:dyDescent="0.25">
      <c r="A2101" s="156">
        <v>45873</v>
      </c>
      <c r="B2101" s="136" t="s">
        <v>2</v>
      </c>
      <c r="C2101" s="157" t="str">
        <f t="shared" si="88"/>
        <v>04.08.2025_KIN2</v>
      </c>
      <c r="D2101" s="190">
        <f t="shared" si="89"/>
        <v>0</v>
      </c>
      <c r="E2101" s="133">
        <v>8.14</v>
      </c>
      <c r="F2101" s="134"/>
      <c r="G2101" s="135">
        <v>488</v>
      </c>
      <c r="H2101" s="137">
        <v>10.58</v>
      </c>
      <c r="I2101" s="134"/>
      <c r="J2101" s="137">
        <v>13.7</v>
      </c>
      <c r="K2101" s="134"/>
      <c r="L2101" s="136">
        <v>30</v>
      </c>
      <c r="M2101" s="181"/>
      <c r="N2101" s="159"/>
      <c r="O2101" s="159"/>
      <c r="P2101" s="136"/>
    </row>
    <row r="2102" spans="1:16" x14ac:dyDescent="0.25">
      <c r="A2102" s="156">
        <v>45873</v>
      </c>
      <c r="B2102" s="136" t="s">
        <v>4</v>
      </c>
      <c r="C2102" s="157" t="str">
        <f t="shared" si="88"/>
        <v>04.08.2025_KIN3</v>
      </c>
      <c r="D2102" s="190">
        <f t="shared" si="89"/>
        <v>0</v>
      </c>
      <c r="E2102" s="133">
        <v>8.2899999999999991</v>
      </c>
      <c r="F2102" s="134"/>
      <c r="G2102" s="135">
        <v>463</v>
      </c>
      <c r="H2102" s="137">
        <v>10.45</v>
      </c>
      <c r="I2102" s="134"/>
      <c r="J2102" s="137">
        <v>14.3</v>
      </c>
      <c r="K2102" s="134"/>
      <c r="L2102" s="136">
        <v>17</v>
      </c>
      <c r="M2102" s="181"/>
      <c r="N2102" s="159"/>
      <c r="O2102" s="159"/>
      <c r="P2102" s="136"/>
    </row>
    <row r="2103" spans="1:16" x14ac:dyDescent="0.25">
      <c r="A2103" s="156">
        <v>45873</v>
      </c>
      <c r="B2103" s="136" t="s">
        <v>6</v>
      </c>
      <c r="C2103" s="157" t="str">
        <f t="shared" si="88"/>
        <v>04.08.2025_KIN4</v>
      </c>
      <c r="D2103" s="190">
        <f t="shared" si="89"/>
        <v>0</v>
      </c>
      <c r="E2103" s="133">
        <v>8.02</v>
      </c>
      <c r="F2103" s="134"/>
      <c r="G2103" s="135">
        <v>469</v>
      </c>
      <c r="H2103" s="137">
        <v>10.01</v>
      </c>
      <c r="I2103" s="134"/>
      <c r="J2103" s="137">
        <v>14.7</v>
      </c>
      <c r="K2103" s="134"/>
      <c r="L2103" s="136">
        <v>20</v>
      </c>
      <c r="M2103" s="181"/>
      <c r="N2103" s="159"/>
      <c r="O2103" s="159"/>
      <c r="P2103" s="136"/>
    </row>
    <row r="2104" spans="1:16" x14ac:dyDescent="0.25">
      <c r="A2104" s="156">
        <v>45873</v>
      </c>
      <c r="B2104" s="136" t="s">
        <v>421</v>
      </c>
      <c r="C2104" s="157" t="str">
        <f t="shared" si="88"/>
        <v>04.08.2025_KLI</v>
      </c>
      <c r="D2104" s="190">
        <f t="shared" si="89"/>
        <v>5</v>
      </c>
      <c r="E2104" s="283"/>
      <c r="F2104" s="134"/>
      <c r="G2104" s="287"/>
      <c r="H2104" s="285"/>
      <c r="I2104" s="134"/>
      <c r="J2104" s="285"/>
      <c r="K2104" s="134"/>
      <c r="L2104" s="282"/>
      <c r="M2104" s="181"/>
      <c r="N2104" s="159"/>
      <c r="O2104" s="159"/>
      <c r="P2104" s="136" t="s">
        <v>455</v>
      </c>
    </row>
    <row r="2105" spans="1:16" x14ac:dyDescent="0.25">
      <c r="A2105" s="156">
        <v>45873</v>
      </c>
      <c r="B2105" s="136" t="s">
        <v>34</v>
      </c>
      <c r="C2105" s="157" t="str">
        <f t="shared" si="88"/>
        <v>04.08.2025_KRE1</v>
      </c>
      <c r="D2105" s="190">
        <f t="shared" si="89"/>
        <v>0</v>
      </c>
      <c r="E2105" s="133">
        <v>7.62</v>
      </c>
      <c r="F2105" s="134"/>
      <c r="G2105" s="135">
        <v>597</v>
      </c>
      <c r="H2105" s="137">
        <v>6.9</v>
      </c>
      <c r="I2105" s="134"/>
      <c r="J2105" s="137">
        <v>16.739999999999998</v>
      </c>
      <c r="K2105" s="134"/>
      <c r="L2105" s="136">
        <v>40</v>
      </c>
      <c r="M2105" s="181"/>
      <c r="N2105" s="159"/>
      <c r="O2105" s="159"/>
      <c r="P2105" s="136"/>
    </row>
    <row r="2106" spans="1:16" x14ac:dyDescent="0.25">
      <c r="A2106" s="156">
        <v>45873</v>
      </c>
      <c r="B2106" s="136" t="s">
        <v>37</v>
      </c>
      <c r="C2106" s="157" t="str">
        <f t="shared" si="88"/>
        <v>04.08.2025_KRE2</v>
      </c>
      <c r="D2106" s="190">
        <f t="shared" si="89"/>
        <v>0</v>
      </c>
      <c r="E2106" s="133">
        <v>7.24</v>
      </c>
      <c r="F2106" s="134"/>
      <c r="G2106" s="135">
        <v>644</v>
      </c>
      <c r="H2106" s="137">
        <v>7.44</v>
      </c>
      <c r="I2106" s="134"/>
      <c r="J2106" s="137">
        <v>16.37</v>
      </c>
      <c r="K2106" s="134"/>
      <c r="L2106" s="136">
        <v>30</v>
      </c>
      <c r="M2106" s="181"/>
      <c r="N2106" s="159"/>
      <c r="O2106" s="159"/>
      <c r="P2106" s="136"/>
    </row>
    <row r="2107" spans="1:16" x14ac:dyDescent="0.25">
      <c r="A2107" s="156">
        <v>45873</v>
      </c>
      <c r="B2107" s="136" t="s">
        <v>18</v>
      </c>
      <c r="C2107" s="157" t="str">
        <f t="shared" si="88"/>
        <v>04.08.2025_ORB1</v>
      </c>
      <c r="D2107" s="190">
        <f t="shared" si="89"/>
        <v>0</v>
      </c>
      <c r="E2107" s="133">
        <v>7.79</v>
      </c>
      <c r="F2107" s="134"/>
      <c r="G2107" s="135">
        <v>99</v>
      </c>
      <c r="H2107" s="137">
        <v>10.02</v>
      </c>
      <c r="I2107" s="134"/>
      <c r="J2107" s="137">
        <v>16.079999999999998</v>
      </c>
      <c r="K2107" s="134"/>
      <c r="L2107" s="136">
        <v>7.0000000000000009</v>
      </c>
      <c r="M2107" s="181"/>
      <c r="N2107" s="159"/>
      <c r="O2107" s="159"/>
      <c r="P2107" s="136"/>
    </row>
    <row r="2108" spans="1:16" x14ac:dyDescent="0.25">
      <c r="A2108" s="156">
        <v>45873</v>
      </c>
      <c r="B2108" s="136" t="s">
        <v>21</v>
      </c>
      <c r="C2108" s="157" t="str">
        <f t="shared" si="88"/>
        <v>04.08.2025_ORB2</v>
      </c>
      <c r="D2108" s="190">
        <f t="shared" si="89"/>
        <v>0</v>
      </c>
      <c r="E2108" s="133">
        <v>7.2</v>
      </c>
      <c r="F2108" s="134"/>
      <c r="G2108" s="135">
        <v>173</v>
      </c>
      <c r="H2108" s="137">
        <v>9.6</v>
      </c>
      <c r="I2108" s="134"/>
      <c r="J2108" s="137">
        <v>15.52</v>
      </c>
      <c r="K2108" s="134"/>
      <c r="L2108" s="136">
        <v>5</v>
      </c>
      <c r="M2108" s="181"/>
      <c r="N2108" s="159"/>
      <c r="O2108" s="159"/>
      <c r="P2108" s="136"/>
    </row>
    <row r="2109" spans="1:16" x14ac:dyDescent="0.25">
      <c r="A2109" s="156">
        <v>45873</v>
      </c>
      <c r="B2109" s="136" t="s">
        <v>10</v>
      </c>
      <c r="C2109" s="157" t="str">
        <f t="shared" si="88"/>
        <v>04.08.2025_SAL1</v>
      </c>
      <c r="D2109" s="190">
        <f t="shared" si="89"/>
        <v>0</v>
      </c>
      <c r="E2109" s="133">
        <v>8.06</v>
      </c>
      <c r="F2109" s="134"/>
      <c r="G2109" s="135">
        <v>204</v>
      </c>
      <c r="H2109" s="137">
        <v>10.37</v>
      </c>
      <c r="I2109" s="134"/>
      <c r="J2109" s="137">
        <v>13.89</v>
      </c>
      <c r="K2109" s="134"/>
      <c r="L2109" s="136">
        <v>28.999999999999996</v>
      </c>
      <c r="M2109" s="181"/>
      <c r="N2109" s="159"/>
      <c r="O2109" s="159"/>
      <c r="P2109" s="136"/>
    </row>
    <row r="2110" spans="1:16" x14ac:dyDescent="0.25">
      <c r="A2110" s="156">
        <v>45873</v>
      </c>
      <c r="B2110" s="136" t="s">
        <v>12</v>
      </c>
      <c r="C2110" s="157" t="str">
        <f t="shared" si="88"/>
        <v>04.08.2025_SAL2</v>
      </c>
      <c r="D2110" s="190">
        <f t="shared" si="89"/>
        <v>0</v>
      </c>
      <c r="E2110" s="133">
        <v>8.18</v>
      </c>
      <c r="F2110" s="134"/>
      <c r="G2110" s="135">
        <v>212</v>
      </c>
      <c r="H2110" s="137">
        <v>10.48</v>
      </c>
      <c r="I2110" s="134"/>
      <c r="J2110" s="137">
        <v>14.3</v>
      </c>
      <c r="K2110" s="134"/>
      <c r="L2110" s="136">
        <v>28.000000000000004</v>
      </c>
      <c r="M2110" s="181"/>
      <c r="N2110" s="159"/>
      <c r="O2110" s="159"/>
      <c r="P2110" s="136"/>
    </row>
    <row r="2111" spans="1:16" x14ac:dyDescent="0.25">
      <c r="A2111" s="156">
        <v>45873</v>
      </c>
      <c r="B2111" s="136" t="s">
        <v>7</v>
      </c>
      <c r="C2111" s="157" t="str">
        <f t="shared" si="88"/>
        <v>04.08.2025_STE1</v>
      </c>
      <c r="D2111" s="190">
        <f t="shared" si="89"/>
        <v>0</v>
      </c>
      <c r="E2111" s="133">
        <v>8.16</v>
      </c>
      <c r="F2111" s="134"/>
      <c r="G2111" s="135">
        <v>310</v>
      </c>
      <c r="H2111" s="137">
        <v>10.49</v>
      </c>
      <c r="I2111" s="134"/>
      <c r="J2111" s="137">
        <v>13.19</v>
      </c>
      <c r="K2111" s="134"/>
      <c r="L2111" s="136">
        <v>15</v>
      </c>
      <c r="M2111" s="181"/>
      <c r="N2111" s="159"/>
      <c r="O2111" s="159"/>
      <c r="P2111" s="136"/>
    </row>
    <row r="2112" spans="1:16" x14ac:dyDescent="0.25">
      <c r="A2112" s="156">
        <v>45873</v>
      </c>
      <c r="B2112" s="136" t="s">
        <v>9</v>
      </c>
      <c r="C2112" s="157" t="str">
        <f t="shared" si="88"/>
        <v>04.08.2025_STE2</v>
      </c>
      <c r="D2112" s="190">
        <f t="shared" si="89"/>
        <v>0</v>
      </c>
      <c r="E2112" s="133">
        <v>8.31</v>
      </c>
      <c r="F2112" s="134"/>
      <c r="G2112" s="135">
        <v>315</v>
      </c>
      <c r="H2112" s="137">
        <v>10.62</v>
      </c>
      <c r="I2112" s="134"/>
      <c r="J2112" s="137">
        <v>14.1</v>
      </c>
      <c r="K2112" s="134"/>
      <c r="L2112" s="136">
        <v>24</v>
      </c>
      <c r="M2112" s="181"/>
      <c r="N2112" s="159"/>
      <c r="O2112" s="159"/>
      <c r="P2112" s="136"/>
    </row>
    <row r="2113" spans="1:16" x14ac:dyDescent="0.25">
      <c r="A2113" s="156">
        <v>45887</v>
      </c>
      <c r="B2113" s="136" t="s">
        <v>22</v>
      </c>
      <c r="C2113" s="157" t="str">
        <f t="shared" ref="C2113" si="90">CONCATENATE(TEXT(A2113,"TT.MM.JJJJ"),"_",B2113)</f>
        <v>18.08.2025_BIE1</v>
      </c>
      <c r="D2113" s="190">
        <f t="shared" ref="D2113" si="91">COUNTBLANK(E2113)+COUNTBLANK(G2113:H2113)+COUNTBLANK(J2113)+COUNTBLANK(L2113)</f>
        <v>0</v>
      </c>
      <c r="E2113" s="133">
        <v>8.0500000000000007</v>
      </c>
      <c r="F2113" s="134"/>
      <c r="G2113" s="135">
        <v>195</v>
      </c>
      <c r="H2113" s="137">
        <v>10.42</v>
      </c>
      <c r="I2113" s="134"/>
      <c r="J2113" s="137">
        <v>16.190000000000001</v>
      </c>
      <c r="K2113" s="134"/>
      <c r="L2113" s="136">
        <v>20</v>
      </c>
      <c r="M2113" s="181"/>
      <c r="N2113" s="159"/>
      <c r="O2113" s="159"/>
      <c r="P2113" s="136"/>
    </row>
    <row r="2114" spans="1:16" x14ac:dyDescent="0.25">
      <c r="A2114" s="156">
        <v>45887</v>
      </c>
      <c r="B2114" s="136" t="s">
        <v>25</v>
      </c>
      <c r="C2114" s="157" t="str">
        <f t="shared" ref="C2114:C2133" si="92">CONCATENATE(TEXT(A2114,"TT.MM.JJJJ"),"_",B2114)</f>
        <v>18.08.2025_BIE2</v>
      </c>
      <c r="D2114" s="190">
        <f t="shared" ref="D2114:D2133" si="93">COUNTBLANK(E2114)+COUNTBLANK(G2114:H2114)+COUNTBLANK(J2114)+COUNTBLANK(L2114)</f>
        <v>0</v>
      </c>
      <c r="E2114" s="133">
        <v>8.0299999999999994</v>
      </c>
      <c r="F2114" s="134"/>
      <c r="G2114" s="135">
        <v>214</v>
      </c>
      <c r="H2114" s="137">
        <v>10.43</v>
      </c>
      <c r="I2114" s="134"/>
      <c r="J2114" s="137">
        <v>15.43</v>
      </c>
      <c r="K2114" s="134"/>
      <c r="L2114" s="136">
        <v>30</v>
      </c>
      <c r="M2114" s="181"/>
      <c r="N2114" s="159"/>
      <c r="O2114" s="159"/>
      <c r="P2114" s="136"/>
    </row>
    <row r="2115" spans="1:16" x14ac:dyDescent="0.25">
      <c r="A2115" s="156">
        <v>45887</v>
      </c>
      <c r="B2115" s="136" t="s">
        <v>14</v>
      </c>
      <c r="C2115" s="157" t="str">
        <f t="shared" si="92"/>
        <v>18.08.2025_BRA1</v>
      </c>
      <c r="D2115" s="190">
        <f t="shared" si="93"/>
        <v>0</v>
      </c>
      <c r="E2115" s="133">
        <v>7.98</v>
      </c>
      <c r="F2115" s="134"/>
      <c r="G2115" s="135">
        <v>178</v>
      </c>
      <c r="H2115" s="137">
        <v>9.82</v>
      </c>
      <c r="I2115" s="134"/>
      <c r="J2115" s="137">
        <v>19.64</v>
      </c>
      <c r="K2115" s="134"/>
      <c r="L2115" s="136">
        <v>26</v>
      </c>
      <c r="M2115" s="181"/>
      <c r="N2115" s="159"/>
      <c r="O2115" s="159"/>
      <c r="P2115" s="136"/>
    </row>
    <row r="2116" spans="1:16" x14ac:dyDescent="0.25">
      <c r="A2116" s="156">
        <v>45887</v>
      </c>
      <c r="B2116" s="136" t="s">
        <v>17</v>
      </c>
      <c r="C2116" s="157" t="str">
        <f t="shared" si="92"/>
        <v>18.08.2025_BRA2</v>
      </c>
      <c r="D2116" s="190">
        <f t="shared" si="93"/>
        <v>0</v>
      </c>
      <c r="E2116" s="133">
        <v>8.19</v>
      </c>
      <c r="F2116" s="134"/>
      <c r="G2116" s="135">
        <v>212</v>
      </c>
      <c r="H2116" s="137">
        <v>10.35</v>
      </c>
      <c r="I2116" s="134"/>
      <c r="J2116" s="137">
        <v>17.79</v>
      </c>
      <c r="K2116" s="134"/>
      <c r="L2116" s="136">
        <v>24</v>
      </c>
      <c r="M2116" s="181"/>
      <c r="N2116" s="159"/>
      <c r="O2116" s="159"/>
      <c r="P2116" s="136"/>
    </row>
    <row r="2117" spans="1:16" x14ac:dyDescent="0.25">
      <c r="A2117" s="156">
        <v>45887</v>
      </c>
      <c r="B2117" s="136" t="s">
        <v>30</v>
      </c>
      <c r="C2117" s="157" t="str">
        <f t="shared" si="92"/>
        <v>18.08.2025_FAL1</v>
      </c>
      <c r="D2117" s="190">
        <f t="shared" si="93"/>
        <v>0</v>
      </c>
      <c r="E2117" s="133">
        <v>8.02</v>
      </c>
      <c r="F2117" s="134"/>
      <c r="G2117" s="135">
        <v>997</v>
      </c>
      <c r="H2117" s="137">
        <v>9.74</v>
      </c>
      <c r="I2117" s="134"/>
      <c r="J2117" s="137">
        <v>17.239999999999998</v>
      </c>
      <c r="K2117" s="134"/>
      <c r="L2117" s="136">
        <v>10</v>
      </c>
      <c r="M2117" s="181"/>
      <c r="N2117" s="159"/>
      <c r="O2117" s="159"/>
      <c r="P2117" s="136"/>
    </row>
    <row r="2118" spans="1:16" x14ac:dyDescent="0.25">
      <c r="A2118" s="156">
        <v>45887</v>
      </c>
      <c r="B2118" s="136" t="s">
        <v>32</v>
      </c>
      <c r="C2118" s="157" t="str">
        <f t="shared" si="92"/>
        <v>18.08.2025_FAL2</v>
      </c>
      <c r="D2118" s="190">
        <f t="shared" si="93"/>
        <v>0</v>
      </c>
      <c r="E2118" s="133">
        <v>8.2100000000000009</v>
      </c>
      <c r="F2118" s="134"/>
      <c r="G2118" s="135">
        <v>959</v>
      </c>
      <c r="H2118" s="137">
        <v>8.7200000000000006</v>
      </c>
      <c r="I2118" s="134"/>
      <c r="J2118" s="137">
        <v>16.82</v>
      </c>
      <c r="K2118" s="134"/>
      <c r="L2118" s="136">
        <v>20</v>
      </c>
      <c r="M2118" s="181"/>
      <c r="N2118" s="159"/>
      <c r="O2118" s="159"/>
      <c r="P2118" s="136"/>
    </row>
    <row r="2119" spans="1:16" x14ac:dyDescent="0.25">
      <c r="A2119" s="156">
        <v>45887</v>
      </c>
      <c r="B2119" s="136" t="s">
        <v>26</v>
      </c>
      <c r="C2119" s="157" t="str">
        <f t="shared" si="92"/>
        <v>18.08.2025_GRU1</v>
      </c>
      <c r="D2119" s="190">
        <f t="shared" si="93"/>
        <v>0</v>
      </c>
      <c r="E2119" s="133">
        <v>7.8</v>
      </c>
      <c r="F2119" s="134"/>
      <c r="G2119" s="135">
        <v>164</v>
      </c>
      <c r="H2119" s="137">
        <v>10.3</v>
      </c>
      <c r="I2119" s="134"/>
      <c r="J2119" s="137">
        <v>16.45</v>
      </c>
      <c r="K2119" s="134"/>
      <c r="L2119" s="136">
        <v>20</v>
      </c>
      <c r="M2119" s="181"/>
      <c r="N2119" s="159"/>
      <c r="O2119" s="159"/>
      <c r="P2119" s="136"/>
    </row>
    <row r="2120" spans="1:16" x14ac:dyDescent="0.25">
      <c r="A2120" s="156">
        <v>45887</v>
      </c>
      <c r="B2120" s="136" t="s">
        <v>28</v>
      </c>
      <c r="C2120" s="157" t="str">
        <f t="shared" si="92"/>
        <v>18.08.2025_GRU2</v>
      </c>
      <c r="D2120" s="190">
        <f t="shared" si="93"/>
        <v>0</v>
      </c>
      <c r="E2120" s="133">
        <v>7.66</v>
      </c>
      <c r="F2120" s="134"/>
      <c r="G2120" s="135">
        <v>174</v>
      </c>
      <c r="H2120" s="137">
        <v>9.94</v>
      </c>
      <c r="I2120" s="134"/>
      <c r="J2120" s="137">
        <v>16.73</v>
      </c>
      <c r="K2120" s="134"/>
      <c r="L2120" s="136">
        <v>30</v>
      </c>
      <c r="M2120" s="181"/>
      <c r="N2120" s="159"/>
      <c r="O2120" s="159"/>
      <c r="P2120" s="136"/>
    </row>
    <row r="2121" spans="1:16" x14ac:dyDescent="0.25">
      <c r="A2121" s="156">
        <v>45887</v>
      </c>
      <c r="B2121" s="136" t="s">
        <v>0</v>
      </c>
      <c r="C2121" s="157" t="str">
        <f t="shared" si="92"/>
        <v>18.08.2025_KIN1</v>
      </c>
      <c r="D2121" s="190">
        <f t="shared" si="93"/>
        <v>0</v>
      </c>
      <c r="E2121" s="133">
        <v>8.18</v>
      </c>
      <c r="F2121" s="134"/>
      <c r="G2121" s="135">
        <v>389</v>
      </c>
      <c r="H2121" s="137">
        <v>10.33</v>
      </c>
      <c r="I2121" s="134"/>
      <c r="J2121" s="137">
        <v>14.84</v>
      </c>
      <c r="K2121" s="134"/>
      <c r="L2121" s="136">
        <v>28.999999999999996</v>
      </c>
      <c r="M2121" s="181"/>
      <c r="N2121" s="159"/>
      <c r="O2121" s="159"/>
      <c r="P2121" s="136"/>
    </row>
    <row r="2122" spans="1:16" x14ac:dyDescent="0.25">
      <c r="A2122" s="156">
        <v>45887</v>
      </c>
      <c r="B2122" s="136" t="s">
        <v>2</v>
      </c>
      <c r="C2122" s="157" t="str">
        <f t="shared" si="92"/>
        <v>18.08.2025_KIN2</v>
      </c>
      <c r="D2122" s="190">
        <f t="shared" si="93"/>
        <v>0</v>
      </c>
      <c r="E2122" s="133">
        <v>8.3000000000000007</v>
      </c>
      <c r="F2122" s="134"/>
      <c r="G2122" s="135">
        <v>523</v>
      </c>
      <c r="H2122" s="137">
        <v>11.09</v>
      </c>
      <c r="I2122" s="134"/>
      <c r="J2122" s="137">
        <v>14.3</v>
      </c>
      <c r="K2122" s="134"/>
      <c r="L2122" s="136">
        <v>19</v>
      </c>
      <c r="M2122" s="181"/>
      <c r="N2122" s="159"/>
      <c r="O2122" s="159"/>
      <c r="P2122" s="136"/>
    </row>
    <row r="2123" spans="1:16" x14ac:dyDescent="0.25">
      <c r="A2123" s="156">
        <v>45887</v>
      </c>
      <c r="B2123" s="136" t="s">
        <v>4</v>
      </c>
      <c r="C2123" s="157" t="str">
        <f t="shared" si="92"/>
        <v>18.08.2025_KIN3</v>
      </c>
      <c r="D2123" s="190">
        <f t="shared" si="93"/>
        <v>0</v>
      </c>
      <c r="E2123" s="133">
        <v>8.33</v>
      </c>
      <c r="F2123" s="134"/>
      <c r="G2123" s="135">
        <v>543</v>
      </c>
      <c r="H2123" s="137">
        <v>10.73</v>
      </c>
      <c r="I2123" s="134"/>
      <c r="J2123" s="137">
        <v>15.59</v>
      </c>
      <c r="K2123" s="134"/>
      <c r="L2123" s="136">
        <v>11</v>
      </c>
      <c r="M2123" s="181"/>
      <c r="N2123" s="159"/>
      <c r="O2123" s="159"/>
      <c r="P2123" s="136"/>
    </row>
    <row r="2124" spans="1:16" x14ac:dyDescent="0.25">
      <c r="A2124" s="156">
        <v>45887</v>
      </c>
      <c r="B2124" s="136" t="s">
        <v>6</v>
      </c>
      <c r="C2124" s="157" t="str">
        <f t="shared" si="92"/>
        <v>18.08.2025_KIN4</v>
      </c>
      <c r="D2124" s="190">
        <f t="shared" si="93"/>
        <v>0</v>
      </c>
      <c r="E2124" s="133">
        <v>8.09</v>
      </c>
      <c r="F2124" s="134"/>
      <c r="G2124" s="135">
        <v>530</v>
      </c>
      <c r="H2124" s="137">
        <v>10.220000000000001</v>
      </c>
      <c r="I2124" s="134"/>
      <c r="J2124" s="137">
        <v>15.65</v>
      </c>
      <c r="K2124" s="134"/>
      <c r="L2124" s="136">
        <v>27</v>
      </c>
      <c r="M2124" s="181"/>
      <c r="N2124" s="159"/>
      <c r="O2124" s="159"/>
      <c r="P2124" s="136"/>
    </row>
    <row r="2125" spans="1:16" x14ac:dyDescent="0.25">
      <c r="A2125" s="156">
        <v>45887</v>
      </c>
      <c r="B2125" s="136" t="s">
        <v>421</v>
      </c>
      <c r="C2125" s="157" t="str">
        <f t="shared" si="92"/>
        <v>18.08.2025_KLI</v>
      </c>
      <c r="D2125" s="190">
        <f t="shared" si="93"/>
        <v>5</v>
      </c>
      <c r="E2125" s="283"/>
      <c r="F2125" s="134"/>
      <c r="G2125" s="287"/>
      <c r="H2125" s="285"/>
      <c r="I2125" s="134"/>
      <c r="J2125" s="285"/>
      <c r="K2125" s="134"/>
      <c r="L2125" s="282"/>
      <c r="M2125" s="181"/>
      <c r="N2125" s="159"/>
      <c r="O2125" s="159"/>
      <c r="P2125" s="136" t="s">
        <v>455</v>
      </c>
    </row>
    <row r="2126" spans="1:16" x14ac:dyDescent="0.25">
      <c r="A2126" s="156">
        <v>45887</v>
      </c>
      <c r="B2126" s="136" t="s">
        <v>34</v>
      </c>
      <c r="C2126" s="157" t="str">
        <f t="shared" si="92"/>
        <v>18.08.2025_KRE1</v>
      </c>
      <c r="D2126" s="190">
        <f t="shared" si="93"/>
        <v>0</v>
      </c>
      <c r="E2126" s="133">
        <v>7.91</v>
      </c>
      <c r="F2126" s="134"/>
      <c r="G2126" s="135">
        <v>1039</v>
      </c>
      <c r="H2126" s="137">
        <v>6.73</v>
      </c>
      <c r="I2126" s="134"/>
      <c r="J2126" s="137">
        <v>18</v>
      </c>
      <c r="K2126" s="134"/>
      <c r="L2126" s="136">
        <v>30</v>
      </c>
      <c r="M2126" s="181"/>
      <c r="N2126" s="159"/>
      <c r="O2126" s="159"/>
      <c r="P2126" s="136"/>
    </row>
    <row r="2127" spans="1:16" x14ac:dyDescent="0.25">
      <c r="A2127" s="156">
        <v>45887</v>
      </c>
      <c r="B2127" s="136" t="s">
        <v>37</v>
      </c>
      <c r="C2127" s="157" t="str">
        <f t="shared" si="92"/>
        <v>18.08.2025_KRE2</v>
      </c>
      <c r="D2127" s="190">
        <f t="shared" si="93"/>
        <v>0</v>
      </c>
      <c r="E2127" s="133">
        <v>7.69</v>
      </c>
      <c r="F2127" s="134"/>
      <c r="G2127" s="135">
        <v>1018</v>
      </c>
      <c r="H2127" s="137">
        <v>8.36</v>
      </c>
      <c r="I2127" s="134"/>
      <c r="J2127" s="137">
        <v>16.72</v>
      </c>
      <c r="K2127" s="134"/>
      <c r="L2127" s="136">
        <v>10</v>
      </c>
      <c r="M2127" s="181"/>
      <c r="N2127" s="159"/>
      <c r="O2127" s="159"/>
      <c r="P2127" s="136"/>
    </row>
    <row r="2128" spans="1:16" x14ac:dyDescent="0.25">
      <c r="A2128" s="156">
        <v>45887</v>
      </c>
      <c r="B2128" s="136" t="s">
        <v>18</v>
      </c>
      <c r="C2128" s="157" t="str">
        <f t="shared" si="92"/>
        <v>18.08.2025_ORB1</v>
      </c>
      <c r="D2128" s="190">
        <f t="shared" si="93"/>
        <v>0</v>
      </c>
      <c r="E2128" s="133">
        <v>7.63</v>
      </c>
      <c r="F2128" s="134"/>
      <c r="G2128" s="135">
        <v>91</v>
      </c>
      <c r="H2128" s="137">
        <v>10.66</v>
      </c>
      <c r="I2128" s="134"/>
      <c r="J2128" s="137">
        <v>16.809999999999999</v>
      </c>
      <c r="K2128" s="134"/>
      <c r="L2128" s="136">
        <v>5</v>
      </c>
      <c r="M2128" s="181"/>
      <c r="N2128" s="159"/>
      <c r="O2128" s="159"/>
      <c r="P2128" s="136"/>
    </row>
    <row r="2129" spans="1:16" x14ac:dyDescent="0.25">
      <c r="A2129" s="156">
        <v>45887</v>
      </c>
      <c r="B2129" s="136" t="s">
        <v>21</v>
      </c>
      <c r="C2129" s="157" t="str">
        <f t="shared" si="92"/>
        <v>18.08.2025_ORB2</v>
      </c>
      <c r="D2129" s="190">
        <f t="shared" si="93"/>
        <v>0</v>
      </c>
      <c r="E2129" s="133">
        <v>7.6</v>
      </c>
      <c r="F2129" s="134"/>
      <c r="G2129" s="135">
        <v>181</v>
      </c>
      <c r="H2129" s="137">
        <v>10.42</v>
      </c>
      <c r="I2129" s="134"/>
      <c r="J2129" s="137">
        <v>16.27</v>
      </c>
      <c r="K2129" s="134"/>
      <c r="L2129" s="136">
        <v>9</v>
      </c>
      <c r="M2129" s="181"/>
      <c r="N2129" s="159"/>
      <c r="O2129" s="159"/>
      <c r="P2129" s="136"/>
    </row>
    <row r="2130" spans="1:16" x14ac:dyDescent="0.25">
      <c r="A2130" s="156">
        <v>45887</v>
      </c>
      <c r="B2130" s="136" t="s">
        <v>10</v>
      </c>
      <c r="C2130" s="157" t="str">
        <f t="shared" si="92"/>
        <v>18.08.2025_SAL1</v>
      </c>
      <c r="D2130" s="190">
        <f t="shared" si="93"/>
        <v>0</v>
      </c>
      <c r="E2130" s="133">
        <v>8.16</v>
      </c>
      <c r="F2130" s="134"/>
      <c r="G2130" s="135">
        <v>227</v>
      </c>
      <c r="H2130" s="137">
        <v>10.82</v>
      </c>
      <c r="I2130" s="134"/>
      <c r="J2130" s="137">
        <v>15.33</v>
      </c>
      <c r="K2130" s="134"/>
      <c r="L2130" s="136">
        <v>23</v>
      </c>
      <c r="M2130" s="181"/>
      <c r="N2130" s="159"/>
      <c r="O2130" s="159"/>
      <c r="P2130" s="136"/>
    </row>
    <row r="2131" spans="1:16" x14ac:dyDescent="0.25">
      <c r="A2131" s="156">
        <v>45887</v>
      </c>
      <c r="B2131" s="136" t="s">
        <v>12</v>
      </c>
      <c r="C2131" s="157" t="str">
        <f t="shared" si="92"/>
        <v>18.08.2025_SAL2</v>
      </c>
      <c r="D2131" s="190">
        <f t="shared" si="93"/>
        <v>0</v>
      </c>
      <c r="E2131" s="133">
        <v>8.2899999999999991</v>
      </c>
      <c r="F2131" s="134"/>
      <c r="G2131" s="135">
        <v>241</v>
      </c>
      <c r="H2131" s="137">
        <v>10.79</v>
      </c>
      <c r="I2131" s="134"/>
      <c r="J2131" s="137">
        <v>16.02</v>
      </c>
      <c r="K2131" s="134"/>
      <c r="L2131" s="136">
        <v>21</v>
      </c>
      <c r="M2131" s="181"/>
      <c r="N2131" s="159"/>
      <c r="O2131" s="159"/>
      <c r="P2131" s="136"/>
    </row>
    <row r="2132" spans="1:16" x14ac:dyDescent="0.25">
      <c r="A2132" s="156">
        <v>45887</v>
      </c>
      <c r="B2132" s="136" t="s">
        <v>7</v>
      </c>
      <c r="C2132" s="157" t="str">
        <f t="shared" si="92"/>
        <v>18.08.2025_STE1</v>
      </c>
      <c r="D2132" s="190">
        <f t="shared" si="93"/>
        <v>0</v>
      </c>
      <c r="E2132" s="133">
        <v>8.25</v>
      </c>
      <c r="F2132" s="134"/>
      <c r="G2132" s="135">
        <v>348</v>
      </c>
      <c r="H2132" s="137">
        <v>11.15</v>
      </c>
      <c r="I2132" s="134"/>
      <c r="J2132" s="137">
        <v>14.33</v>
      </c>
      <c r="K2132" s="134"/>
      <c r="L2132" s="136">
        <v>11</v>
      </c>
      <c r="M2132" s="181"/>
      <c r="N2132" s="159"/>
      <c r="O2132" s="159"/>
      <c r="P2132" s="136"/>
    </row>
    <row r="2133" spans="1:16" x14ac:dyDescent="0.25">
      <c r="A2133" s="156">
        <v>45887</v>
      </c>
      <c r="B2133" s="136" t="s">
        <v>9</v>
      </c>
      <c r="C2133" s="157" t="str">
        <f t="shared" si="92"/>
        <v>18.08.2025_STE2</v>
      </c>
      <c r="D2133" s="190">
        <f t="shared" si="93"/>
        <v>0</v>
      </c>
      <c r="E2133" s="133">
        <v>8.4</v>
      </c>
      <c r="F2133" s="134"/>
      <c r="G2133" s="135">
        <v>356</v>
      </c>
      <c r="H2133" s="137">
        <v>11.1</v>
      </c>
      <c r="I2133" s="134"/>
      <c r="J2133" s="137">
        <v>14.99</v>
      </c>
      <c r="K2133" s="134"/>
      <c r="L2133" s="136">
        <v>20</v>
      </c>
      <c r="M2133" s="181"/>
      <c r="N2133" s="159"/>
      <c r="O2133" s="159"/>
      <c r="P2133" s="136"/>
    </row>
    <row r="2134" spans="1:16" x14ac:dyDescent="0.25">
      <c r="A2134" s="156">
        <v>45901</v>
      </c>
      <c r="B2134" s="136" t="s">
        <v>22</v>
      </c>
      <c r="C2134" s="157" t="str">
        <f t="shared" ref="C2134" si="94">CONCATENATE(TEXT(A2134,"TT.MM.JJJJ"),"_",B2134)</f>
        <v>01.09.2025_BIE1</v>
      </c>
      <c r="D2134" s="190">
        <f t="shared" ref="D2134" si="95">COUNTBLANK(E2134)+COUNTBLANK(G2134:H2134)+COUNTBLANK(J2134)+COUNTBLANK(L2134)</f>
        <v>0</v>
      </c>
      <c r="E2134" s="133">
        <v>7.76</v>
      </c>
      <c r="F2134" s="134"/>
      <c r="G2134" s="135">
        <v>189</v>
      </c>
      <c r="H2134" s="137">
        <v>9.81</v>
      </c>
      <c r="I2134" s="134"/>
      <c r="J2134" s="137">
        <v>15.26</v>
      </c>
      <c r="K2134" s="134"/>
      <c r="L2134" s="136">
        <v>20</v>
      </c>
      <c r="M2134" s="181"/>
      <c r="N2134" s="159"/>
      <c r="O2134" s="159"/>
      <c r="P2134" s="136"/>
    </row>
    <row r="2135" spans="1:16" x14ac:dyDescent="0.25">
      <c r="A2135" s="156">
        <v>45901</v>
      </c>
      <c r="B2135" s="136" t="s">
        <v>25</v>
      </c>
      <c r="C2135" s="157" t="str">
        <f t="shared" ref="C2135:C2154" si="96">CONCATENATE(TEXT(A2135,"TT.MM.JJJJ"),"_",B2135)</f>
        <v>01.09.2025_BIE2</v>
      </c>
      <c r="D2135" s="190">
        <f t="shared" ref="D2135:D2154" si="97">COUNTBLANK(E2135)+COUNTBLANK(G2135:H2135)+COUNTBLANK(J2135)+COUNTBLANK(L2135)</f>
        <v>0</v>
      </c>
      <c r="E2135" s="133">
        <v>7.92</v>
      </c>
      <c r="F2135" s="134"/>
      <c r="G2135" s="135">
        <v>209</v>
      </c>
      <c r="H2135" s="137">
        <v>9.74</v>
      </c>
      <c r="I2135" s="134"/>
      <c r="J2135" s="137">
        <v>15.19</v>
      </c>
      <c r="K2135" s="134"/>
      <c r="L2135" s="136">
        <v>35</v>
      </c>
      <c r="M2135" s="181"/>
      <c r="N2135" s="159"/>
      <c r="O2135" s="159"/>
      <c r="P2135" s="136"/>
    </row>
    <row r="2136" spans="1:16" x14ac:dyDescent="0.25">
      <c r="A2136" s="156">
        <v>45901</v>
      </c>
      <c r="B2136" s="136" t="s">
        <v>14</v>
      </c>
      <c r="C2136" s="157" t="str">
        <f t="shared" si="96"/>
        <v>01.09.2025_BRA1</v>
      </c>
      <c r="D2136" s="190">
        <f t="shared" si="97"/>
        <v>0</v>
      </c>
      <c r="E2136" s="133">
        <v>7.84</v>
      </c>
      <c r="F2136" s="134"/>
      <c r="G2136" s="135">
        <v>114</v>
      </c>
      <c r="H2136" s="137">
        <v>9.6300000000000008</v>
      </c>
      <c r="I2136" s="134"/>
      <c r="J2136" s="137">
        <v>16.079999999999998</v>
      </c>
      <c r="K2136" s="134"/>
      <c r="L2136" s="136">
        <v>16</v>
      </c>
      <c r="M2136" s="181"/>
      <c r="N2136" s="159"/>
      <c r="O2136" s="159"/>
      <c r="P2136" s="136"/>
    </row>
    <row r="2137" spans="1:16" x14ac:dyDescent="0.25">
      <c r="A2137" s="156">
        <v>45901</v>
      </c>
      <c r="B2137" s="136" t="s">
        <v>17</v>
      </c>
      <c r="C2137" s="157" t="str">
        <f t="shared" si="96"/>
        <v>01.09.2025_BRA2</v>
      </c>
      <c r="D2137" s="190">
        <f t="shared" si="97"/>
        <v>0</v>
      </c>
      <c r="E2137" s="133">
        <v>8.01</v>
      </c>
      <c r="F2137" s="134"/>
      <c r="G2137" s="135">
        <v>205</v>
      </c>
      <c r="H2137" s="137">
        <v>9.8800000000000008</v>
      </c>
      <c r="I2137" s="134"/>
      <c r="J2137" s="137">
        <v>15.43</v>
      </c>
      <c r="K2137" s="134"/>
      <c r="L2137" s="136">
        <v>15</v>
      </c>
      <c r="M2137" s="181"/>
      <c r="N2137" s="159"/>
      <c r="O2137" s="159"/>
      <c r="P2137" s="136"/>
    </row>
    <row r="2138" spans="1:16" x14ac:dyDescent="0.25">
      <c r="A2138" s="156">
        <v>45901</v>
      </c>
      <c r="B2138" s="136" t="s">
        <v>30</v>
      </c>
      <c r="C2138" s="157" t="str">
        <f t="shared" si="96"/>
        <v>01.09.2025_FAL1</v>
      </c>
      <c r="D2138" s="190">
        <f t="shared" si="97"/>
        <v>0</v>
      </c>
      <c r="E2138" s="133">
        <v>7.81</v>
      </c>
      <c r="F2138" s="134"/>
      <c r="G2138" s="135">
        <v>794</v>
      </c>
      <c r="H2138" s="137">
        <v>8.93</v>
      </c>
      <c r="I2138" s="134"/>
      <c r="J2138" s="137">
        <v>16.84</v>
      </c>
      <c r="K2138" s="134"/>
      <c r="L2138" s="136">
        <v>20</v>
      </c>
      <c r="M2138" s="181"/>
      <c r="N2138" s="159"/>
      <c r="O2138" s="159"/>
      <c r="P2138" s="136"/>
    </row>
    <row r="2139" spans="1:16" x14ac:dyDescent="0.25">
      <c r="A2139" s="156">
        <v>45901</v>
      </c>
      <c r="B2139" s="136" t="s">
        <v>32</v>
      </c>
      <c r="C2139" s="157" t="str">
        <f t="shared" si="96"/>
        <v>01.09.2025_FAL2</v>
      </c>
      <c r="D2139" s="190">
        <f t="shared" si="97"/>
        <v>0</v>
      </c>
      <c r="E2139" s="133">
        <v>7.94</v>
      </c>
      <c r="F2139" s="134"/>
      <c r="G2139" s="135">
        <v>754</v>
      </c>
      <c r="H2139" s="137">
        <v>7.85</v>
      </c>
      <c r="I2139" s="134"/>
      <c r="J2139" s="137">
        <v>16.760000000000002</v>
      </c>
      <c r="K2139" s="134"/>
      <c r="L2139" s="136">
        <v>20</v>
      </c>
      <c r="M2139" s="181"/>
      <c r="N2139" s="159"/>
      <c r="O2139" s="159"/>
      <c r="P2139" s="136"/>
    </row>
    <row r="2140" spans="1:16" x14ac:dyDescent="0.25">
      <c r="A2140" s="156">
        <v>45901</v>
      </c>
      <c r="B2140" s="136" t="s">
        <v>26</v>
      </c>
      <c r="C2140" s="157" t="str">
        <f t="shared" si="96"/>
        <v>01.09.2025_GRU1</v>
      </c>
      <c r="D2140" s="190">
        <f t="shared" si="97"/>
        <v>0</v>
      </c>
      <c r="E2140" s="133">
        <v>7.53</v>
      </c>
      <c r="F2140" s="134"/>
      <c r="G2140" s="135">
        <v>152</v>
      </c>
      <c r="H2140" s="137">
        <v>9.9</v>
      </c>
      <c r="I2140" s="134"/>
      <c r="J2140" s="137">
        <v>14.75</v>
      </c>
      <c r="K2140" s="134"/>
      <c r="L2140" s="136">
        <v>20</v>
      </c>
      <c r="M2140" s="181"/>
      <c r="N2140" s="159"/>
      <c r="O2140" s="159"/>
      <c r="P2140" s="136"/>
    </row>
    <row r="2141" spans="1:16" x14ac:dyDescent="0.25">
      <c r="A2141" s="156">
        <v>45901</v>
      </c>
      <c r="B2141" s="136" t="s">
        <v>28</v>
      </c>
      <c r="C2141" s="157" t="str">
        <f t="shared" si="96"/>
        <v>01.09.2025_GRU2</v>
      </c>
      <c r="D2141" s="190">
        <f t="shared" si="97"/>
        <v>0</v>
      </c>
      <c r="E2141" s="133">
        <v>7.44</v>
      </c>
      <c r="F2141" s="134"/>
      <c r="G2141" s="135">
        <v>167</v>
      </c>
      <c r="H2141" s="137">
        <v>9.27</v>
      </c>
      <c r="I2141" s="134"/>
      <c r="J2141" s="137">
        <v>15.11</v>
      </c>
      <c r="K2141" s="134"/>
      <c r="L2141" s="136">
        <v>35</v>
      </c>
      <c r="M2141" s="181"/>
      <c r="N2141" s="159"/>
      <c r="O2141" s="159"/>
      <c r="P2141" s="136"/>
    </row>
    <row r="2142" spans="1:16" x14ac:dyDescent="0.25">
      <c r="A2142" s="156">
        <v>45901</v>
      </c>
      <c r="B2142" s="136" t="s">
        <v>0</v>
      </c>
      <c r="C2142" s="157" t="str">
        <f t="shared" si="96"/>
        <v>01.09.2025_KIN1</v>
      </c>
      <c r="D2142" s="190">
        <f t="shared" si="97"/>
        <v>0</v>
      </c>
      <c r="E2142" s="133">
        <v>8.19</v>
      </c>
      <c r="F2142" s="134"/>
      <c r="G2142" s="135">
        <v>305</v>
      </c>
      <c r="H2142" s="137">
        <v>9.81</v>
      </c>
      <c r="I2142" s="134"/>
      <c r="J2142" s="137">
        <v>15</v>
      </c>
      <c r="K2142" s="134"/>
      <c r="L2142" s="136">
        <v>33</v>
      </c>
      <c r="M2142" s="181"/>
      <c r="N2142" s="159"/>
      <c r="O2142" s="159"/>
      <c r="P2142" s="136"/>
    </row>
    <row r="2143" spans="1:16" x14ac:dyDescent="0.25">
      <c r="A2143" s="156">
        <v>45901</v>
      </c>
      <c r="B2143" s="136" t="s">
        <v>2</v>
      </c>
      <c r="C2143" s="157" t="str">
        <f t="shared" si="96"/>
        <v>01.09.2025_KIN2</v>
      </c>
      <c r="D2143" s="190">
        <f t="shared" si="97"/>
        <v>0</v>
      </c>
      <c r="E2143" s="133">
        <v>8.15</v>
      </c>
      <c r="F2143" s="134"/>
      <c r="G2143" s="135">
        <v>315</v>
      </c>
      <c r="H2143" s="137">
        <v>10.18</v>
      </c>
      <c r="I2143" s="134"/>
      <c r="J2143" s="137">
        <v>15.02</v>
      </c>
      <c r="K2143" s="134"/>
      <c r="L2143" s="136">
        <v>13</v>
      </c>
      <c r="M2143" s="181"/>
      <c r="N2143" s="159"/>
      <c r="O2143" s="159"/>
      <c r="P2143" s="136"/>
    </row>
    <row r="2144" spans="1:16" x14ac:dyDescent="0.25">
      <c r="A2144" s="156">
        <v>45901</v>
      </c>
      <c r="B2144" s="136" t="s">
        <v>4</v>
      </c>
      <c r="C2144" s="157" t="str">
        <f t="shared" si="96"/>
        <v>01.09.2025_KIN3</v>
      </c>
      <c r="D2144" s="190">
        <f t="shared" si="97"/>
        <v>0</v>
      </c>
      <c r="E2144" s="133">
        <v>8.2200000000000006</v>
      </c>
      <c r="F2144" s="134"/>
      <c r="G2144" s="135">
        <v>518</v>
      </c>
      <c r="H2144" s="137">
        <v>9.85</v>
      </c>
      <c r="I2144" s="134"/>
      <c r="J2144" s="137">
        <v>15.07</v>
      </c>
      <c r="K2144" s="134"/>
      <c r="L2144" s="136">
        <v>11</v>
      </c>
      <c r="M2144" s="181"/>
      <c r="N2144" s="159"/>
      <c r="O2144" s="159"/>
      <c r="P2144" s="136"/>
    </row>
    <row r="2145" spans="1:16" x14ac:dyDescent="0.25">
      <c r="A2145" s="156">
        <v>45901</v>
      </c>
      <c r="B2145" s="136" t="s">
        <v>6</v>
      </c>
      <c r="C2145" s="157" t="str">
        <f t="shared" si="96"/>
        <v>01.09.2025_KIN4</v>
      </c>
      <c r="D2145" s="190">
        <f t="shared" si="97"/>
        <v>0</v>
      </c>
      <c r="E2145" s="133">
        <v>8</v>
      </c>
      <c r="F2145" s="134"/>
      <c r="G2145" s="135">
        <v>507</v>
      </c>
      <c r="H2145" s="137">
        <v>9.19</v>
      </c>
      <c r="I2145" s="134"/>
      <c r="J2145" s="137">
        <v>15.09</v>
      </c>
      <c r="K2145" s="134"/>
      <c r="L2145" s="136">
        <v>20</v>
      </c>
      <c r="M2145" s="181"/>
      <c r="N2145" s="159"/>
      <c r="O2145" s="159"/>
      <c r="P2145" s="136"/>
    </row>
    <row r="2146" spans="1:16" x14ac:dyDescent="0.25">
      <c r="A2146" s="156">
        <v>45901</v>
      </c>
      <c r="B2146" s="136" t="s">
        <v>421</v>
      </c>
      <c r="C2146" s="157" t="str">
        <f t="shared" si="96"/>
        <v>01.09.2025_KLI</v>
      </c>
      <c r="D2146" s="190">
        <f t="shared" si="97"/>
        <v>5</v>
      </c>
      <c r="E2146" s="283"/>
      <c r="F2146" s="134"/>
      <c r="G2146" s="287"/>
      <c r="H2146" s="285"/>
      <c r="I2146" s="134"/>
      <c r="J2146" s="285"/>
      <c r="K2146" s="134"/>
      <c r="L2146" s="282"/>
      <c r="M2146" s="181"/>
      <c r="N2146" s="159"/>
      <c r="O2146" s="159"/>
      <c r="P2146" s="136" t="s">
        <v>455</v>
      </c>
    </row>
    <row r="2147" spans="1:16" x14ac:dyDescent="0.25">
      <c r="A2147" s="156">
        <v>45901</v>
      </c>
      <c r="B2147" s="136" t="s">
        <v>34</v>
      </c>
      <c r="C2147" s="157" t="str">
        <f t="shared" si="96"/>
        <v>01.09.2025_KRE1</v>
      </c>
      <c r="D2147" s="190">
        <f t="shared" si="97"/>
        <v>0</v>
      </c>
      <c r="E2147" s="133">
        <v>7.52</v>
      </c>
      <c r="F2147" s="134"/>
      <c r="G2147" s="135">
        <v>666</v>
      </c>
      <c r="H2147" s="137">
        <v>5.58</v>
      </c>
      <c r="I2147" s="134"/>
      <c r="J2147" s="137">
        <v>17.77</v>
      </c>
      <c r="K2147" s="134"/>
      <c r="L2147" s="136">
        <v>30</v>
      </c>
      <c r="M2147" s="181"/>
      <c r="N2147" s="159"/>
      <c r="O2147" s="159"/>
      <c r="P2147" s="136"/>
    </row>
    <row r="2148" spans="1:16" x14ac:dyDescent="0.25">
      <c r="A2148" s="156">
        <v>45901</v>
      </c>
      <c r="B2148" s="136" t="s">
        <v>37</v>
      </c>
      <c r="C2148" s="157" t="str">
        <f t="shared" si="96"/>
        <v>01.09.2025_KRE2</v>
      </c>
      <c r="D2148" s="190">
        <f t="shared" si="97"/>
        <v>0</v>
      </c>
      <c r="E2148" s="133">
        <v>7.53</v>
      </c>
      <c r="F2148" s="134"/>
      <c r="G2148" s="135">
        <v>659</v>
      </c>
      <c r="H2148" s="137">
        <v>7.5</v>
      </c>
      <c r="I2148" s="134"/>
      <c r="J2148" s="137">
        <v>16.84</v>
      </c>
      <c r="K2148" s="134"/>
      <c r="L2148" s="136">
        <v>20</v>
      </c>
      <c r="M2148" s="181"/>
      <c r="N2148" s="159"/>
      <c r="O2148" s="159"/>
      <c r="P2148" s="136"/>
    </row>
    <row r="2149" spans="1:16" x14ac:dyDescent="0.25">
      <c r="A2149" s="156">
        <v>45901</v>
      </c>
      <c r="B2149" s="136" t="s">
        <v>18</v>
      </c>
      <c r="C2149" s="157" t="str">
        <f t="shared" si="96"/>
        <v>01.09.2025_ORB1</v>
      </c>
      <c r="D2149" s="190">
        <f t="shared" si="97"/>
        <v>0</v>
      </c>
      <c r="E2149" s="133">
        <v>7.77</v>
      </c>
      <c r="F2149" s="134"/>
      <c r="G2149" s="135">
        <v>88</v>
      </c>
      <c r="H2149" s="137">
        <v>9.9600000000000009</v>
      </c>
      <c r="I2149" s="134"/>
      <c r="J2149" s="137">
        <v>15.51</v>
      </c>
      <c r="K2149" s="134"/>
      <c r="L2149" s="136">
        <v>5</v>
      </c>
      <c r="M2149" s="181"/>
      <c r="N2149" s="159"/>
      <c r="O2149" s="159"/>
      <c r="P2149" s="136"/>
    </row>
    <row r="2150" spans="1:16" x14ac:dyDescent="0.25">
      <c r="A2150" s="156">
        <v>45901</v>
      </c>
      <c r="B2150" s="136" t="s">
        <v>21</v>
      </c>
      <c r="C2150" s="157" t="str">
        <f t="shared" si="96"/>
        <v>01.09.2025_ORB2</v>
      </c>
      <c r="D2150" s="190">
        <f t="shared" si="97"/>
        <v>0</v>
      </c>
      <c r="E2150" s="133">
        <v>7.17</v>
      </c>
      <c r="F2150" s="134"/>
      <c r="G2150" s="135">
        <v>171</v>
      </c>
      <c r="H2150" s="137">
        <v>9.5</v>
      </c>
      <c r="I2150" s="134"/>
      <c r="J2150" s="137">
        <v>15.71</v>
      </c>
      <c r="K2150" s="134"/>
      <c r="L2150" s="136">
        <v>4</v>
      </c>
      <c r="M2150" s="181"/>
      <c r="N2150" s="159"/>
      <c r="O2150" s="159"/>
      <c r="P2150" s="136"/>
    </row>
    <row r="2151" spans="1:16" x14ac:dyDescent="0.25">
      <c r="A2151" s="156">
        <v>45901</v>
      </c>
      <c r="B2151" s="136" t="s">
        <v>10</v>
      </c>
      <c r="C2151" s="157" t="str">
        <f t="shared" si="96"/>
        <v>01.09.2025_SAL1</v>
      </c>
      <c r="D2151" s="190">
        <f t="shared" si="97"/>
        <v>0</v>
      </c>
      <c r="E2151" s="133">
        <v>8.07</v>
      </c>
      <c r="F2151" s="134"/>
      <c r="G2151" s="135">
        <v>224</v>
      </c>
      <c r="H2151" s="137">
        <v>10.050000000000001</v>
      </c>
      <c r="I2151" s="134"/>
      <c r="J2151" s="137">
        <v>14.52</v>
      </c>
      <c r="K2151" s="134"/>
      <c r="L2151" s="136">
        <v>30</v>
      </c>
      <c r="M2151" s="181"/>
      <c r="N2151" s="159"/>
      <c r="O2151" s="159"/>
      <c r="P2151" s="136"/>
    </row>
    <row r="2152" spans="1:16" x14ac:dyDescent="0.25">
      <c r="A2152" s="156">
        <v>45901</v>
      </c>
      <c r="B2152" s="136" t="s">
        <v>12</v>
      </c>
      <c r="C2152" s="157" t="str">
        <f t="shared" si="96"/>
        <v>01.09.2025_SAL2</v>
      </c>
      <c r="D2152" s="190">
        <f t="shared" si="97"/>
        <v>0</v>
      </c>
      <c r="E2152" s="133">
        <v>8.17</v>
      </c>
      <c r="F2152" s="134"/>
      <c r="G2152" s="135">
        <v>236</v>
      </c>
      <c r="H2152" s="137">
        <v>10.1</v>
      </c>
      <c r="I2152" s="134"/>
      <c r="J2152" s="137">
        <v>15.04</v>
      </c>
      <c r="K2152" s="134"/>
      <c r="L2152" s="136">
        <v>27</v>
      </c>
      <c r="M2152" s="181"/>
      <c r="N2152" s="159"/>
      <c r="O2152" s="159"/>
      <c r="P2152" s="136"/>
    </row>
    <row r="2153" spans="1:16" x14ac:dyDescent="0.25">
      <c r="A2153" s="156">
        <v>45901</v>
      </c>
      <c r="B2153" s="136" t="s">
        <v>7</v>
      </c>
      <c r="C2153" s="157" t="str">
        <f t="shared" si="96"/>
        <v>01.09.2025_STE1</v>
      </c>
      <c r="D2153" s="190">
        <f t="shared" si="97"/>
        <v>0</v>
      </c>
      <c r="E2153" s="133">
        <v>8.18</v>
      </c>
      <c r="F2153" s="134"/>
      <c r="G2153" s="135">
        <v>264</v>
      </c>
      <c r="H2153" s="137">
        <v>10.220000000000001</v>
      </c>
      <c r="I2153" s="134"/>
      <c r="J2153" s="137">
        <v>14.07</v>
      </c>
      <c r="K2153" s="134"/>
      <c r="L2153" s="136">
        <v>15</v>
      </c>
      <c r="M2153" s="181"/>
      <c r="N2153" s="159"/>
      <c r="O2153" s="159"/>
      <c r="P2153" s="136"/>
    </row>
    <row r="2154" spans="1:16" x14ac:dyDescent="0.25">
      <c r="A2154" s="156">
        <v>45901</v>
      </c>
      <c r="B2154" s="136" t="s">
        <v>9</v>
      </c>
      <c r="C2154" s="157" t="str">
        <f t="shared" si="96"/>
        <v>01.09.2025_STE2</v>
      </c>
      <c r="D2154" s="190">
        <f t="shared" si="97"/>
        <v>0</v>
      </c>
      <c r="E2154" s="133">
        <v>8.26</v>
      </c>
      <c r="F2154" s="134"/>
      <c r="G2154" s="135">
        <v>339</v>
      </c>
      <c r="H2154" s="137">
        <v>10.16</v>
      </c>
      <c r="I2154" s="134"/>
      <c r="J2154" s="137">
        <v>14.43</v>
      </c>
      <c r="K2154" s="134"/>
      <c r="L2154" s="136">
        <v>28.999999999999996</v>
      </c>
      <c r="M2154" s="181"/>
      <c r="N2154" s="159"/>
      <c r="O2154" s="159"/>
      <c r="P2154" s="136"/>
    </row>
    <row r="2155" spans="1:16" x14ac:dyDescent="0.25">
      <c r="A2155" s="156">
        <v>45922</v>
      </c>
      <c r="B2155" s="136" t="s">
        <v>22</v>
      </c>
      <c r="C2155" s="157" t="str">
        <f t="shared" ref="C2155" si="98">CONCATENATE(TEXT(A2155,"TT.MM.JJJJ"),"_",B2155)</f>
        <v>22.09.2025_BIE1</v>
      </c>
      <c r="D2155" s="190">
        <f t="shared" ref="D2155" si="99">COUNTBLANK(E2155)+COUNTBLANK(G2155:H2155)+COUNTBLANK(J2155)+COUNTBLANK(L2155)</f>
        <v>0</v>
      </c>
      <c r="E2155" s="133">
        <v>7.62</v>
      </c>
      <c r="F2155" s="134"/>
      <c r="G2155" s="135">
        <v>173</v>
      </c>
      <c r="H2155" s="137">
        <v>10.48</v>
      </c>
      <c r="I2155" s="134"/>
      <c r="J2155" s="137">
        <v>12.96</v>
      </c>
      <c r="K2155" s="134"/>
      <c r="L2155" s="136">
        <v>40</v>
      </c>
      <c r="M2155" s="181"/>
      <c r="N2155" s="159"/>
      <c r="O2155" s="159"/>
      <c r="P2155" s="136"/>
    </row>
    <row r="2156" spans="1:16" x14ac:dyDescent="0.25">
      <c r="A2156" s="156">
        <v>45922</v>
      </c>
      <c r="B2156" s="136" t="s">
        <v>25</v>
      </c>
      <c r="C2156" s="157" t="str">
        <f t="shared" ref="C2156:C2175" si="100">CONCATENATE(TEXT(A2156,"TT.MM.JJJJ"),"_",B2156)</f>
        <v>22.09.2025_BIE2</v>
      </c>
      <c r="D2156" s="190">
        <f t="shared" ref="D2156:D2175" si="101">COUNTBLANK(E2156)+COUNTBLANK(G2156:H2156)+COUNTBLANK(J2156)+COUNTBLANK(L2156)</f>
        <v>0</v>
      </c>
      <c r="E2156" s="133">
        <v>7.55</v>
      </c>
      <c r="F2156" s="134"/>
      <c r="G2156" s="135">
        <v>164</v>
      </c>
      <c r="H2156" s="137">
        <v>10.49</v>
      </c>
      <c r="I2156" s="134"/>
      <c r="J2156" s="137">
        <v>12.99</v>
      </c>
      <c r="K2156" s="134"/>
      <c r="L2156" s="136">
        <v>40</v>
      </c>
      <c r="M2156" s="181"/>
      <c r="N2156" s="159"/>
      <c r="O2156" s="159"/>
      <c r="P2156" s="136"/>
    </row>
    <row r="2157" spans="1:16" x14ac:dyDescent="0.25">
      <c r="A2157" s="156">
        <v>45922</v>
      </c>
      <c r="B2157" s="136" t="s">
        <v>14</v>
      </c>
      <c r="C2157" s="157" t="str">
        <f t="shared" si="100"/>
        <v>22.09.2025_BRA1</v>
      </c>
      <c r="D2157" s="190">
        <f t="shared" si="101"/>
        <v>0</v>
      </c>
      <c r="E2157" s="133">
        <v>7.76</v>
      </c>
      <c r="F2157" s="134"/>
      <c r="G2157" s="135">
        <v>176</v>
      </c>
      <c r="H2157" s="137">
        <v>10.33</v>
      </c>
      <c r="I2157" s="134"/>
      <c r="J2157" s="137">
        <v>13.15</v>
      </c>
      <c r="K2157" s="134"/>
      <c r="L2157" s="136">
        <v>26</v>
      </c>
      <c r="M2157" s="181"/>
      <c r="N2157" s="159"/>
      <c r="O2157" s="159"/>
      <c r="P2157" s="136"/>
    </row>
    <row r="2158" spans="1:16" x14ac:dyDescent="0.25">
      <c r="A2158" s="156">
        <v>45922</v>
      </c>
      <c r="B2158" s="136" t="s">
        <v>17</v>
      </c>
      <c r="C2158" s="157" t="str">
        <f t="shared" si="100"/>
        <v>22.09.2025_BRA2</v>
      </c>
      <c r="D2158" s="190">
        <f t="shared" si="101"/>
        <v>0</v>
      </c>
      <c r="E2158" s="133">
        <v>7.83</v>
      </c>
      <c r="F2158" s="134"/>
      <c r="G2158" s="135">
        <v>160</v>
      </c>
      <c r="H2158" s="137">
        <v>10.73</v>
      </c>
      <c r="I2158" s="134"/>
      <c r="J2158" s="137">
        <v>12.41</v>
      </c>
      <c r="K2158" s="134"/>
      <c r="L2158" s="136">
        <v>27</v>
      </c>
      <c r="M2158" s="181"/>
      <c r="N2158" s="159"/>
      <c r="O2158" s="159"/>
      <c r="P2158" s="136"/>
    </row>
    <row r="2159" spans="1:16" x14ac:dyDescent="0.25">
      <c r="A2159" s="156">
        <v>45922</v>
      </c>
      <c r="B2159" s="136" t="s">
        <v>30</v>
      </c>
      <c r="C2159" s="157" t="str">
        <f t="shared" si="100"/>
        <v>22.09.2025_FAL1</v>
      </c>
      <c r="D2159" s="190">
        <f t="shared" si="101"/>
        <v>0</v>
      </c>
      <c r="E2159" s="133">
        <v>7.59</v>
      </c>
      <c r="F2159" s="134"/>
      <c r="G2159" s="135">
        <v>438</v>
      </c>
      <c r="H2159" s="137">
        <v>9.18</v>
      </c>
      <c r="I2159" s="134"/>
      <c r="J2159" s="137">
        <v>14.46</v>
      </c>
      <c r="K2159" s="134"/>
      <c r="L2159" s="136">
        <v>45</v>
      </c>
      <c r="M2159" s="181"/>
      <c r="N2159" s="159"/>
      <c r="O2159" s="159"/>
      <c r="P2159" s="136"/>
    </row>
    <row r="2160" spans="1:16" x14ac:dyDescent="0.25">
      <c r="A2160" s="156">
        <v>45922</v>
      </c>
      <c r="B2160" s="136" t="s">
        <v>32</v>
      </c>
      <c r="C2160" s="157" t="str">
        <f t="shared" si="100"/>
        <v>22.09.2025_FAL2</v>
      </c>
      <c r="D2160" s="190">
        <f t="shared" si="101"/>
        <v>0</v>
      </c>
      <c r="E2160" s="133">
        <v>7.42</v>
      </c>
      <c r="F2160" s="134"/>
      <c r="G2160" s="135">
        <v>583</v>
      </c>
      <c r="H2160" s="137">
        <v>7.7</v>
      </c>
      <c r="I2160" s="134"/>
      <c r="J2160" s="137">
        <v>14.48</v>
      </c>
      <c r="K2160" s="134"/>
      <c r="L2160" s="136">
        <v>55.000000000000007</v>
      </c>
      <c r="M2160" s="181"/>
      <c r="N2160" s="159"/>
      <c r="O2160" s="159"/>
      <c r="P2160" s="136"/>
    </row>
    <row r="2161" spans="1:16" x14ac:dyDescent="0.25">
      <c r="A2161" s="156">
        <v>45922</v>
      </c>
      <c r="B2161" s="136" t="s">
        <v>26</v>
      </c>
      <c r="C2161" s="157" t="str">
        <f t="shared" si="100"/>
        <v>22.09.2025_GRU1</v>
      </c>
      <c r="D2161" s="190">
        <f t="shared" si="101"/>
        <v>0</v>
      </c>
      <c r="E2161" s="133">
        <v>7.49</v>
      </c>
      <c r="F2161" s="134"/>
      <c r="G2161" s="135">
        <v>156</v>
      </c>
      <c r="H2161" s="137">
        <v>10.3</v>
      </c>
      <c r="I2161" s="134"/>
      <c r="J2161" s="137">
        <v>12.83</v>
      </c>
      <c r="K2161" s="134"/>
      <c r="L2161" s="136">
        <v>30</v>
      </c>
      <c r="M2161" s="181"/>
      <c r="N2161" s="159"/>
      <c r="O2161" s="159"/>
      <c r="P2161" s="136"/>
    </row>
    <row r="2162" spans="1:16" x14ac:dyDescent="0.25">
      <c r="A2162" s="156">
        <v>45922</v>
      </c>
      <c r="B2162" s="136" t="s">
        <v>28</v>
      </c>
      <c r="C2162" s="157" t="str">
        <f t="shared" si="100"/>
        <v>22.09.2025_GRU2</v>
      </c>
      <c r="D2162" s="190">
        <f t="shared" si="101"/>
        <v>0</v>
      </c>
      <c r="E2162" s="133">
        <v>7.6</v>
      </c>
      <c r="F2162" s="134"/>
      <c r="G2162" s="135">
        <v>180</v>
      </c>
      <c r="H2162" s="137">
        <v>9.76</v>
      </c>
      <c r="I2162" s="134"/>
      <c r="J2162" s="137">
        <v>13.59</v>
      </c>
      <c r="K2162" s="134"/>
      <c r="L2162" s="136">
        <v>40</v>
      </c>
      <c r="M2162" s="181"/>
      <c r="N2162" s="159"/>
      <c r="O2162" s="159"/>
      <c r="P2162" s="136"/>
    </row>
    <row r="2163" spans="1:16" x14ac:dyDescent="0.25">
      <c r="A2163" s="156">
        <v>45922</v>
      </c>
      <c r="B2163" s="136" t="s">
        <v>0</v>
      </c>
      <c r="C2163" s="157" t="str">
        <f t="shared" si="100"/>
        <v>22.09.2025_KIN1</v>
      </c>
      <c r="D2163" s="190">
        <f t="shared" si="101"/>
        <v>0</v>
      </c>
      <c r="E2163" s="133">
        <v>8.2100000000000009</v>
      </c>
      <c r="F2163" s="134"/>
      <c r="G2163" s="135">
        <v>415</v>
      </c>
      <c r="H2163" s="137">
        <v>10.82</v>
      </c>
      <c r="I2163" s="134"/>
      <c r="J2163" s="137">
        <v>11.34</v>
      </c>
      <c r="K2163" s="134"/>
      <c r="L2163" s="136">
        <v>48</v>
      </c>
      <c r="M2163" s="181"/>
      <c r="N2163" s="159"/>
      <c r="O2163" s="159"/>
      <c r="P2163" s="136"/>
    </row>
    <row r="2164" spans="1:16" x14ac:dyDescent="0.25">
      <c r="A2164" s="156">
        <v>45922</v>
      </c>
      <c r="B2164" s="136" t="s">
        <v>2</v>
      </c>
      <c r="C2164" s="157" t="str">
        <f t="shared" si="100"/>
        <v>22.09.2025_KIN2</v>
      </c>
      <c r="D2164" s="190">
        <f t="shared" si="101"/>
        <v>0</v>
      </c>
      <c r="E2164" s="133">
        <v>8.07</v>
      </c>
      <c r="F2164" s="134"/>
      <c r="G2164" s="135">
        <v>509</v>
      </c>
      <c r="H2164" s="137">
        <v>10.85</v>
      </c>
      <c r="I2164" s="134"/>
      <c r="J2164" s="137">
        <v>11.55</v>
      </c>
      <c r="K2164" s="134"/>
      <c r="L2164" s="136">
        <v>31</v>
      </c>
      <c r="M2164" s="181"/>
      <c r="N2164" s="159"/>
      <c r="O2164" s="159"/>
      <c r="P2164" s="136"/>
    </row>
    <row r="2165" spans="1:16" x14ac:dyDescent="0.25">
      <c r="A2165" s="156">
        <v>45922</v>
      </c>
      <c r="B2165" s="136" t="s">
        <v>4</v>
      </c>
      <c r="C2165" s="157" t="str">
        <f t="shared" si="100"/>
        <v>22.09.2025_KIN3</v>
      </c>
      <c r="D2165" s="190">
        <f t="shared" si="101"/>
        <v>0</v>
      </c>
      <c r="E2165" s="133">
        <v>8.23</v>
      </c>
      <c r="F2165" s="134"/>
      <c r="G2165" s="135">
        <v>512</v>
      </c>
      <c r="H2165" s="137">
        <v>10.79</v>
      </c>
      <c r="I2165" s="134"/>
      <c r="J2165" s="137">
        <v>12.02</v>
      </c>
      <c r="K2165" s="134"/>
      <c r="L2165" s="136">
        <v>24</v>
      </c>
      <c r="M2165" s="181"/>
      <c r="N2165" s="159"/>
      <c r="O2165" s="159"/>
      <c r="P2165" s="136"/>
    </row>
    <row r="2166" spans="1:16" x14ac:dyDescent="0.25">
      <c r="A2166" s="156">
        <v>45922</v>
      </c>
      <c r="B2166" s="136" t="s">
        <v>6</v>
      </c>
      <c r="C2166" s="157" t="str">
        <f t="shared" si="100"/>
        <v>22.09.2025_KIN4</v>
      </c>
      <c r="D2166" s="190">
        <f t="shared" si="101"/>
        <v>0</v>
      </c>
      <c r="E2166" s="133">
        <v>7.94</v>
      </c>
      <c r="F2166" s="134"/>
      <c r="G2166" s="135">
        <v>473</v>
      </c>
      <c r="H2166" s="137">
        <v>10.18</v>
      </c>
      <c r="I2166" s="134"/>
      <c r="J2166" s="137">
        <v>12.52</v>
      </c>
      <c r="K2166" s="134"/>
      <c r="L2166" s="136">
        <v>37</v>
      </c>
      <c r="M2166" s="181"/>
      <c r="N2166" s="159"/>
      <c r="O2166" s="159"/>
      <c r="P2166" s="136"/>
    </row>
    <row r="2167" spans="1:16" x14ac:dyDescent="0.25">
      <c r="A2167" s="156">
        <v>45922</v>
      </c>
      <c r="B2167" s="136" t="s">
        <v>421</v>
      </c>
      <c r="C2167" s="157" t="str">
        <f t="shared" si="100"/>
        <v>22.09.2025_KLI</v>
      </c>
      <c r="D2167" s="190">
        <f t="shared" si="101"/>
        <v>5</v>
      </c>
      <c r="E2167" s="283"/>
      <c r="F2167" s="134"/>
      <c r="G2167" s="287"/>
      <c r="H2167" s="285"/>
      <c r="I2167" s="134"/>
      <c r="J2167" s="285"/>
      <c r="K2167" s="134"/>
      <c r="L2167" s="282"/>
      <c r="M2167" s="181"/>
      <c r="N2167" s="159"/>
      <c r="O2167" s="159"/>
      <c r="P2167" s="136" t="s">
        <v>455</v>
      </c>
    </row>
    <row r="2168" spans="1:16" x14ac:dyDescent="0.25">
      <c r="A2168" s="156">
        <v>45922</v>
      </c>
      <c r="B2168" s="136" t="s">
        <v>34</v>
      </c>
      <c r="C2168" s="157" t="str">
        <f t="shared" si="100"/>
        <v>22.09.2025_KRE1</v>
      </c>
      <c r="D2168" s="190">
        <f t="shared" si="101"/>
        <v>0</v>
      </c>
      <c r="E2168" s="133">
        <v>7.57</v>
      </c>
      <c r="F2168" s="134"/>
      <c r="G2168" s="135">
        <v>872</v>
      </c>
      <c r="H2168" s="137">
        <v>8.32</v>
      </c>
      <c r="I2168" s="134"/>
      <c r="J2168" s="137">
        <v>15.15</v>
      </c>
      <c r="K2168" s="134"/>
      <c r="L2168" s="136">
        <v>55.000000000000007</v>
      </c>
      <c r="M2168" s="181"/>
      <c r="N2168" s="159"/>
      <c r="O2168" s="159"/>
      <c r="P2168" s="136"/>
    </row>
    <row r="2169" spans="1:16" x14ac:dyDescent="0.25">
      <c r="A2169" s="156">
        <v>45922</v>
      </c>
      <c r="B2169" s="136" t="s">
        <v>37</v>
      </c>
      <c r="C2169" s="157" t="str">
        <f t="shared" si="100"/>
        <v>22.09.2025_KRE2</v>
      </c>
      <c r="D2169" s="190">
        <f t="shared" si="101"/>
        <v>0</v>
      </c>
      <c r="E2169" s="133">
        <v>7.52</v>
      </c>
      <c r="F2169" s="134"/>
      <c r="G2169" s="135">
        <v>719</v>
      </c>
      <c r="H2169" s="137">
        <v>8.08</v>
      </c>
      <c r="I2169" s="134"/>
      <c r="J2169" s="137">
        <v>14.71</v>
      </c>
      <c r="K2169" s="134"/>
      <c r="L2169" s="136">
        <v>50</v>
      </c>
      <c r="M2169" s="181"/>
      <c r="N2169" s="159"/>
      <c r="O2169" s="159"/>
      <c r="P2169" s="136"/>
    </row>
    <row r="2170" spans="1:16" x14ac:dyDescent="0.25">
      <c r="A2170" s="156">
        <v>45922</v>
      </c>
      <c r="B2170" s="136" t="s">
        <v>18</v>
      </c>
      <c r="C2170" s="157" t="str">
        <f t="shared" si="100"/>
        <v>22.09.2025_ORB1</v>
      </c>
      <c r="D2170" s="190">
        <f t="shared" si="101"/>
        <v>0</v>
      </c>
      <c r="E2170" s="133">
        <v>7.71</v>
      </c>
      <c r="F2170" s="134"/>
      <c r="G2170" s="135">
        <v>116</v>
      </c>
      <c r="H2170" s="137">
        <v>10.61</v>
      </c>
      <c r="I2170" s="134"/>
      <c r="J2170" s="137">
        <v>13.08</v>
      </c>
      <c r="K2170" s="134"/>
      <c r="L2170" s="136">
        <v>6</v>
      </c>
      <c r="M2170" s="181"/>
      <c r="N2170" s="159"/>
      <c r="O2170" s="159"/>
      <c r="P2170" s="136"/>
    </row>
    <row r="2171" spans="1:16" x14ac:dyDescent="0.25">
      <c r="A2171" s="156">
        <v>45922</v>
      </c>
      <c r="B2171" s="136" t="s">
        <v>21</v>
      </c>
      <c r="C2171" s="157" t="str">
        <f t="shared" si="100"/>
        <v>22.09.2025_ORB2</v>
      </c>
      <c r="D2171" s="190">
        <f t="shared" si="101"/>
        <v>0</v>
      </c>
      <c r="E2171" s="133">
        <v>7.28</v>
      </c>
      <c r="F2171" s="134"/>
      <c r="G2171" s="135">
        <v>210</v>
      </c>
      <c r="H2171" s="137">
        <v>10.25</v>
      </c>
      <c r="I2171" s="134"/>
      <c r="J2171" s="137">
        <v>13.13</v>
      </c>
      <c r="K2171" s="134"/>
      <c r="L2171" s="136">
        <v>9</v>
      </c>
      <c r="M2171" s="181"/>
      <c r="N2171" s="159"/>
      <c r="O2171" s="159"/>
      <c r="P2171" s="136"/>
    </row>
    <row r="2172" spans="1:16" x14ac:dyDescent="0.25">
      <c r="A2172" s="156">
        <v>45922</v>
      </c>
      <c r="B2172" s="136" t="s">
        <v>10</v>
      </c>
      <c r="C2172" s="157" t="str">
        <f t="shared" si="100"/>
        <v>22.09.2025_SAL1</v>
      </c>
      <c r="D2172" s="190">
        <f t="shared" si="101"/>
        <v>0</v>
      </c>
      <c r="E2172" s="133">
        <v>8.01</v>
      </c>
      <c r="F2172" s="134"/>
      <c r="G2172" s="135">
        <v>211</v>
      </c>
      <c r="H2172" s="137">
        <v>10.9</v>
      </c>
      <c r="I2172" s="134"/>
      <c r="J2172" s="137">
        <v>11.47</v>
      </c>
      <c r="K2172" s="134"/>
      <c r="L2172" s="136">
        <v>25</v>
      </c>
      <c r="M2172" s="181"/>
      <c r="N2172" s="159"/>
      <c r="O2172" s="159"/>
      <c r="P2172" s="136"/>
    </row>
    <row r="2173" spans="1:16" x14ac:dyDescent="0.25">
      <c r="A2173" s="156">
        <v>45922</v>
      </c>
      <c r="B2173" s="136" t="s">
        <v>12</v>
      </c>
      <c r="C2173" s="157" t="str">
        <f t="shared" si="100"/>
        <v>22.09.2025_SAL2</v>
      </c>
      <c r="D2173" s="190">
        <f t="shared" si="101"/>
        <v>0</v>
      </c>
      <c r="E2173" s="133">
        <v>8</v>
      </c>
      <c r="F2173" s="134"/>
      <c r="G2173" s="135">
        <v>232</v>
      </c>
      <c r="H2173" s="137">
        <v>10.84</v>
      </c>
      <c r="I2173" s="134"/>
      <c r="J2173" s="137">
        <v>12.09</v>
      </c>
      <c r="K2173" s="134"/>
      <c r="L2173" s="136">
        <v>36</v>
      </c>
      <c r="M2173" s="181"/>
      <c r="N2173" s="159"/>
      <c r="O2173" s="159"/>
      <c r="P2173" s="136"/>
    </row>
    <row r="2174" spans="1:16" x14ac:dyDescent="0.25">
      <c r="A2174" s="156">
        <v>45922</v>
      </c>
      <c r="B2174" s="136" t="s">
        <v>7</v>
      </c>
      <c r="C2174" s="157" t="str">
        <f t="shared" si="100"/>
        <v>22.09.2025_STE1</v>
      </c>
      <c r="D2174" s="190">
        <f t="shared" si="101"/>
        <v>0</v>
      </c>
      <c r="E2174" s="133">
        <v>8.06</v>
      </c>
      <c r="F2174" s="134"/>
      <c r="G2174" s="135">
        <v>239</v>
      </c>
      <c r="H2174" s="137">
        <v>10.83</v>
      </c>
      <c r="I2174" s="134"/>
      <c r="J2174" s="137">
        <v>11.51</v>
      </c>
      <c r="K2174" s="134"/>
      <c r="L2174" s="136">
        <v>23</v>
      </c>
      <c r="M2174" s="181"/>
      <c r="N2174" s="159"/>
      <c r="O2174" s="159"/>
      <c r="P2174" s="136"/>
    </row>
    <row r="2175" spans="1:16" x14ac:dyDescent="0.25">
      <c r="A2175" s="156">
        <v>45922</v>
      </c>
      <c r="B2175" s="136" t="s">
        <v>9</v>
      </c>
      <c r="C2175" s="157" t="str">
        <f t="shared" si="100"/>
        <v>22.09.2025_STE2</v>
      </c>
      <c r="D2175" s="190">
        <f t="shared" si="101"/>
        <v>0</v>
      </c>
      <c r="E2175" s="133">
        <v>8.14</v>
      </c>
      <c r="F2175" s="134"/>
      <c r="G2175" s="135">
        <v>259</v>
      </c>
      <c r="H2175" s="137">
        <v>10.85</v>
      </c>
      <c r="I2175" s="134"/>
      <c r="J2175" s="137">
        <v>11.87</v>
      </c>
      <c r="K2175" s="134"/>
      <c r="L2175" s="136">
        <v>33</v>
      </c>
      <c r="M2175" s="181"/>
      <c r="N2175" s="159"/>
      <c r="O2175" s="159"/>
      <c r="P2175" s="136"/>
    </row>
    <row r="2176" spans="1:16" x14ac:dyDescent="0.25">
      <c r="A2176" s="156">
        <v>45943</v>
      </c>
      <c r="B2176" s="136" t="s">
        <v>22</v>
      </c>
      <c r="C2176" s="157" t="str">
        <f t="shared" ref="C2176" si="102">CONCATENATE(TEXT(A2176,"TT.MM.JJJJ"),"_",B2176)</f>
        <v>13.10.2025_BIE1</v>
      </c>
      <c r="D2176" s="190">
        <f t="shared" ref="D2176" si="103">COUNTBLANK(E2176)+COUNTBLANK(G2176:H2176)+COUNTBLANK(J2176)+COUNTBLANK(L2176)</f>
        <v>0</v>
      </c>
      <c r="E2176" s="133">
        <v>7.68</v>
      </c>
      <c r="F2176" s="134"/>
      <c r="G2176" s="135">
        <v>203</v>
      </c>
      <c r="H2176" s="137">
        <v>10.84</v>
      </c>
      <c r="I2176" s="134"/>
      <c r="J2176" s="137">
        <v>12.08</v>
      </c>
      <c r="K2176" s="134"/>
      <c r="L2176" s="136">
        <v>20</v>
      </c>
      <c r="M2176" s="181"/>
      <c r="N2176" s="159"/>
      <c r="O2176" s="159"/>
      <c r="P2176" s="136"/>
    </row>
    <row r="2177" spans="1:16" x14ac:dyDescent="0.25">
      <c r="A2177" s="156">
        <v>45943</v>
      </c>
      <c r="B2177" s="136" t="s">
        <v>25</v>
      </c>
      <c r="C2177" s="157" t="str">
        <f t="shared" ref="C2177:C2196" si="104">CONCATENATE(TEXT(A2177,"TT.MM.JJJJ"),"_",B2177)</f>
        <v>13.10.2025_BIE2</v>
      </c>
      <c r="D2177" s="190">
        <f t="shared" ref="D2177:D2196" si="105">COUNTBLANK(E2177)+COUNTBLANK(G2177:H2177)+COUNTBLANK(J2177)+COUNTBLANK(L2177)</f>
        <v>0</v>
      </c>
      <c r="E2177" s="133">
        <v>7.68</v>
      </c>
      <c r="F2177" s="134"/>
      <c r="G2177" s="135">
        <v>218</v>
      </c>
      <c r="H2177" s="137">
        <v>10.8</v>
      </c>
      <c r="I2177" s="134"/>
      <c r="J2177" s="137">
        <v>12.07</v>
      </c>
      <c r="K2177" s="134"/>
      <c r="L2177" s="136">
        <v>35</v>
      </c>
      <c r="M2177" s="181"/>
      <c r="N2177" s="159"/>
      <c r="O2177" s="159"/>
      <c r="P2177" s="136"/>
    </row>
    <row r="2178" spans="1:16" x14ac:dyDescent="0.25">
      <c r="A2178" s="156">
        <v>45943</v>
      </c>
      <c r="B2178" s="136" t="s">
        <v>14</v>
      </c>
      <c r="C2178" s="157" t="str">
        <f t="shared" si="104"/>
        <v>13.10.2025_BRA1</v>
      </c>
      <c r="D2178" s="190">
        <f t="shared" si="105"/>
        <v>5</v>
      </c>
      <c r="E2178" s="283"/>
      <c r="F2178" s="134"/>
      <c r="G2178" s="287"/>
      <c r="H2178" s="285"/>
      <c r="I2178" s="134"/>
      <c r="J2178" s="285"/>
      <c r="K2178" s="134"/>
      <c r="L2178" s="282"/>
      <c r="M2178" s="181"/>
      <c r="N2178" s="159"/>
      <c r="O2178" s="159"/>
      <c r="P2178" s="192" t="s">
        <v>462</v>
      </c>
    </row>
    <row r="2179" spans="1:16" x14ac:dyDescent="0.25">
      <c r="A2179" s="156">
        <v>45943</v>
      </c>
      <c r="B2179" s="136" t="s">
        <v>17</v>
      </c>
      <c r="C2179" s="157" t="str">
        <f t="shared" si="104"/>
        <v>13.10.2025_BRA2</v>
      </c>
      <c r="D2179" s="190">
        <f t="shared" si="105"/>
        <v>0</v>
      </c>
      <c r="E2179" s="133">
        <v>7.04</v>
      </c>
      <c r="F2179" s="134"/>
      <c r="G2179" s="135">
        <v>210</v>
      </c>
      <c r="H2179" s="137">
        <v>10.53</v>
      </c>
      <c r="I2179" s="134"/>
      <c r="J2179" s="137">
        <v>12.15</v>
      </c>
      <c r="K2179" s="134"/>
      <c r="L2179" s="136">
        <v>9</v>
      </c>
      <c r="M2179" s="181"/>
      <c r="N2179" s="159"/>
      <c r="O2179" s="159"/>
      <c r="P2179" s="136"/>
    </row>
    <row r="2180" spans="1:16" x14ac:dyDescent="0.25">
      <c r="A2180" s="156">
        <v>45943</v>
      </c>
      <c r="B2180" s="136" t="s">
        <v>30</v>
      </c>
      <c r="C2180" s="157" t="str">
        <f t="shared" si="104"/>
        <v>13.10.2025_FAL1</v>
      </c>
      <c r="D2180" s="190">
        <f t="shared" si="105"/>
        <v>0</v>
      </c>
      <c r="E2180" s="133">
        <v>7.6</v>
      </c>
      <c r="F2180" s="134"/>
      <c r="G2180" s="135">
        <v>971</v>
      </c>
      <c r="H2180" s="137">
        <v>9.2100000000000009</v>
      </c>
      <c r="I2180" s="134"/>
      <c r="J2180" s="137">
        <v>13.2</v>
      </c>
      <c r="K2180" s="134"/>
      <c r="L2180" s="136">
        <v>30</v>
      </c>
      <c r="M2180" s="181"/>
      <c r="N2180" s="159"/>
      <c r="O2180" s="159"/>
      <c r="P2180" s="136"/>
    </row>
    <row r="2181" spans="1:16" x14ac:dyDescent="0.25">
      <c r="A2181" s="156">
        <v>45943</v>
      </c>
      <c r="B2181" s="136" t="s">
        <v>32</v>
      </c>
      <c r="C2181" s="157" t="str">
        <f t="shared" si="104"/>
        <v>13.10.2025_FAL2</v>
      </c>
      <c r="D2181" s="190">
        <f t="shared" si="105"/>
        <v>0</v>
      </c>
      <c r="E2181" s="133">
        <v>7.92</v>
      </c>
      <c r="F2181" s="134"/>
      <c r="G2181" s="135">
        <v>863</v>
      </c>
      <c r="H2181" s="137">
        <v>8.89</v>
      </c>
      <c r="I2181" s="134"/>
      <c r="J2181" s="137">
        <v>12.82</v>
      </c>
      <c r="K2181" s="134"/>
      <c r="L2181" s="136">
        <v>5</v>
      </c>
      <c r="M2181" s="181"/>
      <c r="N2181" s="159"/>
      <c r="O2181" s="159"/>
      <c r="P2181" s="136" t="s">
        <v>457</v>
      </c>
    </row>
    <row r="2182" spans="1:16" x14ac:dyDescent="0.25">
      <c r="A2182" s="156">
        <v>45943</v>
      </c>
      <c r="B2182" s="136" t="s">
        <v>26</v>
      </c>
      <c r="C2182" s="157" t="str">
        <f t="shared" si="104"/>
        <v>13.10.2025_GRU1</v>
      </c>
      <c r="D2182" s="190">
        <f t="shared" si="105"/>
        <v>0</v>
      </c>
      <c r="E2182" s="133">
        <v>7.6</v>
      </c>
      <c r="F2182" s="134"/>
      <c r="G2182" s="135">
        <v>172</v>
      </c>
      <c r="H2182" s="137">
        <v>10.76</v>
      </c>
      <c r="I2182" s="134"/>
      <c r="J2182" s="137">
        <v>12.17</v>
      </c>
      <c r="K2182" s="134"/>
      <c r="L2182" s="136">
        <v>30</v>
      </c>
      <c r="M2182" s="181"/>
      <c r="N2182" s="159"/>
      <c r="O2182" s="159"/>
      <c r="P2182" s="136"/>
    </row>
    <row r="2183" spans="1:16" x14ac:dyDescent="0.25">
      <c r="A2183" s="156">
        <v>45943</v>
      </c>
      <c r="B2183" s="136" t="s">
        <v>28</v>
      </c>
      <c r="C2183" s="157" t="str">
        <f t="shared" si="104"/>
        <v>13.10.2025_GRU2</v>
      </c>
      <c r="D2183" s="190">
        <f t="shared" si="105"/>
        <v>0</v>
      </c>
      <c r="E2183" s="133">
        <v>7.68</v>
      </c>
      <c r="F2183" s="134"/>
      <c r="G2183" s="135">
        <v>180</v>
      </c>
      <c r="H2183" s="137">
        <v>10.33</v>
      </c>
      <c r="I2183" s="134"/>
      <c r="J2183" s="137">
        <v>12.38</v>
      </c>
      <c r="K2183" s="134"/>
      <c r="L2183" s="136">
        <v>45</v>
      </c>
      <c r="M2183" s="181"/>
      <c r="N2183" s="159"/>
      <c r="O2183" s="159"/>
      <c r="P2183" s="136"/>
    </row>
    <row r="2184" spans="1:16" x14ac:dyDescent="0.25">
      <c r="A2184" s="156">
        <v>45943</v>
      </c>
      <c r="B2184" s="136" t="s">
        <v>0</v>
      </c>
      <c r="C2184" s="157" t="str">
        <f t="shared" si="104"/>
        <v>13.10.2025_KIN1</v>
      </c>
      <c r="D2184" s="190">
        <f t="shared" si="105"/>
        <v>0</v>
      </c>
      <c r="E2184" s="133">
        <v>8.17</v>
      </c>
      <c r="F2184" s="134"/>
      <c r="G2184" s="135">
        <v>310</v>
      </c>
      <c r="H2184" s="137">
        <v>11.01</v>
      </c>
      <c r="I2184" s="134"/>
      <c r="J2184" s="137">
        <v>11.9</v>
      </c>
      <c r="K2184" s="134"/>
      <c r="L2184" s="136">
        <v>35</v>
      </c>
      <c r="M2184" s="181"/>
      <c r="N2184" s="159"/>
      <c r="O2184" s="159"/>
      <c r="P2184" s="136"/>
    </row>
    <row r="2185" spans="1:16" x14ac:dyDescent="0.25">
      <c r="A2185" s="156">
        <v>45943</v>
      </c>
      <c r="B2185" s="136" t="s">
        <v>2</v>
      </c>
      <c r="C2185" s="157" t="str">
        <f t="shared" si="104"/>
        <v>13.10.2025_KIN2</v>
      </c>
      <c r="D2185" s="190">
        <f t="shared" si="105"/>
        <v>0</v>
      </c>
      <c r="E2185" s="133">
        <v>7.89</v>
      </c>
      <c r="F2185" s="134"/>
      <c r="G2185" s="135">
        <v>523</v>
      </c>
      <c r="H2185" s="137">
        <v>10.93</v>
      </c>
      <c r="I2185" s="134"/>
      <c r="J2185" s="137">
        <v>12.13</v>
      </c>
      <c r="K2185" s="134"/>
      <c r="L2185" s="136">
        <v>17</v>
      </c>
      <c r="M2185" s="181"/>
      <c r="N2185" s="159"/>
      <c r="O2185" s="159"/>
      <c r="P2185" s="136"/>
    </row>
    <row r="2186" spans="1:16" x14ac:dyDescent="0.25">
      <c r="A2186" s="156">
        <v>45943</v>
      </c>
      <c r="B2186" s="136" t="s">
        <v>4</v>
      </c>
      <c r="C2186" s="157" t="str">
        <f t="shared" si="104"/>
        <v>13.10.2025_KIN3</v>
      </c>
      <c r="D2186" s="190">
        <f t="shared" si="105"/>
        <v>0</v>
      </c>
      <c r="E2186" s="133">
        <v>8.11</v>
      </c>
      <c r="F2186" s="134"/>
      <c r="G2186" s="135">
        <v>532</v>
      </c>
      <c r="H2186" s="137">
        <v>11.09</v>
      </c>
      <c r="I2186" s="134"/>
      <c r="J2186" s="137">
        <v>12.08</v>
      </c>
      <c r="K2186" s="134"/>
      <c r="L2186" s="136">
        <v>14.000000000000002</v>
      </c>
      <c r="M2186" s="181"/>
      <c r="N2186" s="159"/>
      <c r="O2186" s="159"/>
      <c r="P2186" s="136"/>
    </row>
    <row r="2187" spans="1:16" x14ac:dyDescent="0.25">
      <c r="A2187" s="156">
        <v>45943</v>
      </c>
      <c r="B2187" s="136" t="s">
        <v>6</v>
      </c>
      <c r="C2187" s="157" t="str">
        <f t="shared" si="104"/>
        <v>13.10.2025_KIN4</v>
      </c>
      <c r="D2187" s="190">
        <f t="shared" si="105"/>
        <v>0</v>
      </c>
      <c r="E2187" s="133">
        <v>7.85</v>
      </c>
      <c r="F2187" s="134"/>
      <c r="G2187" s="135">
        <v>535</v>
      </c>
      <c r="H2187" s="137">
        <v>10.38</v>
      </c>
      <c r="I2187" s="134"/>
      <c r="J2187" s="137">
        <v>12.43</v>
      </c>
      <c r="K2187" s="134"/>
      <c r="L2187" s="136">
        <v>25</v>
      </c>
      <c r="M2187" s="181"/>
      <c r="N2187" s="159"/>
      <c r="O2187" s="159"/>
      <c r="P2187" s="136"/>
    </row>
    <row r="2188" spans="1:16" x14ac:dyDescent="0.25">
      <c r="A2188" s="156">
        <v>45943</v>
      </c>
      <c r="B2188" s="136" t="s">
        <v>421</v>
      </c>
      <c r="C2188" s="157" t="str">
        <f t="shared" si="104"/>
        <v>13.10.2025_KLI</v>
      </c>
      <c r="D2188" s="190">
        <f t="shared" si="105"/>
        <v>5</v>
      </c>
      <c r="E2188" s="283"/>
      <c r="F2188" s="134"/>
      <c r="G2188" s="287"/>
      <c r="H2188" s="285"/>
      <c r="I2188" s="134"/>
      <c r="J2188" s="285"/>
      <c r="K2188" s="134"/>
      <c r="L2188" s="282"/>
      <c r="M2188" s="181"/>
      <c r="N2188" s="159"/>
      <c r="O2188" s="159"/>
      <c r="P2188" s="136" t="s">
        <v>455</v>
      </c>
    </row>
    <row r="2189" spans="1:16" x14ac:dyDescent="0.25">
      <c r="A2189" s="156">
        <v>45943</v>
      </c>
      <c r="B2189" s="136" t="s">
        <v>34</v>
      </c>
      <c r="C2189" s="157" t="str">
        <f t="shared" si="104"/>
        <v>13.10.2025_KRE1</v>
      </c>
      <c r="D2189" s="190">
        <f t="shared" si="105"/>
        <v>0</v>
      </c>
      <c r="E2189" s="133">
        <v>7.7</v>
      </c>
      <c r="F2189" s="134"/>
      <c r="G2189" s="135">
        <v>944</v>
      </c>
      <c r="H2189" s="137">
        <v>9.4</v>
      </c>
      <c r="I2189" s="134"/>
      <c r="J2189" s="137">
        <v>12.69</v>
      </c>
      <c r="K2189" s="134"/>
      <c r="L2189" s="136">
        <v>30</v>
      </c>
      <c r="M2189" s="181"/>
      <c r="N2189" s="159"/>
      <c r="O2189" s="159"/>
      <c r="P2189" s="136"/>
    </row>
    <row r="2190" spans="1:16" x14ac:dyDescent="0.25">
      <c r="A2190" s="156">
        <v>45943</v>
      </c>
      <c r="B2190" s="136" t="s">
        <v>37</v>
      </c>
      <c r="C2190" s="157" t="str">
        <f t="shared" si="104"/>
        <v>13.10.2025_KRE2</v>
      </c>
      <c r="D2190" s="190">
        <f t="shared" si="105"/>
        <v>0</v>
      </c>
      <c r="E2190" s="133">
        <v>7.58</v>
      </c>
      <c r="F2190" s="134"/>
      <c r="G2190" s="135">
        <v>935</v>
      </c>
      <c r="H2190" s="137">
        <v>8.6199999999999992</v>
      </c>
      <c r="I2190" s="134"/>
      <c r="J2190" s="137">
        <v>12.74</v>
      </c>
      <c r="K2190" s="134"/>
      <c r="L2190" s="136">
        <v>20</v>
      </c>
      <c r="M2190" s="181"/>
      <c r="N2190" s="159"/>
      <c r="O2190" s="159"/>
      <c r="P2190" s="136" t="s">
        <v>458</v>
      </c>
    </row>
    <row r="2191" spans="1:16" x14ac:dyDescent="0.25">
      <c r="A2191" s="156">
        <v>45943</v>
      </c>
      <c r="B2191" s="136" t="s">
        <v>18</v>
      </c>
      <c r="C2191" s="157" t="str">
        <f t="shared" si="104"/>
        <v>13.10.2025_ORB1</v>
      </c>
      <c r="D2191" s="190">
        <f t="shared" si="105"/>
        <v>0</v>
      </c>
      <c r="E2191" s="133">
        <v>7.9</v>
      </c>
      <c r="F2191" s="134"/>
      <c r="G2191" s="135">
        <v>117</v>
      </c>
      <c r="H2191" s="137">
        <v>11.09</v>
      </c>
      <c r="I2191" s="134"/>
      <c r="J2191" s="137">
        <v>12.08</v>
      </c>
      <c r="K2191" s="134"/>
      <c r="L2191" s="136">
        <v>7.0000000000000009</v>
      </c>
      <c r="M2191" s="181"/>
      <c r="N2191" s="159"/>
      <c r="O2191" s="159"/>
      <c r="P2191" s="136"/>
    </row>
    <row r="2192" spans="1:16" x14ac:dyDescent="0.25">
      <c r="A2192" s="156">
        <v>45943</v>
      </c>
      <c r="B2192" s="136" t="s">
        <v>21</v>
      </c>
      <c r="C2192" s="157" t="str">
        <f t="shared" si="104"/>
        <v>13.10.2025_ORB2</v>
      </c>
      <c r="D2192" s="190">
        <f t="shared" si="105"/>
        <v>0</v>
      </c>
      <c r="E2192" s="133">
        <v>7.94</v>
      </c>
      <c r="F2192" s="134"/>
      <c r="G2192" s="135">
        <v>219</v>
      </c>
      <c r="H2192" s="137">
        <v>11.01</v>
      </c>
      <c r="I2192" s="134"/>
      <c r="J2192" s="137">
        <v>11.74</v>
      </c>
      <c r="K2192" s="134"/>
      <c r="L2192" s="136">
        <v>21</v>
      </c>
      <c r="M2192" s="181"/>
      <c r="N2192" s="159"/>
      <c r="O2192" s="159"/>
      <c r="P2192" s="136"/>
    </row>
    <row r="2193" spans="1:16" x14ac:dyDescent="0.25">
      <c r="A2193" s="156">
        <v>45943</v>
      </c>
      <c r="B2193" s="136" t="s">
        <v>10</v>
      </c>
      <c r="C2193" s="157" t="str">
        <f t="shared" si="104"/>
        <v>13.10.2025_SAL1</v>
      </c>
      <c r="D2193" s="190">
        <f t="shared" si="105"/>
        <v>0</v>
      </c>
      <c r="E2193" s="133">
        <v>7.72</v>
      </c>
      <c r="F2193" s="134"/>
      <c r="G2193" s="135">
        <v>224</v>
      </c>
      <c r="H2193" s="137">
        <v>11.1</v>
      </c>
      <c r="I2193" s="134"/>
      <c r="J2193" s="137">
        <v>11.25</v>
      </c>
      <c r="K2193" s="134"/>
      <c r="L2193" s="136">
        <v>22</v>
      </c>
      <c r="M2193" s="181"/>
      <c r="N2193" s="159"/>
      <c r="O2193" s="159"/>
      <c r="P2193" s="136"/>
    </row>
    <row r="2194" spans="1:16" x14ac:dyDescent="0.25">
      <c r="A2194" s="156">
        <v>45943</v>
      </c>
      <c r="B2194" s="136" t="s">
        <v>12</v>
      </c>
      <c r="C2194" s="157" t="str">
        <f t="shared" si="104"/>
        <v>13.10.2025_SAL2</v>
      </c>
      <c r="D2194" s="190">
        <f t="shared" si="105"/>
        <v>0</v>
      </c>
      <c r="E2194" s="133">
        <v>7.97</v>
      </c>
      <c r="F2194" s="134"/>
      <c r="G2194" s="135">
        <v>236</v>
      </c>
      <c r="H2194" s="137">
        <v>11.2</v>
      </c>
      <c r="I2194" s="134"/>
      <c r="J2194" s="137">
        <v>11.66</v>
      </c>
      <c r="K2194" s="134"/>
      <c r="L2194" s="136">
        <v>11</v>
      </c>
      <c r="M2194" s="181"/>
      <c r="N2194" s="159"/>
      <c r="O2194" s="159"/>
      <c r="P2194" s="136"/>
    </row>
    <row r="2195" spans="1:16" x14ac:dyDescent="0.25">
      <c r="A2195" s="156">
        <v>45943</v>
      </c>
      <c r="B2195" s="136" t="s">
        <v>7</v>
      </c>
      <c r="C2195" s="157" t="str">
        <f t="shared" si="104"/>
        <v>13.10.2025_STE1</v>
      </c>
      <c r="D2195" s="190">
        <f t="shared" si="105"/>
        <v>0</v>
      </c>
      <c r="E2195" s="133">
        <v>7.91</v>
      </c>
      <c r="F2195" s="134"/>
      <c r="G2195" s="135">
        <v>343</v>
      </c>
      <c r="H2195" s="137">
        <v>11.04</v>
      </c>
      <c r="I2195" s="134"/>
      <c r="J2195" s="137">
        <v>11.35</v>
      </c>
      <c r="K2195" s="134"/>
      <c r="L2195" s="136">
        <v>11</v>
      </c>
      <c r="M2195" s="181"/>
      <c r="N2195" s="159"/>
      <c r="O2195" s="159"/>
      <c r="P2195" s="136"/>
    </row>
    <row r="2196" spans="1:16" x14ac:dyDescent="0.25">
      <c r="A2196" s="156">
        <v>45943</v>
      </c>
      <c r="B2196" s="136" t="s">
        <v>9</v>
      </c>
      <c r="C2196" s="157" t="str">
        <f t="shared" si="104"/>
        <v>13.10.2025_STE2</v>
      </c>
      <c r="D2196" s="190">
        <f t="shared" si="105"/>
        <v>0</v>
      </c>
      <c r="E2196" s="133">
        <v>7.96</v>
      </c>
      <c r="F2196" s="134"/>
      <c r="G2196" s="135">
        <v>351</v>
      </c>
      <c r="H2196" s="137">
        <v>11.08</v>
      </c>
      <c r="I2196" s="134"/>
      <c r="J2196" s="137">
        <v>11.65</v>
      </c>
      <c r="K2196" s="134"/>
      <c r="L2196" s="136">
        <v>26</v>
      </c>
      <c r="M2196" s="181"/>
      <c r="N2196" s="159"/>
      <c r="O2196" s="159"/>
      <c r="P2196" s="136"/>
    </row>
    <row r="2197" spans="1:16" x14ac:dyDescent="0.25">
      <c r="A2197" s="156">
        <v>45965</v>
      </c>
      <c r="B2197" s="136" t="s">
        <v>22</v>
      </c>
      <c r="C2197" s="157" t="str">
        <f t="shared" ref="C2197" si="106">CONCATENATE(TEXT(A2197,"TT.MM.JJJJ"),"_",B2197)</f>
        <v>04.11.2025_BIE1</v>
      </c>
      <c r="D2197" s="190">
        <f t="shared" ref="D2197" si="107">COUNTBLANK(E2197)+COUNTBLANK(G2197:H2197)+COUNTBLANK(J2197)+COUNTBLANK(L2197)</f>
        <v>0</v>
      </c>
      <c r="E2197" s="133">
        <v>7.66</v>
      </c>
      <c r="F2197" s="134"/>
      <c r="G2197" s="135">
        <v>207</v>
      </c>
      <c r="H2197" s="137">
        <v>11.7</v>
      </c>
      <c r="I2197" s="134"/>
      <c r="J2197" s="137">
        <v>8.94</v>
      </c>
      <c r="K2197" s="134"/>
      <c r="L2197" s="136">
        <v>30</v>
      </c>
      <c r="M2197" s="181"/>
      <c r="N2197" s="159"/>
      <c r="O2197" s="159"/>
      <c r="P2197" s="136"/>
    </row>
    <row r="2198" spans="1:16" x14ac:dyDescent="0.25">
      <c r="A2198" s="156">
        <v>45965</v>
      </c>
      <c r="B2198" s="136" t="s">
        <v>25</v>
      </c>
      <c r="C2198" s="157" t="str">
        <f t="shared" ref="C2198:C2217" si="108">CONCATENATE(TEXT(A2198,"TT.MM.JJJJ"),"_",B2198)</f>
        <v>04.11.2025_BIE2</v>
      </c>
      <c r="D2198" s="190">
        <f t="shared" ref="D2198:D2217" si="109">COUNTBLANK(E2198)+COUNTBLANK(G2198:H2198)+COUNTBLANK(J2198)+COUNTBLANK(L2198)</f>
        <v>0</v>
      </c>
      <c r="E2198" s="133">
        <v>7.48</v>
      </c>
      <c r="F2198" s="134"/>
      <c r="G2198" s="135">
        <v>209</v>
      </c>
      <c r="H2198" s="137">
        <v>11.61</v>
      </c>
      <c r="I2198" s="134"/>
      <c r="J2198" s="137">
        <v>8.9</v>
      </c>
      <c r="K2198" s="134"/>
      <c r="L2198" s="136">
        <v>18</v>
      </c>
      <c r="M2198" s="181"/>
      <c r="N2198" s="159"/>
      <c r="O2198" s="159"/>
      <c r="P2198" s="136"/>
    </row>
    <row r="2199" spans="1:16" x14ac:dyDescent="0.25">
      <c r="A2199" s="156">
        <v>45965</v>
      </c>
      <c r="B2199" s="136" t="s">
        <v>14</v>
      </c>
      <c r="C2199" s="157" t="str">
        <f t="shared" si="108"/>
        <v>04.11.2025_BRA1</v>
      </c>
      <c r="D2199" s="190">
        <f t="shared" si="109"/>
        <v>0</v>
      </c>
      <c r="E2199" s="133">
        <v>7.22</v>
      </c>
      <c r="F2199" s="134"/>
      <c r="G2199" s="135">
        <v>143</v>
      </c>
      <c r="H2199" s="137">
        <v>11.35</v>
      </c>
      <c r="I2199" s="134"/>
      <c r="J2199" s="137">
        <v>9.83</v>
      </c>
      <c r="K2199" s="134"/>
      <c r="L2199" s="136">
        <v>26</v>
      </c>
      <c r="M2199" s="181"/>
      <c r="N2199" s="159"/>
      <c r="O2199" s="159"/>
      <c r="P2199" s="136"/>
    </row>
    <row r="2200" spans="1:16" x14ac:dyDescent="0.25">
      <c r="A2200" s="156">
        <v>45965</v>
      </c>
      <c r="B2200" s="136" t="s">
        <v>17</v>
      </c>
      <c r="C2200" s="157" t="str">
        <f t="shared" si="108"/>
        <v>04.11.2025_BRA2</v>
      </c>
      <c r="D2200" s="190">
        <f t="shared" si="109"/>
        <v>0</v>
      </c>
      <c r="E2200" s="133">
        <v>7.34</v>
      </c>
      <c r="F2200" s="134"/>
      <c r="G2200" s="135">
        <v>156</v>
      </c>
      <c r="H2200" s="137">
        <v>11.6</v>
      </c>
      <c r="I2200" s="134"/>
      <c r="J2200" s="137">
        <v>9.99</v>
      </c>
      <c r="K2200" s="134"/>
      <c r="L2200" s="136">
        <v>23</v>
      </c>
      <c r="M2200" s="181"/>
      <c r="N2200" s="159"/>
      <c r="O2200" s="159"/>
      <c r="P2200" s="136"/>
    </row>
    <row r="2201" spans="1:16" x14ac:dyDescent="0.25">
      <c r="A2201" s="156">
        <v>45965</v>
      </c>
      <c r="B2201" s="136" t="s">
        <v>30</v>
      </c>
      <c r="C2201" s="157" t="str">
        <f t="shared" si="108"/>
        <v>04.11.2025_FAL1</v>
      </c>
      <c r="D2201" s="190">
        <f t="shared" si="109"/>
        <v>0</v>
      </c>
      <c r="E2201" s="133">
        <v>7.79</v>
      </c>
      <c r="F2201" s="134"/>
      <c r="G2201" s="135">
        <v>807</v>
      </c>
      <c r="H2201" s="137">
        <v>10.7</v>
      </c>
      <c r="I2201" s="134"/>
      <c r="J2201" s="137">
        <v>10.050000000000001</v>
      </c>
      <c r="K2201" s="134"/>
      <c r="L2201" s="136">
        <v>16</v>
      </c>
      <c r="M2201" s="181"/>
      <c r="N2201" s="159"/>
      <c r="O2201" s="159"/>
      <c r="P2201" s="136"/>
    </row>
    <row r="2202" spans="1:16" x14ac:dyDescent="0.25">
      <c r="A2202" s="156">
        <v>45965</v>
      </c>
      <c r="B2202" s="136" t="s">
        <v>32</v>
      </c>
      <c r="C2202" s="157" t="str">
        <f t="shared" si="108"/>
        <v>04.11.2025_FAL2</v>
      </c>
      <c r="D2202" s="190">
        <f t="shared" si="109"/>
        <v>0</v>
      </c>
      <c r="E2202" s="133">
        <v>7.8</v>
      </c>
      <c r="F2202" s="134"/>
      <c r="G2202" s="135">
        <v>780</v>
      </c>
      <c r="H2202" s="137">
        <v>9.8000000000000007</v>
      </c>
      <c r="I2202" s="134"/>
      <c r="J2202" s="137">
        <v>10.3</v>
      </c>
      <c r="K2202" s="134"/>
      <c r="L2202" s="136">
        <v>24</v>
      </c>
      <c r="M2202" s="181"/>
      <c r="N2202" s="159"/>
      <c r="O2202" s="159"/>
      <c r="P2202" s="136"/>
    </row>
    <row r="2203" spans="1:16" x14ac:dyDescent="0.25">
      <c r="A2203" s="156">
        <v>45965</v>
      </c>
      <c r="B2203" s="136" t="s">
        <v>26</v>
      </c>
      <c r="C2203" s="157" t="str">
        <f t="shared" si="108"/>
        <v>04.11.2025_GRU1</v>
      </c>
      <c r="D2203" s="190">
        <f t="shared" si="109"/>
        <v>0</v>
      </c>
      <c r="E2203" s="133">
        <v>7.36</v>
      </c>
      <c r="F2203" s="134"/>
      <c r="G2203" s="135">
        <v>181</v>
      </c>
      <c r="H2203" s="137">
        <v>11.1</v>
      </c>
      <c r="I2203" s="134"/>
      <c r="J2203" s="137">
        <v>9.6</v>
      </c>
      <c r="K2203" s="134"/>
      <c r="L2203" s="136">
        <v>28.999999999999996</v>
      </c>
      <c r="M2203" s="181"/>
      <c r="N2203" s="159"/>
      <c r="O2203" s="159"/>
      <c r="P2203" s="136"/>
    </row>
    <row r="2204" spans="1:16" x14ac:dyDescent="0.25">
      <c r="A2204" s="156">
        <v>45965</v>
      </c>
      <c r="B2204" s="136" t="s">
        <v>28</v>
      </c>
      <c r="C2204" s="157" t="str">
        <f t="shared" si="108"/>
        <v>04.11.2025_GRU2</v>
      </c>
      <c r="D2204" s="190">
        <f t="shared" si="109"/>
        <v>0</v>
      </c>
      <c r="E2204" s="133">
        <v>7.21</v>
      </c>
      <c r="F2204" s="134"/>
      <c r="G2204" s="135">
        <v>183</v>
      </c>
      <c r="H2204" s="137">
        <v>10.96</v>
      </c>
      <c r="I2204" s="134"/>
      <c r="J2204" s="137">
        <v>9.6300000000000008</v>
      </c>
      <c r="K2204" s="134"/>
      <c r="L2204" s="136">
        <v>31</v>
      </c>
      <c r="M2204" s="181"/>
      <c r="N2204" s="159"/>
      <c r="O2204" s="159"/>
      <c r="P2204" s="136"/>
    </row>
    <row r="2205" spans="1:16" x14ac:dyDescent="0.25">
      <c r="A2205" s="156">
        <v>45965</v>
      </c>
      <c r="B2205" s="136" t="s">
        <v>0</v>
      </c>
      <c r="C2205" s="157" t="str">
        <f t="shared" si="108"/>
        <v>04.11.2025_KIN1</v>
      </c>
      <c r="D2205" s="190">
        <f t="shared" si="109"/>
        <v>0</v>
      </c>
      <c r="E2205" s="133">
        <v>7.66</v>
      </c>
      <c r="F2205" s="134"/>
      <c r="G2205" s="135">
        <v>368</v>
      </c>
      <c r="H2205" s="137">
        <v>11.54</v>
      </c>
      <c r="I2205" s="134"/>
      <c r="J2205" s="137">
        <v>9.1</v>
      </c>
      <c r="K2205" s="134"/>
      <c r="L2205" s="136">
        <v>37</v>
      </c>
      <c r="M2205" s="181"/>
      <c r="N2205" s="159"/>
      <c r="O2205" s="159"/>
      <c r="P2205" s="136"/>
    </row>
    <row r="2206" spans="1:16" x14ac:dyDescent="0.25">
      <c r="A2206" s="156">
        <v>45965</v>
      </c>
      <c r="B2206" s="136" t="s">
        <v>2</v>
      </c>
      <c r="C2206" s="157" t="str">
        <f t="shared" si="108"/>
        <v>04.11.2025_KIN2</v>
      </c>
      <c r="D2206" s="190">
        <f t="shared" si="109"/>
        <v>0</v>
      </c>
      <c r="E2206" s="133">
        <v>7.7</v>
      </c>
      <c r="F2206" s="134"/>
      <c r="G2206" s="135">
        <v>465</v>
      </c>
      <c r="H2206" s="137">
        <v>11.36</v>
      </c>
      <c r="I2206" s="134"/>
      <c r="J2206" s="137">
        <v>9.8800000000000008</v>
      </c>
      <c r="K2206" s="134"/>
      <c r="L2206" s="136">
        <v>28.000000000000004</v>
      </c>
      <c r="M2206" s="181"/>
      <c r="N2206" s="159"/>
      <c r="O2206" s="159"/>
      <c r="P2206" s="136"/>
    </row>
    <row r="2207" spans="1:16" x14ac:dyDescent="0.25">
      <c r="A2207" s="156">
        <v>45965</v>
      </c>
      <c r="B2207" s="136" t="s">
        <v>4</v>
      </c>
      <c r="C2207" s="157" t="str">
        <f t="shared" si="108"/>
        <v>04.11.2025_KIN3</v>
      </c>
      <c r="D2207" s="190">
        <f t="shared" si="109"/>
        <v>0</v>
      </c>
      <c r="E2207" s="133">
        <v>7.83</v>
      </c>
      <c r="F2207" s="134"/>
      <c r="G2207" s="135">
        <v>423</v>
      </c>
      <c r="H2207" s="137">
        <v>11.23</v>
      </c>
      <c r="I2207" s="134"/>
      <c r="J2207" s="137">
        <v>10.09</v>
      </c>
      <c r="K2207" s="134"/>
      <c r="L2207" s="136">
        <v>20</v>
      </c>
      <c r="M2207" s="181"/>
      <c r="N2207" s="159"/>
      <c r="O2207" s="159"/>
      <c r="P2207" s="136"/>
    </row>
    <row r="2208" spans="1:16" x14ac:dyDescent="0.25">
      <c r="A2208" s="156">
        <v>45965</v>
      </c>
      <c r="B2208" s="136" t="s">
        <v>6</v>
      </c>
      <c r="C2208" s="157" t="str">
        <f t="shared" si="108"/>
        <v>04.11.2025_KIN4</v>
      </c>
      <c r="D2208" s="190">
        <f t="shared" si="109"/>
        <v>0</v>
      </c>
      <c r="E2208" s="133">
        <v>7.78</v>
      </c>
      <c r="F2208" s="134"/>
      <c r="G2208" s="135">
        <v>442</v>
      </c>
      <c r="H2208" s="137">
        <v>11.06</v>
      </c>
      <c r="I2208" s="134"/>
      <c r="J2208" s="137">
        <v>10.23</v>
      </c>
      <c r="K2208" s="134"/>
      <c r="L2208" s="136">
        <v>25</v>
      </c>
      <c r="M2208" s="181"/>
      <c r="N2208" s="159"/>
      <c r="O2208" s="159"/>
      <c r="P2208" s="136"/>
    </row>
    <row r="2209" spans="1:16" x14ac:dyDescent="0.25">
      <c r="A2209" s="156">
        <v>45965</v>
      </c>
      <c r="B2209" s="136" t="s">
        <v>421</v>
      </c>
      <c r="C2209" s="157" t="str">
        <f t="shared" si="108"/>
        <v>04.11.2025_KLI</v>
      </c>
      <c r="D2209" s="190">
        <f t="shared" si="109"/>
        <v>5</v>
      </c>
      <c r="E2209" s="283"/>
      <c r="F2209" s="134"/>
      <c r="G2209" s="287"/>
      <c r="H2209" s="285"/>
      <c r="I2209" s="134"/>
      <c r="J2209" s="285"/>
      <c r="K2209" s="134"/>
      <c r="L2209" s="282"/>
      <c r="M2209" s="181"/>
      <c r="N2209" s="159"/>
      <c r="O2209" s="159"/>
      <c r="P2209" s="136" t="s">
        <v>459</v>
      </c>
    </row>
    <row r="2210" spans="1:16" x14ac:dyDescent="0.25">
      <c r="A2210" s="156">
        <v>45965</v>
      </c>
      <c r="B2210" s="136" t="s">
        <v>34</v>
      </c>
      <c r="C2210" s="157" t="str">
        <f t="shared" si="108"/>
        <v>04.11.2025_KRE1</v>
      </c>
      <c r="D2210" s="190">
        <f t="shared" si="109"/>
        <v>0</v>
      </c>
      <c r="E2210" s="133">
        <v>7.51</v>
      </c>
      <c r="F2210" s="134"/>
      <c r="G2210" s="135">
        <v>799</v>
      </c>
      <c r="H2210" s="137">
        <v>10.3</v>
      </c>
      <c r="I2210" s="134"/>
      <c r="J2210" s="137">
        <v>9.4700000000000006</v>
      </c>
      <c r="K2210" s="134"/>
      <c r="L2210" s="136">
        <v>23</v>
      </c>
      <c r="M2210" s="181"/>
      <c r="N2210" s="159"/>
      <c r="O2210" s="159"/>
      <c r="P2210" s="136"/>
    </row>
    <row r="2211" spans="1:16" x14ac:dyDescent="0.25">
      <c r="A2211" s="156">
        <v>45965</v>
      </c>
      <c r="B2211" s="136" t="s">
        <v>37</v>
      </c>
      <c r="C2211" s="157" t="str">
        <f t="shared" si="108"/>
        <v>04.11.2025_KRE2</v>
      </c>
      <c r="D2211" s="190">
        <f t="shared" si="109"/>
        <v>0</v>
      </c>
      <c r="E2211" s="133">
        <v>7.79</v>
      </c>
      <c r="F2211" s="134"/>
      <c r="G2211" s="135">
        <v>798</v>
      </c>
      <c r="H2211" s="137">
        <v>10.81</v>
      </c>
      <c r="I2211" s="134"/>
      <c r="J2211" s="137">
        <v>9.6</v>
      </c>
      <c r="K2211" s="134"/>
      <c r="L2211" s="136">
        <v>12</v>
      </c>
      <c r="M2211" s="181"/>
      <c r="N2211" s="159"/>
      <c r="O2211" s="159"/>
      <c r="P2211" s="136"/>
    </row>
    <row r="2212" spans="1:16" x14ac:dyDescent="0.25">
      <c r="A2212" s="156">
        <v>45965</v>
      </c>
      <c r="B2212" s="136" t="s">
        <v>18</v>
      </c>
      <c r="C2212" s="157" t="str">
        <f t="shared" si="108"/>
        <v>04.11.2025_ORB1</v>
      </c>
      <c r="D2212" s="190">
        <f t="shared" si="109"/>
        <v>0</v>
      </c>
      <c r="E2212" s="133">
        <v>7.52</v>
      </c>
      <c r="F2212" s="134"/>
      <c r="G2212" s="135">
        <v>139</v>
      </c>
      <c r="H2212" s="137">
        <v>11.46</v>
      </c>
      <c r="I2212" s="134"/>
      <c r="J2212" s="137">
        <v>10.66</v>
      </c>
      <c r="K2212" s="134"/>
      <c r="L2212" s="136">
        <v>10</v>
      </c>
      <c r="M2212" s="181"/>
      <c r="N2212" s="159"/>
      <c r="O2212" s="159"/>
      <c r="P2212" s="136"/>
    </row>
    <row r="2213" spans="1:16" x14ac:dyDescent="0.25">
      <c r="A2213" s="156">
        <v>45965</v>
      </c>
      <c r="B2213" s="136" t="s">
        <v>21</v>
      </c>
      <c r="C2213" s="157" t="str">
        <f t="shared" si="108"/>
        <v>04.11.2025_ORB2</v>
      </c>
      <c r="D2213" s="190">
        <f t="shared" si="109"/>
        <v>0</v>
      </c>
      <c r="E2213" s="133">
        <v>7.3</v>
      </c>
      <c r="F2213" s="134"/>
      <c r="G2213" s="135">
        <v>142</v>
      </c>
      <c r="H2213" s="137">
        <v>10.87</v>
      </c>
      <c r="I2213" s="134"/>
      <c r="J2213" s="137">
        <v>10.83</v>
      </c>
      <c r="K2213" s="134"/>
      <c r="L2213" s="136">
        <v>11</v>
      </c>
      <c r="M2213" s="181"/>
      <c r="N2213" s="159"/>
      <c r="O2213" s="159"/>
      <c r="P2213" s="136"/>
    </row>
    <row r="2214" spans="1:16" x14ac:dyDescent="0.25">
      <c r="A2214" s="156">
        <v>45965</v>
      </c>
      <c r="B2214" s="136" t="s">
        <v>10</v>
      </c>
      <c r="C2214" s="157" t="str">
        <f t="shared" si="108"/>
        <v>04.11.2025_SAL1</v>
      </c>
      <c r="D2214" s="190">
        <f t="shared" si="109"/>
        <v>0</v>
      </c>
      <c r="E2214" s="133">
        <v>7.74</v>
      </c>
      <c r="F2214" s="134"/>
      <c r="G2214" s="135">
        <v>141</v>
      </c>
      <c r="H2214" s="137">
        <v>11.69</v>
      </c>
      <c r="I2214" s="134"/>
      <c r="J2214" s="137">
        <v>9.34</v>
      </c>
      <c r="K2214" s="134"/>
      <c r="L2214" s="136">
        <v>43</v>
      </c>
      <c r="M2214" s="181"/>
      <c r="N2214" s="159"/>
      <c r="O2214" s="159"/>
      <c r="P2214" s="136"/>
    </row>
    <row r="2215" spans="1:16" x14ac:dyDescent="0.25">
      <c r="A2215" s="156">
        <v>45965</v>
      </c>
      <c r="B2215" s="136" t="s">
        <v>12</v>
      </c>
      <c r="C2215" s="157" t="str">
        <f t="shared" si="108"/>
        <v>04.11.2025_SAL2</v>
      </c>
      <c r="D2215" s="190">
        <f t="shared" si="109"/>
        <v>0</v>
      </c>
      <c r="E2215" s="133">
        <v>7.74</v>
      </c>
      <c r="F2215" s="134"/>
      <c r="G2215" s="135">
        <v>143</v>
      </c>
      <c r="H2215" s="137">
        <v>11.85</v>
      </c>
      <c r="I2215" s="134"/>
      <c r="J2215" s="137">
        <v>9.49</v>
      </c>
      <c r="K2215" s="134"/>
      <c r="L2215" s="136">
        <v>46</v>
      </c>
      <c r="M2215" s="181"/>
      <c r="N2215" s="159"/>
      <c r="O2215" s="159"/>
      <c r="P2215" s="136"/>
    </row>
    <row r="2216" spans="1:16" x14ac:dyDescent="0.25">
      <c r="A2216" s="156">
        <v>45965</v>
      </c>
      <c r="B2216" s="136" t="s">
        <v>7</v>
      </c>
      <c r="C2216" s="157" t="str">
        <f t="shared" si="108"/>
        <v>04.11.2025_STE1</v>
      </c>
      <c r="D2216" s="190">
        <f t="shared" si="109"/>
        <v>0</v>
      </c>
      <c r="E2216" s="133">
        <v>7.82</v>
      </c>
      <c r="F2216" s="134"/>
      <c r="G2216" s="135">
        <v>182</v>
      </c>
      <c r="H2216" s="137">
        <v>11.44</v>
      </c>
      <c r="I2216" s="134"/>
      <c r="J2216" s="137">
        <v>10.07</v>
      </c>
      <c r="K2216" s="134"/>
      <c r="L2216" s="136">
        <v>37</v>
      </c>
      <c r="M2216" s="181"/>
      <c r="N2216" s="159"/>
      <c r="O2216" s="159"/>
      <c r="P2216" s="136"/>
    </row>
    <row r="2217" spans="1:16" x14ac:dyDescent="0.25">
      <c r="A2217" s="156">
        <v>45965</v>
      </c>
      <c r="B2217" s="136" t="s">
        <v>9</v>
      </c>
      <c r="C2217" s="157" t="str">
        <f t="shared" si="108"/>
        <v>04.11.2025_STE2</v>
      </c>
      <c r="D2217" s="190">
        <f t="shared" si="109"/>
        <v>0</v>
      </c>
      <c r="E2217" s="133">
        <v>7.62</v>
      </c>
      <c r="F2217" s="134"/>
      <c r="G2217" s="135">
        <v>185</v>
      </c>
      <c r="H2217" s="137">
        <v>11.41</v>
      </c>
      <c r="I2217" s="134"/>
      <c r="J2217" s="137">
        <v>10.25</v>
      </c>
      <c r="K2217" s="134"/>
      <c r="L2217" s="136">
        <v>33</v>
      </c>
      <c r="M2217" s="181"/>
      <c r="N2217" s="159"/>
      <c r="O2217" s="159"/>
      <c r="P2217" s="136"/>
    </row>
    <row r="2218" spans="1:16" x14ac:dyDescent="0.25">
      <c r="A2218" s="156">
        <v>45986</v>
      </c>
      <c r="B2218" s="136" t="s">
        <v>22</v>
      </c>
      <c r="C2218" s="157" t="str">
        <f t="shared" ref="C2218" si="110">CONCATENATE(TEXT(A2218,"TT.MM.JJJJ"),"_",B2218)</f>
        <v>25.11.2025_BIE1</v>
      </c>
      <c r="D2218" s="190">
        <f t="shared" ref="D2218" si="111">COUNTBLANK(E2218)+COUNTBLANK(G2218:H2218)+COUNTBLANK(J2218)+COUNTBLANK(L2218)</f>
        <v>0</v>
      </c>
      <c r="E2218" s="133">
        <v>7.43</v>
      </c>
      <c r="F2218" s="134"/>
      <c r="G2218" s="135">
        <v>193</v>
      </c>
      <c r="H2218" s="137">
        <v>12.77</v>
      </c>
      <c r="I2218" s="134"/>
      <c r="J2218" s="137">
        <v>5.23</v>
      </c>
      <c r="K2218" s="134"/>
      <c r="L2218" s="136">
        <v>30</v>
      </c>
      <c r="M2218" s="181"/>
      <c r="N2218" s="159"/>
      <c r="O2218" s="159"/>
      <c r="P2218" s="136"/>
    </row>
    <row r="2219" spans="1:16" x14ac:dyDescent="0.25">
      <c r="A2219" s="156">
        <v>45986</v>
      </c>
      <c r="B2219" s="136" t="s">
        <v>25</v>
      </c>
      <c r="C2219" s="157" t="str">
        <f t="shared" ref="C2219:C2238" si="112">CONCATENATE(TEXT(A2219,"TT.MM.JJJJ"),"_",B2219)</f>
        <v>25.11.2025_BIE2</v>
      </c>
      <c r="D2219" s="190">
        <f t="shared" ref="D2219:D2238" si="113">COUNTBLANK(E2219)+COUNTBLANK(G2219:H2219)+COUNTBLANK(J2219)+COUNTBLANK(L2219)</f>
        <v>0</v>
      </c>
      <c r="E2219" s="133">
        <v>7.25</v>
      </c>
      <c r="F2219" s="134"/>
      <c r="G2219" s="135">
        <v>198</v>
      </c>
      <c r="H2219" s="137">
        <v>12.69</v>
      </c>
      <c r="I2219" s="134"/>
      <c r="J2219" s="137">
        <v>5.27</v>
      </c>
      <c r="K2219" s="134"/>
      <c r="L2219" s="136">
        <v>35</v>
      </c>
      <c r="M2219" s="181"/>
      <c r="N2219" s="159"/>
      <c r="O2219" s="159"/>
      <c r="P2219" s="136"/>
    </row>
    <row r="2220" spans="1:16" x14ac:dyDescent="0.25">
      <c r="A2220" s="156">
        <v>45986</v>
      </c>
      <c r="B2220" s="136" t="s">
        <v>14</v>
      </c>
      <c r="C2220" s="157" t="str">
        <f t="shared" si="112"/>
        <v>25.11.2025_BRA1</v>
      </c>
      <c r="D2220" s="190">
        <f t="shared" si="113"/>
        <v>0</v>
      </c>
      <c r="E2220" s="133">
        <v>7.2</v>
      </c>
      <c r="F2220" s="134"/>
      <c r="G2220" s="135">
        <v>179</v>
      </c>
      <c r="H2220" s="137">
        <v>12.88</v>
      </c>
      <c r="I2220" s="134"/>
      <c r="J2220" s="137">
        <v>4.92</v>
      </c>
      <c r="K2220" s="134"/>
      <c r="L2220" s="136">
        <v>17</v>
      </c>
      <c r="M2220" s="181"/>
      <c r="N2220" s="159"/>
      <c r="O2220" s="159"/>
      <c r="P2220" s="136"/>
    </row>
    <row r="2221" spans="1:16" x14ac:dyDescent="0.25">
      <c r="A2221" s="156">
        <v>45986</v>
      </c>
      <c r="B2221" s="136" t="s">
        <v>17</v>
      </c>
      <c r="C2221" s="157" t="str">
        <f t="shared" si="112"/>
        <v>25.11.2025_BRA2</v>
      </c>
      <c r="D2221" s="190">
        <f t="shared" si="113"/>
        <v>0</v>
      </c>
      <c r="E2221" s="133">
        <v>7.36</v>
      </c>
      <c r="F2221" s="134"/>
      <c r="G2221" s="135">
        <v>193</v>
      </c>
      <c r="H2221" s="137">
        <v>12.95</v>
      </c>
      <c r="I2221" s="134"/>
      <c r="J2221" s="137">
        <v>4.78</v>
      </c>
      <c r="K2221" s="134"/>
      <c r="L2221" s="136">
        <v>26</v>
      </c>
      <c r="M2221" s="181"/>
      <c r="N2221" s="159"/>
      <c r="O2221" s="159"/>
      <c r="P2221" s="136"/>
    </row>
    <row r="2222" spans="1:16" x14ac:dyDescent="0.25">
      <c r="A2222" s="156">
        <v>45986</v>
      </c>
      <c r="B2222" s="136" t="s">
        <v>30</v>
      </c>
      <c r="C2222" s="157" t="str">
        <f t="shared" si="112"/>
        <v>25.11.2025_FAL1</v>
      </c>
      <c r="D2222" s="190">
        <f t="shared" si="113"/>
        <v>0</v>
      </c>
      <c r="E2222" s="133">
        <v>7.76</v>
      </c>
      <c r="F2222" s="134"/>
      <c r="G2222" s="135">
        <v>914</v>
      </c>
      <c r="H2222" s="137">
        <v>11.71</v>
      </c>
      <c r="I2222" s="134"/>
      <c r="J2222" s="137">
        <v>6.71</v>
      </c>
      <c r="K2222" s="134"/>
      <c r="L2222" s="136">
        <v>10</v>
      </c>
      <c r="M2222" s="181"/>
      <c r="N2222" s="159"/>
      <c r="O2222" s="159"/>
      <c r="P2222" s="136"/>
    </row>
    <row r="2223" spans="1:16" x14ac:dyDescent="0.25">
      <c r="A2223" s="156">
        <v>45986</v>
      </c>
      <c r="B2223" s="136" t="s">
        <v>32</v>
      </c>
      <c r="C2223" s="157" t="str">
        <f t="shared" si="112"/>
        <v>25.11.2025_FAL2</v>
      </c>
      <c r="D2223" s="190">
        <f t="shared" si="113"/>
        <v>0</v>
      </c>
      <c r="E2223" s="133">
        <v>8.01</v>
      </c>
      <c r="F2223" s="134"/>
      <c r="G2223" s="135">
        <v>927</v>
      </c>
      <c r="H2223" s="137">
        <v>12.42</v>
      </c>
      <c r="I2223" s="134"/>
      <c r="J2223" s="137">
        <v>5.08</v>
      </c>
      <c r="K2223" s="134"/>
      <c r="L2223" s="136">
        <v>30</v>
      </c>
      <c r="M2223" s="181"/>
      <c r="N2223" s="159"/>
      <c r="O2223" s="159"/>
      <c r="P2223" s="136"/>
    </row>
    <row r="2224" spans="1:16" x14ac:dyDescent="0.25">
      <c r="A2224" s="156">
        <v>45986</v>
      </c>
      <c r="B2224" s="136" t="s">
        <v>26</v>
      </c>
      <c r="C2224" s="157" t="str">
        <f t="shared" si="112"/>
        <v>25.11.2025_GRU1</v>
      </c>
      <c r="D2224" s="190">
        <f t="shared" si="113"/>
        <v>0</v>
      </c>
      <c r="E2224" s="133">
        <v>7.57</v>
      </c>
      <c r="F2224" s="134"/>
      <c r="G2224" s="135">
        <v>181</v>
      </c>
      <c r="H2224" s="137">
        <v>13.16</v>
      </c>
      <c r="I2224" s="134"/>
      <c r="J2224" s="137">
        <v>4.6399999999999997</v>
      </c>
      <c r="K2224" s="134"/>
      <c r="L2224" s="136">
        <v>30</v>
      </c>
      <c r="M2224" s="181"/>
      <c r="N2224" s="159"/>
      <c r="O2224" s="159"/>
      <c r="P2224" s="136"/>
    </row>
    <row r="2225" spans="1:16" x14ac:dyDescent="0.25">
      <c r="A2225" s="156">
        <v>45986</v>
      </c>
      <c r="B2225" s="136" t="s">
        <v>28</v>
      </c>
      <c r="C2225" s="157" t="str">
        <f t="shared" si="112"/>
        <v>25.11.2025_GRU2</v>
      </c>
      <c r="D2225" s="190">
        <f t="shared" si="113"/>
        <v>0</v>
      </c>
      <c r="E2225" s="133">
        <v>7.71</v>
      </c>
      <c r="F2225" s="134"/>
      <c r="G2225" s="135">
        <v>178</v>
      </c>
      <c r="H2225" s="137">
        <v>12.64</v>
      </c>
      <c r="I2225" s="134"/>
      <c r="J2225" s="137">
        <v>5.34</v>
      </c>
      <c r="K2225" s="134"/>
      <c r="L2225" s="136">
        <v>50</v>
      </c>
      <c r="M2225" s="181"/>
      <c r="N2225" s="159"/>
      <c r="O2225" s="159"/>
      <c r="P2225" s="136"/>
    </row>
    <row r="2226" spans="1:16" x14ac:dyDescent="0.25">
      <c r="A2226" s="156">
        <v>45986</v>
      </c>
      <c r="B2226" s="136" t="s">
        <v>0</v>
      </c>
      <c r="C2226" s="157" t="str">
        <f t="shared" si="112"/>
        <v>25.11.2025_KIN1</v>
      </c>
      <c r="D2226" s="190">
        <f t="shared" si="113"/>
        <v>0</v>
      </c>
      <c r="E2226" s="283">
        <v>8.8000000000000007</v>
      </c>
      <c r="F2226" s="134"/>
      <c r="G2226" s="135">
        <v>405</v>
      </c>
      <c r="H2226" s="137">
        <v>13.3</v>
      </c>
      <c r="I2226" s="134"/>
      <c r="J2226" s="137">
        <v>3.41</v>
      </c>
      <c r="K2226" s="134"/>
      <c r="L2226" s="136">
        <v>40</v>
      </c>
      <c r="M2226" s="181"/>
      <c r="N2226" s="192" t="s">
        <v>464</v>
      </c>
      <c r="O2226" s="159"/>
      <c r="P2226" s="136"/>
    </row>
    <row r="2227" spans="1:16" x14ac:dyDescent="0.25">
      <c r="A2227" s="156">
        <v>45986</v>
      </c>
      <c r="B2227" s="136" t="s">
        <v>2</v>
      </c>
      <c r="C2227" s="157" t="str">
        <f t="shared" si="112"/>
        <v>25.11.2025_KIN2</v>
      </c>
      <c r="D2227" s="190">
        <f t="shared" si="113"/>
        <v>0</v>
      </c>
      <c r="E2227" s="133">
        <v>8.0399999999999991</v>
      </c>
      <c r="F2227" s="134"/>
      <c r="G2227" s="135">
        <v>484</v>
      </c>
      <c r="H2227" s="137">
        <v>12.7</v>
      </c>
      <c r="I2227" s="134"/>
      <c r="J2227" s="137">
        <v>5.48</v>
      </c>
      <c r="K2227" s="134"/>
      <c r="L2227" s="136">
        <v>19</v>
      </c>
      <c r="M2227" s="181"/>
      <c r="N2227" s="159"/>
      <c r="O2227" s="159"/>
      <c r="P2227" s="136"/>
    </row>
    <row r="2228" spans="1:16" x14ac:dyDescent="0.25">
      <c r="A2228" s="156">
        <v>45986</v>
      </c>
      <c r="B2228" s="136" t="s">
        <v>4</v>
      </c>
      <c r="C2228" s="157" t="str">
        <f t="shared" si="112"/>
        <v>25.11.2025_KIN3</v>
      </c>
      <c r="D2228" s="190">
        <f t="shared" si="113"/>
        <v>0</v>
      </c>
      <c r="E2228" s="133">
        <v>7.9</v>
      </c>
      <c r="F2228" s="134"/>
      <c r="G2228" s="135">
        <v>463</v>
      </c>
      <c r="H2228" s="137">
        <v>12.84</v>
      </c>
      <c r="I2228" s="134"/>
      <c r="J2228" s="137">
        <v>4.82</v>
      </c>
      <c r="K2228" s="134"/>
      <c r="L2228" s="136">
        <v>21</v>
      </c>
      <c r="M2228" s="181"/>
      <c r="N2228" s="159"/>
      <c r="O2228" s="159"/>
      <c r="P2228" s="136"/>
    </row>
    <row r="2229" spans="1:16" x14ac:dyDescent="0.25">
      <c r="A2229" s="156">
        <v>45986</v>
      </c>
      <c r="B2229" s="136" t="s">
        <v>6</v>
      </c>
      <c r="C2229" s="157" t="str">
        <f t="shared" si="112"/>
        <v>25.11.2025_KIN4</v>
      </c>
      <c r="D2229" s="190">
        <f t="shared" si="113"/>
        <v>0</v>
      </c>
      <c r="E2229" s="133">
        <v>7.44</v>
      </c>
      <c r="F2229" s="134"/>
      <c r="G2229" s="135">
        <v>494</v>
      </c>
      <c r="H2229" s="137">
        <v>12.58</v>
      </c>
      <c r="I2229" s="134"/>
      <c r="J2229" s="137">
        <v>5.04</v>
      </c>
      <c r="K2229" s="134"/>
      <c r="L2229" s="136">
        <v>39</v>
      </c>
      <c r="M2229" s="181"/>
      <c r="N2229" s="159"/>
      <c r="O2229" s="159"/>
      <c r="P2229" s="136"/>
    </row>
    <row r="2230" spans="1:16" x14ac:dyDescent="0.25">
      <c r="A2230" s="156">
        <v>45986</v>
      </c>
      <c r="B2230" s="136" t="s">
        <v>421</v>
      </c>
      <c r="C2230" s="157" t="str">
        <f t="shared" si="112"/>
        <v>25.11.2025_KLI</v>
      </c>
      <c r="D2230" s="190">
        <f t="shared" si="113"/>
        <v>5</v>
      </c>
      <c r="E2230" s="283"/>
      <c r="F2230" s="134"/>
      <c r="G2230" s="287"/>
      <c r="H2230" s="285"/>
      <c r="I2230" s="134"/>
      <c r="J2230" s="285"/>
      <c r="K2230" s="134"/>
      <c r="L2230" s="282"/>
      <c r="M2230" s="181"/>
      <c r="N2230" s="159"/>
      <c r="O2230" s="159"/>
      <c r="P2230" s="136" t="s">
        <v>459</v>
      </c>
    </row>
    <row r="2231" spans="1:16" x14ac:dyDescent="0.25">
      <c r="A2231" s="156">
        <v>45986</v>
      </c>
      <c r="B2231" s="136" t="s">
        <v>34</v>
      </c>
      <c r="C2231" s="157" t="str">
        <f t="shared" si="112"/>
        <v>25.11.2025_KRE1</v>
      </c>
      <c r="D2231" s="190">
        <f t="shared" si="113"/>
        <v>0</v>
      </c>
      <c r="E2231" s="133">
        <v>7.69</v>
      </c>
      <c r="F2231" s="134"/>
      <c r="G2231" s="135">
        <v>967</v>
      </c>
      <c r="H2231" s="137">
        <v>11.75</v>
      </c>
      <c r="I2231" s="134"/>
      <c r="J2231" s="137">
        <v>4.57</v>
      </c>
      <c r="K2231" s="134"/>
      <c r="L2231" s="136">
        <v>30</v>
      </c>
      <c r="M2231" s="181"/>
      <c r="N2231" s="159"/>
      <c r="O2231" s="159"/>
      <c r="P2231" s="136"/>
    </row>
    <row r="2232" spans="1:16" x14ac:dyDescent="0.25">
      <c r="A2232" s="156">
        <v>45986</v>
      </c>
      <c r="B2232" s="136" t="s">
        <v>37</v>
      </c>
      <c r="C2232" s="157" t="str">
        <f t="shared" si="112"/>
        <v>25.11.2025_KRE2</v>
      </c>
      <c r="D2232" s="190">
        <f t="shared" si="113"/>
        <v>0</v>
      </c>
      <c r="E2232" s="133">
        <v>8.1999999999999993</v>
      </c>
      <c r="F2232" s="134"/>
      <c r="G2232" s="135">
        <v>944</v>
      </c>
      <c r="H2232" s="137">
        <v>11.71</v>
      </c>
      <c r="I2232" s="134"/>
      <c r="J2232" s="137">
        <v>4.66</v>
      </c>
      <c r="K2232" s="134"/>
      <c r="L2232" s="136">
        <v>20</v>
      </c>
      <c r="M2232" s="181"/>
      <c r="N2232" s="159"/>
      <c r="O2232" s="159"/>
      <c r="P2232" s="136"/>
    </row>
    <row r="2233" spans="1:16" x14ac:dyDescent="0.25">
      <c r="A2233" s="156">
        <v>45986</v>
      </c>
      <c r="B2233" s="136" t="s">
        <v>18</v>
      </c>
      <c r="C2233" s="157" t="str">
        <f t="shared" si="112"/>
        <v>25.11.2025_ORB1</v>
      </c>
      <c r="D2233" s="190">
        <f t="shared" si="113"/>
        <v>0</v>
      </c>
      <c r="E2233" s="133">
        <v>7.06</v>
      </c>
      <c r="F2233" s="134"/>
      <c r="G2233" s="135">
        <v>131</v>
      </c>
      <c r="H2233" s="137">
        <v>12.31</v>
      </c>
      <c r="I2233" s="134"/>
      <c r="J2233" s="137">
        <v>6.07</v>
      </c>
      <c r="K2233" s="134"/>
      <c r="L2233" s="136">
        <v>6</v>
      </c>
      <c r="M2233" s="181"/>
      <c r="N2233" s="159"/>
      <c r="O2233" s="159"/>
      <c r="P2233" s="136"/>
    </row>
    <row r="2234" spans="1:16" x14ac:dyDescent="0.25">
      <c r="A2234" s="156">
        <v>45986</v>
      </c>
      <c r="B2234" s="136" t="s">
        <v>21</v>
      </c>
      <c r="C2234" s="157" t="str">
        <f t="shared" si="112"/>
        <v>25.11.2025_ORB2</v>
      </c>
      <c r="D2234" s="190">
        <f t="shared" si="113"/>
        <v>0</v>
      </c>
      <c r="E2234" s="133">
        <v>6.94</v>
      </c>
      <c r="F2234" s="134"/>
      <c r="G2234" s="135">
        <v>224</v>
      </c>
      <c r="H2234" s="137">
        <v>12.05</v>
      </c>
      <c r="I2234" s="134"/>
      <c r="J2234" s="137">
        <v>5.9</v>
      </c>
      <c r="K2234" s="134"/>
      <c r="L2234" s="136">
        <v>8</v>
      </c>
      <c r="M2234" s="181"/>
      <c r="N2234" s="159"/>
      <c r="O2234" s="159"/>
      <c r="P2234" s="136"/>
    </row>
    <row r="2235" spans="1:16" x14ac:dyDescent="0.25">
      <c r="A2235" s="156">
        <v>45986</v>
      </c>
      <c r="B2235" s="136" t="s">
        <v>10</v>
      </c>
      <c r="C2235" s="157" t="str">
        <f t="shared" si="112"/>
        <v>25.11.2025_SAL1</v>
      </c>
      <c r="D2235" s="190">
        <f t="shared" si="113"/>
        <v>5</v>
      </c>
      <c r="E2235" s="283"/>
      <c r="F2235" s="134"/>
      <c r="G2235" s="287"/>
      <c r="H2235" s="285"/>
      <c r="I2235" s="134"/>
      <c r="J2235" s="285"/>
      <c r="K2235" s="134"/>
      <c r="L2235" s="282"/>
      <c r="M2235" s="181"/>
      <c r="N2235" s="159"/>
      <c r="O2235" s="159"/>
      <c r="P2235" s="192" t="s">
        <v>463</v>
      </c>
    </row>
    <row r="2236" spans="1:16" x14ac:dyDescent="0.25">
      <c r="A2236" s="156">
        <v>45986</v>
      </c>
      <c r="B2236" s="136" t="s">
        <v>12</v>
      </c>
      <c r="C2236" s="157" t="str">
        <f t="shared" si="112"/>
        <v>25.11.2025_SAL2</v>
      </c>
      <c r="D2236" s="190">
        <f t="shared" si="113"/>
        <v>0</v>
      </c>
      <c r="E2236" s="133">
        <v>7.62</v>
      </c>
      <c r="F2236" s="134"/>
      <c r="G2236" s="135">
        <v>211</v>
      </c>
      <c r="H2236" s="137">
        <v>13.44</v>
      </c>
      <c r="I2236" s="134"/>
      <c r="J2236" s="137">
        <v>4.09</v>
      </c>
      <c r="K2236" s="134"/>
      <c r="L2236" s="136">
        <v>28.000000000000004</v>
      </c>
      <c r="M2236" s="181"/>
      <c r="N2236" s="159"/>
      <c r="O2236" s="159"/>
      <c r="P2236" s="136"/>
    </row>
    <row r="2237" spans="1:16" x14ac:dyDescent="0.25">
      <c r="A2237" s="156">
        <v>45986</v>
      </c>
      <c r="B2237" s="136" t="s">
        <v>7</v>
      </c>
      <c r="C2237" s="157" t="str">
        <f t="shared" si="112"/>
        <v>25.11.2025_STE1</v>
      </c>
      <c r="D2237" s="190">
        <f t="shared" si="113"/>
        <v>0</v>
      </c>
      <c r="E2237" s="133">
        <v>7.41</v>
      </c>
      <c r="F2237" s="134"/>
      <c r="G2237" s="135">
        <v>240</v>
      </c>
      <c r="H2237" s="137">
        <v>12.8</v>
      </c>
      <c r="I2237" s="134"/>
      <c r="J2237" s="137">
        <v>5.18</v>
      </c>
      <c r="K2237" s="134"/>
      <c r="L2237" s="136">
        <v>18</v>
      </c>
      <c r="M2237" s="181"/>
      <c r="N2237" s="159"/>
      <c r="O2237" s="159"/>
      <c r="P2237" s="136"/>
    </row>
    <row r="2238" spans="1:16" x14ac:dyDescent="0.25">
      <c r="A2238" s="156">
        <v>45986</v>
      </c>
      <c r="B2238" s="136" t="s">
        <v>9</v>
      </c>
      <c r="C2238" s="157" t="str">
        <f t="shared" si="112"/>
        <v>25.11.2025_STE2</v>
      </c>
      <c r="D2238" s="190">
        <f t="shared" si="113"/>
        <v>0</v>
      </c>
      <c r="E2238" s="133">
        <v>7.49</v>
      </c>
      <c r="F2238" s="134"/>
      <c r="G2238" s="135">
        <v>283</v>
      </c>
      <c r="H2238" s="137">
        <v>12.97</v>
      </c>
      <c r="I2238" s="134"/>
      <c r="J2238" s="137">
        <v>4.91</v>
      </c>
      <c r="K2238" s="134"/>
      <c r="L2238" s="136">
        <v>23</v>
      </c>
      <c r="M2238" s="181"/>
      <c r="N2238" s="159"/>
      <c r="O2238" s="159"/>
      <c r="P2238" s="136"/>
    </row>
    <row r="2239" spans="1:16" x14ac:dyDescent="0.25">
      <c r="A2239" s="156">
        <v>46007</v>
      </c>
      <c r="B2239" s="136" t="s">
        <v>22</v>
      </c>
      <c r="C2239" s="157" t="str">
        <f t="shared" ref="C2239:C2259" si="114">CONCATENATE(TEXT(A2239,"TT.MM.JJJJ"),"_",B2239)</f>
        <v>16.12.2025_BIE1</v>
      </c>
      <c r="D2239" s="190">
        <f t="shared" ref="D2239:D2259" si="115">COUNTBLANK(E2239)+COUNTBLANK(G2239:H2239)+COUNTBLANK(J2239)+COUNTBLANK(L2239)</f>
        <v>0</v>
      </c>
      <c r="E2239" s="283">
        <v>7.29</v>
      </c>
      <c r="F2239" s="134"/>
      <c r="G2239" s="135">
        <v>245</v>
      </c>
      <c r="H2239" s="137">
        <v>13.16</v>
      </c>
      <c r="I2239" s="134"/>
      <c r="J2239" s="137">
        <v>5.08</v>
      </c>
      <c r="K2239" s="134"/>
      <c r="L2239" s="136">
        <v>30</v>
      </c>
      <c r="M2239" s="181"/>
      <c r="N2239" s="136" t="s">
        <v>460</v>
      </c>
      <c r="O2239" s="159"/>
      <c r="P2239" s="136"/>
    </row>
    <row r="2240" spans="1:16" x14ac:dyDescent="0.25">
      <c r="A2240" s="156">
        <v>46007</v>
      </c>
      <c r="B2240" s="136" t="s">
        <v>25</v>
      </c>
      <c r="C2240" s="157" t="str">
        <f t="shared" si="114"/>
        <v>16.12.2025_BIE2</v>
      </c>
      <c r="D2240" s="190">
        <f t="shared" si="115"/>
        <v>0</v>
      </c>
      <c r="E2240" s="283">
        <v>7.22</v>
      </c>
      <c r="F2240" s="134"/>
      <c r="G2240" s="135">
        <v>260</v>
      </c>
      <c r="H2240" s="137">
        <v>13.12</v>
      </c>
      <c r="I2240" s="134"/>
      <c r="J2240" s="137">
        <v>5.08</v>
      </c>
      <c r="K2240" s="134"/>
      <c r="L2240" s="136">
        <v>40</v>
      </c>
      <c r="M2240" s="181"/>
      <c r="N2240" s="136" t="s">
        <v>460</v>
      </c>
      <c r="O2240" s="159"/>
      <c r="P2240" s="136"/>
    </row>
    <row r="2241" spans="1:16" x14ac:dyDescent="0.25">
      <c r="A2241" s="156">
        <v>46007</v>
      </c>
      <c r="B2241" s="136" t="s">
        <v>14</v>
      </c>
      <c r="C2241" s="157" t="str">
        <f t="shared" si="114"/>
        <v>16.12.2025_BRA1</v>
      </c>
      <c r="D2241" s="190">
        <f t="shared" si="115"/>
        <v>0</v>
      </c>
      <c r="E2241" s="283">
        <v>6.42</v>
      </c>
      <c r="F2241" s="134"/>
      <c r="G2241" s="135">
        <v>150</v>
      </c>
      <c r="H2241" s="137">
        <v>12.16</v>
      </c>
      <c r="I2241" s="134"/>
      <c r="J2241" s="137">
        <v>5.18</v>
      </c>
      <c r="K2241" s="134"/>
      <c r="L2241" s="136">
        <v>19</v>
      </c>
      <c r="M2241" s="181"/>
      <c r="N2241" s="136" t="s">
        <v>460</v>
      </c>
      <c r="O2241" s="159"/>
      <c r="P2241" s="136"/>
    </row>
    <row r="2242" spans="1:16" x14ac:dyDescent="0.25">
      <c r="A2242" s="156">
        <v>46007</v>
      </c>
      <c r="B2242" s="136" t="s">
        <v>17</v>
      </c>
      <c r="C2242" s="157" t="str">
        <f t="shared" si="114"/>
        <v>16.12.2025_BRA2</v>
      </c>
      <c r="D2242" s="190">
        <f t="shared" si="115"/>
        <v>0</v>
      </c>
      <c r="E2242" s="283">
        <v>6.5</v>
      </c>
      <c r="F2242" s="134"/>
      <c r="G2242" s="135">
        <v>163</v>
      </c>
      <c r="H2242" s="137">
        <v>12.3</v>
      </c>
      <c r="I2242" s="134"/>
      <c r="J2242" s="137">
        <v>5.18</v>
      </c>
      <c r="K2242" s="134"/>
      <c r="L2242" s="136">
        <v>9</v>
      </c>
      <c r="M2242" s="181"/>
      <c r="N2242" s="136" t="s">
        <v>460</v>
      </c>
      <c r="O2242" s="159"/>
      <c r="P2242" s="136"/>
    </row>
    <row r="2243" spans="1:16" x14ac:dyDescent="0.25">
      <c r="A2243" s="156">
        <v>46007</v>
      </c>
      <c r="B2243" s="136" t="s">
        <v>30</v>
      </c>
      <c r="C2243" s="157" t="str">
        <f t="shared" si="114"/>
        <v>16.12.2025_FAL1</v>
      </c>
      <c r="D2243" s="190">
        <f t="shared" si="115"/>
        <v>0</v>
      </c>
      <c r="E2243" s="283">
        <v>7.51</v>
      </c>
      <c r="F2243" s="134"/>
      <c r="G2243" s="135">
        <v>1125</v>
      </c>
      <c r="H2243" s="137">
        <v>12.11</v>
      </c>
      <c r="I2243" s="134"/>
      <c r="J2243" s="137">
        <v>5.59</v>
      </c>
      <c r="K2243" s="134"/>
      <c r="L2243" s="136">
        <v>15</v>
      </c>
      <c r="M2243" s="181"/>
      <c r="N2243" s="136" t="s">
        <v>460</v>
      </c>
      <c r="O2243" s="159"/>
      <c r="P2243" s="136"/>
    </row>
    <row r="2244" spans="1:16" x14ac:dyDescent="0.25">
      <c r="A2244" s="156">
        <v>46007</v>
      </c>
      <c r="B2244" s="136" t="s">
        <v>32</v>
      </c>
      <c r="C2244" s="157" t="str">
        <f t="shared" si="114"/>
        <v>16.12.2025_FAL2</v>
      </c>
      <c r="D2244" s="190">
        <f t="shared" si="115"/>
        <v>0</v>
      </c>
      <c r="E2244" s="283">
        <v>7.84</v>
      </c>
      <c r="F2244" s="134"/>
      <c r="G2244" s="135">
        <v>1081</v>
      </c>
      <c r="H2244" s="137">
        <v>13.5</v>
      </c>
      <c r="I2244" s="134"/>
      <c r="J2244" s="137">
        <v>4.04</v>
      </c>
      <c r="K2244" s="134"/>
      <c r="L2244" s="136">
        <v>40</v>
      </c>
      <c r="M2244" s="181"/>
      <c r="N2244" s="136" t="s">
        <v>460</v>
      </c>
      <c r="O2244" s="159"/>
      <c r="P2244" s="136"/>
    </row>
    <row r="2245" spans="1:16" x14ac:dyDescent="0.25">
      <c r="A2245" s="156">
        <v>46007</v>
      </c>
      <c r="B2245" s="136" t="s">
        <v>26</v>
      </c>
      <c r="C2245" s="157" t="str">
        <f t="shared" si="114"/>
        <v>16.12.2025_GRU1</v>
      </c>
      <c r="D2245" s="190">
        <f t="shared" si="115"/>
        <v>0</v>
      </c>
      <c r="E2245" s="283">
        <v>7.4</v>
      </c>
      <c r="F2245" s="134"/>
      <c r="G2245" s="135">
        <v>207</v>
      </c>
      <c r="H2245" s="137">
        <v>13.48</v>
      </c>
      <c r="I2245" s="134"/>
      <c r="J2245" s="137">
        <v>4.5599999999999996</v>
      </c>
      <c r="K2245" s="134"/>
      <c r="L2245" s="136">
        <v>20</v>
      </c>
      <c r="M2245" s="181"/>
      <c r="N2245" s="136" t="s">
        <v>460</v>
      </c>
      <c r="O2245" s="159"/>
      <c r="P2245" s="136"/>
    </row>
    <row r="2246" spans="1:16" x14ac:dyDescent="0.25">
      <c r="A2246" s="156">
        <v>46007</v>
      </c>
      <c r="B2246" s="136" t="s">
        <v>28</v>
      </c>
      <c r="C2246" s="157" t="str">
        <f t="shared" si="114"/>
        <v>16.12.2025_GRU2</v>
      </c>
      <c r="D2246" s="190">
        <f t="shared" si="115"/>
        <v>0</v>
      </c>
      <c r="E2246" s="283">
        <v>7.7</v>
      </c>
      <c r="F2246" s="134"/>
      <c r="G2246" s="135">
        <v>227</v>
      </c>
      <c r="H2246" s="137">
        <v>13.01</v>
      </c>
      <c r="I2246" s="134"/>
      <c r="J2246" s="137">
        <v>5.05</v>
      </c>
      <c r="K2246" s="134"/>
      <c r="L2246" s="136">
        <v>45</v>
      </c>
      <c r="M2246" s="181"/>
      <c r="N2246" s="136" t="s">
        <v>460</v>
      </c>
      <c r="O2246" s="159"/>
      <c r="P2246" s="136"/>
    </row>
    <row r="2247" spans="1:16" x14ac:dyDescent="0.25">
      <c r="A2247" s="156">
        <v>46007</v>
      </c>
      <c r="B2247" s="136" t="s">
        <v>0</v>
      </c>
      <c r="C2247" s="157" t="str">
        <f t="shared" si="114"/>
        <v>16.12.2025_KIN1</v>
      </c>
      <c r="D2247" s="190">
        <f t="shared" si="115"/>
        <v>0</v>
      </c>
      <c r="E2247" s="283">
        <v>8.17</v>
      </c>
      <c r="F2247" s="134"/>
      <c r="G2247" s="135">
        <v>361</v>
      </c>
      <c r="H2247" s="137">
        <v>12.9</v>
      </c>
      <c r="I2247" s="134"/>
      <c r="J2247" s="137">
        <v>3.41</v>
      </c>
      <c r="K2247" s="134"/>
      <c r="L2247" s="136">
        <v>19</v>
      </c>
      <c r="M2247" s="181"/>
      <c r="N2247" s="136" t="s">
        <v>460</v>
      </c>
      <c r="O2247" s="159"/>
      <c r="P2247" s="192" t="s">
        <v>465</v>
      </c>
    </row>
    <row r="2248" spans="1:16" x14ac:dyDescent="0.25">
      <c r="A2248" s="156">
        <v>46007</v>
      </c>
      <c r="B2248" s="136" t="s">
        <v>2</v>
      </c>
      <c r="C2248" s="157" t="str">
        <f t="shared" si="114"/>
        <v>16.12.2025_KIN2</v>
      </c>
      <c r="D2248" s="190">
        <f t="shared" si="115"/>
        <v>0</v>
      </c>
      <c r="E2248" s="283">
        <v>7.51</v>
      </c>
      <c r="F2248" s="134"/>
      <c r="G2248" s="135">
        <v>450</v>
      </c>
      <c r="H2248" s="137">
        <v>12.3</v>
      </c>
      <c r="I2248" s="134"/>
      <c r="J2248" s="137">
        <v>5.08</v>
      </c>
      <c r="K2248" s="134"/>
      <c r="L2248" s="136">
        <v>5</v>
      </c>
      <c r="M2248" s="181"/>
      <c r="N2248" s="136" t="s">
        <v>460</v>
      </c>
      <c r="O2248" s="159"/>
      <c r="P2248" s="136"/>
    </row>
    <row r="2249" spans="1:16" x14ac:dyDescent="0.25">
      <c r="A2249" s="156">
        <v>46007</v>
      </c>
      <c r="B2249" s="136" t="s">
        <v>4</v>
      </c>
      <c r="C2249" s="157" t="str">
        <f t="shared" si="114"/>
        <v>16.12.2025_KIN3</v>
      </c>
      <c r="D2249" s="190">
        <f t="shared" si="115"/>
        <v>0</v>
      </c>
      <c r="E2249" s="283">
        <v>7.18</v>
      </c>
      <c r="F2249" s="134"/>
      <c r="G2249" s="135">
        <v>421</v>
      </c>
      <c r="H2249" s="137">
        <v>12.62</v>
      </c>
      <c r="I2249" s="134"/>
      <c r="J2249" s="137">
        <v>4.25</v>
      </c>
      <c r="K2249" s="134"/>
      <c r="L2249" s="136">
        <v>20</v>
      </c>
      <c r="M2249" s="181"/>
      <c r="N2249" s="136" t="s">
        <v>460</v>
      </c>
      <c r="O2249" s="159"/>
      <c r="P2249" s="136"/>
    </row>
    <row r="2250" spans="1:16" x14ac:dyDescent="0.25">
      <c r="A2250" s="156">
        <v>46007</v>
      </c>
      <c r="B2250" s="136" t="s">
        <v>6</v>
      </c>
      <c r="C2250" s="157" t="str">
        <f t="shared" si="114"/>
        <v>16.12.2025_KIN4</v>
      </c>
      <c r="D2250" s="190">
        <f t="shared" si="115"/>
        <v>0</v>
      </c>
      <c r="E2250" s="283">
        <v>7.14</v>
      </c>
      <c r="F2250" s="134"/>
      <c r="G2250" s="135">
        <v>435</v>
      </c>
      <c r="H2250" s="137">
        <v>12.01</v>
      </c>
      <c r="I2250" s="134"/>
      <c r="J2250" s="137">
        <v>5.4</v>
      </c>
      <c r="K2250" s="134"/>
      <c r="L2250" s="136">
        <v>27</v>
      </c>
      <c r="M2250" s="181"/>
      <c r="N2250" s="136" t="s">
        <v>460</v>
      </c>
      <c r="O2250" s="159"/>
      <c r="P2250" s="136"/>
    </row>
    <row r="2251" spans="1:16" x14ac:dyDescent="0.25">
      <c r="A2251" s="156">
        <v>46007</v>
      </c>
      <c r="B2251" s="136" t="s">
        <v>421</v>
      </c>
      <c r="C2251" s="157" t="str">
        <f t="shared" si="114"/>
        <v>16.12.2025_KLI</v>
      </c>
      <c r="D2251" s="190">
        <f t="shared" si="115"/>
        <v>5</v>
      </c>
      <c r="E2251" s="283"/>
      <c r="F2251" s="134"/>
      <c r="G2251" s="287"/>
      <c r="H2251" s="285"/>
      <c r="I2251" s="134"/>
      <c r="J2251" s="285"/>
      <c r="K2251" s="134"/>
      <c r="L2251" s="282"/>
      <c r="M2251" s="181"/>
      <c r="N2251" s="159"/>
      <c r="O2251" s="159"/>
      <c r="P2251" s="136" t="s">
        <v>459</v>
      </c>
    </row>
    <row r="2252" spans="1:16" x14ac:dyDescent="0.25">
      <c r="A2252" s="156">
        <v>46007</v>
      </c>
      <c r="B2252" s="136" t="s">
        <v>34</v>
      </c>
      <c r="C2252" s="157" t="str">
        <f t="shared" si="114"/>
        <v>16.12.2025_KRE1</v>
      </c>
      <c r="D2252" s="190">
        <f t="shared" si="115"/>
        <v>0</v>
      </c>
      <c r="E2252" s="283">
        <v>7.91</v>
      </c>
      <c r="F2252" s="134"/>
      <c r="G2252" s="135">
        <v>1164</v>
      </c>
      <c r="H2252" s="137">
        <v>11.84</v>
      </c>
      <c r="I2252" s="134"/>
      <c r="J2252" s="137">
        <v>4.04</v>
      </c>
      <c r="K2252" s="134"/>
      <c r="L2252" s="136">
        <v>35</v>
      </c>
      <c r="M2252" s="181"/>
      <c r="N2252" s="136" t="s">
        <v>460</v>
      </c>
      <c r="O2252" s="159"/>
      <c r="P2252" s="136"/>
    </row>
    <row r="2253" spans="1:16" x14ac:dyDescent="0.25">
      <c r="A2253" s="156">
        <v>46007</v>
      </c>
      <c r="B2253" s="136" t="s">
        <v>37</v>
      </c>
      <c r="C2253" s="157" t="str">
        <f t="shared" si="114"/>
        <v>16.12.2025_KRE2</v>
      </c>
      <c r="D2253" s="190">
        <f t="shared" si="115"/>
        <v>0</v>
      </c>
      <c r="E2253" s="283">
        <v>8.49</v>
      </c>
      <c r="F2253" s="134"/>
      <c r="G2253" s="135">
        <v>1163</v>
      </c>
      <c r="H2253" s="137">
        <v>12.63</v>
      </c>
      <c r="I2253" s="134"/>
      <c r="J2253" s="137">
        <v>3.83</v>
      </c>
      <c r="K2253" s="134"/>
      <c r="L2253" s="136">
        <v>25</v>
      </c>
      <c r="M2253" s="181"/>
      <c r="N2253" s="136" t="s">
        <v>460</v>
      </c>
      <c r="O2253" s="159"/>
      <c r="P2253" s="136"/>
    </row>
    <row r="2254" spans="1:16" x14ac:dyDescent="0.25">
      <c r="A2254" s="156">
        <v>46007</v>
      </c>
      <c r="B2254" s="136" t="s">
        <v>18</v>
      </c>
      <c r="C2254" s="157" t="str">
        <f t="shared" si="114"/>
        <v>16.12.2025_ORB1</v>
      </c>
      <c r="D2254" s="190">
        <f t="shared" si="115"/>
        <v>0</v>
      </c>
      <c r="E2254" s="283">
        <v>6.05</v>
      </c>
      <c r="F2254" s="134"/>
      <c r="G2254" s="135">
        <v>125</v>
      </c>
      <c r="H2254" s="137">
        <v>12.13</v>
      </c>
      <c r="I2254" s="134"/>
      <c r="J2254" s="137">
        <v>5.55</v>
      </c>
      <c r="K2254" s="134"/>
      <c r="L2254" s="136">
        <v>14.000000000000002</v>
      </c>
      <c r="M2254" s="181"/>
      <c r="N2254" s="136" t="s">
        <v>460</v>
      </c>
      <c r="O2254" s="159"/>
      <c r="P2254" s="192" t="s">
        <v>465</v>
      </c>
    </row>
    <row r="2255" spans="1:16" x14ac:dyDescent="0.25">
      <c r="A2255" s="156">
        <v>46007</v>
      </c>
      <c r="B2255" s="136" t="s">
        <v>21</v>
      </c>
      <c r="C2255" s="157" t="str">
        <f t="shared" si="114"/>
        <v>16.12.2025_ORB2</v>
      </c>
      <c r="D2255" s="190">
        <f t="shared" si="115"/>
        <v>0</v>
      </c>
      <c r="E2255" s="283">
        <v>6.02</v>
      </c>
      <c r="F2255" s="134"/>
      <c r="G2255" s="135">
        <v>209</v>
      </c>
      <c r="H2255" s="137">
        <v>11.64</v>
      </c>
      <c r="I2255" s="134"/>
      <c r="J2255" s="137">
        <v>5.0999999999999996</v>
      </c>
      <c r="K2255" s="134"/>
      <c r="L2255" s="136">
        <v>14.000000000000002</v>
      </c>
      <c r="M2255" s="181"/>
      <c r="N2255" s="136" t="s">
        <v>460</v>
      </c>
      <c r="O2255" s="159"/>
      <c r="P2255" s="192" t="s">
        <v>465</v>
      </c>
    </row>
    <row r="2256" spans="1:16" x14ac:dyDescent="0.25">
      <c r="A2256" s="156">
        <v>46007</v>
      </c>
      <c r="B2256" s="136" t="s">
        <v>10</v>
      </c>
      <c r="C2256" s="157" t="str">
        <f t="shared" si="114"/>
        <v>16.12.2025_SAL1</v>
      </c>
      <c r="D2256" s="190">
        <f t="shared" si="115"/>
        <v>0</v>
      </c>
      <c r="E2256" s="283">
        <v>6.76</v>
      </c>
      <c r="F2256" s="134"/>
      <c r="G2256" s="135">
        <v>154</v>
      </c>
      <c r="H2256" s="137">
        <v>12.85</v>
      </c>
      <c r="I2256" s="134"/>
      <c r="J2256" s="137">
        <v>4.3899999999999997</v>
      </c>
      <c r="K2256" s="134"/>
      <c r="L2256" s="136">
        <v>40</v>
      </c>
      <c r="M2256" s="181"/>
      <c r="N2256" s="136" t="s">
        <v>460</v>
      </c>
      <c r="O2256" s="159"/>
      <c r="P2256" s="192" t="s">
        <v>465</v>
      </c>
    </row>
    <row r="2257" spans="1:16" x14ac:dyDescent="0.25">
      <c r="A2257" s="156">
        <v>46007</v>
      </c>
      <c r="B2257" s="136" t="s">
        <v>12</v>
      </c>
      <c r="C2257" s="157" t="str">
        <f t="shared" si="114"/>
        <v>16.12.2025_SAL2</v>
      </c>
      <c r="D2257" s="190">
        <f t="shared" si="115"/>
        <v>0</v>
      </c>
      <c r="E2257" s="283">
        <v>7.1</v>
      </c>
      <c r="F2257" s="134"/>
      <c r="G2257" s="135">
        <v>165</v>
      </c>
      <c r="H2257" s="137">
        <v>12.82</v>
      </c>
      <c r="I2257" s="134"/>
      <c r="J2257" s="137">
        <v>4.49</v>
      </c>
      <c r="K2257" s="134"/>
      <c r="L2257" s="136">
        <v>44</v>
      </c>
      <c r="M2257" s="181"/>
      <c r="N2257" s="136" t="s">
        <v>460</v>
      </c>
      <c r="O2257" s="159"/>
      <c r="P2257" s="192" t="s">
        <v>465</v>
      </c>
    </row>
    <row r="2258" spans="1:16" x14ac:dyDescent="0.25">
      <c r="A2258" s="156">
        <v>46007</v>
      </c>
      <c r="B2258" s="136" t="s">
        <v>7</v>
      </c>
      <c r="C2258" s="157" t="str">
        <f t="shared" si="114"/>
        <v>16.12.2025_STE1</v>
      </c>
      <c r="D2258" s="190">
        <f t="shared" si="115"/>
        <v>0</v>
      </c>
      <c r="E2258" s="283">
        <v>7.04</v>
      </c>
      <c r="F2258" s="134"/>
      <c r="G2258" s="135">
        <v>213</v>
      </c>
      <c r="H2258" s="137">
        <v>12.63</v>
      </c>
      <c r="I2258" s="134"/>
      <c r="J2258" s="137">
        <v>5.08</v>
      </c>
      <c r="K2258" s="134"/>
      <c r="L2258" s="136">
        <v>27</v>
      </c>
      <c r="M2258" s="181"/>
      <c r="N2258" s="136" t="s">
        <v>460</v>
      </c>
      <c r="O2258" s="159"/>
      <c r="P2258" s="192" t="s">
        <v>465</v>
      </c>
    </row>
    <row r="2259" spans="1:16" x14ac:dyDescent="0.25">
      <c r="A2259" s="156">
        <v>46007</v>
      </c>
      <c r="B2259" s="136" t="s">
        <v>9</v>
      </c>
      <c r="C2259" s="157" t="str">
        <f t="shared" si="114"/>
        <v>16.12.2025_STE2</v>
      </c>
      <c r="D2259" s="190">
        <f t="shared" si="115"/>
        <v>0</v>
      </c>
      <c r="E2259" s="283">
        <v>6.9</v>
      </c>
      <c r="F2259" s="134"/>
      <c r="G2259" s="135">
        <v>218</v>
      </c>
      <c r="H2259" s="137">
        <v>12.15</v>
      </c>
      <c r="I2259" s="134"/>
      <c r="J2259" s="137">
        <v>4.93</v>
      </c>
      <c r="K2259" s="134"/>
      <c r="L2259" s="136">
        <v>4</v>
      </c>
      <c r="M2259" s="181"/>
      <c r="N2259" s="136" t="s">
        <v>460</v>
      </c>
      <c r="O2259" s="159"/>
      <c r="P2259" s="192" t="s">
        <v>465</v>
      </c>
    </row>
  </sheetData>
  <autoFilter ref="A3:P1944" xr:uid="{00000000-0009-0000-0000-000001000000}"/>
  <mergeCells count="7">
    <mergeCell ref="P1964:P1965"/>
    <mergeCell ref="P1960:P1961"/>
    <mergeCell ref="R1:R3"/>
    <mergeCell ref="S1:S3"/>
    <mergeCell ref="P1953:P1956"/>
    <mergeCell ref="P1947:P1948"/>
    <mergeCell ref="P1962:P1963"/>
  </mergeCells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129"/>
  <sheetViews>
    <sheetView showGridLines="0" workbookViewId="0">
      <pane ySplit="3" topLeftCell="A2092" activePane="bottomLeft" state="frozen"/>
      <selection pane="bottomLeft" activeCell="B2109" sqref="B2109:B2129"/>
    </sheetView>
  </sheetViews>
  <sheetFormatPr baseColWidth="10" defaultColWidth="11.42578125" defaultRowHeight="15.75" x14ac:dyDescent="0.25"/>
  <cols>
    <col min="1" max="1" width="13.7109375" style="1" customWidth="1"/>
    <col min="2" max="2" width="9.7109375" style="1" customWidth="1"/>
    <col min="3" max="3" width="17.7109375" style="1" customWidth="1"/>
    <col min="4" max="4" width="7.28515625" style="1" customWidth="1"/>
    <col min="5" max="5" width="11.7109375" style="4" customWidth="1"/>
    <col min="6" max="13" width="11.7109375" style="1" customWidth="1"/>
    <col min="14" max="14" width="24.7109375" style="227" customWidth="1"/>
    <col min="15" max="15" width="3.7109375" style="97" customWidth="1"/>
    <col min="16" max="16" width="15.7109375" style="195" customWidth="1"/>
    <col min="17" max="17" width="21.7109375" style="195" customWidth="1"/>
    <col min="18" max="16384" width="11.42578125" style="1"/>
  </cols>
  <sheetData>
    <row r="1" spans="1:17" s="87" customFormat="1" ht="33" customHeight="1" x14ac:dyDescent="0.25">
      <c r="A1" s="82" t="s">
        <v>179</v>
      </c>
      <c r="B1" s="81" t="s">
        <v>64</v>
      </c>
      <c r="C1" s="81" t="s">
        <v>180</v>
      </c>
      <c r="D1" s="154" t="s">
        <v>122</v>
      </c>
      <c r="E1" s="198" t="s">
        <v>66</v>
      </c>
      <c r="F1" s="82" t="s">
        <v>52</v>
      </c>
      <c r="G1" s="199" t="s">
        <v>67</v>
      </c>
      <c r="H1" s="198" t="s">
        <v>68</v>
      </c>
      <c r="I1" s="200" t="s">
        <v>69</v>
      </c>
      <c r="J1" s="82" t="s">
        <v>51</v>
      </c>
      <c r="K1" s="201" t="s">
        <v>70</v>
      </c>
      <c r="L1" s="201" t="s">
        <v>71</v>
      </c>
      <c r="M1" s="202" t="s">
        <v>50</v>
      </c>
      <c r="N1" s="228" t="s">
        <v>121</v>
      </c>
      <c r="O1" s="194"/>
      <c r="P1" s="269" t="s">
        <v>438</v>
      </c>
      <c r="Q1" s="272" t="s">
        <v>448</v>
      </c>
    </row>
    <row r="2" spans="1:17" customFormat="1" ht="12" customHeight="1" x14ac:dyDescent="0.25">
      <c r="A2" s="2"/>
      <c r="B2" s="2"/>
      <c r="C2" s="90"/>
      <c r="D2" s="90"/>
      <c r="E2" s="215" t="s">
        <v>65</v>
      </c>
      <c r="F2" s="215" t="s">
        <v>65</v>
      </c>
      <c r="G2" s="215" t="s">
        <v>65</v>
      </c>
      <c r="H2" s="215" t="s">
        <v>65</v>
      </c>
      <c r="I2" s="215" t="s">
        <v>65</v>
      </c>
      <c r="J2" s="215" t="s">
        <v>65</v>
      </c>
      <c r="K2" s="215" t="s">
        <v>65</v>
      </c>
      <c r="L2" s="215" t="s">
        <v>65</v>
      </c>
      <c r="M2" s="215" t="s">
        <v>65</v>
      </c>
      <c r="N2" s="216"/>
      <c r="O2" s="96"/>
      <c r="P2" s="270"/>
      <c r="Q2" s="273"/>
    </row>
    <row r="3" spans="1:17" customFormat="1" ht="12" customHeight="1" x14ac:dyDescent="0.25">
      <c r="A3" s="2"/>
      <c r="B3" s="2"/>
      <c r="C3" s="155" t="s">
        <v>435</v>
      </c>
      <c r="D3" s="90"/>
      <c r="E3" s="191">
        <f>COUNTBLANK(E4:E2129)</f>
        <v>7</v>
      </c>
      <c r="F3" s="191">
        <f t="shared" ref="F3:L3" si="0">COUNTBLANK(F4:F2129)</f>
        <v>6</v>
      </c>
      <c r="G3" s="191">
        <f t="shared" si="0"/>
        <v>6</v>
      </c>
      <c r="H3" s="191">
        <f t="shared" si="0"/>
        <v>7</v>
      </c>
      <c r="I3" s="191">
        <f t="shared" si="0"/>
        <v>6</v>
      </c>
      <c r="J3" s="191">
        <f t="shared" si="0"/>
        <v>6</v>
      </c>
      <c r="K3" s="191">
        <f t="shared" si="0"/>
        <v>6</v>
      </c>
      <c r="L3" s="191">
        <f t="shared" si="0"/>
        <v>6</v>
      </c>
      <c r="M3" s="214"/>
      <c r="N3" s="217"/>
      <c r="O3" s="96"/>
      <c r="P3" s="271"/>
      <c r="Q3" s="274"/>
    </row>
    <row r="4" spans="1:17" ht="16.5" customHeight="1" x14ac:dyDescent="0.25">
      <c r="A4" s="203">
        <v>44284</v>
      </c>
      <c r="B4" s="128" t="s">
        <v>22</v>
      </c>
      <c r="C4" s="157" t="str">
        <f>CONCATENATE(TEXT(A4,"TT.MM.JJJJ"),"_",B4)</f>
        <v>29.03.2021_BIE1</v>
      </c>
      <c r="D4" s="190">
        <f>COUNTBLANK(E4:L4)</f>
        <v>0</v>
      </c>
      <c r="E4" s="204">
        <v>0</v>
      </c>
      <c r="F4" s="205">
        <v>1.542556725790918E-2</v>
      </c>
      <c r="G4" s="204">
        <v>1.0610166038504643E-2</v>
      </c>
      <c r="H4" s="204">
        <v>1.1746137225877919E-2</v>
      </c>
      <c r="I4" s="206">
        <v>3.3</v>
      </c>
      <c r="J4" s="207">
        <v>0.75718579930565688</v>
      </c>
      <c r="K4" s="206">
        <v>6.4</v>
      </c>
      <c r="L4" s="206">
        <v>12</v>
      </c>
      <c r="M4" s="208"/>
      <c r="N4" s="221"/>
      <c r="O4" s="96"/>
      <c r="P4" s="96"/>
      <c r="Q4" s="96"/>
    </row>
    <row r="5" spans="1:17" ht="16.5" customHeight="1" x14ac:dyDescent="0.25">
      <c r="A5" s="203">
        <v>44284</v>
      </c>
      <c r="B5" s="128" t="s">
        <v>25</v>
      </c>
      <c r="C5" s="157" t="str">
        <f t="shared" ref="C5:C68" si="1">CONCATENATE(TEXT(A5,"TT.MM.JJJJ"),"_",B5)</f>
        <v>29.03.2021_BIE2</v>
      </c>
      <c r="D5" s="190">
        <f t="shared" ref="D5:D68" si="2">COUNTBLANK(E5:L5)</f>
        <v>0</v>
      </c>
      <c r="E5" s="204">
        <v>0.03</v>
      </c>
      <c r="F5" s="205">
        <v>1.2733410369645749E-2</v>
      </c>
      <c r="G5" s="204">
        <v>1.768361006417438E-2</v>
      </c>
      <c r="H5" s="204">
        <v>1.6150938685582136E-2</v>
      </c>
      <c r="I5" s="206">
        <v>3.8</v>
      </c>
      <c r="J5" s="207">
        <v>0.87695429966155614</v>
      </c>
      <c r="K5" s="206">
        <v>7.4</v>
      </c>
      <c r="L5" s="206">
        <v>14</v>
      </c>
      <c r="M5" s="208"/>
      <c r="N5" s="221"/>
      <c r="O5" s="96"/>
      <c r="P5" s="96"/>
      <c r="Q5" s="96"/>
    </row>
    <row r="6" spans="1:17" ht="16.5" customHeight="1" x14ac:dyDescent="0.25">
      <c r="A6" s="203">
        <v>44284</v>
      </c>
      <c r="B6" s="128" t="s">
        <v>14</v>
      </c>
      <c r="C6" s="157" t="str">
        <f t="shared" si="1"/>
        <v>29.03.2021_BRA1</v>
      </c>
      <c r="D6" s="190">
        <f t="shared" si="2"/>
        <v>0</v>
      </c>
      <c r="E6" s="204">
        <v>0.04</v>
      </c>
      <c r="F6" s="205">
        <v>3.9173159253277946E-2</v>
      </c>
      <c r="G6" s="204">
        <v>2.6525415096261582E-2</v>
      </c>
      <c r="H6" s="204">
        <v>2.0555740145286355E-2</v>
      </c>
      <c r="I6" s="206">
        <v>8.8000000000000007</v>
      </c>
      <c r="J6" s="207">
        <v>2.0145109146553288</v>
      </c>
      <c r="K6" s="206">
        <v>12</v>
      </c>
      <c r="L6" s="206">
        <v>7</v>
      </c>
      <c r="M6" s="208"/>
      <c r="N6" s="221"/>
      <c r="O6" s="96"/>
      <c r="P6" s="96"/>
      <c r="Q6" s="96"/>
    </row>
    <row r="7" spans="1:17" ht="16.5" customHeight="1" x14ac:dyDescent="0.25">
      <c r="A7" s="203">
        <v>44284</v>
      </c>
      <c r="B7" s="128" t="s">
        <v>17</v>
      </c>
      <c r="C7" s="157" t="str">
        <f t="shared" si="1"/>
        <v>29.03.2021_BRA2</v>
      </c>
      <c r="D7" s="190">
        <f t="shared" si="2"/>
        <v>0</v>
      </c>
      <c r="E7" s="204">
        <v>0.05</v>
      </c>
      <c r="F7" s="205">
        <v>4.4864311356532835E-2</v>
      </c>
      <c r="G7" s="204">
        <v>2.1220332077009258E-2</v>
      </c>
      <c r="H7" s="204">
        <v>2.0555740145286355E-2</v>
      </c>
      <c r="I7" s="206">
        <v>8.8000000000000007</v>
      </c>
      <c r="J7" s="207">
        <v>2.0103915707417093</v>
      </c>
      <c r="K7" s="206">
        <v>12</v>
      </c>
      <c r="L7" s="206">
        <v>6.5</v>
      </c>
      <c r="M7" s="208"/>
      <c r="N7" s="221"/>
      <c r="O7" s="96"/>
      <c r="P7" s="96"/>
      <c r="Q7" s="96"/>
    </row>
    <row r="8" spans="1:17" ht="16.5" customHeight="1" x14ac:dyDescent="0.25">
      <c r="A8" s="203">
        <v>44284</v>
      </c>
      <c r="B8" s="128" t="s">
        <v>30</v>
      </c>
      <c r="C8" s="157" t="str">
        <f t="shared" si="1"/>
        <v>29.03.2021_FAL1</v>
      </c>
      <c r="D8" s="190">
        <f t="shared" si="2"/>
        <v>0</v>
      </c>
      <c r="E8" s="204">
        <v>0.04</v>
      </c>
      <c r="F8" s="205">
        <v>7.1424995085232992E-2</v>
      </c>
      <c r="G8" s="204">
        <v>0.16268921259040439</v>
      </c>
      <c r="H8" s="204">
        <v>0.18940646276728143</v>
      </c>
      <c r="I8" s="206">
        <v>16</v>
      </c>
      <c r="J8" s="207">
        <v>3.7979113442738219</v>
      </c>
      <c r="K8" s="206">
        <v>64</v>
      </c>
      <c r="L8" s="206">
        <v>37</v>
      </c>
      <c r="M8" s="208"/>
      <c r="N8" s="221"/>
      <c r="O8" s="96"/>
      <c r="P8" s="96"/>
      <c r="Q8" s="96"/>
    </row>
    <row r="9" spans="1:17" ht="16.5" customHeight="1" x14ac:dyDescent="0.25">
      <c r="A9" s="203">
        <v>44284</v>
      </c>
      <c r="B9" s="128" t="s">
        <v>32</v>
      </c>
      <c r="C9" s="157" t="str">
        <f t="shared" si="1"/>
        <v>29.03.2021_FAL2</v>
      </c>
      <c r="D9" s="190">
        <f t="shared" si="2"/>
        <v>0</v>
      </c>
      <c r="E9" s="204">
        <v>0.04</v>
      </c>
      <c r="F9" s="205">
        <v>5.3058279031031629E-2</v>
      </c>
      <c r="G9" s="204">
        <v>5.1282469186105718E-2</v>
      </c>
      <c r="H9" s="204">
        <v>5.8730686129389593E-2</v>
      </c>
      <c r="I9" s="206">
        <v>14</v>
      </c>
      <c r="J9" s="207">
        <v>3.2198808818904117</v>
      </c>
      <c r="K9" s="206">
        <v>58</v>
      </c>
      <c r="L9" s="206">
        <v>36</v>
      </c>
      <c r="M9" s="208"/>
      <c r="N9" s="221"/>
      <c r="O9" s="96"/>
      <c r="P9" s="96"/>
    </row>
    <row r="10" spans="1:17" ht="16.5" customHeight="1" x14ac:dyDescent="0.25">
      <c r="A10" s="203">
        <v>44284</v>
      </c>
      <c r="B10" s="128" t="s">
        <v>26</v>
      </c>
      <c r="C10" s="157" t="str">
        <f t="shared" si="1"/>
        <v>29.03.2021_GRU1</v>
      </c>
      <c r="D10" s="190">
        <f t="shared" si="2"/>
        <v>0</v>
      </c>
      <c r="E10" s="204">
        <v>0.05</v>
      </c>
      <c r="F10" s="205">
        <v>2.084049435922547E-2</v>
      </c>
      <c r="G10" s="204">
        <v>1.9451971070591819E-2</v>
      </c>
      <c r="H10" s="204">
        <v>2.2024007298521095E-2</v>
      </c>
      <c r="I10" s="206">
        <v>4.7</v>
      </c>
      <c r="J10" s="207">
        <v>1.0833984700386385</v>
      </c>
      <c r="K10" s="206">
        <v>7.1</v>
      </c>
      <c r="L10" s="206">
        <v>14</v>
      </c>
      <c r="M10" s="208"/>
      <c r="N10" s="221"/>
      <c r="O10" s="96"/>
      <c r="P10" s="96"/>
    </row>
    <row r="11" spans="1:17" ht="16.5" customHeight="1" x14ac:dyDescent="0.25">
      <c r="A11" s="203">
        <v>44284</v>
      </c>
      <c r="B11" s="128" t="s">
        <v>28</v>
      </c>
      <c r="C11" s="157" t="str">
        <f t="shared" si="1"/>
        <v>29.03.2021_GRU2</v>
      </c>
      <c r="D11" s="190">
        <f t="shared" si="2"/>
        <v>0</v>
      </c>
      <c r="E11" s="204">
        <v>0.02</v>
      </c>
      <c r="F11" s="205">
        <v>2.157012422232913E-2</v>
      </c>
      <c r="G11" s="204">
        <v>3.5367220128348781E-2</v>
      </c>
      <c r="H11" s="204">
        <v>1.321440437911266E-2</v>
      </c>
      <c r="I11" s="206">
        <v>4.7</v>
      </c>
      <c r="J11" s="207">
        <v>1.0930744181706822</v>
      </c>
      <c r="K11" s="206">
        <v>8.8000000000000007</v>
      </c>
      <c r="L11" s="206">
        <v>13</v>
      </c>
      <c r="M11" s="208"/>
      <c r="N11" s="221"/>
      <c r="O11" s="96"/>
    </row>
    <row r="12" spans="1:17" ht="16.5" customHeight="1" x14ac:dyDescent="0.25">
      <c r="A12" s="203">
        <v>44284</v>
      </c>
      <c r="B12" s="128" t="s">
        <v>0</v>
      </c>
      <c r="C12" s="157" t="str">
        <f t="shared" si="1"/>
        <v>29.03.2021_KIN1</v>
      </c>
      <c r="D12" s="190">
        <f t="shared" si="2"/>
        <v>0</v>
      </c>
      <c r="E12" s="204">
        <v>0</v>
      </c>
      <c r="F12" s="205">
        <v>1.3189550291515691E-2</v>
      </c>
      <c r="G12" s="204">
        <v>1.768361006417438E-2</v>
      </c>
      <c r="H12" s="204">
        <v>3.0833610217929533E-2</v>
      </c>
      <c r="I12" s="206">
        <v>4.5</v>
      </c>
      <c r="J12" s="207">
        <v>1.0395334390095794</v>
      </c>
      <c r="K12" s="206">
        <v>13</v>
      </c>
      <c r="L12" s="206">
        <v>11</v>
      </c>
      <c r="M12" s="208"/>
      <c r="N12" s="221"/>
      <c r="O12" s="96"/>
    </row>
    <row r="13" spans="1:17" ht="16.5" customHeight="1" x14ac:dyDescent="0.25">
      <c r="A13" s="203">
        <v>44284</v>
      </c>
      <c r="B13" s="128" t="s">
        <v>2</v>
      </c>
      <c r="C13" s="157" t="str">
        <f t="shared" si="1"/>
        <v>29.03.2021_KIN2</v>
      </c>
      <c r="D13" s="190">
        <f t="shared" si="2"/>
        <v>0</v>
      </c>
      <c r="E13" s="204">
        <v>0.04</v>
      </c>
      <c r="F13" s="205">
        <v>1.3509070820534923E-2</v>
      </c>
      <c r="G13" s="204">
        <v>3.8903942141183666E-2</v>
      </c>
      <c r="H13" s="204">
        <v>1.0277870072643178E-2</v>
      </c>
      <c r="I13" s="206">
        <v>6.8</v>
      </c>
      <c r="J13" s="207">
        <v>1.5692536195768239</v>
      </c>
      <c r="K13" s="206">
        <v>14</v>
      </c>
      <c r="L13" s="206">
        <v>13</v>
      </c>
      <c r="M13" s="208"/>
      <c r="N13" s="221"/>
      <c r="O13" s="96"/>
    </row>
    <row r="14" spans="1:17" ht="16.5" customHeight="1" x14ac:dyDescent="0.25">
      <c r="A14" s="203">
        <v>44284</v>
      </c>
      <c r="B14" s="128" t="s">
        <v>4</v>
      </c>
      <c r="C14" s="157" t="str">
        <f t="shared" si="1"/>
        <v>29.03.2021_KIN3</v>
      </c>
      <c r="D14" s="190">
        <f t="shared" si="2"/>
        <v>0</v>
      </c>
      <c r="E14" s="204">
        <v>0.03</v>
      </c>
      <c r="F14" s="205">
        <v>1.4295786723203391E-2</v>
      </c>
      <c r="G14" s="204">
        <v>3.3598859121931342E-2</v>
      </c>
      <c r="H14" s="204">
        <v>2.0555740145286355E-2</v>
      </c>
      <c r="I14" s="206">
        <v>7.4</v>
      </c>
      <c r="J14" s="207">
        <v>1.7037853732068209</v>
      </c>
      <c r="K14" s="206">
        <v>15</v>
      </c>
      <c r="L14" s="206">
        <v>15</v>
      </c>
      <c r="M14" s="208"/>
      <c r="N14" s="221"/>
      <c r="O14" s="96"/>
    </row>
    <row r="15" spans="1:17" ht="16.5" customHeight="1" x14ac:dyDescent="0.25">
      <c r="A15" s="203">
        <v>44284</v>
      </c>
      <c r="B15" s="128" t="s">
        <v>6</v>
      </c>
      <c r="C15" s="157" t="str">
        <f t="shared" si="1"/>
        <v>29.03.2021_KIN4</v>
      </c>
      <c r="D15" s="190">
        <f t="shared" si="2"/>
        <v>0</v>
      </c>
      <c r="E15" s="204">
        <v>0</v>
      </c>
      <c r="F15" s="205">
        <v>1.6815185472116238E-2</v>
      </c>
      <c r="G15" s="204">
        <v>8.8418050320872021E-3</v>
      </c>
      <c r="H15" s="204">
        <v>2.2024007298521095E-2</v>
      </c>
      <c r="I15" s="206">
        <v>8.3000000000000007</v>
      </c>
      <c r="J15" s="207">
        <v>1.8882917822114003</v>
      </c>
      <c r="K15" s="206">
        <v>24</v>
      </c>
      <c r="L15" s="206">
        <v>16</v>
      </c>
      <c r="M15" s="208"/>
      <c r="N15" s="221"/>
      <c r="O15" s="96"/>
    </row>
    <row r="16" spans="1:17" ht="16.5" customHeight="1" x14ac:dyDescent="0.25">
      <c r="A16" s="203">
        <v>44284</v>
      </c>
      <c r="B16" s="128" t="s">
        <v>34</v>
      </c>
      <c r="C16" s="157" t="str">
        <f t="shared" si="1"/>
        <v>29.03.2021_KRE1</v>
      </c>
      <c r="D16" s="190">
        <f t="shared" si="2"/>
        <v>0</v>
      </c>
      <c r="E16" s="204">
        <v>0</v>
      </c>
      <c r="F16" s="205">
        <v>2.4511888234466477E-2</v>
      </c>
      <c r="G16" s="204">
        <v>0.32361006417439131</v>
      </c>
      <c r="H16" s="204">
        <v>0.17178725692846455</v>
      </c>
      <c r="I16" s="206">
        <v>12</v>
      </c>
      <c r="J16" s="207">
        <v>3.0140206091026438</v>
      </c>
      <c r="K16" s="206">
        <v>64</v>
      </c>
      <c r="L16" s="206">
        <v>45</v>
      </c>
      <c r="M16" s="208"/>
      <c r="N16" s="221"/>
      <c r="O16" s="96"/>
    </row>
    <row r="17" spans="1:15" ht="16.5" customHeight="1" x14ac:dyDescent="0.25">
      <c r="A17" s="203">
        <v>44284</v>
      </c>
      <c r="B17" s="128" t="s">
        <v>37</v>
      </c>
      <c r="C17" s="157" t="str">
        <f t="shared" si="1"/>
        <v>29.03.2021_KRE2</v>
      </c>
      <c r="D17" s="190">
        <f t="shared" si="2"/>
        <v>0</v>
      </c>
      <c r="E17" s="204">
        <v>0.02</v>
      </c>
      <c r="F17" s="205">
        <v>2.89456405341019E-2</v>
      </c>
      <c r="G17" s="204">
        <v>0.13793215850056023</v>
      </c>
      <c r="H17" s="204">
        <v>0.12186617371848341</v>
      </c>
      <c r="I17" s="206">
        <v>13</v>
      </c>
      <c r="J17" s="207">
        <v>3.0805150983426919</v>
      </c>
      <c r="K17" s="206">
        <v>57</v>
      </c>
      <c r="L17" s="206">
        <v>47</v>
      </c>
      <c r="M17" s="208"/>
      <c r="N17" s="221"/>
      <c r="O17" s="96"/>
    </row>
    <row r="18" spans="1:15" ht="16.5" customHeight="1" x14ac:dyDescent="0.25">
      <c r="A18" s="203">
        <v>44284</v>
      </c>
      <c r="B18" s="128" t="s">
        <v>18</v>
      </c>
      <c r="C18" s="157" t="str">
        <f t="shared" si="1"/>
        <v>29.03.2021_ORB1</v>
      </c>
      <c r="D18" s="190">
        <f t="shared" si="2"/>
        <v>0</v>
      </c>
      <c r="E18" s="204">
        <v>0</v>
      </c>
      <c r="F18" s="205">
        <v>1.5833711127139976E-2</v>
      </c>
      <c r="G18" s="204">
        <v>2.8293776102679021E-2</v>
      </c>
      <c r="H18" s="204">
        <v>1.4682671532347395E-2</v>
      </c>
      <c r="I18" s="206">
        <v>6.8</v>
      </c>
      <c r="J18" s="207">
        <v>1.5623559735539922</v>
      </c>
      <c r="K18" s="206">
        <v>8.5</v>
      </c>
      <c r="L18" s="206">
        <v>16</v>
      </c>
      <c r="M18" s="208"/>
      <c r="N18" s="221"/>
      <c r="O18" s="96"/>
    </row>
    <row r="19" spans="1:15" ht="16.5" customHeight="1" x14ac:dyDescent="0.25">
      <c r="A19" s="203">
        <v>44284</v>
      </c>
      <c r="B19" s="128" t="s">
        <v>21</v>
      </c>
      <c r="C19" s="157" t="str">
        <f t="shared" si="1"/>
        <v>29.03.2021_ORB2</v>
      </c>
      <c r="D19" s="190">
        <f t="shared" si="2"/>
        <v>0</v>
      </c>
      <c r="E19" s="204">
        <v>0.03</v>
      </c>
      <c r="F19" s="205">
        <v>1.6639021755914921E-2</v>
      </c>
      <c r="G19" s="204">
        <v>3.713558113476622E-2</v>
      </c>
      <c r="H19" s="204">
        <v>1.0277870072643178E-2</v>
      </c>
      <c r="I19" s="206">
        <v>6.2</v>
      </c>
      <c r="J19" s="207">
        <v>1.4323585049389507</v>
      </c>
      <c r="K19" s="206">
        <v>12</v>
      </c>
      <c r="L19" s="206">
        <v>17</v>
      </c>
      <c r="M19" s="208"/>
      <c r="N19" s="221"/>
      <c r="O19" s="96"/>
    </row>
    <row r="20" spans="1:15" ht="16.5" customHeight="1" x14ac:dyDescent="0.25">
      <c r="A20" s="203">
        <v>44284</v>
      </c>
      <c r="B20" s="128" t="s">
        <v>10</v>
      </c>
      <c r="C20" s="157" t="str">
        <f t="shared" si="1"/>
        <v>29.03.2021_SAL1</v>
      </c>
      <c r="D20" s="190">
        <f t="shared" si="2"/>
        <v>0</v>
      </c>
      <c r="E20" s="204">
        <v>0.03</v>
      </c>
      <c r="F20" s="205">
        <v>3.7441506375133889E-2</v>
      </c>
      <c r="G20" s="204">
        <v>3.3598859121931342E-2</v>
      </c>
      <c r="H20" s="204">
        <v>3.3770144524399012E-2</v>
      </c>
      <c r="I20" s="206">
        <v>6.7</v>
      </c>
      <c r="J20" s="207">
        <v>1.5496994986200416</v>
      </c>
      <c r="K20" s="206">
        <v>10</v>
      </c>
      <c r="L20" s="206">
        <v>7</v>
      </c>
      <c r="M20" s="208"/>
      <c r="N20" s="221"/>
      <c r="O20" s="96"/>
    </row>
    <row r="21" spans="1:15" ht="16.5" customHeight="1" x14ac:dyDescent="0.25">
      <c r="A21" s="203">
        <v>44284</v>
      </c>
      <c r="B21" s="128" t="s">
        <v>12</v>
      </c>
      <c r="C21" s="157" t="str">
        <f t="shared" si="1"/>
        <v>29.03.2021_SAL2</v>
      </c>
      <c r="D21" s="190">
        <f t="shared" si="2"/>
        <v>0</v>
      </c>
      <c r="E21" s="204">
        <v>0</v>
      </c>
      <c r="F21" s="205">
        <v>2.3065520390857134E-2</v>
      </c>
      <c r="G21" s="204">
        <v>3.5367220128348807E-3</v>
      </c>
      <c r="H21" s="204">
        <v>0.1512315167831782</v>
      </c>
      <c r="I21" s="206">
        <v>6.3</v>
      </c>
      <c r="J21" s="207">
        <v>1.4717696645603846</v>
      </c>
      <c r="K21" s="206">
        <v>10</v>
      </c>
      <c r="L21" s="206">
        <v>6.8</v>
      </c>
      <c r="M21" s="208"/>
      <c r="N21" s="221"/>
      <c r="O21" s="96"/>
    </row>
    <row r="22" spans="1:15" ht="16.5" customHeight="1" x14ac:dyDescent="0.25">
      <c r="A22" s="203">
        <v>44284</v>
      </c>
      <c r="B22" s="128" t="s">
        <v>7</v>
      </c>
      <c r="C22" s="157" t="str">
        <f t="shared" si="1"/>
        <v>29.03.2021_STE1</v>
      </c>
      <c r="D22" s="190">
        <f t="shared" si="2"/>
        <v>0</v>
      </c>
      <c r="E22" s="204">
        <v>0</v>
      </c>
      <c r="F22" s="205">
        <v>2.2135019098040415E-2</v>
      </c>
      <c r="G22" s="204">
        <v>2.1220332077009258E-2</v>
      </c>
      <c r="H22" s="204">
        <v>2.7897075911460061E-2</v>
      </c>
      <c r="I22" s="206">
        <v>8.3000000000000007</v>
      </c>
      <c r="J22" s="207">
        <v>1.8996916404157211</v>
      </c>
      <c r="K22" s="206">
        <v>11</v>
      </c>
      <c r="L22" s="206">
        <v>8.4</v>
      </c>
      <c r="M22" s="208"/>
      <c r="N22" s="221"/>
      <c r="O22" s="96"/>
    </row>
    <row r="23" spans="1:15" ht="16.5" customHeight="1" x14ac:dyDescent="0.25">
      <c r="A23" s="203">
        <v>44284</v>
      </c>
      <c r="B23" s="128" t="s">
        <v>9</v>
      </c>
      <c r="C23" s="157" t="str">
        <f t="shared" si="1"/>
        <v>29.03.2021_STE2</v>
      </c>
      <c r="D23" s="190">
        <f t="shared" si="2"/>
        <v>0</v>
      </c>
      <c r="E23" s="204">
        <v>0.04</v>
      </c>
      <c r="F23" s="205">
        <v>1.8810991757394452E-2</v>
      </c>
      <c r="G23" s="204">
        <v>4.2440664154018544E-2</v>
      </c>
      <c r="H23" s="204">
        <v>3.0833610217929533E-2</v>
      </c>
      <c r="I23" s="206">
        <v>7</v>
      </c>
      <c r="J23" s="207">
        <v>1.6234320439398024</v>
      </c>
      <c r="K23" s="206">
        <v>11</v>
      </c>
      <c r="L23" s="206">
        <v>7.8</v>
      </c>
      <c r="M23" s="208"/>
      <c r="N23" s="221"/>
      <c r="O23" s="96"/>
    </row>
    <row r="24" spans="1:15" ht="16.5" customHeight="1" x14ac:dyDescent="0.25">
      <c r="A24" s="203">
        <v>44300</v>
      </c>
      <c r="B24" s="128" t="s">
        <v>22</v>
      </c>
      <c r="C24" s="157" t="str">
        <f t="shared" si="1"/>
        <v>14.04.2021_BIE1</v>
      </c>
      <c r="D24" s="190">
        <f t="shared" si="2"/>
        <v>0</v>
      </c>
      <c r="E24" s="204">
        <v>0.04</v>
      </c>
      <c r="F24" s="205">
        <v>5.6630646196994067E-2</v>
      </c>
      <c r="G24" s="204">
        <v>0.91424264031781588</v>
      </c>
      <c r="H24" s="204">
        <v>1.0277870072643178E-2</v>
      </c>
      <c r="I24" s="206">
        <v>4.0999999999999996</v>
      </c>
      <c r="J24" s="207">
        <v>1.6390963653239969</v>
      </c>
      <c r="K24" s="206">
        <v>9.5</v>
      </c>
      <c r="L24" s="206">
        <v>15</v>
      </c>
      <c r="M24" s="208"/>
      <c r="N24" s="221"/>
    </row>
    <row r="25" spans="1:15" ht="16.5" customHeight="1" x14ac:dyDescent="0.25">
      <c r="A25" s="203">
        <v>44300</v>
      </c>
      <c r="B25" s="128" t="s">
        <v>25</v>
      </c>
      <c r="C25" s="157" t="str">
        <f t="shared" si="1"/>
        <v>14.04.2021_BIE2</v>
      </c>
      <c r="D25" s="190">
        <f t="shared" si="2"/>
        <v>0</v>
      </c>
      <c r="E25" s="204">
        <v>0.02</v>
      </c>
      <c r="F25" s="205">
        <v>1.3921461292022751E-2</v>
      </c>
      <c r="G25" s="204">
        <v>3.1830498115513903E-2</v>
      </c>
      <c r="H25" s="204">
        <v>1.0277870072643178E-2</v>
      </c>
      <c r="I25" s="206">
        <v>4</v>
      </c>
      <c r="J25" s="207">
        <v>0.93132516102533158</v>
      </c>
      <c r="K25" s="206">
        <v>10</v>
      </c>
      <c r="L25" s="206">
        <v>15</v>
      </c>
      <c r="M25" s="208"/>
      <c r="N25" s="221"/>
    </row>
    <row r="26" spans="1:15" ht="16.5" customHeight="1" x14ac:dyDescent="0.25">
      <c r="A26" s="203">
        <v>44300</v>
      </c>
      <c r="B26" s="128" t="s">
        <v>14</v>
      </c>
      <c r="C26" s="157" t="str">
        <f t="shared" si="1"/>
        <v>14.04.2021_BRA1</v>
      </c>
      <c r="D26" s="190">
        <f t="shared" si="2"/>
        <v>0</v>
      </c>
      <c r="E26" s="204">
        <v>0.02</v>
      </c>
      <c r="F26" s="205">
        <v>2.676801146851859E-2</v>
      </c>
      <c r="G26" s="204">
        <v>2.2988693083426701E-2</v>
      </c>
      <c r="H26" s="204">
        <v>2.3492274451755838E-2</v>
      </c>
      <c r="I26" s="206">
        <v>7.1</v>
      </c>
      <c r="J26" s="207">
        <v>1.6286797132491868</v>
      </c>
      <c r="K26" s="206">
        <v>13</v>
      </c>
      <c r="L26" s="206">
        <v>5.8</v>
      </c>
      <c r="M26" s="208"/>
      <c r="N26" s="221"/>
    </row>
    <row r="27" spans="1:15" ht="16.5" customHeight="1" x14ac:dyDescent="0.25">
      <c r="A27" s="203">
        <v>44300</v>
      </c>
      <c r="B27" s="128" t="s">
        <v>17</v>
      </c>
      <c r="C27" s="157" t="str">
        <f t="shared" si="1"/>
        <v>14.04.2021_BRA2</v>
      </c>
      <c r="D27" s="190">
        <f t="shared" si="2"/>
        <v>0</v>
      </c>
      <c r="E27" s="204">
        <v>0.02</v>
      </c>
      <c r="F27" s="205">
        <v>3.1300479413241218E-2</v>
      </c>
      <c r="G27" s="204">
        <v>0.91954772333706825</v>
      </c>
      <c r="H27" s="204">
        <v>3.3770144524399012E-2</v>
      </c>
      <c r="I27" s="206">
        <v>9.6999999999999993</v>
      </c>
      <c r="J27" s="207">
        <v>2.9152399321944533</v>
      </c>
      <c r="K27" s="206">
        <v>18</v>
      </c>
      <c r="L27" s="206">
        <v>7.2</v>
      </c>
      <c r="M27" s="208"/>
      <c r="N27" s="221"/>
    </row>
    <row r="28" spans="1:15" ht="16.5" customHeight="1" x14ac:dyDescent="0.25">
      <c r="A28" s="203">
        <v>44300</v>
      </c>
      <c r="B28" s="128" t="s">
        <v>30</v>
      </c>
      <c r="C28" s="157" t="str">
        <f t="shared" si="1"/>
        <v>14.04.2021_FAL1</v>
      </c>
      <c r="D28" s="190">
        <f t="shared" si="2"/>
        <v>0</v>
      </c>
      <c r="E28" s="204">
        <v>0.05</v>
      </c>
      <c r="F28" s="205">
        <v>5.9193312822837199E-2</v>
      </c>
      <c r="G28" s="204">
        <v>0.15384740755831719</v>
      </c>
      <c r="H28" s="204">
        <v>0.1512315167831782</v>
      </c>
      <c r="I28" s="206">
        <v>14</v>
      </c>
      <c r="J28" s="207">
        <v>3.3276834087795959</v>
      </c>
      <c r="K28" s="206">
        <v>59</v>
      </c>
      <c r="L28" s="206">
        <v>33</v>
      </c>
      <c r="M28" s="208"/>
      <c r="N28" s="221"/>
    </row>
    <row r="29" spans="1:15" ht="16.5" customHeight="1" x14ac:dyDescent="0.25">
      <c r="A29" s="203">
        <v>44300</v>
      </c>
      <c r="B29" s="128" t="s">
        <v>32</v>
      </c>
      <c r="C29" s="157" t="str">
        <f t="shared" si="1"/>
        <v>14.04.2021_FAL2</v>
      </c>
      <c r="D29" s="190">
        <f t="shared" si="2"/>
        <v>0</v>
      </c>
      <c r="E29" s="204">
        <v>0.03</v>
      </c>
      <c r="F29" s="205">
        <v>5.965933076091761E-2</v>
      </c>
      <c r="G29" s="204">
        <v>5.8355913211775481E-2</v>
      </c>
      <c r="H29" s="204">
        <v>8.2222960581145421E-2</v>
      </c>
      <c r="I29" s="206">
        <v>15</v>
      </c>
      <c r="J29" s="207">
        <v>3.4583955633987413</v>
      </c>
      <c r="K29" s="206">
        <v>57</v>
      </c>
      <c r="L29" s="206">
        <v>33</v>
      </c>
      <c r="M29" s="208"/>
      <c r="N29" s="221"/>
    </row>
    <row r="30" spans="1:15" ht="16.5" customHeight="1" x14ac:dyDescent="0.25">
      <c r="A30" s="203">
        <v>44300</v>
      </c>
      <c r="B30" s="128" t="s">
        <v>26</v>
      </c>
      <c r="C30" s="157" t="str">
        <f t="shared" si="1"/>
        <v>14.04.2021_GRU1</v>
      </c>
      <c r="D30" s="190">
        <f t="shared" si="2"/>
        <v>0</v>
      </c>
      <c r="E30" s="204">
        <v>0.03</v>
      </c>
      <c r="F30" s="205">
        <v>2.467530523135911E-2</v>
      </c>
      <c r="G30" s="204">
        <v>3.8903942141183666E-2</v>
      </c>
      <c r="H30" s="204">
        <v>1.9087472992051619E-2</v>
      </c>
      <c r="I30" s="206">
        <v>4.7</v>
      </c>
      <c r="J30" s="207">
        <v>1.0976087031856379</v>
      </c>
      <c r="K30" s="206">
        <v>12</v>
      </c>
      <c r="L30" s="206">
        <v>14</v>
      </c>
      <c r="M30" s="208"/>
      <c r="N30" s="221"/>
    </row>
    <row r="31" spans="1:15" ht="16.5" customHeight="1" x14ac:dyDescent="0.25">
      <c r="A31" s="203">
        <v>44300</v>
      </c>
      <c r="B31" s="128" t="s">
        <v>28</v>
      </c>
      <c r="C31" s="157" t="str">
        <f t="shared" si="1"/>
        <v>14.04.2021_GRU2</v>
      </c>
      <c r="D31" s="190">
        <f t="shared" si="2"/>
        <v>0</v>
      </c>
      <c r="E31" s="204">
        <v>0</v>
      </c>
      <c r="F31" s="205">
        <v>1.8475051647429151E-2</v>
      </c>
      <c r="G31" s="204">
        <v>0.75509014974024635</v>
      </c>
      <c r="H31" s="204">
        <v>1.9087472992051619E-2</v>
      </c>
      <c r="I31" s="206">
        <v>4.4000000000000004</v>
      </c>
      <c r="J31" s="207">
        <v>1.5859591315242341</v>
      </c>
      <c r="K31" s="206">
        <v>13</v>
      </c>
      <c r="L31" s="206">
        <v>13</v>
      </c>
      <c r="M31" s="208"/>
      <c r="N31" s="221"/>
    </row>
    <row r="32" spans="1:15" ht="16.5" customHeight="1" x14ac:dyDescent="0.25">
      <c r="A32" s="203">
        <v>44300</v>
      </c>
      <c r="B32" s="128" t="s">
        <v>0</v>
      </c>
      <c r="C32" s="157" t="str">
        <f t="shared" si="1"/>
        <v>14.04.2021_KIN1</v>
      </c>
      <c r="D32" s="190">
        <f t="shared" si="2"/>
        <v>0</v>
      </c>
      <c r="E32" s="204">
        <v>0</v>
      </c>
      <c r="F32" s="205">
        <v>1.561771506518864E-2</v>
      </c>
      <c r="G32" s="204">
        <v>8.8418050320872021E-3</v>
      </c>
      <c r="H32" s="204">
        <v>1.7619205838816879E-2</v>
      </c>
      <c r="I32" s="206">
        <v>4.8</v>
      </c>
      <c r="J32" s="207">
        <v>1.0964057404069931</v>
      </c>
      <c r="K32" s="206">
        <v>12</v>
      </c>
      <c r="L32" s="206">
        <v>13</v>
      </c>
      <c r="M32" s="208"/>
      <c r="N32" s="221"/>
    </row>
    <row r="33" spans="1:14" ht="16.5" customHeight="1" x14ac:dyDescent="0.25">
      <c r="A33" s="203">
        <v>44300</v>
      </c>
      <c r="B33" s="128" t="s">
        <v>2</v>
      </c>
      <c r="C33" s="157" t="str">
        <f t="shared" si="1"/>
        <v>14.04.2021_KIN2</v>
      </c>
      <c r="D33" s="190">
        <f t="shared" si="2"/>
        <v>0</v>
      </c>
      <c r="E33" s="204">
        <v>0</v>
      </c>
      <c r="F33" s="205">
        <v>2.2311929368301026E-2</v>
      </c>
      <c r="G33" s="204">
        <v>3.1830498115513903E-2</v>
      </c>
      <c r="H33" s="204">
        <v>1.6150938685582136E-2</v>
      </c>
      <c r="I33" s="206">
        <v>6.6</v>
      </c>
      <c r="J33" s="207">
        <v>1.5203752167645406</v>
      </c>
      <c r="K33" s="206">
        <v>14</v>
      </c>
      <c r="L33" s="206">
        <v>14</v>
      </c>
      <c r="M33" s="208"/>
      <c r="N33" s="221"/>
    </row>
    <row r="34" spans="1:14" ht="16.5" customHeight="1" x14ac:dyDescent="0.25">
      <c r="A34" s="203">
        <v>44300</v>
      </c>
      <c r="B34" s="128" t="s">
        <v>4</v>
      </c>
      <c r="C34" s="157" t="str">
        <f t="shared" si="1"/>
        <v>14.04.2021_KIN3</v>
      </c>
      <c r="D34" s="190">
        <f t="shared" si="2"/>
        <v>0</v>
      </c>
      <c r="E34" s="204">
        <v>0</v>
      </c>
      <c r="F34" s="205">
        <v>1.0887599237447252E-2</v>
      </c>
      <c r="G34" s="204">
        <v>0.55526535601507576</v>
      </c>
      <c r="H34" s="204">
        <v>2.3492274451755838E-2</v>
      </c>
      <c r="I34" s="206">
        <v>6.4</v>
      </c>
      <c r="J34" s="207">
        <v>1.8838782192489831</v>
      </c>
      <c r="K34" s="206">
        <v>16</v>
      </c>
      <c r="L34" s="206">
        <v>17</v>
      </c>
      <c r="M34" s="208"/>
      <c r="N34" s="221"/>
    </row>
    <row r="35" spans="1:14" ht="16.5" customHeight="1" x14ac:dyDescent="0.25">
      <c r="A35" s="203">
        <v>44300</v>
      </c>
      <c r="B35" s="128" t="s">
        <v>6</v>
      </c>
      <c r="C35" s="157" t="str">
        <f t="shared" si="1"/>
        <v>14.04.2021_KIN4</v>
      </c>
      <c r="D35" s="190">
        <f t="shared" si="2"/>
        <v>0</v>
      </c>
      <c r="E35" s="204">
        <v>0.02</v>
      </c>
      <c r="F35" s="205">
        <v>1.4571905732899003E-2</v>
      </c>
      <c r="G35" s="204">
        <v>3.8903942141183666E-2</v>
      </c>
      <c r="H35" s="204">
        <v>2.4960541604990578E-2</v>
      </c>
      <c r="I35" s="206">
        <v>6.7</v>
      </c>
      <c r="J35" s="207">
        <v>1.551136758924847</v>
      </c>
      <c r="K35" s="206">
        <v>30</v>
      </c>
      <c r="L35" s="206">
        <v>17</v>
      </c>
      <c r="M35" s="208"/>
      <c r="N35" s="221"/>
    </row>
    <row r="36" spans="1:14" ht="16.5" customHeight="1" x14ac:dyDescent="0.25">
      <c r="A36" s="203">
        <v>44300</v>
      </c>
      <c r="B36" s="128" t="s">
        <v>34</v>
      </c>
      <c r="C36" s="157" t="str">
        <f t="shared" si="1"/>
        <v>14.04.2021_KRE1</v>
      </c>
      <c r="D36" s="190">
        <f t="shared" si="2"/>
        <v>0</v>
      </c>
      <c r="E36" s="204">
        <v>0</v>
      </c>
      <c r="F36" s="205">
        <v>2.1438064800106016E-2</v>
      </c>
      <c r="G36" s="204">
        <v>3.8903942141183666E-2</v>
      </c>
      <c r="H36" s="204">
        <v>1.321440437911266E-2</v>
      </c>
      <c r="I36" s="206">
        <v>6.4</v>
      </c>
      <c r="J36" s="207">
        <v>1.4797996474464286</v>
      </c>
      <c r="K36" s="206">
        <v>16</v>
      </c>
      <c r="L36" s="206">
        <v>18</v>
      </c>
      <c r="M36" s="208"/>
      <c r="N36" s="221"/>
    </row>
    <row r="37" spans="1:14" ht="16.5" customHeight="1" x14ac:dyDescent="0.25">
      <c r="A37" s="203">
        <v>44300</v>
      </c>
      <c r="B37" s="128" t="s">
        <v>37</v>
      </c>
      <c r="C37" s="157" t="str">
        <f t="shared" si="1"/>
        <v>14.04.2021_KRE2</v>
      </c>
      <c r="D37" s="190">
        <f t="shared" si="2"/>
        <v>0</v>
      </c>
      <c r="E37" s="204">
        <v>0.04</v>
      </c>
      <c r="F37" s="205">
        <v>4.9521207281983573E-2</v>
      </c>
      <c r="G37" s="204">
        <v>8.3112967301619628E-2</v>
      </c>
      <c r="H37" s="204">
        <v>4.9921083209981156E-2</v>
      </c>
      <c r="I37" s="206">
        <v>12</v>
      </c>
      <c r="J37" s="207">
        <v>2.7901748617633131</v>
      </c>
      <c r="K37" s="206">
        <v>67</v>
      </c>
      <c r="L37" s="206">
        <v>48</v>
      </c>
      <c r="M37" s="208"/>
      <c r="N37" s="221"/>
    </row>
    <row r="38" spans="1:14" ht="16.5" customHeight="1" x14ac:dyDescent="0.25">
      <c r="A38" s="203">
        <v>44300</v>
      </c>
      <c r="B38" s="128" t="s">
        <v>18</v>
      </c>
      <c r="C38" s="157" t="str">
        <f t="shared" si="1"/>
        <v>14.04.2021_ORB1</v>
      </c>
      <c r="D38" s="190">
        <f t="shared" si="2"/>
        <v>0</v>
      </c>
      <c r="E38" s="204">
        <v>0.02</v>
      </c>
      <c r="F38" s="205">
        <v>2.5505899618444638E-2</v>
      </c>
      <c r="G38" s="204">
        <v>0.99735560761943554</v>
      </c>
      <c r="H38" s="204">
        <v>2.0555740145286355E-2</v>
      </c>
      <c r="I38" s="206">
        <v>5.9</v>
      </c>
      <c r="J38" s="207">
        <v>2.1133278508476478</v>
      </c>
      <c r="K38" s="206">
        <v>10</v>
      </c>
      <c r="L38" s="206">
        <v>17</v>
      </c>
      <c r="M38" s="208"/>
      <c r="N38" s="221"/>
    </row>
    <row r="39" spans="1:14" ht="16.5" customHeight="1" x14ac:dyDescent="0.25">
      <c r="A39" s="203">
        <v>44300</v>
      </c>
      <c r="B39" s="128" t="s">
        <v>21</v>
      </c>
      <c r="C39" s="157" t="str">
        <f t="shared" si="1"/>
        <v>14.04.2021_ORB2</v>
      </c>
      <c r="D39" s="190">
        <f t="shared" si="2"/>
        <v>0</v>
      </c>
      <c r="E39" s="204">
        <v>0</v>
      </c>
      <c r="F39" s="205">
        <v>2.9327346251245247E-2</v>
      </c>
      <c r="G39" s="204">
        <v>1.0327228277477845</v>
      </c>
      <c r="H39" s="204">
        <v>0.10131043357319705</v>
      </c>
      <c r="I39" s="206">
        <v>9.6</v>
      </c>
      <c r="J39" s="207">
        <v>3.0010949100192366</v>
      </c>
      <c r="K39" s="206">
        <v>68</v>
      </c>
      <c r="L39" s="206">
        <v>42</v>
      </c>
      <c r="M39" s="208"/>
      <c r="N39" s="221"/>
    </row>
    <row r="40" spans="1:14" ht="16.5" customHeight="1" x14ac:dyDescent="0.25">
      <c r="A40" s="203">
        <v>44300</v>
      </c>
      <c r="B40" s="128" t="s">
        <v>10</v>
      </c>
      <c r="C40" s="157" t="str">
        <f t="shared" si="1"/>
        <v>14.04.2021_SAL1</v>
      </c>
      <c r="D40" s="190">
        <f t="shared" si="2"/>
        <v>0</v>
      </c>
      <c r="E40" s="204">
        <v>0.04</v>
      </c>
      <c r="F40" s="205">
        <v>3.2789460746889362E-2</v>
      </c>
      <c r="G40" s="204">
        <v>2.2988693083426701E-2</v>
      </c>
      <c r="H40" s="204">
        <v>3.9643213137337971E-2</v>
      </c>
      <c r="I40" s="206">
        <v>5.6</v>
      </c>
      <c r="J40" s="207">
        <v>1.2947918665320124</v>
      </c>
      <c r="K40" s="206">
        <v>15</v>
      </c>
      <c r="L40" s="206">
        <v>6.6</v>
      </c>
      <c r="M40" s="208"/>
      <c r="N40" s="221"/>
    </row>
    <row r="41" spans="1:14" ht="16.5" customHeight="1" x14ac:dyDescent="0.25">
      <c r="A41" s="203">
        <v>44300</v>
      </c>
      <c r="B41" s="128" t="s">
        <v>12</v>
      </c>
      <c r="C41" s="157" t="str">
        <f t="shared" si="1"/>
        <v>14.04.2021_SAL2</v>
      </c>
      <c r="D41" s="190">
        <f t="shared" si="2"/>
        <v>0</v>
      </c>
      <c r="E41" s="204">
        <v>0.02</v>
      </c>
      <c r="F41" s="205">
        <v>2.7833648262784217E-2</v>
      </c>
      <c r="G41" s="204">
        <v>3.3598859121931342E-2</v>
      </c>
      <c r="H41" s="204">
        <v>3.0833610217929533E-2</v>
      </c>
      <c r="I41" s="206">
        <v>5</v>
      </c>
      <c r="J41" s="207">
        <v>1.164826470750437</v>
      </c>
      <c r="K41" s="206">
        <v>16</v>
      </c>
      <c r="L41" s="206">
        <v>7</v>
      </c>
      <c r="M41" s="208"/>
      <c r="N41" s="221"/>
    </row>
    <row r="42" spans="1:14" ht="16.5" customHeight="1" x14ac:dyDescent="0.25">
      <c r="A42" s="203">
        <v>44300</v>
      </c>
      <c r="B42" s="128" t="s">
        <v>7</v>
      </c>
      <c r="C42" s="157" t="str">
        <f t="shared" si="1"/>
        <v>14.04.2021_STE1</v>
      </c>
      <c r="D42" s="190">
        <f t="shared" si="2"/>
        <v>0</v>
      </c>
      <c r="E42" s="204">
        <v>0</v>
      </c>
      <c r="F42" s="205">
        <v>3.268301227642257E-2</v>
      </c>
      <c r="G42" s="204">
        <v>2.8293776102679021E-2</v>
      </c>
      <c r="H42" s="204">
        <v>4.257974744380745E-2</v>
      </c>
      <c r="I42" s="206">
        <v>6.5</v>
      </c>
      <c r="J42" s="207">
        <v>1.5030882383152364</v>
      </c>
      <c r="K42" s="206">
        <v>14</v>
      </c>
      <c r="L42" s="206">
        <v>8.6999999999999993</v>
      </c>
      <c r="M42" s="208"/>
      <c r="N42" s="221"/>
    </row>
    <row r="43" spans="1:14" ht="16.5" customHeight="1" x14ac:dyDescent="0.25">
      <c r="A43" s="203">
        <v>44300</v>
      </c>
      <c r="B43" s="128" t="s">
        <v>9</v>
      </c>
      <c r="C43" s="157" t="str">
        <f t="shared" si="1"/>
        <v>14.04.2021_STE2</v>
      </c>
      <c r="D43" s="190">
        <f t="shared" si="2"/>
        <v>0</v>
      </c>
      <c r="E43" s="204">
        <v>0</v>
      </c>
      <c r="F43" s="205">
        <v>1.9276505080231078E-2</v>
      </c>
      <c r="G43" s="204">
        <v>0.82582458999694397</v>
      </c>
      <c r="H43" s="204">
        <v>4.1111480290572711E-2</v>
      </c>
      <c r="I43" s="206">
        <v>6.1</v>
      </c>
      <c r="J43" s="207">
        <v>2.0315679260611916</v>
      </c>
      <c r="K43" s="206">
        <v>16</v>
      </c>
      <c r="L43" s="206">
        <v>8.8000000000000007</v>
      </c>
      <c r="M43" s="208"/>
      <c r="N43" s="221"/>
    </row>
    <row r="44" spans="1:14" ht="16.5" customHeight="1" x14ac:dyDescent="0.25">
      <c r="A44" s="203">
        <v>44314</v>
      </c>
      <c r="B44" s="128" t="s">
        <v>22</v>
      </c>
      <c r="C44" s="157" t="str">
        <f t="shared" si="1"/>
        <v>28.04.2021_BIE1</v>
      </c>
      <c r="D44" s="190">
        <f t="shared" si="2"/>
        <v>0</v>
      </c>
      <c r="E44" s="204">
        <v>0</v>
      </c>
      <c r="F44" s="205">
        <v>2.5250105299242334E-2</v>
      </c>
      <c r="G44" s="204">
        <v>0.83404255319148934</v>
      </c>
      <c r="H44" s="204">
        <v>1.8205440329603442E-2</v>
      </c>
      <c r="I44" s="209">
        <v>6.407</v>
      </c>
      <c r="J44" s="207">
        <v>2.100317438436007</v>
      </c>
      <c r="K44" s="206">
        <v>7.62</v>
      </c>
      <c r="L44" s="206">
        <v>15</v>
      </c>
      <c r="M44" s="208"/>
      <c r="N44" s="221"/>
    </row>
    <row r="45" spans="1:14" ht="16.5" customHeight="1" x14ac:dyDescent="0.25">
      <c r="A45" s="203">
        <v>44314</v>
      </c>
      <c r="B45" s="128" t="s">
        <v>25</v>
      </c>
      <c r="C45" s="157" t="str">
        <f t="shared" si="1"/>
        <v>28.04.2021_BIE2</v>
      </c>
      <c r="D45" s="190">
        <f t="shared" si="2"/>
        <v>0</v>
      </c>
      <c r="E45" s="204">
        <v>0</v>
      </c>
      <c r="F45" s="205">
        <v>2.1101096446372737E-2</v>
      </c>
      <c r="G45" s="204">
        <v>1.895551257253383E-2</v>
      </c>
      <c r="H45" s="204">
        <v>1.8205440329603442E-2</v>
      </c>
      <c r="I45" s="209">
        <v>4.1260000000000003</v>
      </c>
      <c r="J45" s="207">
        <v>0.95220103226579456</v>
      </c>
      <c r="K45" s="206">
        <v>8.6419999999999995</v>
      </c>
      <c r="L45" s="206">
        <v>15</v>
      </c>
      <c r="M45" s="208"/>
      <c r="N45" s="221"/>
    </row>
    <row r="46" spans="1:14" ht="16.5" customHeight="1" x14ac:dyDescent="0.25">
      <c r="A46" s="203">
        <v>44314</v>
      </c>
      <c r="B46" s="128" t="s">
        <v>14</v>
      </c>
      <c r="C46" s="157" t="str">
        <f t="shared" si="1"/>
        <v>28.04.2021_BRA1</v>
      </c>
      <c r="D46" s="190">
        <f t="shared" si="2"/>
        <v>0</v>
      </c>
      <c r="E46" s="204">
        <v>0</v>
      </c>
      <c r="F46" s="205">
        <v>5.2283659113907505E-2</v>
      </c>
      <c r="G46" s="204">
        <v>3.7911025145067695E-2</v>
      </c>
      <c r="H46" s="204">
        <v>3.1445760569315036E-2</v>
      </c>
      <c r="I46" s="209">
        <v>5.859</v>
      </c>
      <c r="J46" s="207">
        <v>1.3623835237202215</v>
      </c>
      <c r="K46" s="206">
        <v>8.7260000000000009</v>
      </c>
      <c r="L46" s="206">
        <v>5.4480000000000004</v>
      </c>
      <c r="M46" s="208"/>
      <c r="N46" s="221"/>
    </row>
    <row r="47" spans="1:14" ht="16.5" customHeight="1" x14ac:dyDescent="0.25">
      <c r="A47" s="203">
        <v>44314</v>
      </c>
      <c r="B47" s="128" t="s">
        <v>17</v>
      </c>
      <c r="C47" s="157" t="str">
        <f t="shared" si="1"/>
        <v>28.04.2021_BRA2</v>
      </c>
      <c r="D47" s="190">
        <f t="shared" si="2"/>
        <v>0</v>
      </c>
      <c r="E47" s="204">
        <v>2.2451453099115594E-2</v>
      </c>
      <c r="F47" s="205">
        <v>7.0627697959662589E-2</v>
      </c>
      <c r="G47" s="204">
        <v>0.5957446808510638</v>
      </c>
      <c r="H47" s="204">
        <v>3.9720960719134786E-2</v>
      </c>
      <c r="I47" s="209">
        <v>10.948</v>
      </c>
      <c r="J47" s="207">
        <v>2.9475075937249828</v>
      </c>
      <c r="K47" s="206">
        <v>13.193</v>
      </c>
      <c r="L47" s="206">
        <v>6.8490000000000002</v>
      </c>
      <c r="M47" s="208"/>
      <c r="N47" s="221"/>
    </row>
    <row r="48" spans="1:14" ht="16.5" customHeight="1" x14ac:dyDescent="0.25">
      <c r="A48" s="203">
        <v>44314</v>
      </c>
      <c r="B48" s="128" t="s">
        <v>30</v>
      </c>
      <c r="C48" s="157" t="str">
        <f t="shared" si="1"/>
        <v>28.04.2021_FAL1</v>
      </c>
      <c r="D48" s="190">
        <f t="shared" si="2"/>
        <v>0</v>
      </c>
      <c r="E48" s="204">
        <v>0.12909585531991466</v>
      </c>
      <c r="F48" s="205">
        <v>0.16283907401238631</v>
      </c>
      <c r="G48" s="204">
        <v>0.18413926499032884</v>
      </c>
      <c r="H48" s="204">
        <v>0.13240320239711592</v>
      </c>
      <c r="I48" s="209">
        <v>14.577</v>
      </c>
      <c r="J48" s="207">
        <v>3.4757994428421419</v>
      </c>
      <c r="K48" s="206">
        <v>56.264000000000003</v>
      </c>
      <c r="L48" s="206">
        <v>33</v>
      </c>
      <c r="M48" s="208"/>
      <c r="N48" s="221"/>
    </row>
    <row r="49" spans="1:14" ht="16.5" customHeight="1" x14ac:dyDescent="0.25">
      <c r="A49" s="203">
        <v>44314</v>
      </c>
      <c r="B49" s="128" t="s">
        <v>32</v>
      </c>
      <c r="C49" s="157" t="str">
        <f t="shared" si="1"/>
        <v>28.04.2021_FAL2</v>
      </c>
      <c r="D49" s="190">
        <f t="shared" si="2"/>
        <v>0</v>
      </c>
      <c r="E49" s="204">
        <v>7.6709131421978285E-2</v>
      </c>
      <c r="F49" s="205">
        <v>0.11542552787850724</v>
      </c>
      <c r="G49" s="204">
        <v>0.10019342359767894</v>
      </c>
      <c r="H49" s="204">
        <v>0.10923264197762064</v>
      </c>
      <c r="I49" s="209">
        <v>15.983000000000001</v>
      </c>
      <c r="J49" s="207">
        <v>3.7211352793394483</v>
      </c>
      <c r="K49" s="206">
        <v>56</v>
      </c>
      <c r="L49" s="206">
        <v>37</v>
      </c>
      <c r="M49" s="208"/>
      <c r="N49" s="221"/>
    </row>
    <row r="50" spans="1:14" ht="16.5" customHeight="1" x14ac:dyDescent="0.25">
      <c r="A50" s="203">
        <v>44314</v>
      </c>
      <c r="B50" s="128" t="s">
        <v>26</v>
      </c>
      <c r="C50" s="157" t="str">
        <f t="shared" si="1"/>
        <v>28.04.2021_GRU1</v>
      </c>
      <c r="D50" s="190">
        <f t="shared" si="2"/>
        <v>0</v>
      </c>
      <c r="E50" s="204">
        <v>2.2451453099115594E-2</v>
      </c>
      <c r="F50" s="205">
        <v>3.321796822403332E-2</v>
      </c>
      <c r="G50" s="204">
        <v>5.1450676982591884E-2</v>
      </c>
      <c r="H50" s="204">
        <v>3.8065920689170835E-2</v>
      </c>
      <c r="I50" s="209">
        <v>4.2910000000000004</v>
      </c>
      <c r="J50" s="207">
        <v>1.0207482757240309</v>
      </c>
      <c r="K50" s="206">
        <v>15.462999999999999</v>
      </c>
      <c r="L50" s="206">
        <v>16.347000000000001</v>
      </c>
      <c r="M50" s="208"/>
      <c r="N50" s="221"/>
    </row>
    <row r="51" spans="1:14" ht="16.5" customHeight="1" x14ac:dyDescent="0.25">
      <c r="A51" s="203">
        <v>44314</v>
      </c>
      <c r="B51" s="128" t="s">
        <v>28</v>
      </c>
      <c r="C51" s="157" t="str">
        <f t="shared" si="1"/>
        <v>28.04.2021_GRU2</v>
      </c>
      <c r="D51" s="190">
        <f t="shared" si="2"/>
        <v>0</v>
      </c>
      <c r="E51" s="204">
        <v>0</v>
      </c>
      <c r="F51" s="205">
        <v>2.2395200627321695E-2</v>
      </c>
      <c r="G51" s="204">
        <v>4.3326885880077375E-2</v>
      </c>
      <c r="H51" s="204">
        <v>2.3170560419495296E-2</v>
      </c>
      <c r="I51" s="209">
        <v>3.4470000000000001</v>
      </c>
      <c r="J51" s="207">
        <v>0.81927106073673661</v>
      </c>
      <c r="K51" s="206">
        <v>10.843999999999999</v>
      </c>
      <c r="L51" s="206">
        <v>12.94</v>
      </c>
      <c r="M51" s="208"/>
      <c r="N51" s="221"/>
    </row>
    <row r="52" spans="1:14" ht="16.5" customHeight="1" x14ac:dyDescent="0.25">
      <c r="A52" s="203">
        <v>44314</v>
      </c>
      <c r="B52" s="128" t="s">
        <v>0</v>
      </c>
      <c r="C52" s="157" t="str">
        <f t="shared" si="1"/>
        <v>28.04.2021_KIN1</v>
      </c>
      <c r="D52" s="190">
        <f t="shared" si="2"/>
        <v>0</v>
      </c>
      <c r="E52" s="204">
        <v>0</v>
      </c>
      <c r="F52" s="205">
        <v>3.9839335814113606E-2</v>
      </c>
      <c r="G52" s="204">
        <v>4.8742746615087047E-2</v>
      </c>
      <c r="H52" s="204">
        <v>1.9860480359567393E-2</v>
      </c>
      <c r="I52" s="209">
        <v>4.9189999999999996</v>
      </c>
      <c r="J52" s="207">
        <v>1.1549493085646192</v>
      </c>
      <c r="K52" s="206">
        <v>12.401999999999999</v>
      </c>
      <c r="L52" s="206">
        <v>14.797000000000001</v>
      </c>
      <c r="M52" s="208"/>
      <c r="N52" s="221"/>
    </row>
    <row r="53" spans="1:14" ht="16.5" customHeight="1" x14ac:dyDescent="0.25">
      <c r="A53" s="203">
        <v>44314</v>
      </c>
      <c r="B53" s="128" t="s">
        <v>2</v>
      </c>
      <c r="C53" s="157" t="str">
        <f t="shared" si="1"/>
        <v>28.04.2021_KIN2</v>
      </c>
      <c r="D53" s="190">
        <f t="shared" si="2"/>
        <v>0</v>
      </c>
      <c r="E53" s="204">
        <v>0</v>
      </c>
      <c r="F53" s="205">
        <v>2.1490102352315573E-2</v>
      </c>
      <c r="G53" s="204">
        <v>0.58762088974854942</v>
      </c>
      <c r="H53" s="204">
        <v>2.482560044945924E-2</v>
      </c>
      <c r="I53" s="209">
        <v>8.9250000000000007</v>
      </c>
      <c r="J53" s="207">
        <v>2.4797296487376892</v>
      </c>
      <c r="K53" s="206">
        <v>13.773999999999999</v>
      </c>
      <c r="L53" s="206">
        <v>16.027999999999999</v>
      </c>
      <c r="M53" s="208"/>
      <c r="N53" s="221"/>
    </row>
    <row r="54" spans="1:14" ht="16.5" customHeight="1" x14ac:dyDescent="0.25">
      <c r="A54" s="203">
        <v>44314</v>
      </c>
      <c r="B54" s="128" t="s">
        <v>4</v>
      </c>
      <c r="C54" s="157" t="str">
        <f t="shared" si="1"/>
        <v>28.04.2021_KIN3</v>
      </c>
      <c r="D54" s="190">
        <f t="shared" si="2"/>
        <v>0</v>
      </c>
      <c r="E54" s="204">
        <v>0</v>
      </c>
      <c r="F54" s="205">
        <v>4.2014351217514428E-2</v>
      </c>
      <c r="G54" s="204">
        <v>8.3945841392649906E-2</v>
      </c>
      <c r="H54" s="204">
        <v>2.6480640479423192E-2</v>
      </c>
      <c r="I54" s="209">
        <v>6.7130000000000001</v>
      </c>
      <c r="J54" s="207">
        <v>1.5895104473769388</v>
      </c>
      <c r="K54" s="206">
        <v>15.734</v>
      </c>
      <c r="L54" s="206">
        <v>17.093</v>
      </c>
      <c r="M54" s="208"/>
      <c r="N54" s="221"/>
    </row>
    <row r="55" spans="1:14" ht="16.5" customHeight="1" x14ac:dyDescent="0.25">
      <c r="A55" s="203">
        <v>44314</v>
      </c>
      <c r="B55" s="128" t="s">
        <v>6</v>
      </c>
      <c r="C55" s="157" t="str">
        <f t="shared" si="1"/>
        <v>28.04.2021_KIN4</v>
      </c>
      <c r="D55" s="190">
        <f t="shared" si="2"/>
        <v>0</v>
      </c>
      <c r="E55" s="204">
        <v>2.2451453099115594E-2</v>
      </c>
      <c r="F55" s="205">
        <v>2.4494518729574657E-2</v>
      </c>
      <c r="G55" s="204">
        <v>8.1237911025145063E-2</v>
      </c>
      <c r="H55" s="204">
        <v>2.9790720539351091E-2</v>
      </c>
      <c r="I55" s="209">
        <v>7.73</v>
      </c>
      <c r="J55" s="207">
        <v>1.8181253104001203</v>
      </c>
      <c r="K55" s="206">
        <v>31.31</v>
      </c>
      <c r="L55" s="206">
        <v>18.222000000000001</v>
      </c>
      <c r="M55" s="208"/>
      <c r="N55" s="221"/>
    </row>
    <row r="56" spans="1:14" ht="16.5" customHeight="1" x14ac:dyDescent="0.25">
      <c r="A56" s="203">
        <v>44314</v>
      </c>
      <c r="B56" s="128" t="s">
        <v>34</v>
      </c>
      <c r="C56" s="157" t="str">
        <f t="shared" si="1"/>
        <v>28.04.2021_KRE1</v>
      </c>
      <c r="D56" s="190">
        <f t="shared" si="2"/>
        <v>0</v>
      </c>
      <c r="E56" s="204">
        <v>0.18148257921785105</v>
      </c>
      <c r="F56" s="205">
        <v>6.3369302737747796E-2</v>
      </c>
      <c r="G56" s="204">
        <v>0.66073500967117993</v>
      </c>
      <c r="H56" s="204">
        <v>6.7856641228521933E-2</v>
      </c>
      <c r="I56" s="209">
        <v>9.3339999999999996</v>
      </c>
      <c r="J56" s="207">
        <v>2.6419836620815977</v>
      </c>
      <c r="K56" s="206">
        <v>65</v>
      </c>
      <c r="L56" s="206">
        <v>42</v>
      </c>
      <c r="M56" s="208"/>
      <c r="N56" s="221"/>
    </row>
    <row r="57" spans="1:14" ht="16.5" customHeight="1" x14ac:dyDescent="0.25">
      <c r="A57" s="203">
        <v>44314</v>
      </c>
      <c r="B57" s="128" t="s">
        <v>37</v>
      </c>
      <c r="C57" s="157" t="str">
        <f t="shared" si="1"/>
        <v>28.04.2021_KRE2</v>
      </c>
      <c r="D57" s="190">
        <f t="shared" si="2"/>
        <v>0</v>
      </c>
      <c r="E57" s="204">
        <v>1.6838589824336694E-2</v>
      </c>
      <c r="F57" s="205">
        <v>6.3555179782552346E-2</v>
      </c>
      <c r="G57" s="204">
        <v>0.15435203094777561</v>
      </c>
      <c r="H57" s="204">
        <v>5.6271361018774287E-2</v>
      </c>
      <c r="I57" s="209">
        <v>10.631</v>
      </c>
      <c r="J57" s="207">
        <v>2.5382085943728039</v>
      </c>
      <c r="K57" s="206">
        <v>54</v>
      </c>
      <c r="L57" s="206">
        <v>45</v>
      </c>
      <c r="M57" s="208"/>
      <c r="N57" s="221"/>
    </row>
    <row r="58" spans="1:14" ht="16.5" customHeight="1" x14ac:dyDescent="0.25">
      <c r="A58" s="203">
        <v>44314</v>
      </c>
      <c r="B58" s="128" t="s">
        <v>18</v>
      </c>
      <c r="C58" s="157" t="str">
        <f t="shared" si="1"/>
        <v>28.04.2021_ORB1</v>
      </c>
      <c r="D58" s="190">
        <f t="shared" si="2"/>
        <v>0</v>
      </c>
      <c r="E58" s="204">
        <v>0</v>
      </c>
      <c r="F58" s="205">
        <v>4.3345050802509485E-2</v>
      </c>
      <c r="G58" s="204">
        <v>7.8529980657640233E-2</v>
      </c>
      <c r="H58" s="204">
        <v>2.8135680509387143E-2</v>
      </c>
      <c r="I58" s="209">
        <v>7.81</v>
      </c>
      <c r="J58" s="207">
        <v>1.8335883526119339</v>
      </c>
      <c r="K58" s="206">
        <v>11.173999999999999</v>
      </c>
      <c r="L58" s="206">
        <v>17.228999999999999</v>
      </c>
      <c r="M58" s="208"/>
      <c r="N58" s="221"/>
    </row>
    <row r="59" spans="1:14" ht="16.5" customHeight="1" x14ac:dyDescent="0.25">
      <c r="A59" s="203">
        <v>44314</v>
      </c>
      <c r="B59" s="128" t="s">
        <v>21</v>
      </c>
      <c r="C59" s="157" t="str">
        <f t="shared" si="1"/>
        <v>28.04.2021_ORB2</v>
      </c>
      <c r="D59" s="190">
        <f t="shared" si="2"/>
        <v>0</v>
      </c>
      <c r="E59" s="204">
        <v>0</v>
      </c>
      <c r="F59" s="205">
        <v>3.5010334769096305E-2</v>
      </c>
      <c r="G59" s="204">
        <v>7.0406189555125717E-2</v>
      </c>
      <c r="H59" s="204">
        <v>2.9790720539351091E-2</v>
      </c>
      <c r="I59" s="209">
        <v>7.5869999999999997</v>
      </c>
      <c r="J59" s="207">
        <v>1.777415176995865</v>
      </c>
      <c r="K59" s="206">
        <v>18.876000000000001</v>
      </c>
      <c r="L59" s="206">
        <v>20.053999999999998</v>
      </c>
      <c r="M59" s="208"/>
      <c r="N59" s="221"/>
    </row>
    <row r="60" spans="1:14" ht="16.5" customHeight="1" x14ac:dyDescent="0.25">
      <c r="A60" s="203">
        <v>44314</v>
      </c>
      <c r="B60" s="128" t="s">
        <v>10</v>
      </c>
      <c r="C60" s="157" t="str">
        <f t="shared" si="1"/>
        <v>28.04.2021_SAL1</v>
      </c>
      <c r="D60" s="190">
        <f t="shared" si="2"/>
        <v>0</v>
      </c>
      <c r="E60" s="204">
        <v>0</v>
      </c>
      <c r="F60" s="205">
        <v>5.0846357894907733E-2</v>
      </c>
      <c r="G60" s="204">
        <v>0.33307543520309479</v>
      </c>
      <c r="H60" s="204">
        <v>4.9651200898918481E-2</v>
      </c>
      <c r="I60" s="209">
        <v>6.9089999999999998</v>
      </c>
      <c r="J60" s="207">
        <v>1.8342818827945266</v>
      </c>
      <c r="K60" s="206">
        <v>11.188000000000001</v>
      </c>
      <c r="L60" s="206">
        <v>6.57</v>
      </c>
      <c r="M60" s="208"/>
      <c r="N60" s="221"/>
    </row>
    <row r="61" spans="1:14" ht="16.5" customHeight="1" x14ac:dyDescent="0.25">
      <c r="A61" s="203">
        <v>44314</v>
      </c>
      <c r="B61" s="128" t="s">
        <v>12</v>
      </c>
      <c r="C61" s="157" t="str">
        <f t="shared" si="1"/>
        <v>28.04.2021_SAL2</v>
      </c>
      <c r="D61" s="190">
        <f t="shared" si="2"/>
        <v>0</v>
      </c>
      <c r="E61" s="204">
        <v>0</v>
      </c>
      <c r="F61" s="205">
        <v>5.7042193799806185E-2</v>
      </c>
      <c r="G61" s="204">
        <v>5.6866537717601563E-2</v>
      </c>
      <c r="H61" s="204">
        <v>4.9651200898918481E-2</v>
      </c>
      <c r="I61" s="209">
        <v>4.92</v>
      </c>
      <c r="J61" s="207">
        <v>1.1705530059860161</v>
      </c>
      <c r="K61" s="206">
        <v>13.132999999999999</v>
      </c>
      <c r="L61" s="206">
        <v>7.7030000000000003</v>
      </c>
      <c r="M61" s="208"/>
      <c r="N61" s="221"/>
    </row>
    <row r="62" spans="1:14" ht="16.5" customHeight="1" x14ac:dyDescent="0.25">
      <c r="A62" s="203">
        <v>44314</v>
      </c>
      <c r="B62" s="128" t="s">
        <v>7</v>
      </c>
      <c r="C62" s="157" t="str">
        <f t="shared" si="1"/>
        <v>28.04.2021_STE1</v>
      </c>
      <c r="D62" s="190">
        <f t="shared" si="2"/>
        <v>0</v>
      </c>
      <c r="E62" s="204">
        <v>2.432240752404189E-2</v>
      </c>
      <c r="F62" s="205">
        <v>5.880988591866522E-2</v>
      </c>
      <c r="G62" s="204">
        <v>5.6866537717601563E-2</v>
      </c>
      <c r="H62" s="204">
        <v>4.7996160868954529E-2</v>
      </c>
      <c r="I62" s="209">
        <v>6.5640000000000001</v>
      </c>
      <c r="J62" s="207">
        <v>1.5413794090488935</v>
      </c>
      <c r="K62" s="206">
        <v>13.164999999999999</v>
      </c>
      <c r="L62" s="206">
        <v>9.9719999999999995</v>
      </c>
      <c r="M62" s="208"/>
      <c r="N62" s="221"/>
    </row>
    <row r="63" spans="1:14" ht="16.5" customHeight="1" x14ac:dyDescent="0.25">
      <c r="A63" s="203">
        <v>44314</v>
      </c>
      <c r="B63" s="128" t="s">
        <v>9</v>
      </c>
      <c r="C63" s="157" t="str">
        <f t="shared" si="1"/>
        <v>28.04.2021_STE2</v>
      </c>
      <c r="D63" s="190">
        <f t="shared" si="2"/>
        <v>0</v>
      </c>
      <c r="E63" s="204">
        <v>0</v>
      </c>
      <c r="F63" s="205">
        <v>4.5623734516520159E-2</v>
      </c>
      <c r="G63" s="204">
        <v>8.9361702127659579E-2</v>
      </c>
      <c r="H63" s="204">
        <v>6.1236481108666127E-2</v>
      </c>
      <c r="I63" s="209">
        <v>6.9370000000000003</v>
      </c>
      <c r="J63" s="207">
        <v>1.6548921047586398</v>
      </c>
      <c r="K63" s="206">
        <v>15.054</v>
      </c>
      <c r="L63" s="206">
        <v>10.096</v>
      </c>
      <c r="M63" s="208"/>
      <c r="N63" s="221"/>
    </row>
    <row r="64" spans="1:14" ht="16.5" customHeight="1" x14ac:dyDescent="0.25">
      <c r="A64" s="203">
        <v>44328</v>
      </c>
      <c r="B64" s="128" t="s">
        <v>22</v>
      </c>
      <c r="C64" s="157" t="str">
        <f t="shared" si="1"/>
        <v>12.05.2021_BIE1</v>
      </c>
      <c r="D64" s="190">
        <f t="shared" si="2"/>
        <v>0</v>
      </c>
      <c r="E64" s="204">
        <v>0</v>
      </c>
      <c r="F64" s="205">
        <v>2.8535014920804003E-2</v>
      </c>
      <c r="G64" s="204">
        <v>0.31202289639381808</v>
      </c>
      <c r="H64" s="204">
        <v>2.5281867900715189E-2</v>
      </c>
      <c r="I64" s="209">
        <v>3.988</v>
      </c>
      <c r="J64" s="207">
        <v>1.1507492835032085</v>
      </c>
      <c r="K64" s="206">
        <v>10.878</v>
      </c>
      <c r="L64" s="206">
        <v>14.101000000000001</v>
      </c>
      <c r="M64" s="208"/>
      <c r="N64" s="221"/>
    </row>
    <row r="65" spans="1:14" ht="16.5" customHeight="1" x14ac:dyDescent="0.25">
      <c r="A65" s="203">
        <v>44328</v>
      </c>
      <c r="B65" s="128" t="s">
        <v>25</v>
      </c>
      <c r="C65" s="157" t="str">
        <f t="shared" si="1"/>
        <v>12.05.2021_BIE2</v>
      </c>
      <c r="D65" s="190">
        <f t="shared" si="2"/>
        <v>0</v>
      </c>
      <c r="E65" s="204">
        <v>2.011109329664703E-2</v>
      </c>
      <c r="F65" s="205">
        <v>2.5620794091124638E-2</v>
      </c>
      <c r="G65" s="204">
        <v>0.77310131654264469</v>
      </c>
      <c r="H65" s="204">
        <v>2.230753050063105E-2</v>
      </c>
      <c r="I65" s="209">
        <v>4.12</v>
      </c>
      <c r="J65" s="207">
        <v>1.5376813689431152</v>
      </c>
      <c r="K65" s="206">
        <v>11.427</v>
      </c>
      <c r="L65" s="206">
        <v>14.946999999999999</v>
      </c>
      <c r="M65" s="208"/>
      <c r="N65" s="221"/>
    </row>
    <row r="66" spans="1:14" ht="16.5" customHeight="1" x14ac:dyDescent="0.25">
      <c r="A66" s="203">
        <v>44328</v>
      </c>
      <c r="B66" s="128" t="s">
        <v>14</v>
      </c>
      <c r="C66" s="157" t="str">
        <f t="shared" si="1"/>
        <v>12.05.2021_BRA1</v>
      </c>
      <c r="D66" s="190">
        <f t="shared" si="2"/>
        <v>0</v>
      </c>
      <c r="E66" s="204">
        <v>4.022218659329406E-2</v>
      </c>
      <c r="F66" s="205">
        <v>6.9232822566590829E-2</v>
      </c>
      <c r="G66" s="204">
        <v>0.77310131654264469</v>
      </c>
      <c r="H66" s="204">
        <v>4.6102229701304169E-2</v>
      </c>
      <c r="I66" s="209">
        <v>6.0449999999999999</v>
      </c>
      <c r="J66" s="207">
        <v>1.9797254151147601</v>
      </c>
      <c r="K66" s="206">
        <v>7.62</v>
      </c>
      <c r="L66" s="206">
        <v>4.7930000000000001</v>
      </c>
      <c r="M66" s="208"/>
      <c r="N66" s="221"/>
    </row>
    <row r="67" spans="1:14" ht="16.5" customHeight="1" x14ac:dyDescent="0.25">
      <c r="A67" s="203">
        <v>44328</v>
      </c>
      <c r="B67" s="128" t="s">
        <v>17</v>
      </c>
      <c r="C67" s="157" t="str">
        <f t="shared" si="1"/>
        <v>12.05.2021_BRA2</v>
      </c>
      <c r="D67" s="190">
        <f t="shared" si="2"/>
        <v>0</v>
      </c>
      <c r="E67" s="204">
        <v>4.3878749010866247E-2</v>
      </c>
      <c r="F67" s="205">
        <v>7.4578407950015885E-2</v>
      </c>
      <c r="G67" s="204">
        <v>0.67571837435603899</v>
      </c>
      <c r="H67" s="204">
        <v>4.6102229701304169E-2</v>
      </c>
      <c r="I67" s="209">
        <v>10.526</v>
      </c>
      <c r="J67" s="207">
        <v>2.9162320043362824</v>
      </c>
      <c r="K67" s="206">
        <v>11.951000000000001</v>
      </c>
      <c r="L67" s="206">
        <v>6.6040000000000001</v>
      </c>
      <c r="M67" s="208"/>
      <c r="N67" s="221"/>
    </row>
    <row r="68" spans="1:14" ht="16.5" customHeight="1" x14ac:dyDescent="0.25">
      <c r="A68" s="203">
        <v>44328</v>
      </c>
      <c r="B68" s="128" t="s">
        <v>30</v>
      </c>
      <c r="C68" s="157" t="str">
        <f t="shared" si="1"/>
        <v>12.05.2021_FAL1</v>
      </c>
      <c r="D68" s="190">
        <f t="shared" si="2"/>
        <v>0</v>
      </c>
      <c r="E68" s="204">
        <v>0.11518171615352391</v>
      </c>
      <c r="F68" s="205">
        <v>0.17710888623091459</v>
      </c>
      <c r="G68" s="204">
        <v>0.8406731539782486</v>
      </c>
      <c r="H68" s="204">
        <v>0.21415229280605805</v>
      </c>
      <c r="I68" s="209">
        <v>13.978</v>
      </c>
      <c r="J68" s="207">
        <v>3.8751838228773741</v>
      </c>
      <c r="K68" s="206">
        <v>56</v>
      </c>
      <c r="L68" s="206">
        <v>34.265000000000001</v>
      </c>
      <c r="M68" s="208"/>
      <c r="N68" s="221"/>
    </row>
    <row r="69" spans="1:14" ht="16.5" customHeight="1" x14ac:dyDescent="0.25">
      <c r="A69" s="203">
        <v>44328</v>
      </c>
      <c r="B69" s="128" t="s">
        <v>32</v>
      </c>
      <c r="C69" s="157" t="str">
        <f t="shared" ref="C69:C132" si="3">CONCATENATE(TEXT(A69,"TT.MM.JJJJ"),"_",B69)</f>
        <v>12.05.2021_FAL2</v>
      </c>
      <c r="D69" s="190">
        <f t="shared" ref="D69:D132" si="4">COUNTBLANK(E69:L69)</f>
        <v>0</v>
      </c>
      <c r="E69" s="204">
        <v>9.5070622856876869E-2</v>
      </c>
      <c r="F69" s="205">
        <v>0.12846760792578027</v>
      </c>
      <c r="G69" s="204">
        <v>0.79098797939324561</v>
      </c>
      <c r="H69" s="204">
        <v>0.19630626840555324</v>
      </c>
      <c r="I69" s="209">
        <v>14.236000000000001</v>
      </c>
      <c r="J69" s="207">
        <v>3.889445019535132</v>
      </c>
      <c r="K69" s="206">
        <v>65</v>
      </c>
      <c r="L69" s="206">
        <v>35</v>
      </c>
      <c r="M69" s="208"/>
      <c r="N69" s="221"/>
    </row>
    <row r="70" spans="1:14" ht="16.5" customHeight="1" x14ac:dyDescent="0.25">
      <c r="A70" s="203">
        <v>44328</v>
      </c>
      <c r="B70" s="128" t="s">
        <v>26</v>
      </c>
      <c r="C70" s="157" t="str">
        <f t="shared" si="3"/>
        <v>12.05.2021_GRU1</v>
      </c>
      <c r="D70" s="190">
        <f t="shared" si="4"/>
        <v>0</v>
      </c>
      <c r="E70" s="204">
        <v>2.1939374505433124E-2</v>
      </c>
      <c r="F70" s="205">
        <v>4.9032704368135241E-2</v>
      </c>
      <c r="G70" s="204">
        <v>0.63000801373783644</v>
      </c>
      <c r="H70" s="204">
        <v>3.7179217501051749E-2</v>
      </c>
      <c r="I70" s="209">
        <v>5.3289999999999997</v>
      </c>
      <c r="J70" s="207">
        <v>1.7041753653554876</v>
      </c>
      <c r="K70" s="206">
        <v>13.412000000000001</v>
      </c>
      <c r="L70" s="206">
        <v>13.638999999999999</v>
      </c>
      <c r="M70" s="208"/>
      <c r="N70" s="221"/>
    </row>
    <row r="71" spans="1:14" ht="16.5" customHeight="1" x14ac:dyDescent="0.25">
      <c r="A71" s="203">
        <v>44328</v>
      </c>
      <c r="B71" s="128" t="s">
        <v>28</v>
      </c>
      <c r="C71" s="157" t="str">
        <f t="shared" si="3"/>
        <v>12.05.2021_GRU2</v>
      </c>
      <c r="D71" s="190">
        <f t="shared" si="4"/>
        <v>0</v>
      </c>
      <c r="E71" s="204">
        <v>0</v>
      </c>
      <c r="F71" s="205">
        <v>3.2427004728875566E-2</v>
      </c>
      <c r="G71" s="204">
        <v>0.83272352604464805</v>
      </c>
      <c r="H71" s="204">
        <v>4.4615061001262099E-2</v>
      </c>
      <c r="I71" s="209">
        <v>4.62</v>
      </c>
      <c r="J71" s="207">
        <v>1.703703946060243</v>
      </c>
      <c r="K71" s="206">
        <v>12.923999999999999</v>
      </c>
      <c r="L71" s="206">
        <v>12.802</v>
      </c>
      <c r="M71" s="208"/>
      <c r="N71" s="221"/>
    </row>
    <row r="72" spans="1:14" ht="16.5" customHeight="1" x14ac:dyDescent="0.25">
      <c r="A72" s="203">
        <v>44328</v>
      </c>
      <c r="B72" s="128" t="s">
        <v>0</v>
      </c>
      <c r="C72" s="157" t="str">
        <f t="shared" si="3"/>
        <v>12.05.2021_KIN1</v>
      </c>
      <c r="D72" s="190">
        <f t="shared" si="4"/>
        <v>0</v>
      </c>
      <c r="E72" s="204">
        <v>1.8282812087860936E-2</v>
      </c>
      <c r="F72" s="205">
        <v>3.0033424006070588E-2</v>
      </c>
      <c r="G72" s="204">
        <v>0.72341614195764181</v>
      </c>
      <c r="H72" s="204">
        <v>4.1640723601177966E-2</v>
      </c>
      <c r="I72" s="209">
        <v>4.9720000000000004</v>
      </c>
      <c r="J72" s="207">
        <v>1.697428558369068</v>
      </c>
      <c r="K72" s="206">
        <v>11.118</v>
      </c>
      <c r="L72" s="206">
        <v>13.628</v>
      </c>
      <c r="M72" s="208"/>
      <c r="N72" s="221"/>
    </row>
    <row r="73" spans="1:14" ht="16.5" customHeight="1" x14ac:dyDescent="0.25">
      <c r="A73" s="203">
        <v>44328</v>
      </c>
      <c r="B73" s="128" t="s">
        <v>2</v>
      </c>
      <c r="C73" s="157" t="str">
        <f t="shared" si="3"/>
        <v>12.05.2021_KIN2</v>
      </c>
      <c r="D73" s="190">
        <f t="shared" si="4"/>
        <v>0</v>
      </c>
      <c r="E73" s="204">
        <v>0</v>
      </c>
      <c r="F73" s="205">
        <v>3.3773845724033726E-2</v>
      </c>
      <c r="G73" s="204">
        <v>0.92215684029765332</v>
      </c>
      <c r="H73" s="204">
        <v>4.0153554901135896E-2</v>
      </c>
      <c r="I73" s="209">
        <v>5.8360000000000003</v>
      </c>
      <c r="J73" s="207">
        <v>2.0464476347123757</v>
      </c>
      <c r="K73" s="206">
        <v>10.971</v>
      </c>
      <c r="L73" s="206">
        <v>13.032999999999999</v>
      </c>
      <c r="M73" s="208"/>
      <c r="N73" s="221"/>
    </row>
    <row r="74" spans="1:14" ht="16.5" customHeight="1" x14ac:dyDescent="0.25">
      <c r="A74" s="203">
        <v>44328</v>
      </c>
      <c r="B74" s="128" t="s">
        <v>4</v>
      </c>
      <c r="C74" s="157" t="str">
        <f t="shared" si="3"/>
        <v>12.05.2021_KIN3</v>
      </c>
      <c r="D74" s="190">
        <f t="shared" si="4"/>
        <v>0</v>
      </c>
      <c r="E74" s="204">
        <v>0</v>
      </c>
      <c r="F74" s="205">
        <v>2.7320436752941029E-2</v>
      </c>
      <c r="G74" s="204">
        <v>0.81483686319404702</v>
      </c>
      <c r="H74" s="204">
        <v>4.6102229701304169E-2</v>
      </c>
      <c r="I74" s="209">
        <v>7.1210000000000004</v>
      </c>
      <c r="J74" s="207">
        <v>2.2551687697341078</v>
      </c>
      <c r="K74" s="206">
        <v>16.428999999999998</v>
      </c>
      <c r="L74" s="206">
        <v>16.576000000000001</v>
      </c>
      <c r="M74" s="208"/>
      <c r="N74" s="221"/>
    </row>
    <row r="75" spans="1:14" ht="16.5" customHeight="1" x14ac:dyDescent="0.25">
      <c r="A75" s="203">
        <v>44328</v>
      </c>
      <c r="B75" s="128" t="s">
        <v>6</v>
      </c>
      <c r="C75" s="157" t="str">
        <f t="shared" si="3"/>
        <v>12.05.2021_KIN4</v>
      </c>
      <c r="D75" s="190">
        <f t="shared" si="4"/>
        <v>0</v>
      </c>
      <c r="E75" s="204">
        <v>0</v>
      </c>
      <c r="F75" s="205">
        <v>2.703930507691079E-2</v>
      </c>
      <c r="G75" s="204">
        <v>3.9748139668002301E-2</v>
      </c>
      <c r="H75" s="204">
        <v>5.5025241901556589E-2</v>
      </c>
      <c r="I75" s="209">
        <v>7.1989999999999998</v>
      </c>
      <c r="J75" s="207">
        <v>1.6736545978677362</v>
      </c>
      <c r="K75" s="206">
        <v>34.539000000000001</v>
      </c>
      <c r="L75" s="206">
        <v>18.236000000000001</v>
      </c>
      <c r="M75" s="208"/>
      <c r="N75" s="221"/>
    </row>
    <row r="76" spans="1:14" ht="16.5" customHeight="1" x14ac:dyDescent="0.25">
      <c r="A76" s="203">
        <v>44328</v>
      </c>
      <c r="B76" s="128" t="s">
        <v>34</v>
      </c>
      <c r="C76" s="157" t="str">
        <f t="shared" si="3"/>
        <v>12.05.2021_KRE1</v>
      </c>
      <c r="D76" s="190">
        <f t="shared" si="4"/>
        <v>0</v>
      </c>
      <c r="E76" s="204">
        <v>3.1080780549363595E-2</v>
      </c>
      <c r="F76" s="205">
        <v>6.4622754103048574E-2</v>
      </c>
      <c r="G76" s="204">
        <v>0.41338065254722384</v>
      </c>
      <c r="H76" s="204">
        <v>0.12046066470340765</v>
      </c>
      <c r="I76" s="209">
        <v>6.5</v>
      </c>
      <c r="J76" s="207">
        <v>1.8258151922653463</v>
      </c>
      <c r="K76" s="206">
        <v>71</v>
      </c>
      <c r="L76" s="206">
        <v>44.113999999999997</v>
      </c>
      <c r="M76" s="208"/>
      <c r="N76" s="221"/>
    </row>
    <row r="77" spans="1:14" ht="16.5" customHeight="1" x14ac:dyDescent="0.25">
      <c r="A77" s="203">
        <v>44328</v>
      </c>
      <c r="B77" s="128" t="s">
        <v>37</v>
      </c>
      <c r="C77" s="157" t="str">
        <f t="shared" si="3"/>
        <v>12.05.2021_KRE2</v>
      </c>
      <c r="D77" s="190">
        <f t="shared" si="4"/>
        <v>0</v>
      </c>
      <c r="E77" s="204">
        <v>5.3020155054796722E-2</v>
      </c>
      <c r="F77" s="205">
        <v>8.3131732388721041E-2</v>
      </c>
      <c r="G77" s="204">
        <v>0.88837092157985131</v>
      </c>
      <c r="H77" s="204">
        <v>0.14276819520403869</v>
      </c>
      <c r="I77" s="209">
        <v>9.6720000000000006</v>
      </c>
      <c r="J77" s="207">
        <v>2.9178915539274084</v>
      </c>
      <c r="K77" s="206">
        <v>66</v>
      </c>
      <c r="L77" s="206">
        <v>45</v>
      </c>
      <c r="M77" s="208"/>
      <c r="N77" s="221"/>
    </row>
    <row r="78" spans="1:14" ht="16.5" customHeight="1" x14ac:dyDescent="0.25">
      <c r="A78" s="203">
        <v>44328</v>
      </c>
      <c r="B78" s="128" t="s">
        <v>18</v>
      </c>
      <c r="C78" s="157" t="str">
        <f t="shared" si="3"/>
        <v>12.05.2021_ORB1</v>
      </c>
      <c r="D78" s="190">
        <f t="shared" si="4"/>
        <v>0</v>
      </c>
      <c r="E78" s="204">
        <v>2.1939374505433124E-2</v>
      </c>
      <c r="F78" s="205">
        <v>4.603110912294129E-2</v>
      </c>
      <c r="G78" s="204">
        <v>0.80887464224384664</v>
      </c>
      <c r="H78" s="204">
        <v>2.9743374000841399E-2</v>
      </c>
      <c r="I78" s="209">
        <v>7.34</v>
      </c>
      <c r="J78" s="207">
        <v>2.2950242411704806</v>
      </c>
      <c r="K78" s="206">
        <v>17.216000000000001</v>
      </c>
      <c r="L78" s="206">
        <v>15.625</v>
      </c>
      <c r="M78" s="208"/>
      <c r="N78" s="221"/>
    </row>
    <row r="79" spans="1:14" ht="16.5" customHeight="1" x14ac:dyDescent="0.25">
      <c r="A79" s="203">
        <v>44328</v>
      </c>
      <c r="B79" s="128" t="s">
        <v>21</v>
      </c>
      <c r="C79" s="157" t="str">
        <f t="shared" si="3"/>
        <v>12.05.2021_ORB2</v>
      </c>
      <c r="D79" s="190">
        <f t="shared" si="4"/>
        <v>0</v>
      </c>
      <c r="E79" s="204">
        <v>0</v>
      </c>
      <c r="F79" s="205">
        <v>3.5514340419215237E-2</v>
      </c>
      <c r="G79" s="204">
        <v>0.44120435031482547</v>
      </c>
      <c r="H79" s="204">
        <v>2.6769036600757263E-2</v>
      </c>
      <c r="I79" s="209">
        <v>7.1040000000000001</v>
      </c>
      <c r="J79" s="207">
        <v>1.9553210791690592</v>
      </c>
      <c r="K79" s="206">
        <v>26.440999999999999</v>
      </c>
      <c r="L79" s="206">
        <v>19.318999999999999</v>
      </c>
      <c r="M79" s="208"/>
      <c r="N79" s="221"/>
    </row>
    <row r="80" spans="1:14" ht="16.5" customHeight="1" x14ac:dyDescent="0.25">
      <c r="A80" s="203">
        <v>44328</v>
      </c>
      <c r="B80" s="128" t="s">
        <v>10</v>
      </c>
      <c r="C80" s="157" t="str">
        <f t="shared" si="3"/>
        <v>12.05.2021_SAL1</v>
      </c>
      <c r="D80" s="190">
        <f t="shared" si="4"/>
        <v>0</v>
      </c>
      <c r="E80" s="204">
        <v>5.3020155054796722E-2</v>
      </c>
      <c r="F80" s="205">
        <v>7.9895477915068E-2</v>
      </c>
      <c r="G80" s="204">
        <v>0.78303835145964518</v>
      </c>
      <c r="H80" s="204">
        <v>6.5435422801851079E-2</v>
      </c>
      <c r="I80" s="209">
        <v>6.3570000000000002</v>
      </c>
      <c r="J80" s="207">
        <v>2.0637988539969232</v>
      </c>
      <c r="K80" s="206">
        <v>10.529</v>
      </c>
      <c r="L80" s="206">
        <v>6.1660000000000004</v>
      </c>
      <c r="M80" s="208"/>
      <c r="N80" s="221"/>
    </row>
    <row r="81" spans="1:14" ht="16.5" customHeight="1" x14ac:dyDescent="0.25">
      <c r="A81" s="203">
        <v>44328</v>
      </c>
      <c r="B81" s="128" t="s">
        <v>12</v>
      </c>
      <c r="C81" s="157" t="str">
        <f t="shared" si="3"/>
        <v>12.05.2021_SAL2</v>
      </c>
      <c r="D81" s="190">
        <f t="shared" si="4"/>
        <v>0</v>
      </c>
      <c r="E81" s="204">
        <v>0</v>
      </c>
      <c r="F81" s="205">
        <v>2.4050617920216625E-2</v>
      </c>
      <c r="G81" s="204">
        <v>0.73931539782484268</v>
      </c>
      <c r="H81" s="204">
        <v>8.1794278502313841E-2</v>
      </c>
      <c r="I81" s="209">
        <v>6.4269999999999996</v>
      </c>
      <c r="J81" s="207">
        <v>2.0506397713470417</v>
      </c>
      <c r="K81" s="206">
        <v>11.304</v>
      </c>
      <c r="L81" s="206">
        <v>7.1680000000000001</v>
      </c>
      <c r="M81" s="208"/>
      <c r="N81" s="221"/>
    </row>
    <row r="82" spans="1:14" ht="16.5" customHeight="1" x14ac:dyDescent="0.25">
      <c r="A82" s="203">
        <v>44328</v>
      </c>
      <c r="B82" s="128" t="s">
        <v>7</v>
      </c>
      <c r="C82" s="157" t="str">
        <f t="shared" si="3"/>
        <v>12.05.2021_STE1</v>
      </c>
      <c r="D82" s="190">
        <f t="shared" si="4"/>
        <v>0</v>
      </c>
      <c r="E82" s="204">
        <v>3.6565624175721873E-2</v>
      </c>
      <c r="F82" s="205">
        <v>6.9742779447844613E-2</v>
      </c>
      <c r="G82" s="204">
        <v>0.81086204922724681</v>
      </c>
      <c r="H82" s="204">
        <v>7.2871266302061435E-2</v>
      </c>
      <c r="I82" s="209">
        <v>8.0969999999999995</v>
      </c>
      <c r="J82" s="207">
        <v>2.4806813196301274</v>
      </c>
      <c r="K82" s="206">
        <v>13.836</v>
      </c>
      <c r="L82" s="206">
        <v>10.346</v>
      </c>
      <c r="M82" s="208"/>
      <c r="N82" s="221"/>
    </row>
    <row r="83" spans="1:14" ht="16.5" customHeight="1" x14ac:dyDescent="0.25">
      <c r="A83" s="203">
        <v>44328</v>
      </c>
      <c r="B83" s="128" t="s">
        <v>9</v>
      </c>
      <c r="C83" s="157" t="str">
        <f t="shared" si="3"/>
        <v>12.05.2021_STE2</v>
      </c>
      <c r="D83" s="190">
        <f t="shared" si="4"/>
        <v>0</v>
      </c>
      <c r="E83" s="204">
        <v>2.7424218131791404E-2</v>
      </c>
      <c r="F83" s="205">
        <v>6.5120635138774849E-2</v>
      </c>
      <c r="G83" s="204">
        <v>0.6796931883228392</v>
      </c>
      <c r="H83" s="204">
        <v>6.9896928901977282E-2</v>
      </c>
      <c r="I83" s="209">
        <v>6.7130000000000001</v>
      </c>
      <c r="J83" s="207">
        <v>2.0653203938050084</v>
      </c>
      <c r="K83" s="206">
        <v>13.58</v>
      </c>
      <c r="L83" s="206">
        <v>8.8930000000000007</v>
      </c>
      <c r="M83" s="208"/>
      <c r="N83" s="221"/>
    </row>
    <row r="84" spans="1:14" ht="16.5" customHeight="1" x14ac:dyDescent="0.25">
      <c r="A84" s="203">
        <v>44342</v>
      </c>
      <c r="B84" s="128" t="s">
        <v>22</v>
      </c>
      <c r="C84" s="157" t="str">
        <f t="shared" si="3"/>
        <v>26.05.2021_BIE1</v>
      </c>
      <c r="D84" s="190">
        <f t="shared" si="4"/>
        <v>0</v>
      </c>
      <c r="E84" s="204">
        <v>0</v>
      </c>
      <c r="F84" s="205">
        <v>2.5205504847965701E-2</v>
      </c>
      <c r="G84" s="204">
        <v>0.02</v>
      </c>
      <c r="H84" s="204">
        <v>0.01</v>
      </c>
      <c r="I84" s="209">
        <v>3.1960000000000002</v>
      </c>
      <c r="J84" s="207">
        <v>0.74045482000000007</v>
      </c>
      <c r="K84" s="206">
        <v>8.9009999999999998</v>
      </c>
      <c r="L84" s="206">
        <v>11.522</v>
      </c>
      <c r="M84" s="208"/>
      <c r="N84" s="221"/>
    </row>
    <row r="85" spans="1:14" ht="16.5" customHeight="1" x14ac:dyDescent="0.25">
      <c r="A85" s="203">
        <v>44342</v>
      </c>
      <c r="B85" s="128" t="s">
        <v>25</v>
      </c>
      <c r="C85" s="157" t="str">
        <f t="shared" si="3"/>
        <v>26.05.2021_BIE2</v>
      </c>
      <c r="D85" s="190">
        <f t="shared" si="4"/>
        <v>0</v>
      </c>
      <c r="E85" s="204">
        <v>0</v>
      </c>
      <c r="F85" s="205">
        <v>1.0214600699500262E-2</v>
      </c>
      <c r="G85" s="204">
        <v>3.4231178767204357E-3</v>
      </c>
      <c r="H85" s="204">
        <v>3.6807692307692305E-2</v>
      </c>
      <c r="I85" s="209">
        <v>2.556</v>
      </c>
      <c r="J85" s="207">
        <v>0.5911878387231716</v>
      </c>
      <c r="K85" s="206">
        <v>9.2880000000000003</v>
      </c>
      <c r="L85" s="206">
        <v>10.557</v>
      </c>
      <c r="M85" s="208"/>
      <c r="N85" s="221"/>
    </row>
    <row r="86" spans="1:14" ht="16.5" customHeight="1" x14ac:dyDescent="0.25">
      <c r="A86" s="203">
        <v>44342</v>
      </c>
      <c r="B86" s="128" t="s">
        <v>14</v>
      </c>
      <c r="C86" s="157" t="str">
        <f t="shared" si="3"/>
        <v>26.05.2021_BRA1</v>
      </c>
      <c r="D86" s="190">
        <f t="shared" si="4"/>
        <v>0</v>
      </c>
      <c r="E86" s="204">
        <v>2.7424218131791404E-2</v>
      </c>
      <c r="F86" s="205">
        <v>5.0245401666880907E-2</v>
      </c>
      <c r="G86" s="204">
        <v>1.1980912568521525E-2</v>
      </c>
      <c r="H86" s="204">
        <v>2.4538461538461537E-2</v>
      </c>
      <c r="I86" s="209">
        <v>4.8070000000000004</v>
      </c>
      <c r="J86" s="207">
        <v>1.1025308834157159</v>
      </c>
      <c r="K86" s="206">
        <v>10.369</v>
      </c>
      <c r="L86" s="206">
        <v>6.2089999999999996</v>
      </c>
      <c r="M86" s="208"/>
      <c r="N86" s="221"/>
    </row>
    <row r="87" spans="1:14" ht="16.5" customHeight="1" x14ac:dyDescent="0.25">
      <c r="A87" s="203">
        <v>44342</v>
      </c>
      <c r="B87" s="128" t="s">
        <v>17</v>
      </c>
      <c r="C87" s="157" t="str">
        <f t="shared" si="3"/>
        <v>26.05.2021_BRA2</v>
      </c>
      <c r="D87" s="190">
        <f t="shared" si="4"/>
        <v>0</v>
      </c>
      <c r="E87" s="204">
        <v>5.1191873846010622E-2</v>
      </c>
      <c r="F87" s="205">
        <v>7.323018265738053E-2</v>
      </c>
      <c r="G87" s="204">
        <v>6.5039239657688236E-2</v>
      </c>
      <c r="H87" s="204">
        <v>5.3677884615384606E-2</v>
      </c>
      <c r="I87" s="209">
        <v>6.4829999999999997</v>
      </c>
      <c r="J87" s="207">
        <v>1.5311597611729522</v>
      </c>
      <c r="K87" s="206">
        <v>12.484999999999999</v>
      </c>
      <c r="L87" s="206">
        <v>5.97</v>
      </c>
      <c r="M87" s="208"/>
      <c r="N87" s="221"/>
    </row>
    <row r="88" spans="1:14" ht="16.5" customHeight="1" x14ac:dyDescent="0.25">
      <c r="A88" s="203">
        <v>44342</v>
      </c>
      <c r="B88" s="128" t="s">
        <v>30</v>
      </c>
      <c r="C88" s="157" t="str">
        <f t="shared" si="3"/>
        <v>26.05.2021_FAL1</v>
      </c>
      <c r="D88" s="190">
        <f t="shared" si="4"/>
        <v>0</v>
      </c>
      <c r="E88" s="204">
        <v>0.15906046516439015</v>
      </c>
      <c r="F88" s="205">
        <v>0.16823805555000482</v>
      </c>
      <c r="G88" s="204">
        <v>0.48608273849430139</v>
      </c>
      <c r="H88" s="204">
        <v>0.46929807692307685</v>
      </c>
      <c r="I88" s="209">
        <v>11.372</v>
      </c>
      <c r="J88" s="207">
        <v>3.0889098251326708</v>
      </c>
      <c r="K88" s="206">
        <v>38</v>
      </c>
      <c r="L88" s="206">
        <v>24.853000000000002</v>
      </c>
      <c r="M88" s="208"/>
      <c r="N88" s="221"/>
    </row>
    <row r="89" spans="1:14" ht="16.5" customHeight="1" x14ac:dyDescent="0.25">
      <c r="A89" s="203">
        <v>44342</v>
      </c>
      <c r="B89" s="128" t="s">
        <v>32</v>
      </c>
      <c r="C89" s="157" t="str">
        <f t="shared" si="3"/>
        <v>26.05.2021_FAL2</v>
      </c>
      <c r="D89" s="190">
        <f t="shared" si="4"/>
        <v>0</v>
      </c>
      <c r="E89" s="204">
        <v>0.11883827857109609</v>
      </c>
      <c r="F89" s="205">
        <v>0.10601705756989208</v>
      </c>
      <c r="G89" s="204">
        <v>0.11980912568521514</v>
      </c>
      <c r="H89" s="204">
        <v>0.23771634615384613</v>
      </c>
      <c r="I89" s="209">
        <v>10.577999999999999</v>
      </c>
      <c r="J89" s="207">
        <v>2.554656189589851</v>
      </c>
      <c r="K89" s="206">
        <v>41</v>
      </c>
      <c r="L89" s="206">
        <v>24.748000000000001</v>
      </c>
      <c r="M89" s="208"/>
      <c r="N89" s="221"/>
    </row>
    <row r="90" spans="1:14" ht="16.5" customHeight="1" x14ac:dyDescent="0.25">
      <c r="A90" s="203">
        <v>44342</v>
      </c>
      <c r="B90" s="128" t="s">
        <v>26</v>
      </c>
      <c r="C90" s="157" t="str">
        <f t="shared" si="3"/>
        <v>26.05.2021_GRU1</v>
      </c>
      <c r="D90" s="190">
        <f t="shared" si="4"/>
        <v>0</v>
      </c>
      <c r="E90" s="204">
        <v>2.7424218131791404E-2</v>
      </c>
      <c r="F90" s="205">
        <v>3.5670433136949529E-2</v>
      </c>
      <c r="G90" s="204">
        <v>5.3058327089166711E-2</v>
      </c>
      <c r="H90" s="204">
        <v>2.3004807692307692E-2</v>
      </c>
      <c r="I90" s="209">
        <v>3.7</v>
      </c>
      <c r="J90" s="207">
        <v>0.88392207410339008</v>
      </c>
      <c r="K90" s="206">
        <v>9.7119999999999997</v>
      </c>
      <c r="L90" s="206">
        <v>12.047000000000001</v>
      </c>
      <c r="M90" s="208"/>
      <c r="N90" s="221"/>
    </row>
    <row r="91" spans="1:14" ht="16.5" customHeight="1" x14ac:dyDescent="0.25">
      <c r="A91" s="203">
        <v>44342</v>
      </c>
      <c r="B91" s="128" t="s">
        <v>28</v>
      </c>
      <c r="C91" s="157" t="str">
        <f t="shared" si="3"/>
        <v>26.05.2021_GRU2</v>
      </c>
      <c r="D91" s="190">
        <f t="shared" si="4"/>
        <v>0</v>
      </c>
      <c r="E91" s="204">
        <v>0</v>
      </c>
      <c r="F91" s="205">
        <v>2.0762822639291353E-2</v>
      </c>
      <c r="G91" s="204">
        <v>1.0269353630161307E-2</v>
      </c>
      <c r="H91" s="204">
        <v>3.2206730769230765E-2</v>
      </c>
      <c r="I91" s="209">
        <v>4.0129999999999999</v>
      </c>
      <c r="J91" s="207">
        <v>0.9241956995829762</v>
      </c>
      <c r="K91" s="206">
        <v>11.009</v>
      </c>
      <c r="L91" s="206">
        <v>12.087</v>
      </c>
      <c r="M91" s="208"/>
      <c r="N91" s="221"/>
    </row>
    <row r="92" spans="1:14" ht="16.5" customHeight="1" x14ac:dyDescent="0.25">
      <c r="A92" s="203">
        <v>44342</v>
      </c>
      <c r="B92" s="128" t="s">
        <v>0</v>
      </c>
      <c r="C92" s="157" t="str">
        <f t="shared" si="3"/>
        <v>26.05.2021_KIN1</v>
      </c>
      <c r="D92" s="190">
        <f t="shared" si="4"/>
        <v>0</v>
      </c>
      <c r="E92" s="204">
        <v>2.9252499340577501E-2</v>
      </c>
      <c r="F92" s="205">
        <v>3.4560076756502973E-2</v>
      </c>
      <c r="G92" s="204">
        <v>3.4231178767204336E-2</v>
      </c>
      <c r="H92" s="204">
        <v>2.9139423076923077E-2</v>
      </c>
      <c r="I92" s="209">
        <v>4.8079999999999998</v>
      </c>
      <c r="J92" s="207">
        <v>1.1214346253567158</v>
      </c>
      <c r="K92" s="206">
        <v>11.936999999999999</v>
      </c>
      <c r="L92" s="206">
        <v>10.93</v>
      </c>
      <c r="M92" s="208"/>
      <c r="N92" s="221"/>
    </row>
    <row r="93" spans="1:14" ht="16.5" customHeight="1" x14ac:dyDescent="0.25">
      <c r="A93" s="203">
        <v>44342</v>
      </c>
      <c r="B93" s="128" t="s">
        <v>2</v>
      </c>
      <c r="C93" s="157" t="str">
        <f t="shared" si="3"/>
        <v>26.05.2021_KIN2</v>
      </c>
      <c r="D93" s="190">
        <f t="shared" si="4"/>
        <v>0</v>
      </c>
      <c r="E93" s="204">
        <v>0</v>
      </c>
      <c r="F93" s="205">
        <v>2.4692135770525644E-2</v>
      </c>
      <c r="G93" s="204">
        <v>4.1077414520645207E-2</v>
      </c>
      <c r="H93" s="204">
        <v>2.3004807692307692E-2</v>
      </c>
      <c r="I93" s="209">
        <v>6.5730000000000004</v>
      </c>
      <c r="J93" s="207">
        <v>1.5235435253030587</v>
      </c>
      <c r="K93" s="206">
        <v>13.611000000000001</v>
      </c>
      <c r="L93" s="206">
        <v>13.313000000000001</v>
      </c>
      <c r="M93" s="208"/>
      <c r="N93" s="221"/>
    </row>
    <row r="94" spans="1:14" ht="16.5" customHeight="1" x14ac:dyDescent="0.25">
      <c r="A94" s="203">
        <v>44342</v>
      </c>
      <c r="B94" s="128" t="s">
        <v>4</v>
      </c>
      <c r="C94" s="157" t="str">
        <f t="shared" si="3"/>
        <v>26.05.2021_KIN3</v>
      </c>
      <c r="D94" s="190">
        <f t="shared" si="4"/>
        <v>0</v>
      </c>
      <c r="E94" s="204">
        <v>0</v>
      </c>
      <c r="F94" s="205">
        <v>1.7402208872436365E-2</v>
      </c>
      <c r="G94" s="204">
        <v>1.7115589383602178E-2</v>
      </c>
      <c r="H94" s="204">
        <v>3.6807692307692305E-2</v>
      </c>
      <c r="I94" s="209">
        <v>4.5090000000000003</v>
      </c>
      <c r="J94" s="207">
        <v>1.0429440159235501</v>
      </c>
      <c r="K94" s="206">
        <v>11.474</v>
      </c>
      <c r="L94" s="206">
        <v>11.589</v>
      </c>
      <c r="M94" s="208"/>
      <c r="N94" s="221"/>
    </row>
    <row r="95" spans="1:14" ht="16.5" customHeight="1" x14ac:dyDescent="0.25">
      <c r="A95" s="203">
        <v>44342</v>
      </c>
      <c r="B95" s="128" t="s">
        <v>6</v>
      </c>
      <c r="C95" s="157" t="str">
        <f t="shared" si="3"/>
        <v>26.05.2021_KIN4</v>
      </c>
      <c r="D95" s="190">
        <f t="shared" si="4"/>
        <v>0</v>
      </c>
      <c r="E95" s="204">
        <v>1.6454530879074843E-2</v>
      </c>
      <c r="F95" s="205">
        <v>3.3631548820636306E-2</v>
      </c>
      <c r="G95" s="204">
        <v>5.1346768150806535E-3</v>
      </c>
      <c r="H95" s="204">
        <v>2.9139423076923077E-2</v>
      </c>
      <c r="I95" s="209">
        <v>5.9889999999999999</v>
      </c>
      <c r="J95" s="207">
        <v>1.3655939525559111</v>
      </c>
      <c r="K95" s="206">
        <v>27.148</v>
      </c>
      <c r="L95" s="206">
        <v>16.03</v>
      </c>
      <c r="M95" s="208"/>
      <c r="N95" s="221"/>
    </row>
    <row r="96" spans="1:14" ht="16.5" customHeight="1" x14ac:dyDescent="0.25">
      <c r="A96" s="203">
        <v>44342</v>
      </c>
      <c r="B96" s="128" t="s">
        <v>34</v>
      </c>
      <c r="C96" s="157" t="str">
        <f t="shared" si="3"/>
        <v>26.05.2021_KRE1</v>
      </c>
      <c r="D96" s="190">
        <f t="shared" si="4"/>
        <v>0</v>
      </c>
      <c r="E96" s="204">
        <v>5.1191873846010622E-2</v>
      </c>
      <c r="F96" s="205">
        <v>6.3114441326412071E-2</v>
      </c>
      <c r="G96" s="204">
        <v>0.15061718657569906</v>
      </c>
      <c r="H96" s="204">
        <v>0.18097115384615384</v>
      </c>
      <c r="I96" s="209">
        <v>4.7300000000000004</v>
      </c>
      <c r="J96" s="207">
        <v>1.240414506992626</v>
      </c>
      <c r="K96" s="206">
        <v>50</v>
      </c>
      <c r="L96" s="206">
        <v>31</v>
      </c>
      <c r="M96" s="208"/>
      <c r="N96" s="221"/>
    </row>
    <row r="97" spans="1:14" ht="16.5" customHeight="1" x14ac:dyDescent="0.25">
      <c r="A97" s="203">
        <v>44342</v>
      </c>
      <c r="B97" s="128" t="s">
        <v>37</v>
      </c>
      <c r="C97" s="157" t="str">
        <f t="shared" si="3"/>
        <v>26.05.2021_KRE2</v>
      </c>
      <c r="D97" s="190">
        <f t="shared" si="4"/>
        <v>0</v>
      </c>
      <c r="E97" s="204">
        <v>6.216156109872719E-2</v>
      </c>
      <c r="F97" s="205">
        <v>7.9910019973936652E-2</v>
      </c>
      <c r="G97" s="204">
        <v>0.22763733880190878</v>
      </c>
      <c r="H97" s="204">
        <v>0.14876442307692306</v>
      </c>
      <c r="I97" s="209">
        <v>9.048</v>
      </c>
      <c r="J97" s="207">
        <v>2.265721205812063</v>
      </c>
      <c r="K97" s="206">
        <v>54</v>
      </c>
      <c r="L97" s="206">
        <v>40</v>
      </c>
      <c r="M97" s="208"/>
      <c r="N97" s="221"/>
    </row>
    <row r="98" spans="1:14" ht="16.5" customHeight="1" x14ac:dyDescent="0.25">
      <c r="A98" s="203">
        <v>44342</v>
      </c>
      <c r="B98" s="128" t="s">
        <v>18</v>
      </c>
      <c r="C98" s="157" t="str">
        <f t="shared" si="3"/>
        <v>26.05.2021_ORB1</v>
      </c>
      <c r="D98" s="190">
        <f t="shared" si="4"/>
        <v>0</v>
      </c>
      <c r="E98" s="204">
        <v>2.3767655714219217E-2</v>
      </c>
      <c r="F98" s="205">
        <v>6.5874275536450283E-2</v>
      </c>
      <c r="G98" s="204">
        <v>0.02</v>
      </c>
      <c r="H98" s="204">
        <v>3.9875000000000001E-2</v>
      </c>
      <c r="I98" s="209">
        <v>5.7569999999999997</v>
      </c>
      <c r="J98" s="207">
        <v>1.3280033337499999</v>
      </c>
      <c r="K98" s="206">
        <v>11.717000000000001</v>
      </c>
      <c r="L98" s="206">
        <v>12.271000000000001</v>
      </c>
      <c r="M98" s="208"/>
      <c r="N98" s="221"/>
    </row>
    <row r="99" spans="1:14" ht="16.5" customHeight="1" x14ac:dyDescent="0.25">
      <c r="A99" s="203">
        <v>44342</v>
      </c>
      <c r="B99" s="128" t="s">
        <v>21</v>
      </c>
      <c r="C99" s="157" t="str">
        <f t="shared" si="3"/>
        <v>26.05.2021_ORB2</v>
      </c>
      <c r="D99" s="190">
        <f t="shared" si="4"/>
        <v>0</v>
      </c>
      <c r="E99" s="204">
        <v>0</v>
      </c>
      <c r="F99" s="205">
        <v>2.5386376213127487E-2</v>
      </c>
      <c r="G99" s="204">
        <v>6.8462357534408713E-3</v>
      </c>
      <c r="H99" s="204">
        <v>2.7605769230769232E-2</v>
      </c>
      <c r="I99" s="209">
        <v>5.5609999999999999</v>
      </c>
      <c r="J99" s="207">
        <v>1.2697836800424971</v>
      </c>
      <c r="K99" s="206">
        <v>16.742000000000001</v>
      </c>
      <c r="L99" s="206">
        <v>14.215</v>
      </c>
      <c r="M99" s="208"/>
      <c r="N99" s="221"/>
    </row>
    <row r="100" spans="1:14" ht="16.5" customHeight="1" x14ac:dyDescent="0.25">
      <c r="A100" s="203">
        <v>44342</v>
      </c>
      <c r="B100" s="128" t="s">
        <v>10</v>
      </c>
      <c r="C100" s="157" t="str">
        <f t="shared" si="3"/>
        <v>26.05.2021_SAL1</v>
      </c>
      <c r="D100" s="190">
        <f t="shared" si="4"/>
        <v>0</v>
      </c>
      <c r="E100" s="204">
        <v>4.9363592637224528E-2</v>
      </c>
      <c r="F100" s="205">
        <v>6.3624348273087522E-2</v>
      </c>
      <c r="G100" s="204">
        <v>1.7115589383602178E-2</v>
      </c>
      <c r="H100" s="204">
        <v>6.4413461538461531E-2</v>
      </c>
      <c r="I100" s="209">
        <v>5.3760000000000003</v>
      </c>
      <c r="J100" s="207">
        <v>1.2471778823658579</v>
      </c>
      <c r="K100" s="206">
        <v>10.246</v>
      </c>
      <c r="L100" s="206">
        <v>5.9240000000000004</v>
      </c>
      <c r="M100" s="208"/>
      <c r="N100" s="221"/>
    </row>
    <row r="101" spans="1:14" ht="16.5" customHeight="1" x14ac:dyDescent="0.25">
      <c r="A101" s="203">
        <v>44342</v>
      </c>
      <c r="B101" s="128" t="s">
        <v>12</v>
      </c>
      <c r="C101" s="157" t="str">
        <f t="shared" si="3"/>
        <v>26.05.2021_SAL2</v>
      </c>
      <c r="D101" s="190">
        <f t="shared" si="4"/>
        <v>0</v>
      </c>
      <c r="E101" s="204">
        <v>5.8504998681155003E-2</v>
      </c>
      <c r="F101" s="205">
        <v>7.3639787681038904E-2</v>
      </c>
      <c r="G101" s="204">
        <v>6.8462357534408713E-3</v>
      </c>
      <c r="H101" s="204">
        <v>4.4475961538461534E-2</v>
      </c>
      <c r="I101" s="209">
        <v>6.1</v>
      </c>
      <c r="J101" s="207">
        <v>1.3966637400905737</v>
      </c>
      <c r="K101" s="206">
        <v>11.548999999999999</v>
      </c>
      <c r="L101" s="206">
        <v>6.5860000000000003</v>
      </c>
      <c r="M101" s="208"/>
      <c r="N101" s="221"/>
    </row>
    <row r="102" spans="1:14" ht="16.5" customHeight="1" x14ac:dyDescent="0.25">
      <c r="A102" s="203">
        <v>44342</v>
      </c>
      <c r="B102" s="128" t="s">
        <v>7</v>
      </c>
      <c r="C102" s="157" t="str">
        <f t="shared" si="3"/>
        <v>26.05.2021_STE1</v>
      </c>
      <c r="D102" s="190">
        <f t="shared" si="4"/>
        <v>0</v>
      </c>
      <c r="E102" s="204">
        <v>0</v>
      </c>
      <c r="F102" s="205">
        <v>4.2785503012423239E-2</v>
      </c>
      <c r="G102" s="204">
        <v>1.1980912568521525E-2</v>
      </c>
      <c r="H102" s="204">
        <v>7.8216346153846136E-2</v>
      </c>
      <c r="I102" s="209">
        <v>5.28</v>
      </c>
      <c r="J102" s="207">
        <v>1.2257096253868698</v>
      </c>
      <c r="K102" s="206">
        <v>11.162000000000001</v>
      </c>
      <c r="L102" s="206">
        <v>7.7590000000000003</v>
      </c>
      <c r="M102" s="208"/>
      <c r="N102" s="221"/>
    </row>
    <row r="103" spans="1:14" ht="16.5" customHeight="1" x14ac:dyDescent="0.25">
      <c r="A103" s="203">
        <v>44342</v>
      </c>
      <c r="B103" s="128" t="s">
        <v>9</v>
      </c>
      <c r="C103" s="157" t="str">
        <f t="shared" si="3"/>
        <v>26.05.2021_STE2</v>
      </c>
      <c r="D103" s="190">
        <f t="shared" si="4"/>
        <v>0</v>
      </c>
      <c r="E103" s="204">
        <v>4.9363592637224528E-2</v>
      </c>
      <c r="F103" s="205">
        <v>6.1859998720177729E-2</v>
      </c>
      <c r="G103" s="204">
        <v>7.3597034349489304E-2</v>
      </c>
      <c r="H103" s="204">
        <v>5.2144230769230755E-2</v>
      </c>
      <c r="I103" s="209">
        <v>6.1890000000000001</v>
      </c>
      <c r="J103" s="207">
        <v>1.4709321022597273</v>
      </c>
      <c r="K103" s="206">
        <v>14.069000000000001</v>
      </c>
      <c r="L103" s="206">
        <v>8.7059999999999995</v>
      </c>
      <c r="M103" s="208"/>
      <c r="N103" s="221"/>
    </row>
    <row r="104" spans="1:14" ht="16.5" customHeight="1" x14ac:dyDescent="0.25">
      <c r="A104" s="203">
        <v>44356</v>
      </c>
      <c r="B104" s="128" t="s">
        <v>22</v>
      </c>
      <c r="C104" s="157" t="str">
        <f t="shared" si="3"/>
        <v>09.06.2021_BIE1</v>
      </c>
      <c r="D104" s="190">
        <f t="shared" si="4"/>
        <v>0</v>
      </c>
      <c r="E104" s="204">
        <v>0</v>
      </c>
      <c r="F104" s="205">
        <v>1.1171416573994133E-2</v>
      </c>
      <c r="G104" s="204">
        <v>3.4231178767204357E-3</v>
      </c>
      <c r="H104" s="204">
        <v>2.0820361800588983E-2</v>
      </c>
      <c r="I104" s="209">
        <v>3.1429999999999998</v>
      </c>
      <c r="J104" s="207">
        <v>0.71890618595028399</v>
      </c>
      <c r="K104" s="206">
        <v>6.96</v>
      </c>
      <c r="L104" s="206">
        <v>12.837999999999999</v>
      </c>
      <c r="M104" s="208"/>
      <c r="N104" s="221"/>
    </row>
    <row r="105" spans="1:14" ht="16.5" customHeight="1" x14ac:dyDescent="0.25">
      <c r="A105" s="203">
        <v>44356</v>
      </c>
      <c r="B105" s="128" t="s">
        <v>25</v>
      </c>
      <c r="C105" s="157" t="str">
        <f t="shared" si="3"/>
        <v>09.06.2021_BIE2</v>
      </c>
      <c r="D105" s="190">
        <f t="shared" si="4"/>
        <v>0</v>
      </c>
      <c r="E105" s="204">
        <v>0</v>
      </c>
      <c r="F105" s="205">
        <v>1.0753400348029419E-2</v>
      </c>
      <c r="G105" s="204">
        <v>0.02</v>
      </c>
      <c r="H105" s="204">
        <v>2.5281867900715189E-2</v>
      </c>
      <c r="I105" s="209">
        <v>3.302</v>
      </c>
      <c r="J105" s="207">
        <v>0.76904960468237271</v>
      </c>
      <c r="K105" s="206">
        <v>7.7050000000000001</v>
      </c>
      <c r="L105" s="206">
        <v>13.337</v>
      </c>
      <c r="M105" s="208"/>
      <c r="N105" s="221"/>
    </row>
    <row r="106" spans="1:14" ht="16.5" customHeight="1" x14ac:dyDescent="0.25">
      <c r="A106" s="203">
        <v>44356</v>
      </c>
      <c r="B106" s="128" t="s">
        <v>14</v>
      </c>
      <c r="C106" s="157" t="str">
        <f t="shared" si="3"/>
        <v>09.06.2021_BRA1</v>
      </c>
      <c r="D106" s="190">
        <f t="shared" si="4"/>
        <v>0</v>
      </c>
      <c r="E106" s="204">
        <v>1.6454530879074843E-2</v>
      </c>
      <c r="F106" s="205">
        <v>3.6137709824442456E-2</v>
      </c>
      <c r="G106" s="204">
        <v>3.7654296643924771E-2</v>
      </c>
      <c r="H106" s="204">
        <v>6.6922591501893142E-2</v>
      </c>
      <c r="I106" s="209">
        <v>6.0439999999999996</v>
      </c>
      <c r="J106" s="207">
        <v>1.4147710477837923</v>
      </c>
      <c r="K106" s="206">
        <v>8.6709999999999994</v>
      </c>
      <c r="L106" s="206">
        <v>6.5490000000000004</v>
      </c>
      <c r="M106" s="208"/>
      <c r="N106" s="221"/>
    </row>
    <row r="107" spans="1:14" ht="16.5" customHeight="1" x14ac:dyDescent="0.25">
      <c r="A107" s="203">
        <v>44356</v>
      </c>
      <c r="B107" s="128" t="s">
        <v>17</v>
      </c>
      <c r="C107" s="157" t="str">
        <f t="shared" si="3"/>
        <v>09.06.2021_BRA2</v>
      </c>
      <c r="D107" s="190">
        <f t="shared" si="4"/>
        <v>0</v>
      </c>
      <c r="E107" s="204">
        <v>0</v>
      </c>
      <c r="F107" s="205">
        <v>2.390108327710376E-2</v>
      </c>
      <c r="G107" s="204">
        <v>0.02</v>
      </c>
      <c r="H107" s="204">
        <v>2.0820361800588983E-2</v>
      </c>
      <c r="I107" s="209">
        <v>7.9249999999999998</v>
      </c>
      <c r="J107" s="207">
        <v>1.8118883091501892</v>
      </c>
      <c r="K107" s="206">
        <v>11.992000000000001</v>
      </c>
      <c r="L107" s="206">
        <v>7.2370000000000001</v>
      </c>
      <c r="M107" s="208"/>
      <c r="N107" s="221"/>
    </row>
    <row r="108" spans="1:14" ht="16.5" customHeight="1" x14ac:dyDescent="0.25">
      <c r="A108" s="203">
        <v>44356</v>
      </c>
      <c r="B108" s="128" t="s">
        <v>30</v>
      </c>
      <c r="C108" s="157" t="str">
        <f t="shared" si="3"/>
        <v>09.06.2021_FAL1</v>
      </c>
      <c r="D108" s="190">
        <f t="shared" si="4"/>
        <v>0</v>
      </c>
      <c r="E108" s="204">
        <v>0</v>
      </c>
      <c r="F108" s="205">
        <v>3.9180534386482294E-2</v>
      </c>
      <c r="G108" s="204">
        <v>4.6212091335725833E-2</v>
      </c>
      <c r="H108" s="204">
        <v>0.14425536390408078</v>
      </c>
      <c r="I108" s="209">
        <v>10.26</v>
      </c>
      <c r="J108" s="207">
        <v>2.397227972341875</v>
      </c>
      <c r="K108" s="206">
        <v>35</v>
      </c>
      <c r="L108" s="206">
        <v>25.215</v>
      </c>
      <c r="M108" s="208"/>
      <c r="N108" s="221"/>
    </row>
    <row r="109" spans="1:14" ht="16.5" customHeight="1" x14ac:dyDescent="0.25">
      <c r="A109" s="203">
        <v>44356</v>
      </c>
      <c r="B109" s="128" t="s">
        <v>32</v>
      </c>
      <c r="C109" s="157" t="str">
        <f t="shared" si="3"/>
        <v>09.06.2021_FAL2</v>
      </c>
      <c r="D109" s="190">
        <f t="shared" si="4"/>
        <v>0</v>
      </c>
      <c r="E109" s="204">
        <v>0</v>
      </c>
      <c r="F109" s="205">
        <v>3.2078944073015987E-2</v>
      </c>
      <c r="G109" s="204">
        <v>0.15404030445241948</v>
      </c>
      <c r="H109" s="204">
        <v>0.56066259991586043</v>
      </c>
      <c r="I109" s="209">
        <v>8.702</v>
      </c>
      <c r="J109" s="207">
        <v>2.255825224548643</v>
      </c>
      <c r="K109" s="206">
        <v>40</v>
      </c>
      <c r="L109" s="206">
        <v>29.021000000000001</v>
      </c>
      <c r="M109" s="208"/>
      <c r="N109" s="221"/>
    </row>
    <row r="110" spans="1:14" ht="16.5" customHeight="1" x14ac:dyDescent="0.25">
      <c r="A110" s="203">
        <v>44356</v>
      </c>
      <c r="B110" s="128" t="s">
        <v>26</v>
      </c>
      <c r="C110" s="157" t="str">
        <f t="shared" si="3"/>
        <v>09.06.2021_GRU1</v>
      </c>
      <c r="D110" s="190">
        <f t="shared" si="4"/>
        <v>0</v>
      </c>
      <c r="E110" s="204">
        <v>0</v>
      </c>
      <c r="F110" s="205">
        <v>1.8070949390368088E-2</v>
      </c>
      <c r="G110" s="204">
        <v>0</v>
      </c>
      <c r="H110" s="204">
        <v>2.8256205300799329E-2</v>
      </c>
      <c r="I110" s="209">
        <v>3.383</v>
      </c>
      <c r="J110" s="207">
        <v>0.77272081170382823</v>
      </c>
      <c r="K110" s="206">
        <v>10.324</v>
      </c>
      <c r="L110" s="206">
        <v>11.984999999999999</v>
      </c>
      <c r="M110" s="208"/>
      <c r="N110" s="221"/>
    </row>
    <row r="111" spans="1:14" ht="16.5" customHeight="1" x14ac:dyDescent="0.25">
      <c r="A111" s="203">
        <v>44356</v>
      </c>
      <c r="B111" s="128" t="s">
        <v>28</v>
      </c>
      <c r="C111" s="157" t="str">
        <f t="shared" si="3"/>
        <v>09.06.2021_GRU2</v>
      </c>
      <c r="D111" s="190">
        <f t="shared" si="4"/>
        <v>0</v>
      </c>
      <c r="E111" s="204">
        <v>0</v>
      </c>
      <c r="F111" s="205">
        <v>2.2607422607873167E-2</v>
      </c>
      <c r="G111" s="204">
        <v>0.02</v>
      </c>
      <c r="H111" s="204">
        <v>4.4615061001262099E-2</v>
      </c>
      <c r="I111" s="209">
        <v>2.2410000000000001</v>
      </c>
      <c r="J111" s="207">
        <v>0.53528752532183432</v>
      </c>
      <c r="K111" s="206">
        <v>10.851000000000001</v>
      </c>
      <c r="L111" s="206">
        <v>11.545</v>
      </c>
      <c r="M111" s="208"/>
      <c r="N111" s="221"/>
    </row>
    <row r="112" spans="1:14" ht="16.5" customHeight="1" x14ac:dyDescent="0.25">
      <c r="A112" s="203">
        <v>44356</v>
      </c>
      <c r="B112" s="128" t="s">
        <v>0</v>
      </c>
      <c r="C112" s="157" t="str">
        <f t="shared" si="3"/>
        <v>09.06.2021_KIN1</v>
      </c>
      <c r="D112" s="190">
        <f t="shared" si="4"/>
        <v>0</v>
      </c>
      <c r="E112" s="204">
        <v>0</v>
      </c>
      <c r="F112" s="205">
        <v>4.677912910641073E-2</v>
      </c>
      <c r="G112" s="204">
        <v>2.7384943013763464E-2</v>
      </c>
      <c r="H112" s="204">
        <v>3.4204880100967609E-2</v>
      </c>
      <c r="I112" s="209">
        <v>5.1840000000000002</v>
      </c>
      <c r="J112" s="207">
        <v>1.2025878901474969</v>
      </c>
      <c r="K112" s="206">
        <v>11.223000000000001</v>
      </c>
      <c r="L112" s="206">
        <v>11.335000000000001</v>
      </c>
      <c r="M112" s="208"/>
      <c r="N112" s="221"/>
    </row>
    <row r="113" spans="1:14" ht="16.5" customHeight="1" x14ac:dyDescent="0.25">
      <c r="A113" s="203">
        <v>44356</v>
      </c>
      <c r="B113" s="128" t="s">
        <v>2</v>
      </c>
      <c r="C113" s="157" t="str">
        <f t="shared" si="3"/>
        <v>09.06.2021_KIN2</v>
      </c>
      <c r="D113" s="190">
        <f t="shared" si="4"/>
        <v>0</v>
      </c>
      <c r="E113" s="204">
        <v>0</v>
      </c>
      <c r="F113" s="205">
        <v>1.7483202758496939E-2</v>
      </c>
      <c r="G113" s="204">
        <v>1.540403044524196E-2</v>
      </c>
      <c r="H113" s="204">
        <v>2.8256205300799329E-2</v>
      </c>
      <c r="I113" s="209">
        <v>4.0919999999999996</v>
      </c>
      <c r="J113" s="207">
        <v>0.94482371730425407</v>
      </c>
      <c r="K113" s="206">
        <v>8.2989999999999995</v>
      </c>
      <c r="L113" s="206">
        <v>8.7129999999999992</v>
      </c>
      <c r="M113" s="208"/>
      <c r="N113" s="221"/>
    </row>
    <row r="114" spans="1:14" ht="16.5" customHeight="1" x14ac:dyDescent="0.25">
      <c r="A114" s="203">
        <v>44356</v>
      </c>
      <c r="B114" s="128" t="s">
        <v>4</v>
      </c>
      <c r="C114" s="157" t="str">
        <f t="shared" si="3"/>
        <v>09.06.2021_KIN3</v>
      </c>
      <c r="D114" s="190">
        <f t="shared" si="4"/>
        <v>0</v>
      </c>
      <c r="E114" s="204">
        <v>0</v>
      </c>
      <c r="F114" s="205">
        <v>1.435859367957288E-2</v>
      </c>
      <c r="G114" s="204">
        <v>2.7384943013763464E-2</v>
      </c>
      <c r="H114" s="204">
        <v>4.9076567101388309E-2</v>
      </c>
      <c r="I114" s="209">
        <v>5.2859999999999996</v>
      </c>
      <c r="J114" s="207">
        <v>1.2301543152547747</v>
      </c>
      <c r="K114" s="206">
        <v>14.057</v>
      </c>
      <c r="L114" s="206">
        <v>12.695</v>
      </c>
      <c r="M114" s="208"/>
      <c r="N114" s="221"/>
    </row>
    <row r="115" spans="1:14" ht="16.5" customHeight="1" x14ac:dyDescent="0.25">
      <c r="A115" s="203">
        <v>44356</v>
      </c>
      <c r="B115" s="128" t="s">
        <v>6</v>
      </c>
      <c r="C115" s="157" t="str">
        <f t="shared" si="3"/>
        <v>09.06.2021_KIN4</v>
      </c>
      <c r="D115" s="190">
        <f t="shared" si="4"/>
        <v>0</v>
      </c>
      <c r="E115" s="204">
        <v>0</v>
      </c>
      <c r="F115" s="205">
        <v>3.3834274886249696E-2</v>
      </c>
      <c r="G115" s="204">
        <v>5.6481444965887147E-2</v>
      </c>
      <c r="H115" s="204">
        <v>4.7589398401346239E-2</v>
      </c>
      <c r="I115" s="209">
        <v>5.9349999999999996</v>
      </c>
      <c r="J115" s="207">
        <v>1.3988843195448515</v>
      </c>
      <c r="K115" s="206">
        <v>26.901</v>
      </c>
      <c r="L115" s="206">
        <v>13.725</v>
      </c>
      <c r="M115" s="208"/>
      <c r="N115" s="221"/>
    </row>
    <row r="116" spans="1:14" ht="16.5" customHeight="1" x14ac:dyDescent="0.25">
      <c r="A116" s="203">
        <v>44356</v>
      </c>
      <c r="B116" s="128" t="s">
        <v>34</v>
      </c>
      <c r="C116" s="157" t="str">
        <f t="shared" si="3"/>
        <v>09.06.2021_KRE1</v>
      </c>
      <c r="D116" s="190">
        <f t="shared" si="4"/>
        <v>0</v>
      </c>
      <c r="E116" s="204">
        <v>0</v>
      </c>
      <c r="F116" s="205">
        <v>2.8845327809585E-2</v>
      </c>
      <c r="G116" s="204">
        <v>5.4769886027526929E-2</v>
      </c>
      <c r="H116" s="204">
        <v>0.13979385780395456</v>
      </c>
      <c r="I116" s="209">
        <v>5.2130000000000001</v>
      </c>
      <c r="J116" s="207">
        <v>1.2625488188099281</v>
      </c>
      <c r="K116" s="206">
        <v>28</v>
      </c>
      <c r="L116" s="206">
        <v>20.358000000000001</v>
      </c>
      <c r="M116" s="208"/>
      <c r="N116" s="221"/>
    </row>
    <row r="117" spans="1:14" ht="16.5" customHeight="1" x14ac:dyDescent="0.25">
      <c r="A117" s="203">
        <v>44356</v>
      </c>
      <c r="B117" s="128" t="s">
        <v>37</v>
      </c>
      <c r="C117" s="157" t="str">
        <f t="shared" si="3"/>
        <v>09.06.2021_KRE2</v>
      </c>
      <c r="D117" s="190">
        <f t="shared" si="4"/>
        <v>0</v>
      </c>
      <c r="E117" s="204">
        <v>0</v>
      </c>
      <c r="F117" s="205">
        <v>3.1284604219853664E-2</v>
      </c>
      <c r="G117" s="204">
        <v>2.5673384075403247E-2</v>
      </c>
      <c r="H117" s="204">
        <v>0.18440891880521668</v>
      </c>
      <c r="I117" s="209">
        <v>9.2829999999999995</v>
      </c>
      <c r="J117" s="207">
        <v>2.1728296313309579</v>
      </c>
      <c r="K117" s="206">
        <v>34</v>
      </c>
      <c r="L117" s="206">
        <v>32.908000000000001</v>
      </c>
      <c r="M117" s="208"/>
      <c r="N117" s="221"/>
    </row>
    <row r="118" spans="1:14" ht="16.5" customHeight="1" x14ac:dyDescent="0.25">
      <c r="A118" s="203">
        <v>44356</v>
      </c>
      <c r="B118" s="128" t="s">
        <v>18</v>
      </c>
      <c r="C118" s="157" t="str">
        <f t="shared" si="3"/>
        <v>09.06.2021_ORB1</v>
      </c>
      <c r="D118" s="190">
        <f t="shared" si="4"/>
        <v>0</v>
      </c>
      <c r="E118" s="204">
        <v>0</v>
      </c>
      <c r="F118" s="205">
        <v>1.3464218221144618E-2</v>
      </c>
      <c r="G118" s="204">
        <v>5.1346768150806535E-3</v>
      </c>
      <c r="H118" s="204">
        <v>1.635885570046277E-2</v>
      </c>
      <c r="I118" s="209">
        <v>5.8280000000000003</v>
      </c>
      <c r="J118" s="207">
        <v>1.3253378388181478</v>
      </c>
      <c r="K118" s="206">
        <v>10.208</v>
      </c>
      <c r="L118" s="206">
        <v>13.981999999999999</v>
      </c>
      <c r="M118" s="208"/>
      <c r="N118" s="221"/>
    </row>
    <row r="119" spans="1:14" ht="16.5" customHeight="1" x14ac:dyDescent="0.25">
      <c r="A119" s="203">
        <v>44356</v>
      </c>
      <c r="B119" s="128" t="s">
        <v>21</v>
      </c>
      <c r="C119" s="157" t="str">
        <f t="shared" si="3"/>
        <v>09.06.2021_ORB2</v>
      </c>
      <c r="D119" s="190">
        <f t="shared" si="4"/>
        <v>0</v>
      </c>
      <c r="E119" s="204">
        <v>0</v>
      </c>
      <c r="F119" s="205">
        <v>1.3609821903285165E-2</v>
      </c>
      <c r="G119" s="204">
        <v>5.1346768150806535E-3</v>
      </c>
      <c r="H119" s="204">
        <v>2.8256205300799329E-2</v>
      </c>
      <c r="I119" s="209">
        <v>6.05</v>
      </c>
      <c r="J119" s="207">
        <v>1.3791031269039702</v>
      </c>
      <c r="K119" s="206">
        <v>16.181000000000001</v>
      </c>
      <c r="L119" s="206">
        <v>16.216000000000001</v>
      </c>
      <c r="M119" s="208"/>
      <c r="N119" s="221"/>
    </row>
    <row r="120" spans="1:14" ht="16.5" customHeight="1" x14ac:dyDescent="0.25">
      <c r="A120" s="203">
        <v>44356</v>
      </c>
      <c r="B120" s="128" t="s">
        <v>10</v>
      </c>
      <c r="C120" s="157" t="str">
        <f t="shared" si="3"/>
        <v>09.06.2021_SAL1</v>
      </c>
      <c r="D120" s="190">
        <f t="shared" si="4"/>
        <v>0</v>
      </c>
      <c r="E120" s="204">
        <v>0</v>
      </c>
      <c r="F120" s="205">
        <v>4.3409998719806255E-2</v>
      </c>
      <c r="G120" s="204">
        <v>1.7115589383602178E-3</v>
      </c>
      <c r="H120" s="204">
        <v>1.784602440050484E-2</v>
      </c>
      <c r="I120" s="209">
        <v>5.8209999999999997</v>
      </c>
      <c r="J120" s="207">
        <v>1.3215515005287808</v>
      </c>
      <c r="K120" s="206">
        <v>9.5540000000000003</v>
      </c>
      <c r="L120" s="206">
        <v>6.8520000000000003</v>
      </c>
      <c r="M120" s="208"/>
      <c r="N120" s="221"/>
    </row>
    <row r="121" spans="1:14" ht="16.5" customHeight="1" x14ac:dyDescent="0.25">
      <c r="A121" s="203">
        <v>44356</v>
      </c>
      <c r="B121" s="128" t="s">
        <v>12</v>
      </c>
      <c r="C121" s="157" t="str">
        <f t="shared" si="3"/>
        <v>09.06.2021_SAL2</v>
      </c>
      <c r="D121" s="190">
        <f t="shared" si="4"/>
        <v>0</v>
      </c>
      <c r="E121" s="204">
        <v>7.3131248351443745E-2</v>
      </c>
      <c r="F121" s="205">
        <v>0.10633788168741275</v>
      </c>
      <c r="G121" s="204">
        <v>0.02</v>
      </c>
      <c r="H121" s="204">
        <v>5.0563735801430379E-2</v>
      </c>
      <c r="I121" s="209">
        <v>6.9740000000000002</v>
      </c>
      <c r="J121" s="207">
        <v>1.6061413093647454</v>
      </c>
      <c r="K121" s="206">
        <v>9.1929999999999996</v>
      </c>
      <c r="L121" s="206">
        <v>6.5590000000000002</v>
      </c>
      <c r="M121" s="208"/>
      <c r="N121" s="221"/>
    </row>
    <row r="122" spans="1:14" ht="16.5" customHeight="1" x14ac:dyDescent="0.25">
      <c r="A122" s="203">
        <v>44356</v>
      </c>
      <c r="B122" s="128" t="s">
        <v>7</v>
      </c>
      <c r="C122" s="157" t="str">
        <f t="shared" si="3"/>
        <v>09.06.2021_STE1</v>
      </c>
      <c r="D122" s="190">
        <f t="shared" si="4"/>
        <v>0</v>
      </c>
      <c r="E122" s="204">
        <v>2.9252499340577501E-2</v>
      </c>
      <c r="F122" s="205">
        <v>3.6326348790678684E-2</v>
      </c>
      <c r="G122" s="204">
        <v>0.02</v>
      </c>
      <c r="H122" s="204">
        <v>2.0820361800588983E-2</v>
      </c>
      <c r="I122" s="209">
        <v>5.0389999999999997</v>
      </c>
      <c r="J122" s="207">
        <v>1.1600274891501892</v>
      </c>
      <c r="K122" s="206">
        <v>7.6820000000000004</v>
      </c>
      <c r="L122" s="206">
        <v>6.8220000000000001</v>
      </c>
      <c r="M122" s="208"/>
      <c r="N122" s="221"/>
    </row>
    <row r="123" spans="1:14" ht="16.5" customHeight="1" x14ac:dyDescent="0.25">
      <c r="A123" s="203">
        <v>44356</v>
      </c>
      <c r="B123" s="128" t="s">
        <v>9</v>
      </c>
      <c r="C123" s="157" t="str">
        <f t="shared" si="3"/>
        <v>09.06.2021_STE2</v>
      </c>
      <c r="D123" s="190">
        <f t="shared" si="4"/>
        <v>0</v>
      </c>
      <c r="E123" s="204">
        <v>0</v>
      </c>
      <c r="F123" s="205">
        <v>2.5696192530268367E-2</v>
      </c>
      <c r="G123" s="204">
        <v>0.02</v>
      </c>
      <c r="H123" s="204">
        <v>1.635885570046277E-2</v>
      </c>
      <c r="I123" s="209">
        <v>5.024</v>
      </c>
      <c r="J123" s="207">
        <v>1.1552811336180058</v>
      </c>
      <c r="K123" s="206">
        <v>11.734999999999999</v>
      </c>
      <c r="L123" s="206">
        <v>6.992</v>
      </c>
      <c r="M123" s="208"/>
      <c r="N123" s="221"/>
    </row>
    <row r="124" spans="1:14" ht="16.5" customHeight="1" x14ac:dyDescent="0.25">
      <c r="A124" s="203">
        <v>44370</v>
      </c>
      <c r="B124" s="128" t="s">
        <v>22</v>
      </c>
      <c r="C124" s="157" t="str">
        <f t="shared" si="3"/>
        <v>23.06.2021_BIE1</v>
      </c>
      <c r="D124" s="190">
        <f t="shared" si="4"/>
        <v>0</v>
      </c>
      <c r="E124" s="204">
        <v>0</v>
      </c>
      <c r="F124" s="205">
        <v>0</v>
      </c>
      <c r="G124" s="204">
        <v>1.8331960548269251E-2</v>
      </c>
      <c r="H124" s="204">
        <v>3.4865058728593211E-2</v>
      </c>
      <c r="I124" s="209">
        <v>4.4000000000000004</v>
      </c>
      <c r="J124" s="207">
        <v>1.0186772511760458</v>
      </c>
      <c r="K124" s="206">
        <v>7.7</v>
      </c>
      <c r="L124" s="206">
        <v>14</v>
      </c>
      <c r="M124" s="208"/>
      <c r="N124" s="221"/>
    </row>
    <row r="125" spans="1:14" ht="16.5" customHeight="1" x14ac:dyDescent="0.25">
      <c r="A125" s="203">
        <v>44370</v>
      </c>
      <c r="B125" s="128" t="s">
        <v>25</v>
      </c>
      <c r="C125" s="157" t="str">
        <f t="shared" si="3"/>
        <v>23.06.2021_BIE2</v>
      </c>
      <c r="D125" s="190">
        <f t="shared" si="4"/>
        <v>0</v>
      </c>
      <c r="E125" s="204">
        <v>3.8378026272934532E-2</v>
      </c>
      <c r="F125" s="205">
        <v>3.2000000000000001E-2</v>
      </c>
      <c r="G125" s="204">
        <v>6.4161861918942353E-2</v>
      </c>
      <c r="H125" s="204">
        <v>2.8525957141576262E-2</v>
      </c>
      <c r="I125" s="209">
        <v>4</v>
      </c>
      <c r="J125" s="207">
        <v>0.96198577181319234</v>
      </c>
      <c r="K125" s="206">
        <v>6.7</v>
      </c>
      <c r="L125" s="206">
        <v>12</v>
      </c>
      <c r="M125" s="208"/>
      <c r="N125" s="221"/>
    </row>
    <row r="126" spans="1:14" ht="16.5" customHeight="1" x14ac:dyDescent="0.25">
      <c r="A126" s="203">
        <v>44370</v>
      </c>
      <c r="B126" s="128" t="s">
        <v>14</v>
      </c>
      <c r="C126" s="157" t="str">
        <f t="shared" si="3"/>
        <v>23.06.2021_BRA1</v>
      </c>
      <c r="D126" s="190">
        <f t="shared" si="4"/>
        <v>0</v>
      </c>
      <c r="E126" s="204">
        <v>4.0205551333550457E-2</v>
      </c>
      <c r="F126" s="205">
        <v>3.9E-2</v>
      </c>
      <c r="G126" s="204">
        <v>3.8497117151365404E-2</v>
      </c>
      <c r="H126" s="204">
        <v>0.10142562539227112</v>
      </c>
      <c r="I126" s="209">
        <v>5.5</v>
      </c>
      <c r="J126" s="207">
        <v>1.3030566581475405</v>
      </c>
      <c r="K126" s="206">
        <v>5.4</v>
      </c>
      <c r="L126" s="206">
        <v>3.7</v>
      </c>
      <c r="M126" s="208"/>
      <c r="N126" s="221"/>
    </row>
    <row r="127" spans="1:14" ht="16.5" customHeight="1" x14ac:dyDescent="0.25">
      <c r="A127" s="203">
        <v>44370</v>
      </c>
      <c r="B127" s="128" t="s">
        <v>17</v>
      </c>
      <c r="C127" s="157" t="str">
        <f t="shared" si="3"/>
        <v>23.06.2021_BRA2</v>
      </c>
      <c r="D127" s="190">
        <f t="shared" si="4"/>
        <v>0</v>
      </c>
      <c r="E127" s="204">
        <v>8.5893677848948718E-2</v>
      </c>
      <c r="F127" s="205">
        <v>7.9000000000000001E-2</v>
      </c>
      <c r="G127" s="204">
        <v>2.9331136877230778E-2</v>
      </c>
      <c r="H127" s="204">
        <v>6.6560566663677947E-2</v>
      </c>
      <c r="I127" s="209">
        <v>11</v>
      </c>
      <c r="J127" s="207">
        <v>2.5276096989945573</v>
      </c>
      <c r="K127" s="206">
        <v>11</v>
      </c>
      <c r="L127" s="206">
        <v>6.1</v>
      </c>
      <c r="M127" s="208"/>
      <c r="N127" s="221"/>
    </row>
    <row r="128" spans="1:14" ht="16.5" customHeight="1" x14ac:dyDescent="0.25">
      <c r="A128" s="203">
        <v>44370</v>
      </c>
      <c r="B128" s="128" t="s">
        <v>30</v>
      </c>
      <c r="C128" s="157" t="str">
        <f t="shared" si="3"/>
        <v>23.06.2021_FAL1</v>
      </c>
      <c r="D128" s="190">
        <f t="shared" si="4"/>
        <v>0</v>
      </c>
      <c r="E128" s="204">
        <v>0.18092498100097709</v>
      </c>
      <c r="F128" s="205">
        <v>0.182</v>
      </c>
      <c r="G128" s="204">
        <v>0.29514456482713475</v>
      </c>
      <c r="H128" s="204">
        <v>0.32804850712812694</v>
      </c>
      <c r="I128" s="209">
        <v>12</v>
      </c>
      <c r="J128" s="207">
        <v>3.0394911711377799</v>
      </c>
      <c r="K128" s="206">
        <v>38</v>
      </c>
      <c r="L128" s="206">
        <v>24</v>
      </c>
      <c r="M128" s="208"/>
      <c r="N128" s="221"/>
    </row>
    <row r="129" spans="1:14" ht="16.5" customHeight="1" x14ac:dyDescent="0.25">
      <c r="A129" s="203">
        <v>44370</v>
      </c>
      <c r="B129" s="128" t="s">
        <v>32</v>
      </c>
      <c r="C129" s="157" t="str">
        <f t="shared" si="3"/>
        <v>23.06.2021_FAL2</v>
      </c>
      <c r="D129" s="190">
        <f t="shared" si="4"/>
        <v>0</v>
      </c>
      <c r="E129" s="204">
        <v>0.25768103354684613</v>
      </c>
      <c r="F129" s="205">
        <v>0.26300000000000001</v>
      </c>
      <c r="G129" s="204">
        <v>0.2034847620857885</v>
      </c>
      <c r="H129" s="204">
        <v>0.24880973729041514</v>
      </c>
      <c r="I129" s="209">
        <v>9.1</v>
      </c>
      <c r="J129" s="207">
        <v>2.2891710074300606</v>
      </c>
      <c r="K129" s="206">
        <v>35</v>
      </c>
      <c r="L129" s="206">
        <v>24</v>
      </c>
      <c r="M129" s="208"/>
      <c r="N129" s="221"/>
    </row>
    <row r="130" spans="1:14" ht="16.5" customHeight="1" x14ac:dyDescent="0.25">
      <c r="A130" s="203">
        <v>44370</v>
      </c>
      <c r="B130" s="128" t="s">
        <v>26</v>
      </c>
      <c r="C130" s="157" t="str">
        <f t="shared" si="3"/>
        <v>23.06.2021_GRU1</v>
      </c>
      <c r="D130" s="190">
        <f t="shared" si="4"/>
        <v>0</v>
      </c>
      <c r="E130" s="204">
        <v>2.7412875909238951E-2</v>
      </c>
      <c r="F130" s="205">
        <v>1.7000000000000001E-2</v>
      </c>
      <c r="G130" s="204">
        <v>7.516103824790385E-2</v>
      </c>
      <c r="H130" s="204">
        <v>8.0823545234466068E-2</v>
      </c>
      <c r="I130" s="209">
        <v>3</v>
      </c>
      <c r="J130" s="207">
        <v>0.76057852293574801</v>
      </c>
      <c r="K130" s="206">
        <v>7.9</v>
      </c>
      <c r="L130" s="206">
        <v>8.8000000000000007</v>
      </c>
      <c r="M130" s="208"/>
      <c r="N130" s="221"/>
    </row>
    <row r="131" spans="1:14" ht="16.5" customHeight="1" x14ac:dyDescent="0.25">
      <c r="A131" s="203">
        <v>44370</v>
      </c>
      <c r="B131" s="128" t="s">
        <v>28</v>
      </c>
      <c r="C131" s="157" t="str">
        <f t="shared" si="3"/>
        <v>23.06.2021_GRU2</v>
      </c>
      <c r="D131" s="190">
        <f t="shared" si="4"/>
        <v>0</v>
      </c>
      <c r="E131" s="204">
        <v>2.5585350848623022E-2</v>
      </c>
      <c r="F131" s="205">
        <v>1.6E-2</v>
      </c>
      <c r="G131" s="204">
        <v>6.232866586411543E-2</v>
      </c>
      <c r="H131" s="204">
        <v>2.3771630951313547E-2</v>
      </c>
      <c r="I131" s="209">
        <v>3.6</v>
      </c>
      <c r="J131" s="207">
        <v>0.8687668587999543</v>
      </c>
      <c r="K131" s="206">
        <v>7.7</v>
      </c>
      <c r="L131" s="206">
        <v>12</v>
      </c>
      <c r="M131" s="208"/>
      <c r="N131" s="221"/>
    </row>
    <row r="132" spans="1:14" ht="16.5" customHeight="1" x14ac:dyDescent="0.25">
      <c r="A132" s="203">
        <v>44370</v>
      </c>
      <c r="B132" s="128" t="s">
        <v>0</v>
      </c>
      <c r="C132" s="157" t="str">
        <f t="shared" si="3"/>
        <v>23.06.2021_KIN1</v>
      </c>
      <c r="D132" s="190">
        <f t="shared" si="4"/>
        <v>0</v>
      </c>
      <c r="E132" s="204">
        <v>4.9343176636630112E-2</v>
      </c>
      <c r="F132" s="205">
        <v>3.7999999999999999E-2</v>
      </c>
      <c r="G132" s="204">
        <v>6.7828254028596199E-2</v>
      </c>
      <c r="H132" s="204">
        <v>6.0221465076660992E-2</v>
      </c>
      <c r="I132" s="209">
        <v>4.9000000000000004</v>
      </c>
      <c r="J132" s="207">
        <v>1.177765386013254</v>
      </c>
      <c r="K132" s="206">
        <v>9.8000000000000007</v>
      </c>
      <c r="L132" s="206">
        <v>10</v>
      </c>
      <c r="M132" s="208"/>
      <c r="N132" s="221"/>
    </row>
    <row r="133" spans="1:14" ht="16.5" customHeight="1" x14ac:dyDescent="0.25">
      <c r="A133" s="203">
        <v>44370</v>
      </c>
      <c r="B133" s="128" t="s">
        <v>2</v>
      </c>
      <c r="C133" s="157" t="str">
        <f t="shared" ref="C133:C196" si="5">CONCATENATE(TEXT(A133,"TT.MM.JJJJ"),"_",B133)</f>
        <v>23.06.2021_KIN2</v>
      </c>
      <c r="D133" s="190">
        <f t="shared" ref="D133:D196" si="6">COUNTBLANK(E133:L133)</f>
        <v>0</v>
      </c>
      <c r="E133" s="204">
        <v>1.82752506061593E-2</v>
      </c>
      <c r="F133" s="205">
        <v>1.6E-2</v>
      </c>
      <c r="G133" s="204">
        <v>6.232866586411543E-2</v>
      </c>
      <c r="H133" s="204">
        <v>9.8256074598762677E-2</v>
      </c>
      <c r="I133" s="209">
        <v>4.0999999999999996</v>
      </c>
      <c r="J133" s="207">
        <v>1.0043786476684202</v>
      </c>
      <c r="K133" s="206">
        <v>7.1</v>
      </c>
      <c r="L133" s="206">
        <v>8.6999999999999993</v>
      </c>
      <c r="M133" s="208"/>
      <c r="N133" s="221"/>
    </row>
    <row r="134" spans="1:14" ht="16.5" customHeight="1" x14ac:dyDescent="0.25">
      <c r="A134" s="203">
        <v>44370</v>
      </c>
      <c r="B134" s="128" t="s">
        <v>4</v>
      </c>
      <c r="C134" s="157" t="str">
        <f t="shared" si="5"/>
        <v>23.06.2021_KIN3</v>
      </c>
      <c r="D134" s="190">
        <f t="shared" si="6"/>
        <v>0</v>
      </c>
      <c r="E134" s="204">
        <v>2.9240400969854884E-2</v>
      </c>
      <c r="F134" s="205">
        <v>2.3E-2</v>
      </c>
      <c r="G134" s="204">
        <v>8.6160214576865402E-2</v>
      </c>
      <c r="H134" s="204">
        <v>6.1806240473415229E-2</v>
      </c>
      <c r="I134" s="209">
        <v>5.5</v>
      </c>
      <c r="J134" s="207">
        <v>1.3280044549289214</v>
      </c>
      <c r="K134" s="206">
        <v>12</v>
      </c>
      <c r="L134" s="206">
        <v>11</v>
      </c>
      <c r="M134" s="208"/>
      <c r="N134" s="221"/>
    </row>
    <row r="135" spans="1:14" ht="16.5" customHeight="1" x14ac:dyDescent="0.25">
      <c r="A135" s="203">
        <v>44370</v>
      </c>
      <c r="B135" s="128" t="s">
        <v>6</v>
      </c>
      <c r="C135" s="157" t="str">
        <f t="shared" si="5"/>
        <v>23.06.2021_KIN4</v>
      </c>
      <c r="D135" s="190">
        <f t="shared" si="6"/>
        <v>0</v>
      </c>
      <c r="E135" s="204">
        <v>2.5585350848623022E-2</v>
      </c>
      <c r="F135" s="205">
        <v>2.9000000000000001E-2</v>
      </c>
      <c r="G135" s="204">
        <v>9.5326194851000037E-2</v>
      </c>
      <c r="H135" s="204">
        <v>8.0823545234466068E-2</v>
      </c>
      <c r="I135" s="209">
        <v>8.4</v>
      </c>
      <c r="J135" s="207">
        <v>1.9959345653864862</v>
      </c>
      <c r="K135" s="206">
        <v>29</v>
      </c>
      <c r="L135" s="206">
        <v>15</v>
      </c>
      <c r="M135" s="208"/>
      <c r="N135" s="221"/>
    </row>
    <row r="136" spans="1:14" ht="16.5" customHeight="1" x14ac:dyDescent="0.25">
      <c r="A136" s="203">
        <v>44370</v>
      </c>
      <c r="B136" s="128" t="s">
        <v>34</v>
      </c>
      <c r="C136" s="157" t="str">
        <f t="shared" si="5"/>
        <v>23.06.2021_KRE1</v>
      </c>
      <c r="D136" s="190">
        <f t="shared" si="6"/>
        <v>0</v>
      </c>
      <c r="E136" s="204">
        <v>0.25402598342561433</v>
      </c>
      <c r="F136" s="205">
        <v>0.25</v>
      </c>
      <c r="G136" s="204">
        <v>0.3409744661978078</v>
      </c>
      <c r="H136" s="204">
        <v>0.1870034968169999</v>
      </c>
      <c r="I136" s="209">
        <v>2.5</v>
      </c>
      <c r="J136" s="207">
        <v>0.88637147786387138</v>
      </c>
      <c r="K136" s="206">
        <v>31</v>
      </c>
      <c r="L136" s="206">
        <v>22</v>
      </c>
      <c r="M136" s="208"/>
      <c r="N136" s="221"/>
    </row>
    <row r="137" spans="1:14" ht="16.5" customHeight="1" x14ac:dyDescent="0.25">
      <c r="A137" s="203">
        <v>44370</v>
      </c>
      <c r="B137" s="128" t="s">
        <v>37</v>
      </c>
      <c r="C137" s="157" t="str">
        <f t="shared" si="5"/>
        <v>23.06.2021_KRE2</v>
      </c>
      <c r="D137" s="190">
        <f t="shared" si="6"/>
        <v>0</v>
      </c>
      <c r="E137" s="204">
        <v>0.12427170412188325</v>
      </c>
      <c r="F137" s="205">
        <v>0.14399999999999999</v>
      </c>
      <c r="G137" s="204">
        <v>0.28964497666265399</v>
      </c>
      <c r="H137" s="204">
        <v>6.8145342060432185E-2</v>
      </c>
      <c r="I137" s="209">
        <v>5.7</v>
      </c>
      <c r="J137" s="207">
        <v>1.5331122773190826</v>
      </c>
      <c r="K137" s="206">
        <v>37</v>
      </c>
      <c r="L137" s="206">
        <v>28</v>
      </c>
      <c r="M137" s="208"/>
      <c r="N137" s="221"/>
    </row>
    <row r="138" spans="1:14" ht="16.5" customHeight="1" x14ac:dyDescent="0.25">
      <c r="A138" s="203">
        <v>44370</v>
      </c>
      <c r="B138" s="128" t="s">
        <v>18</v>
      </c>
      <c r="C138" s="157" t="str">
        <f t="shared" si="5"/>
        <v>23.06.2021_ORB1</v>
      </c>
      <c r="D138" s="190">
        <f t="shared" si="6"/>
        <v>0</v>
      </c>
      <c r="E138" s="204">
        <v>2.9240400969854884E-2</v>
      </c>
      <c r="F138" s="205">
        <v>2.3E-2</v>
      </c>
      <c r="G138" s="204">
        <v>6.0495469809288507E-2</v>
      </c>
      <c r="H138" s="204">
        <v>9.5086523805254178E-3</v>
      </c>
      <c r="I138" s="209">
        <v>9.4</v>
      </c>
      <c r="J138" s="207">
        <v>2.1730470365694652</v>
      </c>
      <c r="K138" s="206">
        <v>9.4</v>
      </c>
      <c r="L138" s="206">
        <v>15</v>
      </c>
      <c r="M138" s="208"/>
      <c r="N138" s="221"/>
    </row>
    <row r="139" spans="1:14" ht="16.5" customHeight="1" x14ac:dyDescent="0.25">
      <c r="A139" s="203">
        <v>44370</v>
      </c>
      <c r="B139" s="128" t="s">
        <v>21</v>
      </c>
      <c r="C139" s="157" t="str">
        <f t="shared" si="5"/>
        <v>23.06.2021_ORB2</v>
      </c>
      <c r="D139" s="190">
        <f t="shared" si="6"/>
        <v>0</v>
      </c>
      <c r="E139" s="204">
        <v>2.0102775666775229E-2</v>
      </c>
      <c r="F139" s="205">
        <v>2.5999999999999999E-2</v>
      </c>
      <c r="G139" s="204">
        <v>4.0330313206192327E-2</v>
      </c>
      <c r="H139" s="204">
        <v>3.0110732538330496E-2</v>
      </c>
      <c r="I139" s="209">
        <v>7</v>
      </c>
      <c r="J139" s="207">
        <v>1.6215732974227708</v>
      </c>
      <c r="K139" s="206">
        <v>15</v>
      </c>
      <c r="L139" s="206">
        <v>16</v>
      </c>
      <c r="M139" s="208"/>
      <c r="N139" s="221"/>
    </row>
    <row r="140" spans="1:14" ht="16.5" customHeight="1" x14ac:dyDescent="0.25">
      <c r="A140" s="203">
        <v>44370</v>
      </c>
      <c r="B140" s="128" t="s">
        <v>10</v>
      </c>
      <c r="C140" s="157" t="str">
        <f t="shared" si="5"/>
        <v>23.06.2021_SAL1</v>
      </c>
      <c r="D140" s="190">
        <f t="shared" si="6"/>
        <v>2</v>
      </c>
      <c r="E140" s="204"/>
      <c r="F140" s="205">
        <v>9.8000000000000004E-2</v>
      </c>
      <c r="G140" s="204">
        <v>0.02</v>
      </c>
      <c r="H140" s="204"/>
      <c r="I140" s="209">
        <v>9.8000000000000007</v>
      </c>
      <c r="J140" s="207">
        <v>2.2290557999999998</v>
      </c>
      <c r="K140" s="208">
        <v>11</v>
      </c>
      <c r="L140" s="208">
        <v>7.2</v>
      </c>
      <c r="M140" s="208"/>
      <c r="N140" s="221"/>
    </row>
    <row r="141" spans="1:14" ht="16.5" customHeight="1" x14ac:dyDescent="0.25">
      <c r="A141" s="203">
        <v>44370</v>
      </c>
      <c r="B141" s="128" t="s">
        <v>12</v>
      </c>
      <c r="C141" s="157" t="str">
        <f t="shared" si="5"/>
        <v>23.06.2021_SAL2</v>
      </c>
      <c r="D141" s="190">
        <f t="shared" si="6"/>
        <v>0</v>
      </c>
      <c r="E141" s="204">
        <v>0.10782397857633987</v>
      </c>
      <c r="F141" s="205">
        <v>0.109</v>
      </c>
      <c r="G141" s="204">
        <v>5.4995881644807731E-2</v>
      </c>
      <c r="H141" s="204">
        <v>1.2678203174033892E-2</v>
      </c>
      <c r="I141" s="209">
        <v>8.1999999999999993</v>
      </c>
      <c r="J141" s="207">
        <v>1.8986976310947112</v>
      </c>
      <c r="K141" s="208">
        <v>9.3000000000000007</v>
      </c>
      <c r="L141" s="208">
        <v>6.2</v>
      </c>
      <c r="M141" s="208"/>
      <c r="N141" s="221"/>
    </row>
    <row r="142" spans="1:14" ht="16.5" customHeight="1" x14ac:dyDescent="0.25">
      <c r="A142" s="203">
        <v>44370</v>
      </c>
      <c r="B142" s="128" t="s">
        <v>7</v>
      </c>
      <c r="C142" s="157" t="str">
        <f t="shared" si="5"/>
        <v>23.06.2021_STE1</v>
      </c>
      <c r="D142" s="190">
        <f t="shared" si="6"/>
        <v>0</v>
      </c>
      <c r="E142" s="204">
        <v>0.1096515036369558</v>
      </c>
      <c r="F142" s="205">
        <v>0.115</v>
      </c>
      <c r="G142" s="204">
        <v>5.6829077699634654E-2</v>
      </c>
      <c r="H142" s="204">
        <v>1.1093427777279657E-2</v>
      </c>
      <c r="I142" s="209">
        <v>9.6</v>
      </c>
      <c r="J142" s="207">
        <v>2.2158566046297818</v>
      </c>
      <c r="K142" s="208">
        <v>12</v>
      </c>
      <c r="L142" s="208">
        <v>8.4</v>
      </c>
      <c r="M142" s="208"/>
      <c r="N142" s="221"/>
    </row>
    <row r="143" spans="1:14" ht="16.5" customHeight="1" x14ac:dyDescent="0.25">
      <c r="A143" s="203">
        <v>44370</v>
      </c>
      <c r="B143" s="128" t="s">
        <v>9</v>
      </c>
      <c r="C143" s="157" t="str">
        <f t="shared" si="5"/>
        <v>23.06.2021_STE2</v>
      </c>
      <c r="D143" s="190">
        <f t="shared" si="6"/>
        <v>0</v>
      </c>
      <c r="E143" s="204">
        <v>7.6756052545869063E-2</v>
      </c>
      <c r="F143" s="205">
        <v>7.0999999999999994E-2</v>
      </c>
      <c r="G143" s="204">
        <v>4.399670531584618E-2</v>
      </c>
      <c r="H143" s="204">
        <v>4.7543261902627098E-3</v>
      </c>
      <c r="I143" s="209">
        <v>8.6999999999999993</v>
      </c>
      <c r="J143" s="207">
        <v>2.0006794563193266</v>
      </c>
      <c r="K143" s="208">
        <v>12</v>
      </c>
      <c r="L143" s="208">
        <v>7.8</v>
      </c>
      <c r="M143" s="208"/>
      <c r="N143" s="221"/>
    </row>
    <row r="144" spans="1:14" ht="16.5" customHeight="1" x14ac:dyDescent="0.25">
      <c r="A144" s="203">
        <v>44384</v>
      </c>
      <c r="B144" s="128" t="s">
        <v>22</v>
      </c>
      <c r="C144" s="157" t="str">
        <f t="shared" si="5"/>
        <v>07.07.2021_BIE1</v>
      </c>
      <c r="D144" s="190">
        <f t="shared" si="6"/>
        <v>0</v>
      </c>
      <c r="E144" s="204">
        <v>0</v>
      </c>
      <c r="F144" s="205">
        <v>4.0000000000000001E-3</v>
      </c>
      <c r="G144" s="204">
        <v>5.6745625313255957E-3</v>
      </c>
      <c r="H144" s="204">
        <v>2.4857236626189695E-2</v>
      </c>
      <c r="I144" s="209">
        <v>3.7</v>
      </c>
      <c r="J144" s="207">
        <v>0.8476930267507925</v>
      </c>
      <c r="K144" s="208">
        <v>9.1</v>
      </c>
      <c r="L144" s="208">
        <v>13</v>
      </c>
      <c r="M144" s="208">
        <v>4.4189999999999996</v>
      </c>
      <c r="N144" s="221"/>
    </row>
    <row r="145" spans="1:14" ht="16.5" customHeight="1" x14ac:dyDescent="0.25">
      <c r="A145" s="203">
        <v>44384</v>
      </c>
      <c r="B145" s="128" t="s">
        <v>25</v>
      </c>
      <c r="C145" s="157" t="str">
        <f t="shared" si="5"/>
        <v>07.07.2021_BIE2</v>
      </c>
      <c r="D145" s="190">
        <f t="shared" si="6"/>
        <v>0</v>
      </c>
      <c r="E145" s="204">
        <v>0</v>
      </c>
      <c r="F145" s="205">
        <v>0</v>
      </c>
      <c r="G145" s="204">
        <v>0</v>
      </c>
      <c r="H145" s="204">
        <v>1.2428618313094849E-2</v>
      </c>
      <c r="I145" s="209">
        <v>2.7</v>
      </c>
      <c r="J145" s="207">
        <v>0.61363289284542166</v>
      </c>
      <c r="K145" s="208">
        <v>7.6</v>
      </c>
      <c r="L145" s="208">
        <v>9.3000000000000007</v>
      </c>
      <c r="M145" s="208">
        <v>4.1539999999999999</v>
      </c>
      <c r="N145" s="221"/>
    </row>
    <row r="146" spans="1:14" ht="16.5" customHeight="1" x14ac:dyDescent="0.25">
      <c r="A146" s="203">
        <v>44384</v>
      </c>
      <c r="B146" s="128" t="s">
        <v>14</v>
      </c>
      <c r="C146" s="157" t="str">
        <f t="shared" si="5"/>
        <v>07.07.2021_BRA1</v>
      </c>
      <c r="D146" s="190">
        <f t="shared" si="6"/>
        <v>0</v>
      </c>
      <c r="E146" s="204">
        <v>2.5862114014872411E-2</v>
      </c>
      <c r="F146" s="205">
        <v>4.5999999999999999E-2</v>
      </c>
      <c r="G146" s="204">
        <v>1.8915208437751959E-2</v>
      </c>
      <c r="H146" s="204">
        <v>0.18998030850016409</v>
      </c>
      <c r="I146" s="209">
        <v>4.5</v>
      </c>
      <c r="J146" s="207">
        <v>1.088941975122705</v>
      </c>
      <c r="K146" s="208">
        <v>4</v>
      </c>
      <c r="L146" s="208">
        <v>2.8</v>
      </c>
      <c r="M146" s="208">
        <v>2.0680000000000001</v>
      </c>
      <c r="N146" s="221"/>
    </row>
    <row r="147" spans="1:14" ht="16.5" customHeight="1" x14ac:dyDescent="0.25">
      <c r="A147" s="203">
        <v>44384</v>
      </c>
      <c r="B147" s="128" t="s">
        <v>17</v>
      </c>
      <c r="C147" s="157" t="str">
        <f t="shared" si="5"/>
        <v>07.07.2021_BRA2</v>
      </c>
      <c r="D147" s="190">
        <f t="shared" si="6"/>
        <v>0</v>
      </c>
      <c r="E147" s="204">
        <v>3.1403995589487928E-2</v>
      </c>
      <c r="F147" s="205">
        <v>6.4000000000000001E-2</v>
      </c>
      <c r="G147" s="204">
        <v>0</v>
      </c>
      <c r="H147" s="204">
        <v>8.8775845093534613E-3</v>
      </c>
      <c r="I147" s="209">
        <v>8.1999999999999993</v>
      </c>
      <c r="J147" s="207">
        <v>1.8548367806038724</v>
      </c>
      <c r="K147" s="208">
        <v>8.1</v>
      </c>
      <c r="L147" s="208">
        <v>4.3</v>
      </c>
      <c r="M147" s="208">
        <v>2.7759999999999998</v>
      </c>
      <c r="N147" s="221"/>
    </row>
    <row r="148" spans="1:14" ht="16.5" customHeight="1" x14ac:dyDescent="0.25">
      <c r="A148" s="203">
        <v>44384</v>
      </c>
      <c r="B148" s="128" t="s">
        <v>30</v>
      </c>
      <c r="C148" s="157" t="str">
        <f t="shared" si="5"/>
        <v>07.07.2021_FAL1</v>
      </c>
      <c r="D148" s="190">
        <f t="shared" si="6"/>
        <v>0</v>
      </c>
      <c r="E148" s="204">
        <v>8.6822811335643096E-2</v>
      </c>
      <c r="F148" s="205">
        <v>0.13</v>
      </c>
      <c r="G148" s="204">
        <v>0.20995881365904684</v>
      </c>
      <c r="H148" s="204">
        <v>8.877584509353463E-2</v>
      </c>
      <c r="I148" s="209">
        <v>7.2</v>
      </c>
      <c r="J148" s="207">
        <v>1.8163227252568397</v>
      </c>
      <c r="K148" s="208">
        <v>33</v>
      </c>
      <c r="L148" s="208">
        <v>21</v>
      </c>
      <c r="M148" s="208">
        <v>3.9660000000000002</v>
      </c>
      <c r="N148" s="221"/>
    </row>
    <row r="149" spans="1:14" ht="16.5" customHeight="1" x14ac:dyDescent="0.25">
      <c r="A149" s="203">
        <v>44384</v>
      </c>
      <c r="B149" s="128" t="s">
        <v>32</v>
      </c>
      <c r="C149" s="157" t="str">
        <f t="shared" si="5"/>
        <v>07.07.2021_FAL2</v>
      </c>
      <c r="D149" s="190">
        <f t="shared" si="6"/>
        <v>0</v>
      </c>
      <c r="E149" s="204">
        <v>0</v>
      </c>
      <c r="F149" s="205">
        <v>3.5000000000000003E-2</v>
      </c>
      <c r="G149" s="204">
        <v>3.026433350040315E-2</v>
      </c>
      <c r="H149" s="204">
        <v>7.2796192976698398E-2</v>
      </c>
      <c r="I149" s="209">
        <v>7.4</v>
      </c>
      <c r="J149" s="207">
        <v>1.7171007532714839</v>
      </c>
      <c r="K149" s="208">
        <v>33</v>
      </c>
      <c r="L149" s="208">
        <v>22</v>
      </c>
      <c r="M149" s="208">
        <v>3.5990000000000002</v>
      </c>
      <c r="N149" s="221"/>
    </row>
    <row r="150" spans="1:14" ht="16.5" customHeight="1" x14ac:dyDescent="0.25">
      <c r="A150" s="203">
        <v>44384</v>
      </c>
      <c r="B150" s="128" t="s">
        <v>26</v>
      </c>
      <c r="C150" s="157" t="str">
        <f t="shared" si="5"/>
        <v>07.07.2021_GRU1</v>
      </c>
      <c r="D150" s="190">
        <f t="shared" si="6"/>
        <v>0</v>
      </c>
      <c r="E150" s="204">
        <v>0</v>
      </c>
      <c r="F150" s="205">
        <v>3.1E-2</v>
      </c>
      <c r="G150" s="204">
        <v>9.4576042188759934E-3</v>
      </c>
      <c r="H150" s="204">
        <v>1.4204135214965543E-2</v>
      </c>
      <c r="I150" s="209">
        <v>2.9</v>
      </c>
      <c r="J150" s="207">
        <v>0.66669118406611116</v>
      </c>
      <c r="K150" s="208">
        <v>7.1</v>
      </c>
      <c r="L150" s="208">
        <v>9.1999999999999993</v>
      </c>
      <c r="M150" s="208">
        <v>5.4530000000000003</v>
      </c>
      <c r="N150" s="221"/>
    </row>
    <row r="151" spans="1:14" ht="16.5" customHeight="1" x14ac:dyDescent="0.25">
      <c r="A151" s="203">
        <v>44384</v>
      </c>
      <c r="B151" s="128" t="s">
        <v>28</v>
      </c>
      <c r="C151" s="157" t="str">
        <f t="shared" si="5"/>
        <v>07.07.2021_GRU2</v>
      </c>
      <c r="D151" s="190">
        <f t="shared" si="6"/>
        <v>0</v>
      </c>
      <c r="E151" s="204">
        <v>0</v>
      </c>
      <c r="F151" s="205">
        <v>0</v>
      </c>
      <c r="G151" s="204">
        <v>9.4576042188759934E-3</v>
      </c>
      <c r="H151" s="204">
        <v>0.24324581555628483</v>
      </c>
      <c r="I151" s="209">
        <v>2.8</v>
      </c>
      <c r="J151" s="207">
        <v>0.71383592364602588</v>
      </c>
      <c r="K151" s="208">
        <v>7.9</v>
      </c>
      <c r="L151" s="208">
        <v>8.8000000000000007</v>
      </c>
      <c r="M151" s="208">
        <v>4.5890000000000004</v>
      </c>
      <c r="N151" s="221"/>
    </row>
    <row r="152" spans="1:14" ht="16.5" customHeight="1" x14ac:dyDescent="0.25">
      <c r="A152" s="203">
        <v>44384</v>
      </c>
      <c r="B152" s="128" t="s">
        <v>0</v>
      </c>
      <c r="C152" s="157" t="str">
        <f t="shared" si="5"/>
        <v>07.07.2021_KIN1</v>
      </c>
      <c r="D152" s="190">
        <f t="shared" si="6"/>
        <v>0</v>
      </c>
      <c r="E152" s="204">
        <v>0</v>
      </c>
      <c r="F152" s="205">
        <v>4.4999999999999998E-2</v>
      </c>
      <c r="G152" s="204">
        <v>6.0528667000806301E-2</v>
      </c>
      <c r="H152" s="204">
        <v>5.3265507056120794E-3</v>
      </c>
      <c r="I152" s="209">
        <v>5.2</v>
      </c>
      <c r="J152" s="207">
        <v>1.2231455730017795</v>
      </c>
      <c r="K152" s="208">
        <v>7.7</v>
      </c>
      <c r="L152" s="208">
        <v>5.5</v>
      </c>
      <c r="M152" s="208">
        <v>5.9340000000000002</v>
      </c>
      <c r="N152" s="221"/>
    </row>
    <row r="153" spans="1:14" ht="16.5" customHeight="1" x14ac:dyDescent="0.25">
      <c r="A153" s="203">
        <v>44384</v>
      </c>
      <c r="B153" s="128" t="s">
        <v>2</v>
      </c>
      <c r="C153" s="157" t="str">
        <f t="shared" si="5"/>
        <v>07.07.2021_KIN2</v>
      </c>
      <c r="D153" s="190">
        <f t="shared" si="6"/>
        <v>0</v>
      </c>
      <c r="E153" s="204">
        <v>0</v>
      </c>
      <c r="F153" s="205">
        <v>2.1999999999999999E-2</v>
      </c>
      <c r="G153" s="204">
        <v>4.7288021094379913E-2</v>
      </c>
      <c r="H153" s="204">
        <v>1.7755169018706926E-2</v>
      </c>
      <c r="I153" s="209">
        <v>6</v>
      </c>
      <c r="J153" s="207">
        <v>1.3973442367073201</v>
      </c>
      <c r="K153" s="208">
        <v>8.6</v>
      </c>
      <c r="L153" s="208">
        <v>6.2</v>
      </c>
      <c r="M153" s="208">
        <v>5.9169999999999998</v>
      </c>
      <c r="N153" s="221"/>
    </row>
    <row r="154" spans="1:14" ht="16.5" customHeight="1" x14ac:dyDescent="0.25">
      <c r="A154" s="203">
        <v>44384</v>
      </c>
      <c r="B154" s="128" t="s">
        <v>4</v>
      </c>
      <c r="C154" s="157" t="str">
        <f t="shared" si="5"/>
        <v>07.07.2021_KIN3</v>
      </c>
      <c r="D154" s="190">
        <f t="shared" si="6"/>
        <v>0</v>
      </c>
      <c r="E154" s="204">
        <v>0</v>
      </c>
      <c r="F154" s="205">
        <v>1.7999999999999999E-2</v>
      </c>
      <c r="G154" s="204">
        <v>6.9986271219682275E-2</v>
      </c>
      <c r="H154" s="204">
        <v>1.2428618313094849E-2</v>
      </c>
      <c r="I154" s="209">
        <v>8.1</v>
      </c>
      <c r="J154" s="207">
        <v>1.8876745325847926</v>
      </c>
      <c r="K154" s="208">
        <v>13</v>
      </c>
      <c r="L154" s="208">
        <v>11</v>
      </c>
      <c r="M154" s="208">
        <v>5.4039999999999999</v>
      </c>
      <c r="N154" s="221"/>
    </row>
    <row r="155" spans="1:14" ht="16.5" customHeight="1" x14ac:dyDescent="0.25">
      <c r="A155" s="203">
        <v>44384</v>
      </c>
      <c r="B155" s="128" t="s">
        <v>6</v>
      </c>
      <c r="C155" s="157" t="str">
        <f t="shared" si="5"/>
        <v>07.07.2021_KIN4</v>
      </c>
      <c r="D155" s="190">
        <f t="shared" si="6"/>
        <v>0</v>
      </c>
      <c r="E155" s="204">
        <v>0</v>
      </c>
      <c r="F155" s="205">
        <v>0</v>
      </c>
      <c r="G155" s="204">
        <v>2.0806729281527159E-2</v>
      </c>
      <c r="H155" s="204">
        <v>0</v>
      </c>
      <c r="I155" s="209">
        <v>5.6</v>
      </c>
      <c r="J155" s="207">
        <v>1.2810282172198129</v>
      </c>
      <c r="K155" s="208">
        <v>16</v>
      </c>
      <c r="L155" s="208">
        <v>10</v>
      </c>
      <c r="M155" s="208">
        <v>5.4749999999999996</v>
      </c>
      <c r="N155" s="221"/>
    </row>
    <row r="156" spans="1:14" ht="16.5" customHeight="1" x14ac:dyDescent="0.25">
      <c r="A156" s="203">
        <v>44384</v>
      </c>
      <c r="B156" s="128" t="s">
        <v>34</v>
      </c>
      <c r="C156" s="157" t="str">
        <f t="shared" si="5"/>
        <v>07.07.2021_KRE1</v>
      </c>
      <c r="D156" s="190">
        <f t="shared" si="6"/>
        <v>0</v>
      </c>
      <c r="E156" s="204">
        <v>0</v>
      </c>
      <c r="F156" s="205">
        <v>1.4E-2</v>
      </c>
      <c r="G156" s="204">
        <v>9.0793000501209448E-2</v>
      </c>
      <c r="H156" s="204">
        <v>8.877584509353463E-2</v>
      </c>
      <c r="I156" s="209">
        <v>4.5999999999999996</v>
      </c>
      <c r="J156" s="207">
        <v>1.1365296629979105</v>
      </c>
      <c r="K156" s="208">
        <v>29</v>
      </c>
      <c r="L156" s="208">
        <v>23</v>
      </c>
      <c r="M156" s="208">
        <v>3.8420000000000001</v>
      </c>
      <c r="N156" s="221"/>
    </row>
    <row r="157" spans="1:14" ht="16.5" customHeight="1" x14ac:dyDescent="0.25">
      <c r="A157" s="203">
        <v>44384</v>
      </c>
      <c r="B157" s="128" t="s">
        <v>37</v>
      </c>
      <c r="C157" s="157" t="str">
        <f t="shared" si="5"/>
        <v>07.07.2021_KRE2</v>
      </c>
      <c r="D157" s="190">
        <f t="shared" si="6"/>
        <v>0</v>
      </c>
      <c r="E157" s="204">
        <v>2.9556701731282754E-2</v>
      </c>
      <c r="F157" s="205">
        <v>4.3999999999999997E-2</v>
      </c>
      <c r="G157" s="204">
        <v>0.4104600230992177</v>
      </c>
      <c r="H157" s="204">
        <v>9.76534296028881E-2</v>
      </c>
      <c r="I157" s="209">
        <v>7.6</v>
      </c>
      <c r="J157" s="207">
        <v>2.0650606899789103</v>
      </c>
      <c r="K157" s="208">
        <v>37</v>
      </c>
      <c r="L157" s="208">
        <v>31</v>
      </c>
      <c r="M157" s="208">
        <v>3.9529999999999998</v>
      </c>
      <c r="N157" s="221"/>
    </row>
    <row r="158" spans="1:14" ht="16.5" customHeight="1" x14ac:dyDescent="0.25">
      <c r="A158" s="203">
        <v>44384</v>
      </c>
      <c r="B158" s="128" t="s">
        <v>18</v>
      </c>
      <c r="C158" s="157" t="str">
        <f t="shared" si="5"/>
        <v>07.07.2021_ORB1</v>
      </c>
      <c r="D158" s="190">
        <f t="shared" si="6"/>
        <v>0</v>
      </c>
      <c r="E158" s="204">
        <v>0</v>
      </c>
      <c r="F158" s="205">
        <v>0.01</v>
      </c>
      <c r="G158" s="204">
        <v>8.1335396282333466E-2</v>
      </c>
      <c r="H158" s="204">
        <v>4.0836888743025927E-2</v>
      </c>
      <c r="I158" s="209">
        <v>5</v>
      </c>
      <c r="J158" s="207">
        <v>1.2049389126370833</v>
      </c>
      <c r="K158" s="208">
        <v>7.5</v>
      </c>
      <c r="L158" s="208">
        <v>8.6</v>
      </c>
      <c r="M158" s="208">
        <v>3.0369999999999999</v>
      </c>
      <c r="N158" s="221"/>
    </row>
    <row r="159" spans="1:14" ht="16.5" customHeight="1" x14ac:dyDescent="0.25">
      <c r="A159" s="203">
        <v>44384</v>
      </c>
      <c r="B159" s="128" t="s">
        <v>21</v>
      </c>
      <c r="C159" s="157" t="str">
        <f t="shared" si="5"/>
        <v>07.07.2021_ORB2</v>
      </c>
      <c r="D159" s="190">
        <f t="shared" si="6"/>
        <v>0</v>
      </c>
      <c r="E159" s="204">
        <v>0</v>
      </c>
      <c r="F159" s="205">
        <v>1.4999999999999999E-2</v>
      </c>
      <c r="G159" s="204">
        <v>5.6745625313255957E-3</v>
      </c>
      <c r="H159" s="204">
        <v>2.1306202822448314E-2</v>
      </c>
      <c r="I159" s="209">
        <v>6.1</v>
      </c>
      <c r="J159" s="207">
        <v>1.3886999145092431</v>
      </c>
      <c r="K159" s="208">
        <v>15</v>
      </c>
      <c r="L159" s="208">
        <v>13</v>
      </c>
      <c r="M159" s="208">
        <v>2.839</v>
      </c>
      <c r="N159" s="221"/>
    </row>
    <row r="160" spans="1:14" ht="16.5" customHeight="1" x14ac:dyDescent="0.25">
      <c r="A160" s="203">
        <v>44384</v>
      </c>
      <c r="B160" s="128" t="s">
        <v>10</v>
      </c>
      <c r="C160" s="157" t="str">
        <f t="shared" si="5"/>
        <v>07.07.2021_SAL1</v>
      </c>
      <c r="D160" s="190">
        <f t="shared" si="6"/>
        <v>0</v>
      </c>
      <c r="E160" s="204">
        <v>0</v>
      </c>
      <c r="F160" s="205">
        <v>2.5999999999999999E-2</v>
      </c>
      <c r="G160" s="204">
        <v>5.8637146157031104E-2</v>
      </c>
      <c r="H160" s="204">
        <v>1.7755169018706926E-2</v>
      </c>
      <c r="I160" s="209">
        <v>5.3</v>
      </c>
      <c r="J160" s="207">
        <v>1.2480477188272181</v>
      </c>
      <c r="K160" s="208">
        <v>6.1</v>
      </c>
      <c r="L160" s="208">
        <v>5</v>
      </c>
      <c r="M160" s="208">
        <v>9.6869999999999994</v>
      </c>
      <c r="N160" s="221"/>
    </row>
    <row r="161" spans="1:14" ht="16.5" customHeight="1" x14ac:dyDescent="0.25">
      <c r="A161" s="203">
        <v>44384</v>
      </c>
      <c r="B161" s="128" t="s">
        <v>12</v>
      </c>
      <c r="C161" s="157" t="str">
        <f t="shared" si="5"/>
        <v>07.07.2021_SAL2</v>
      </c>
      <c r="D161" s="190">
        <f t="shared" si="6"/>
        <v>0</v>
      </c>
      <c r="E161" s="204">
        <v>3.1403995589487928E-2</v>
      </c>
      <c r="F161" s="205">
        <v>8.7999999999999995E-2</v>
      </c>
      <c r="G161" s="204">
        <v>0</v>
      </c>
      <c r="H161" s="204">
        <v>1.0653101411224155E-2</v>
      </c>
      <c r="I161" s="209">
        <v>5.6</v>
      </c>
      <c r="J161" s="207">
        <v>1.2681153367246469</v>
      </c>
      <c r="K161" s="208">
        <v>6.9</v>
      </c>
      <c r="L161" s="208">
        <v>5.8</v>
      </c>
      <c r="M161" s="208">
        <v>5.2439999999999998</v>
      </c>
      <c r="N161" s="221"/>
    </row>
    <row r="162" spans="1:14" ht="16.5" customHeight="1" x14ac:dyDescent="0.25">
      <c r="A162" s="203">
        <v>44384</v>
      </c>
      <c r="B162" s="128" t="s">
        <v>7</v>
      </c>
      <c r="C162" s="157" t="str">
        <f t="shared" si="5"/>
        <v>07.07.2021_STE1</v>
      </c>
      <c r="D162" s="190">
        <f t="shared" si="6"/>
        <v>0</v>
      </c>
      <c r="E162" s="204">
        <v>3.1403995589487928E-2</v>
      </c>
      <c r="F162" s="205">
        <v>5.1999999999999998E-2</v>
      </c>
      <c r="G162" s="204">
        <v>2.6481291812852754E-2</v>
      </c>
      <c r="H162" s="204">
        <v>5.3265507056120794E-3</v>
      </c>
      <c r="I162" s="209">
        <v>5.0999999999999996</v>
      </c>
      <c r="J162" s="207">
        <v>1.1741211266420855</v>
      </c>
      <c r="K162" s="208">
        <v>7.6</v>
      </c>
      <c r="L162" s="208">
        <v>5.2</v>
      </c>
      <c r="M162" s="208">
        <v>3.5910000000000002</v>
      </c>
      <c r="N162" s="221"/>
    </row>
    <row r="163" spans="1:14" ht="16.5" customHeight="1" x14ac:dyDescent="0.25">
      <c r="A163" s="203">
        <v>44384</v>
      </c>
      <c r="B163" s="128" t="s">
        <v>9</v>
      </c>
      <c r="C163" s="157" t="str">
        <f t="shared" si="5"/>
        <v>07.07.2021_STE2</v>
      </c>
      <c r="D163" s="190">
        <f t="shared" si="6"/>
        <v>0</v>
      </c>
      <c r="E163" s="204">
        <v>2.9556701731282754E-2</v>
      </c>
      <c r="F163" s="205">
        <v>4.1000000000000002E-2</v>
      </c>
      <c r="G163" s="204">
        <v>6.8094750375907093E-2</v>
      </c>
      <c r="H163" s="204">
        <v>1.5979652116836232E-2</v>
      </c>
      <c r="I163" s="209">
        <v>5.7</v>
      </c>
      <c r="J163" s="207">
        <v>1.3451988978063587</v>
      </c>
      <c r="K163" s="208">
        <v>11</v>
      </c>
      <c r="L163" s="208">
        <v>6.4</v>
      </c>
      <c r="M163" s="208">
        <v>3.802</v>
      </c>
      <c r="N163" s="221"/>
    </row>
    <row r="164" spans="1:14" ht="16.5" customHeight="1" x14ac:dyDescent="0.25">
      <c r="A164" s="203">
        <v>44398</v>
      </c>
      <c r="B164" s="128" t="s">
        <v>22</v>
      </c>
      <c r="C164" s="157" t="str">
        <f t="shared" si="5"/>
        <v>21.07.2021_BIE1</v>
      </c>
      <c r="D164" s="190">
        <f t="shared" si="6"/>
        <v>0</v>
      </c>
      <c r="E164" s="204">
        <v>0</v>
      </c>
      <c r="F164" s="205">
        <v>3.6999999999999998E-2</v>
      </c>
      <c r="G164" s="204">
        <v>1.5132166750201563E-2</v>
      </c>
      <c r="H164" s="204">
        <v>3.7285854939284553E-2</v>
      </c>
      <c r="I164" s="209">
        <v>6.4</v>
      </c>
      <c r="J164" s="207">
        <v>1.4686696546961293</v>
      </c>
      <c r="K164" s="208">
        <v>7.9</v>
      </c>
      <c r="L164" s="208">
        <v>15</v>
      </c>
      <c r="M164" s="208">
        <v>2.601</v>
      </c>
      <c r="N164" s="221"/>
    </row>
    <row r="165" spans="1:14" ht="16.5" customHeight="1" x14ac:dyDescent="0.25">
      <c r="A165" s="203">
        <v>44398</v>
      </c>
      <c r="B165" s="128" t="s">
        <v>25</v>
      </c>
      <c r="C165" s="157" t="str">
        <f t="shared" si="5"/>
        <v>21.07.2021_BIE2</v>
      </c>
      <c r="D165" s="190">
        <f t="shared" si="6"/>
        <v>0</v>
      </c>
      <c r="E165" s="204">
        <v>0</v>
      </c>
      <c r="F165" s="205">
        <v>0</v>
      </c>
      <c r="G165" s="204">
        <v>1.1349125062651165E-2</v>
      </c>
      <c r="H165" s="204">
        <v>2.840827042993108E-2</v>
      </c>
      <c r="I165" s="209">
        <v>4.5999999999999996</v>
      </c>
      <c r="J165" s="207">
        <v>1.0564633800522902</v>
      </c>
      <c r="K165" s="208">
        <v>8.8000000000000007</v>
      </c>
      <c r="L165" s="208">
        <v>15</v>
      </c>
      <c r="M165" s="208">
        <v>2.3620000000000001</v>
      </c>
      <c r="N165" s="221"/>
    </row>
    <row r="166" spans="1:14" ht="16.5" customHeight="1" x14ac:dyDescent="0.25">
      <c r="A166" s="203">
        <v>44398</v>
      </c>
      <c r="B166" s="128" t="s">
        <v>14</v>
      </c>
      <c r="C166" s="157" t="str">
        <f t="shared" si="5"/>
        <v>21.07.2021_BRA1</v>
      </c>
      <c r="D166" s="190">
        <f t="shared" si="6"/>
        <v>0</v>
      </c>
      <c r="E166" s="204">
        <v>4.8029640313334475E-2</v>
      </c>
      <c r="F166" s="205">
        <v>9.4E-2</v>
      </c>
      <c r="G166" s="204">
        <v>2.0806729281527159E-2</v>
      </c>
      <c r="H166" s="204">
        <v>4.6163439448638009E-2</v>
      </c>
      <c r="I166" s="209">
        <v>6.2</v>
      </c>
      <c r="J166" s="207">
        <v>1.4306046763599509</v>
      </c>
      <c r="K166" s="208">
        <v>8.6999999999999993</v>
      </c>
      <c r="L166" s="208">
        <v>5.6</v>
      </c>
      <c r="M166" s="208">
        <v>2.294</v>
      </c>
      <c r="N166" s="221"/>
    </row>
    <row r="167" spans="1:14" ht="16.5" customHeight="1" x14ac:dyDescent="0.25">
      <c r="A167" s="203">
        <v>44398</v>
      </c>
      <c r="B167" s="128" t="s">
        <v>17</v>
      </c>
      <c r="C167" s="157" t="str">
        <f t="shared" si="5"/>
        <v>21.07.2021_BRA2</v>
      </c>
      <c r="D167" s="190">
        <f t="shared" si="6"/>
        <v>0</v>
      </c>
      <c r="E167" s="204">
        <v>3.5098583305898268E-2</v>
      </c>
      <c r="F167" s="205">
        <v>8.6999999999999994E-2</v>
      </c>
      <c r="G167" s="204">
        <v>0</v>
      </c>
      <c r="H167" s="204">
        <v>2.4857236626189695E-2</v>
      </c>
      <c r="I167" s="209">
        <v>10</v>
      </c>
      <c r="J167" s="207">
        <v>2.2662677856908431</v>
      </c>
      <c r="K167" s="208">
        <v>14</v>
      </c>
      <c r="L167" s="208">
        <v>7.4</v>
      </c>
      <c r="M167" s="208">
        <v>2.2639999999999998</v>
      </c>
      <c r="N167" s="221"/>
    </row>
    <row r="168" spans="1:14" ht="16.5" customHeight="1" x14ac:dyDescent="0.25">
      <c r="A168" s="203">
        <v>44398</v>
      </c>
      <c r="B168" s="128" t="s">
        <v>30</v>
      </c>
      <c r="C168" s="157" t="str">
        <f t="shared" si="5"/>
        <v>21.07.2021_FAL1</v>
      </c>
      <c r="D168" s="190">
        <f t="shared" si="6"/>
        <v>0</v>
      </c>
      <c r="E168" s="204">
        <v>0.16995103495487585</v>
      </c>
      <c r="F168" s="205">
        <v>0.221</v>
      </c>
      <c r="G168" s="204">
        <v>8.1335396282333466E-2</v>
      </c>
      <c r="H168" s="204">
        <v>8.7000328191663936E-2</v>
      </c>
      <c r="I168" s="209">
        <v>12</v>
      </c>
      <c r="J168" s="207">
        <v>2.8000833717772209</v>
      </c>
      <c r="K168" s="208">
        <v>58</v>
      </c>
      <c r="L168" s="208">
        <v>34</v>
      </c>
      <c r="M168" s="208">
        <v>3.3340000000000001</v>
      </c>
      <c r="N168" s="221"/>
    </row>
    <row r="169" spans="1:14" ht="16.5" customHeight="1" x14ac:dyDescent="0.25">
      <c r="A169" s="203">
        <v>44398</v>
      </c>
      <c r="B169" s="128" t="s">
        <v>32</v>
      </c>
      <c r="C169" s="157" t="str">
        <f t="shared" si="5"/>
        <v>21.07.2021_FAL2</v>
      </c>
      <c r="D169" s="190">
        <f t="shared" si="6"/>
        <v>0</v>
      </c>
      <c r="E169" s="204">
        <v>5.9113403462565509E-2</v>
      </c>
      <c r="F169" s="205">
        <v>8.1000000000000003E-2</v>
      </c>
      <c r="G169" s="204">
        <v>1.7023687593976763E-2</v>
      </c>
      <c r="H169" s="204">
        <v>4.4387922546767315E-2</v>
      </c>
      <c r="I169" s="209">
        <v>14</v>
      </c>
      <c r="J169" s="207">
        <v>3.18891262619921</v>
      </c>
      <c r="K169" s="208">
        <v>57</v>
      </c>
      <c r="L169" s="208">
        <v>35</v>
      </c>
      <c r="M169" s="208">
        <v>3.3170000000000002</v>
      </c>
      <c r="N169" s="221"/>
    </row>
    <row r="170" spans="1:14" ht="16.5" customHeight="1" x14ac:dyDescent="0.25">
      <c r="A170" s="203">
        <v>44398</v>
      </c>
      <c r="B170" s="128" t="s">
        <v>26</v>
      </c>
      <c r="C170" s="157" t="str">
        <f t="shared" si="5"/>
        <v>21.07.2021_GRU1</v>
      </c>
      <c r="D170" s="190">
        <f t="shared" si="6"/>
        <v>0</v>
      </c>
      <c r="E170" s="204">
        <v>0</v>
      </c>
      <c r="F170" s="205">
        <v>0</v>
      </c>
      <c r="G170" s="204">
        <v>1.1349125062651165E-2</v>
      </c>
      <c r="H170" s="204">
        <v>2.3081719724319001E-2</v>
      </c>
      <c r="I170" s="209">
        <v>2.9</v>
      </c>
      <c r="J170" s="207">
        <v>0.67086271168996692</v>
      </c>
      <c r="K170" s="208">
        <v>9.1999999999999993</v>
      </c>
      <c r="L170" s="208">
        <v>13</v>
      </c>
      <c r="M170" s="208">
        <v>9.1969999999999992</v>
      </c>
      <c r="N170" s="221"/>
    </row>
    <row r="171" spans="1:14" ht="16.5" customHeight="1" x14ac:dyDescent="0.25">
      <c r="A171" s="203">
        <v>44398</v>
      </c>
      <c r="B171" s="128" t="s">
        <v>28</v>
      </c>
      <c r="C171" s="157" t="str">
        <f t="shared" si="5"/>
        <v>21.07.2021_GRU2</v>
      </c>
      <c r="D171" s="190">
        <f t="shared" si="6"/>
        <v>0</v>
      </c>
      <c r="E171" s="204">
        <v>0</v>
      </c>
      <c r="F171" s="205">
        <v>8.9999999999999993E-3</v>
      </c>
      <c r="G171" s="204">
        <v>1.1349125062651165E-2</v>
      </c>
      <c r="H171" s="204">
        <v>2.6632753528060389E-2</v>
      </c>
      <c r="I171" s="209">
        <v>3.9</v>
      </c>
      <c r="J171" s="207">
        <v>0.89781382393151599</v>
      </c>
      <c r="K171" s="208">
        <v>9.6999999999999993</v>
      </c>
      <c r="L171" s="208">
        <v>12</v>
      </c>
      <c r="M171" s="208">
        <v>3.3029999999999999</v>
      </c>
      <c r="N171" s="221"/>
    </row>
    <row r="172" spans="1:14" ht="16.5" customHeight="1" x14ac:dyDescent="0.25">
      <c r="A172" s="203">
        <v>44398</v>
      </c>
      <c r="B172" s="128" t="s">
        <v>0</v>
      </c>
      <c r="C172" s="157" t="str">
        <f t="shared" si="5"/>
        <v>21.07.2021_KIN1</v>
      </c>
      <c r="D172" s="190">
        <f t="shared" si="6"/>
        <v>0</v>
      </c>
      <c r="E172" s="204">
        <v>0</v>
      </c>
      <c r="F172" s="205">
        <v>0</v>
      </c>
      <c r="G172" s="204">
        <v>3.7830416875503973E-3</v>
      </c>
      <c r="H172" s="204">
        <v>1.2428618313094849E-2</v>
      </c>
      <c r="I172" s="209">
        <v>6</v>
      </c>
      <c r="J172" s="207">
        <v>1.3619413868853876</v>
      </c>
      <c r="K172" s="208">
        <v>8.9</v>
      </c>
      <c r="L172" s="208">
        <v>11</v>
      </c>
      <c r="M172" s="208">
        <v>3.05</v>
      </c>
      <c r="N172" s="221"/>
    </row>
    <row r="173" spans="1:14" ht="16.5" customHeight="1" x14ac:dyDescent="0.25">
      <c r="A173" s="203">
        <v>44398</v>
      </c>
      <c r="B173" s="128" t="s">
        <v>2</v>
      </c>
      <c r="C173" s="157" t="str">
        <f t="shared" si="5"/>
        <v>21.07.2021_KIN2</v>
      </c>
      <c r="D173" s="190">
        <f t="shared" si="6"/>
        <v>0</v>
      </c>
      <c r="E173" s="204">
        <v>0</v>
      </c>
      <c r="F173" s="205">
        <v>8.0000000000000002E-3</v>
      </c>
      <c r="G173" s="204">
        <v>0</v>
      </c>
      <c r="H173" s="204">
        <v>1.5979652116836232E-2</v>
      </c>
      <c r="I173" s="209">
        <v>8</v>
      </c>
      <c r="J173" s="207">
        <v>1.8118250050869706</v>
      </c>
      <c r="K173" s="208">
        <v>11</v>
      </c>
      <c r="L173" s="208">
        <v>12</v>
      </c>
      <c r="M173" s="208">
        <v>2.7839999999999998</v>
      </c>
      <c r="N173" s="221"/>
    </row>
    <row r="174" spans="1:14" ht="16.5" customHeight="1" x14ac:dyDescent="0.25">
      <c r="A174" s="203">
        <v>44398</v>
      </c>
      <c r="B174" s="128" t="s">
        <v>4</v>
      </c>
      <c r="C174" s="157" t="str">
        <f t="shared" si="5"/>
        <v>21.07.2021_KIN3</v>
      </c>
      <c r="D174" s="190">
        <f t="shared" si="6"/>
        <v>0</v>
      </c>
      <c r="E174" s="204">
        <v>0</v>
      </c>
      <c r="F174" s="205">
        <v>0</v>
      </c>
      <c r="G174" s="204">
        <v>1.5132166750201563E-2</v>
      </c>
      <c r="H174" s="204">
        <v>1.0653101411224155E-2</v>
      </c>
      <c r="I174" s="209">
        <v>8.1999999999999993</v>
      </c>
      <c r="J174" s="207">
        <v>1.8671273128845109</v>
      </c>
      <c r="K174" s="208">
        <v>13</v>
      </c>
      <c r="L174" s="208">
        <v>14</v>
      </c>
      <c r="M174" s="208">
        <v>2.4780000000000002</v>
      </c>
      <c r="N174" s="221"/>
    </row>
    <row r="175" spans="1:14" ht="16.5" customHeight="1" x14ac:dyDescent="0.25">
      <c r="A175" s="203">
        <v>44398</v>
      </c>
      <c r="B175" s="128" t="s">
        <v>6</v>
      </c>
      <c r="C175" s="157" t="str">
        <f t="shared" si="5"/>
        <v>21.07.2021_KIN4</v>
      </c>
      <c r="D175" s="190">
        <f t="shared" si="6"/>
        <v>0</v>
      </c>
      <c r="E175" s="204">
        <v>0</v>
      </c>
      <c r="F175" s="205">
        <v>0</v>
      </c>
      <c r="G175" s="204">
        <v>2.4589770969077555E-2</v>
      </c>
      <c r="H175" s="204">
        <v>2.6632753528060389E-2</v>
      </c>
      <c r="I175" s="209">
        <v>8</v>
      </c>
      <c r="J175" s="207">
        <v>1.8341620530713969</v>
      </c>
      <c r="K175" s="208">
        <v>22</v>
      </c>
      <c r="L175" s="208">
        <v>15</v>
      </c>
      <c r="M175" s="208">
        <v>2.3530000000000002</v>
      </c>
      <c r="N175" s="221"/>
    </row>
    <row r="176" spans="1:14" ht="16.5" customHeight="1" x14ac:dyDescent="0.25">
      <c r="A176" s="203">
        <v>44398</v>
      </c>
      <c r="B176" s="128" t="s">
        <v>34</v>
      </c>
      <c r="C176" s="157" t="str">
        <f t="shared" si="5"/>
        <v>21.07.2021_KRE1</v>
      </c>
      <c r="D176" s="190">
        <f t="shared" si="6"/>
        <v>0</v>
      </c>
      <c r="E176" s="204">
        <v>5.5418815746155162E-2</v>
      </c>
      <c r="F176" s="205">
        <v>2.5000000000000001E-2</v>
      </c>
      <c r="G176" s="204">
        <v>0.10403364640763582</v>
      </c>
      <c r="H176" s="204">
        <v>0.10297998030850015</v>
      </c>
      <c r="I176" s="209">
        <v>8.5</v>
      </c>
      <c r="J176" s="207">
        <v>2.0320283411039877</v>
      </c>
      <c r="K176" s="208">
        <v>59</v>
      </c>
      <c r="L176" s="208">
        <v>38</v>
      </c>
      <c r="M176" s="208">
        <v>3.1619999999999999</v>
      </c>
      <c r="N176" s="221"/>
    </row>
    <row r="177" spans="1:14" ht="16.5" customHeight="1" x14ac:dyDescent="0.25">
      <c r="A177" s="203">
        <v>44398</v>
      </c>
      <c r="B177" s="128" t="s">
        <v>37</v>
      </c>
      <c r="C177" s="157" t="str">
        <f t="shared" si="5"/>
        <v>21.07.2021_KRE2</v>
      </c>
      <c r="D177" s="190">
        <f t="shared" si="6"/>
        <v>0</v>
      </c>
      <c r="E177" s="204">
        <v>2.4014820156667237E-2</v>
      </c>
      <c r="F177" s="205">
        <v>4.2999999999999997E-2</v>
      </c>
      <c r="G177" s="204">
        <v>0.1910436052212949</v>
      </c>
      <c r="H177" s="204">
        <v>0.17222513948145718</v>
      </c>
      <c r="I177" s="209">
        <v>13</v>
      </c>
      <c r="J177" s="207">
        <v>3.1370873927334126</v>
      </c>
      <c r="K177" s="208">
        <v>59</v>
      </c>
      <c r="L177" s="208">
        <v>46</v>
      </c>
      <c r="M177" s="208">
        <v>3.2970000000000002</v>
      </c>
      <c r="N177" s="221"/>
    </row>
    <row r="178" spans="1:14" ht="16.5" customHeight="1" x14ac:dyDescent="0.25">
      <c r="A178" s="203">
        <v>44398</v>
      </c>
      <c r="B178" s="128" t="s">
        <v>18</v>
      </c>
      <c r="C178" s="157" t="str">
        <f t="shared" si="5"/>
        <v>21.07.2021_ORB1</v>
      </c>
      <c r="D178" s="190">
        <f t="shared" si="6"/>
        <v>0</v>
      </c>
      <c r="E178" s="204">
        <v>0</v>
      </c>
      <c r="F178" s="205">
        <v>0</v>
      </c>
      <c r="G178" s="204">
        <v>1.5132166750201563E-2</v>
      </c>
      <c r="H178" s="204">
        <v>3.0183787331801774E-2</v>
      </c>
      <c r="I178" s="209">
        <v>8.1999999999999993</v>
      </c>
      <c r="J178" s="207">
        <v>1.8730734302130307</v>
      </c>
      <c r="K178" s="208">
        <v>9.6999999999999993</v>
      </c>
      <c r="L178" s="208">
        <v>18</v>
      </c>
      <c r="M178" s="208">
        <v>2.5270000000000001</v>
      </c>
      <c r="N178" s="221"/>
    </row>
    <row r="179" spans="1:14" ht="16.5" customHeight="1" x14ac:dyDescent="0.25">
      <c r="A179" s="203">
        <v>44398</v>
      </c>
      <c r="B179" s="128" t="s">
        <v>21</v>
      </c>
      <c r="C179" s="157" t="str">
        <f t="shared" si="5"/>
        <v>21.07.2021_ORB2</v>
      </c>
      <c r="D179" s="190">
        <f t="shared" si="6"/>
        <v>0</v>
      </c>
      <c r="E179" s="204">
        <v>1.6625644723846547E-2</v>
      </c>
      <c r="F179" s="205">
        <v>0</v>
      </c>
      <c r="G179" s="204">
        <v>7.1877792063457471E-2</v>
      </c>
      <c r="H179" s="204">
        <v>2.3081719724319001E-2</v>
      </c>
      <c r="I179" s="209">
        <v>7.6</v>
      </c>
      <c r="J179" s="207">
        <v>1.7794516163294227</v>
      </c>
      <c r="K179" s="208">
        <v>14</v>
      </c>
      <c r="L179" s="208">
        <v>19</v>
      </c>
      <c r="M179" s="208">
        <v>2.4089999999999998</v>
      </c>
      <c r="N179" s="221"/>
    </row>
    <row r="180" spans="1:14" ht="16.5" customHeight="1" x14ac:dyDescent="0.25">
      <c r="A180" s="203">
        <v>44398</v>
      </c>
      <c r="B180" s="128" t="s">
        <v>10</v>
      </c>
      <c r="C180" s="157" t="str">
        <f t="shared" si="5"/>
        <v>21.07.2021_SAL1</v>
      </c>
      <c r="D180" s="190">
        <f t="shared" si="6"/>
        <v>0</v>
      </c>
      <c r="E180" s="204">
        <v>0</v>
      </c>
      <c r="F180" s="205">
        <v>5.0000000000000001E-3</v>
      </c>
      <c r="G180" s="204">
        <v>1.5132166750201563E-2</v>
      </c>
      <c r="H180" s="204">
        <v>6.924515917295701E-2</v>
      </c>
      <c r="I180" s="209">
        <v>6.5</v>
      </c>
      <c r="J180" s="207">
        <v>1.5009866648700707</v>
      </c>
      <c r="K180" s="208">
        <v>9.5</v>
      </c>
      <c r="L180" s="208">
        <v>7.5</v>
      </c>
      <c r="M180" s="208">
        <v>8.6549999999999994</v>
      </c>
      <c r="N180" s="221"/>
    </row>
    <row r="181" spans="1:14" ht="16.5" customHeight="1" x14ac:dyDescent="0.25">
      <c r="A181" s="203">
        <v>44398</v>
      </c>
      <c r="B181" s="128" t="s">
        <v>12</v>
      </c>
      <c r="C181" s="157" t="str">
        <f t="shared" si="5"/>
        <v>21.07.2021_SAL2</v>
      </c>
      <c r="D181" s="190">
        <f t="shared" si="6"/>
        <v>0</v>
      </c>
      <c r="E181" s="204">
        <v>0</v>
      </c>
      <c r="F181" s="205">
        <v>0</v>
      </c>
      <c r="G181" s="204">
        <v>3.4047375187953546E-2</v>
      </c>
      <c r="H181" s="204">
        <v>3.5510338037413859E-2</v>
      </c>
      <c r="I181" s="209">
        <v>6.4</v>
      </c>
      <c r="J181" s="207">
        <v>1.4828165687751849</v>
      </c>
      <c r="K181" s="208">
        <v>10</v>
      </c>
      <c r="L181" s="208">
        <v>8.1999999999999993</v>
      </c>
      <c r="M181" s="208">
        <v>3.339</v>
      </c>
      <c r="N181" s="221"/>
    </row>
    <row r="182" spans="1:14" ht="16.5" customHeight="1" x14ac:dyDescent="0.25">
      <c r="A182" s="203">
        <v>44398</v>
      </c>
      <c r="B182" s="128" t="s">
        <v>7</v>
      </c>
      <c r="C182" s="157" t="str">
        <f t="shared" si="5"/>
        <v>21.07.2021_STE1</v>
      </c>
      <c r="D182" s="190">
        <f t="shared" si="6"/>
        <v>0</v>
      </c>
      <c r="E182" s="204">
        <v>0</v>
      </c>
      <c r="F182" s="205">
        <v>6.0000000000000001E-3</v>
      </c>
      <c r="G182" s="204">
        <v>2.2698250125302358E-2</v>
      </c>
      <c r="H182" s="204">
        <v>1.4204135214965543E-2</v>
      </c>
      <c r="I182" s="209">
        <v>8.6999999999999993</v>
      </c>
      <c r="J182" s="207">
        <v>1.987018413205992</v>
      </c>
      <c r="K182" s="208">
        <v>11</v>
      </c>
      <c r="L182" s="208">
        <v>9.5</v>
      </c>
      <c r="M182" s="208">
        <v>2.645</v>
      </c>
      <c r="N182" s="221"/>
    </row>
    <row r="183" spans="1:14" ht="16.5" customHeight="1" x14ac:dyDescent="0.25">
      <c r="A183" s="203">
        <v>44398</v>
      </c>
      <c r="B183" s="128" t="s">
        <v>9</v>
      </c>
      <c r="C183" s="157" t="str">
        <f t="shared" si="5"/>
        <v>21.07.2021_STE2</v>
      </c>
      <c r="D183" s="190">
        <f t="shared" si="6"/>
        <v>0</v>
      </c>
      <c r="E183" s="204">
        <v>3.6945877164103441E-2</v>
      </c>
      <c r="F183" s="205">
        <v>5.3999999999999999E-2</v>
      </c>
      <c r="G183" s="204">
        <v>4.1613458563054317E-2</v>
      </c>
      <c r="H183" s="204">
        <v>1.5979652116836232E-2</v>
      </c>
      <c r="I183" s="209">
        <v>9.1999999999999993</v>
      </c>
      <c r="J183" s="207">
        <v>2.1151814395265967</v>
      </c>
      <c r="K183" s="208">
        <v>12</v>
      </c>
      <c r="L183" s="208">
        <v>9.6999999999999993</v>
      </c>
      <c r="M183" s="208">
        <v>2.4169999999999998</v>
      </c>
      <c r="N183" s="221"/>
    </row>
    <row r="184" spans="1:14" ht="16.5" customHeight="1" x14ac:dyDescent="0.25">
      <c r="A184" s="203">
        <v>44412</v>
      </c>
      <c r="B184" s="128" t="s">
        <v>22</v>
      </c>
      <c r="C184" s="157" t="str">
        <f t="shared" si="5"/>
        <v>04.08.2021_BIE1</v>
      </c>
      <c r="D184" s="190">
        <f t="shared" si="6"/>
        <v>0</v>
      </c>
      <c r="E184" s="204">
        <v>0</v>
      </c>
      <c r="F184" s="205">
        <v>2.794298431703595E-2</v>
      </c>
      <c r="G184" s="204">
        <v>0.1826583637534894</v>
      </c>
      <c r="H184" s="204">
        <v>1.8567062980470801E-2</v>
      </c>
      <c r="I184" s="209">
        <v>5.1470000000000002</v>
      </c>
      <c r="J184" s="207">
        <v>1.3100380251953514</v>
      </c>
      <c r="K184" s="209">
        <v>7.8239999999999998</v>
      </c>
      <c r="L184" s="209">
        <v>13.456</v>
      </c>
      <c r="M184" s="208">
        <v>2.6469999999999998</v>
      </c>
      <c r="N184" s="221"/>
    </row>
    <row r="185" spans="1:14" ht="16.5" customHeight="1" x14ac:dyDescent="0.25">
      <c r="A185" s="203">
        <v>44412</v>
      </c>
      <c r="B185" s="128" t="s">
        <v>25</v>
      </c>
      <c r="C185" s="157" t="str">
        <f t="shared" si="5"/>
        <v>04.08.2021_BIE2</v>
      </c>
      <c r="D185" s="190">
        <f t="shared" si="6"/>
        <v>0</v>
      </c>
      <c r="E185" s="204">
        <v>0</v>
      </c>
      <c r="F185" s="205">
        <v>2.1762630446955901E-2</v>
      </c>
      <c r="G185" s="204">
        <v>3.7277217092548894E-2</v>
      </c>
      <c r="H185" s="204">
        <v>1.3503318531251491E-2</v>
      </c>
      <c r="I185" s="209">
        <v>2.923</v>
      </c>
      <c r="J185" s="207">
        <v>0.69327448162703287</v>
      </c>
      <c r="K185" s="209">
        <v>6.149</v>
      </c>
      <c r="L185" s="209">
        <v>9.423</v>
      </c>
      <c r="M185" s="208">
        <v>2.9279999999999999</v>
      </c>
      <c r="N185" s="221"/>
    </row>
    <row r="186" spans="1:14" ht="16.5" customHeight="1" x14ac:dyDescent="0.25">
      <c r="A186" s="203">
        <v>44412</v>
      </c>
      <c r="B186" s="128" t="s">
        <v>14</v>
      </c>
      <c r="C186" s="157" t="str">
        <f t="shared" si="5"/>
        <v>04.08.2021_BRA1</v>
      </c>
      <c r="D186" s="190">
        <f t="shared" si="6"/>
        <v>0</v>
      </c>
      <c r="E186" s="204">
        <v>4.0613511029411756E-2</v>
      </c>
      <c r="F186" s="205">
        <v>3.67123792651659E-2</v>
      </c>
      <c r="G186" s="204">
        <v>3.3549495383293999E-2</v>
      </c>
      <c r="H186" s="204">
        <v>2.7006637062502982E-2</v>
      </c>
      <c r="I186" s="209">
        <v>5.3419999999999996</v>
      </c>
      <c r="J186" s="207">
        <v>1.2408705583238528</v>
      </c>
      <c r="K186" s="209">
        <v>5.1360000000000001</v>
      </c>
      <c r="L186" s="209">
        <v>3.6240000000000001</v>
      </c>
      <c r="M186" s="208">
        <v>1.956</v>
      </c>
      <c r="N186" s="221"/>
    </row>
    <row r="187" spans="1:14" ht="16.5" customHeight="1" x14ac:dyDescent="0.25">
      <c r="A187" s="203">
        <v>44412</v>
      </c>
      <c r="B187" s="128" t="s">
        <v>17</v>
      </c>
      <c r="C187" s="157" t="str">
        <f t="shared" si="5"/>
        <v>04.08.2021_BRA2</v>
      </c>
      <c r="D187" s="190">
        <f t="shared" si="6"/>
        <v>0</v>
      </c>
      <c r="E187" s="204">
        <v>7.1996678643048123E-2</v>
      </c>
      <c r="F187" s="205">
        <v>7.5092316848721571E-2</v>
      </c>
      <c r="G187" s="204">
        <v>5.2188103929568394E-2</v>
      </c>
      <c r="H187" s="204">
        <v>1.3503318531251491E-2</v>
      </c>
      <c r="I187" s="209">
        <v>7</v>
      </c>
      <c r="J187" s="207">
        <v>1.6257246261471101</v>
      </c>
      <c r="K187" s="209">
        <v>6.5490000000000004</v>
      </c>
      <c r="L187" s="209">
        <v>3.7669999999999999</v>
      </c>
      <c r="M187" s="208">
        <v>1.5349999999999999</v>
      </c>
      <c r="N187" s="221"/>
    </row>
    <row r="188" spans="1:14" ht="16.5" customHeight="1" x14ac:dyDescent="0.25">
      <c r="A188" s="203">
        <v>44412</v>
      </c>
      <c r="B188" s="128" t="s">
        <v>30</v>
      </c>
      <c r="C188" s="157" t="str">
        <f t="shared" si="5"/>
        <v>04.08.2021_FAL1</v>
      </c>
      <c r="D188" s="190">
        <f t="shared" si="6"/>
        <v>0</v>
      </c>
      <c r="E188" s="204">
        <v>0.31567774481951871</v>
      </c>
      <c r="F188" s="205">
        <v>0.2674663040756598</v>
      </c>
      <c r="G188" s="204">
        <v>0.36158900579772391</v>
      </c>
      <c r="H188" s="204">
        <v>0.13334527049610848</v>
      </c>
      <c r="I188" s="209">
        <v>14.007999999999999</v>
      </c>
      <c r="J188" s="207">
        <v>3.4853541747144141</v>
      </c>
      <c r="K188" s="209">
        <v>44</v>
      </c>
      <c r="L188" s="209">
        <v>28.49</v>
      </c>
      <c r="M188" s="208">
        <v>4.601</v>
      </c>
      <c r="N188" s="221"/>
    </row>
    <row r="189" spans="1:14" ht="16.5" customHeight="1" x14ac:dyDescent="0.25">
      <c r="A189" s="203">
        <v>44412</v>
      </c>
      <c r="B189" s="128" t="s">
        <v>32</v>
      </c>
      <c r="C189" s="157" t="str">
        <f t="shared" si="5"/>
        <v>04.08.2021_FAL2</v>
      </c>
      <c r="D189" s="190">
        <f t="shared" si="6"/>
        <v>0</v>
      </c>
      <c r="E189" s="204">
        <v>0.28983278325534756</v>
      </c>
      <c r="F189" s="205">
        <v>0.2967661190903082</v>
      </c>
      <c r="G189" s="204">
        <v>0.12301481640541123</v>
      </c>
      <c r="H189" s="204">
        <v>6.9204507472663879E-2</v>
      </c>
      <c r="I189" s="209">
        <v>8.4809999999999999</v>
      </c>
      <c r="J189" s="207">
        <v>2.0321925570906902</v>
      </c>
      <c r="K189" s="209">
        <v>37</v>
      </c>
      <c r="L189" s="209">
        <v>19.404</v>
      </c>
      <c r="M189" s="208">
        <v>4.0510000000000002</v>
      </c>
      <c r="N189" s="221"/>
    </row>
    <row r="190" spans="1:14" ht="16.5" customHeight="1" x14ac:dyDescent="0.25">
      <c r="A190" s="203">
        <v>44412</v>
      </c>
      <c r="B190" s="128" t="s">
        <v>26</v>
      </c>
      <c r="C190" s="157" t="str">
        <f t="shared" si="5"/>
        <v>04.08.2021_GRU1</v>
      </c>
      <c r="D190" s="190">
        <f t="shared" si="6"/>
        <v>0</v>
      </c>
      <c r="E190" s="204">
        <v>3.3229236296791434E-2</v>
      </c>
      <c r="F190" s="205">
        <v>3.6806073288137162E-2</v>
      </c>
      <c r="G190" s="204">
        <v>1.4910886837019556E-2</v>
      </c>
      <c r="H190" s="204">
        <v>8.4395740820321832E-3</v>
      </c>
      <c r="I190" s="209">
        <v>3.1949999999999998</v>
      </c>
      <c r="J190" s="207">
        <v>0.73580223284935187</v>
      </c>
      <c r="K190" s="209">
        <v>7.1470000000000002</v>
      </c>
      <c r="L190" s="209">
        <v>10.278</v>
      </c>
      <c r="M190" s="208">
        <v>3.8050000000000002</v>
      </c>
      <c r="N190" s="221"/>
    </row>
    <row r="191" spans="1:14" ht="16.5" customHeight="1" x14ac:dyDescent="0.25">
      <c r="A191" s="203">
        <v>44412</v>
      </c>
      <c r="B191" s="128" t="s">
        <v>28</v>
      </c>
      <c r="C191" s="157" t="str">
        <f t="shared" si="5"/>
        <v>04.08.2021_GRU2</v>
      </c>
      <c r="D191" s="190">
        <f t="shared" si="6"/>
        <v>0</v>
      </c>
      <c r="E191" s="204">
        <v>0</v>
      </c>
      <c r="F191" s="205">
        <v>2.8951880012233058E-2</v>
      </c>
      <c r="G191" s="204">
        <v>0.10810392956839168</v>
      </c>
      <c r="H191" s="204">
        <v>1.519123334765793E-2</v>
      </c>
      <c r="I191" s="209">
        <v>2.786</v>
      </c>
      <c r="J191" s="207">
        <v>0.71784041126325482</v>
      </c>
      <c r="K191" s="209">
        <v>6.8929999999999998</v>
      </c>
      <c r="L191" s="209">
        <v>6.9569999999999999</v>
      </c>
      <c r="M191" s="208">
        <v>2.9020000000000001</v>
      </c>
      <c r="N191" s="221"/>
    </row>
    <row r="192" spans="1:14" ht="16.5" customHeight="1" x14ac:dyDescent="0.25">
      <c r="A192" s="203">
        <v>44412</v>
      </c>
      <c r="B192" s="128" t="s">
        <v>0</v>
      </c>
      <c r="C192" s="157" t="str">
        <f t="shared" si="5"/>
        <v>04.08.2021_KIN1</v>
      </c>
      <c r="D192" s="190">
        <f t="shared" si="6"/>
        <v>0</v>
      </c>
      <c r="E192" s="204">
        <v>0</v>
      </c>
      <c r="F192" s="205">
        <v>2.6377631054048282E-2</v>
      </c>
      <c r="G192" s="204">
        <v>3.727721709254889E-3</v>
      </c>
      <c r="H192" s="204">
        <v>3.3758296328128727E-3</v>
      </c>
      <c r="I192" s="209">
        <v>2.2850000000000001</v>
      </c>
      <c r="J192" s="207">
        <v>0.52003525996172917</v>
      </c>
      <c r="K192" s="209">
        <v>3.532</v>
      </c>
      <c r="L192" s="209">
        <v>5.2270000000000003</v>
      </c>
      <c r="M192" s="208">
        <v>6.157</v>
      </c>
      <c r="N192" s="221"/>
    </row>
    <row r="193" spans="1:14" ht="16.5" customHeight="1" x14ac:dyDescent="0.25">
      <c r="A193" s="203">
        <v>44412</v>
      </c>
      <c r="B193" s="128" t="s">
        <v>2</v>
      </c>
      <c r="C193" s="157" t="str">
        <f t="shared" si="5"/>
        <v>04.08.2021_KIN2</v>
      </c>
      <c r="D193" s="190">
        <f t="shared" si="6"/>
        <v>0</v>
      </c>
      <c r="E193" s="204">
        <v>0</v>
      </c>
      <c r="F193" s="205">
        <v>1.8987250441688946E-2</v>
      </c>
      <c r="G193" s="204">
        <v>3.3549495383293999E-2</v>
      </c>
      <c r="H193" s="204">
        <v>6.7516592656257455E-3</v>
      </c>
      <c r="I193" s="209">
        <v>5.8390000000000004</v>
      </c>
      <c r="J193" s="207">
        <v>1.3469613203335937</v>
      </c>
      <c r="K193" s="209">
        <v>8.9459999999999997</v>
      </c>
      <c r="L193" s="209">
        <v>10.617000000000001</v>
      </c>
      <c r="M193" s="208">
        <v>2.0299999999999998</v>
      </c>
      <c r="N193" s="221"/>
    </row>
    <row r="194" spans="1:14" ht="16.5" customHeight="1" x14ac:dyDescent="0.25">
      <c r="A194" s="203">
        <v>44412</v>
      </c>
      <c r="B194" s="128" t="s">
        <v>4</v>
      </c>
      <c r="C194" s="157" t="str">
        <f t="shared" si="5"/>
        <v>04.08.2021_KIN3</v>
      </c>
      <c r="D194" s="190">
        <f t="shared" si="6"/>
        <v>0</v>
      </c>
      <c r="E194" s="204">
        <v>0</v>
      </c>
      <c r="F194" s="205">
        <v>1.7956405002768131E-2</v>
      </c>
      <c r="G194" s="204">
        <v>1.1183165127764667E-2</v>
      </c>
      <c r="H194" s="204">
        <v>1.0127488898438616E-2</v>
      </c>
      <c r="I194" s="209">
        <v>6.07</v>
      </c>
      <c r="J194" s="207">
        <v>1.3827978298851877</v>
      </c>
      <c r="K194" s="209">
        <v>10.972</v>
      </c>
      <c r="L194" s="209">
        <v>11.093</v>
      </c>
      <c r="M194" s="208">
        <v>1.9350000000000001</v>
      </c>
      <c r="N194" s="221"/>
    </row>
    <row r="195" spans="1:14" ht="16.5" customHeight="1" x14ac:dyDescent="0.25">
      <c r="A195" s="203">
        <v>44412</v>
      </c>
      <c r="B195" s="128" t="s">
        <v>6</v>
      </c>
      <c r="C195" s="157" t="str">
        <f t="shared" si="5"/>
        <v>04.08.2021_KIN4</v>
      </c>
      <c r="D195" s="190">
        <f t="shared" si="6"/>
        <v>0</v>
      </c>
      <c r="E195" s="204">
        <v>0</v>
      </c>
      <c r="F195" s="205">
        <v>2.9441418792749259E-2</v>
      </c>
      <c r="G195" s="204">
        <v>0.13792570324243078</v>
      </c>
      <c r="H195" s="204">
        <v>1.1815403714845053E-2</v>
      </c>
      <c r="I195" s="209">
        <v>4.2409999999999997</v>
      </c>
      <c r="J195" s="207">
        <v>1.0686097989716996</v>
      </c>
      <c r="K195" s="209">
        <v>12.004</v>
      </c>
      <c r="L195" s="209">
        <v>7.0549999999999997</v>
      </c>
      <c r="M195" s="208">
        <v>1.958</v>
      </c>
      <c r="N195" s="221"/>
    </row>
    <row r="196" spans="1:14" ht="16.5" customHeight="1" x14ac:dyDescent="0.25">
      <c r="A196" s="203">
        <v>44412</v>
      </c>
      <c r="B196" s="128" t="s">
        <v>34</v>
      </c>
      <c r="C196" s="157" t="str">
        <f t="shared" si="5"/>
        <v>04.08.2021_KRE1</v>
      </c>
      <c r="D196" s="190">
        <f t="shared" si="6"/>
        <v>0</v>
      </c>
      <c r="E196" s="204">
        <v>1.8460686831550801E-2</v>
      </c>
      <c r="F196" s="205">
        <v>5.5445608996926729E-2</v>
      </c>
      <c r="G196" s="204">
        <v>0.29449001503113603</v>
      </c>
      <c r="H196" s="204">
        <v>0.11140237788282481</v>
      </c>
      <c r="I196" s="209">
        <v>4.6210000000000004</v>
      </c>
      <c r="J196" s="207">
        <v>1.3063302757179529</v>
      </c>
      <c r="K196" s="209">
        <v>53</v>
      </c>
      <c r="L196" s="209">
        <v>25.161000000000001</v>
      </c>
      <c r="M196" s="208">
        <v>3.258</v>
      </c>
      <c r="N196" s="221"/>
    </row>
    <row r="197" spans="1:14" ht="16.5" customHeight="1" x14ac:dyDescent="0.25">
      <c r="A197" s="203">
        <v>44412</v>
      </c>
      <c r="B197" s="128" t="s">
        <v>37</v>
      </c>
      <c r="C197" s="157" t="str">
        <f t="shared" ref="C197:C260" si="7">CONCATENATE(TEXT(A197,"TT.MM.JJJJ"),"_",B197)</f>
        <v>04.08.2021_KRE2</v>
      </c>
      <c r="D197" s="190">
        <f t="shared" ref="D197:D260" si="8">COUNTBLANK(E197:L197)</f>
        <v>0</v>
      </c>
      <c r="E197" s="204">
        <v>0.1015337775735294</v>
      </c>
      <c r="F197" s="205">
        <v>0.12073823499697754</v>
      </c>
      <c r="G197" s="204">
        <v>0.48833154391239003</v>
      </c>
      <c r="H197" s="204">
        <v>0.17385522608986295</v>
      </c>
      <c r="I197" s="209">
        <v>7.4219999999999997</v>
      </c>
      <c r="J197" s="207">
        <v>2.1085219241155904</v>
      </c>
      <c r="K197" s="209">
        <v>42</v>
      </c>
      <c r="L197" s="209">
        <v>27.094999999999999</v>
      </c>
      <c r="M197" s="208">
        <v>4.2290000000000001</v>
      </c>
      <c r="N197" s="221"/>
    </row>
    <row r="198" spans="1:14" ht="16.5" customHeight="1" x14ac:dyDescent="0.25">
      <c r="A198" s="203">
        <v>44412</v>
      </c>
      <c r="B198" s="128" t="s">
        <v>18</v>
      </c>
      <c r="C198" s="157" t="str">
        <f t="shared" si="7"/>
        <v>04.08.2021_ORB1</v>
      </c>
      <c r="D198" s="190">
        <f t="shared" si="8"/>
        <v>0</v>
      </c>
      <c r="E198" s="204">
        <v>0</v>
      </c>
      <c r="F198" s="205">
        <v>1.888799063950531E-2</v>
      </c>
      <c r="G198" s="204">
        <v>2.9821773674039112E-2</v>
      </c>
      <c r="H198" s="204">
        <v>2.0254977796877238E-2</v>
      </c>
      <c r="I198" s="209">
        <v>6.718</v>
      </c>
      <c r="J198" s="207">
        <v>1.5467175970304137</v>
      </c>
      <c r="K198" s="209">
        <v>7.7530000000000001</v>
      </c>
      <c r="L198" s="209">
        <v>13.175000000000001</v>
      </c>
      <c r="M198" s="208">
        <v>2.1989999999999998</v>
      </c>
      <c r="N198" s="221"/>
    </row>
    <row r="199" spans="1:14" ht="16.5" customHeight="1" x14ac:dyDescent="0.25">
      <c r="A199" s="203">
        <v>44412</v>
      </c>
      <c r="B199" s="128" t="s">
        <v>21</v>
      </c>
      <c r="C199" s="157" t="str">
        <f t="shared" si="7"/>
        <v>04.08.2021_ORB2</v>
      </c>
      <c r="D199" s="190">
        <f t="shared" si="8"/>
        <v>0</v>
      </c>
      <c r="E199" s="204">
        <v>0</v>
      </c>
      <c r="F199" s="205">
        <v>1.8948314966219602E-2</v>
      </c>
      <c r="G199" s="204">
        <v>3.7277217092548894E-2</v>
      </c>
      <c r="H199" s="204">
        <v>1.8567062980470801E-2</v>
      </c>
      <c r="I199" s="209">
        <v>7.274</v>
      </c>
      <c r="J199" s="207">
        <v>1.6775765086245977</v>
      </c>
      <c r="K199" s="209">
        <v>14.836</v>
      </c>
      <c r="L199" s="209">
        <v>17.507000000000001</v>
      </c>
      <c r="M199" s="208">
        <v>2.0299999999999998</v>
      </c>
      <c r="N199" s="221"/>
    </row>
    <row r="200" spans="1:14" ht="16.5" customHeight="1" x14ac:dyDescent="0.25">
      <c r="A200" s="203">
        <v>44412</v>
      </c>
      <c r="B200" s="128" t="s">
        <v>10</v>
      </c>
      <c r="C200" s="157" t="str">
        <f t="shared" si="7"/>
        <v>04.08.2021_SAL1</v>
      </c>
      <c r="D200" s="190">
        <f t="shared" si="8"/>
        <v>0</v>
      </c>
      <c r="E200" s="204">
        <v>0.14953156333556147</v>
      </c>
      <c r="F200" s="205">
        <v>0.17848110744200804</v>
      </c>
      <c r="G200" s="204">
        <v>0.28703457161262624</v>
      </c>
      <c r="H200" s="204">
        <v>4.8949529675786661E-2</v>
      </c>
      <c r="I200" s="209">
        <v>8.5389999999999997</v>
      </c>
      <c r="J200" s="207">
        <v>2.1664860888212809</v>
      </c>
      <c r="K200" s="209">
        <v>8.577</v>
      </c>
      <c r="L200" s="209">
        <v>5.8710000000000004</v>
      </c>
      <c r="M200" s="208">
        <v>11.11</v>
      </c>
      <c r="N200" s="221"/>
    </row>
    <row r="201" spans="1:14" ht="16.5" customHeight="1" x14ac:dyDescent="0.25">
      <c r="A201" s="203">
        <v>44412</v>
      </c>
      <c r="B201" s="128" t="s">
        <v>12</v>
      </c>
      <c r="C201" s="157" t="str">
        <f t="shared" si="7"/>
        <v>04.08.2021_SAL2</v>
      </c>
      <c r="D201" s="190">
        <f t="shared" si="8"/>
        <v>0</v>
      </c>
      <c r="E201" s="204">
        <v>2.2152824197860958E-2</v>
      </c>
      <c r="F201" s="205">
        <v>7.5939255408379827E-2</v>
      </c>
      <c r="G201" s="204">
        <v>2.2366330255529334E-2</v>
      </c>
      <c r="H201" s="204">
        <v>6.7516592656257455E-3</v>
      </c>
      <c r="I201" s="209">
        <v>4.0140000000000002</v>
      </c>
      <c r="J201" s="207">
        <v>0.92606495444353576</v>
      </c>
      <c r="K201" s="209">
        <v>5.008</v>
      </c>
      <c r="L201" s="209">
        <v>3.6059999999999999</v>
      </c>
      <c r="M201" s="208">
        <v>2.8530000000000002</v>
      </c>
      <c r="N201" s="221"/>
    </row>
    <row r="202" spans="1:14" ht="16.5" customHeight="1" x14ac:dyDescent="0.25">
      <c r="A202" s="203">
        <v>44412</v>
      </c>
      <c r="B202" s="128" t="s">
        <v>7</v>
      </c>
      <c r="C202" s="157" t="str">
        <f t="shared" si="7"/>
        <v>04.08.2021_STE1</v>
      </c>
      <c r="D202" s="190">
        <f t="shared" si="8"/>
        <v>0</v>
      </c>
      <c r="E202" s="204">
        <v>6.2766335227272721E-2</v>
      </c>
      <c r="F202" s="205">
        <v>6.0518704343428112E-2</v>
      </c>
      <c r="G202" s="204">
        <v>6.7098990766587957E-2</v>
      </c>
      <c r="H202" s="204">
        <v>3.3758296328128727E-3</v>
      </c>
      <c r="I202" s="209">
        <v>8.4350000000000005</v>
      </c>
      <c r="J202" s="207">
        <v>1.9583429166720578</v>
      </c>
      <c r="K202" s="209">
        <v>10.204000000000001</v>
      </c>
      <c r="L202" s="209">
        <v>8.3460000000000001</v>
      </c>
      <c r="M202" s="208">
        <v>1.964</v>
      </c>
      <c r="N202" s="221"/>
    </row>
    <row r="203" spans="1:14" ht="16.5" customHeight="1" x14ac:dyDescent="0.25">
      <c r="A203" s="203">
        <v>44412</v>
      </c>
      <c r="B203" s="128" t="s">
        <v>9</v>
      </c>
      <c r="C203" s="157" t="str">
        <f t="shared" si="7"/>
        <v>04.08.2021_STE2</v>
      </c>
      <c r="D203" s="190">
        <f t="shared" si="8"/>
        <v>0</v>
      </c>
      <c r="E203" s="204">
        <v>4.7997785762032077E-2</v>
      </c>
      <c r="F203" s="205">
        <v>5.3161057597795165E-2</v>
      </c>
      <c r="G203" s="204">
        <v>0.11928709469615635</v>
      </c>
      <c r="H203" s="204">
        <v>2.3630807429690107E-2</v>
      </c>
      <c r="I203" s="209">
        <v>8.6969999999999992</v>
      </c>
      <c r="J203" s="207">
        <v>2.0642110254825874</v>
      </c>
      <c r="K203" s="209">
        <v>10.289</v>
      </c>
      <c r="L203" s="209">
        <v>7.516</v>
      </c>
      <c r="M203" s="208">
        <v>2.1619999999999999</v>
      </c>
      <c r="N203" s="221"/>
    </row>
    <row r="204" spans="1:14" ht="16.5" customHeight="1" x14ac:dyDescent="0.25">
      <c r="A204" s="203">
        <v>44426</v>
      </c>
      <c r="B204" s="128" t="s">
        <v>22</v>
      </c>
      <c r="C204" s="157" t="str">
        <f t="shared" si="7"/>
        <v>18.08.2021_BIE1</v>
      </c>
      <c r="D204" s="190">
        <f t="shared" si="8"/>
        <v>0</v>
      </c>
      <c r="E204" s="204">
        <v>0</v>
      </c>
      <c r="F204" s="205">
        <v>2.1933820735606759E-2</v>
      </c>
      <c r="G204" s="204">
        <v>2.8315633042154488E-2</v>
      </c>
      <c r="H204" s="204">
        <v>1.8584884994523546E-2</v>
      </c>
      <c r="I204" s="209">
        <v>4.0730000000000004</v>
      </c>
      <c r="J204" s="207">
        <v>0.94761348413748525</v>
      </c>
      <c r="K204" s="209">
        <v>9.0350000000000001</v>
      </c>
      <c r="L204" s="209">
        <v>14.760999999999999</v>
      </c>
      <c r="M204" s="208">
        <v>18.86</v>
      </c>
      <c r="N204" s="221"/>
    </row>
    <row r="205" spans="1:14" ht="16.5" customHeight="1" x14ac:dyDescent="0.25">
      <c r="A205" s="203">
        <v>44426</v>
      </c>
      <c r="B205" s="128" t="s">
        <v>25</v>
      </c>
      <c r="C205" s="157" t="str">
        <f t="shared" si="7"/>
        <v>18.08.2021_BIE2</v>
      </c>
      <c r="D205" s="190">
        <f t="shared" si="8"/>
        <v>0</v>
      </c>
      <c r="E205" s="204">
        <v>0</v>
      </c>
      <c r="F205" s="205">
        <v>2.1333252494131833E-2</v>
      </c>
      <c r="G205" s="204">
        <v>0</v>
      </c>
      <c r="H205" s="204">
        <v>1.3938663745892661E-2</v>
      </c>
      <c r="I205" s="209">
        <v>2.9550000000000001</v>
      </c>
      <c r="J205" s="207">
        <v>0.67168947617743702</v>
      </c>
      <c r="K205" s="209">
        <v>6.798</v>
      </c>
      <c r="L205" s="209">
        <v>11.287000000000001</v>
      </c>
      <c r="M205" s="208">
        <v>15.41</v>
      </c>
      <c r="N205" s="221"/>
    </row>
    <row r="206" spans="1:14" ht="16.5" customHeight="1" x14ac:dyDescent="0.25">
      <c r="A206" s="203">
        <v>44426</v>
      </c>
      <c r="B206" s="128" t="s">
        <v>14</v>
      </c>
      <c r="C206" s="157" t="str">
        <f t="shared" si="7"/>
        <v>18.08.2021_BRA1</v>
      </c>
      <c r="D206" s="190">
        <f t="shared" si="8"/>
        <v>0</v>
      </c>
      <c r="E206" s="204">
        <v>2.8141916993949682E-2</v>
      </c>
      <c r="F206" s="205">
        <v>4.0121022774698374E-2</v>
      </c>
      <c r="G206" s="204">
        <v>0</v>
      </c>
      <c r="H206" s="204">
        <v>2.6328587075575029E-2</v>
      </c>
      <c r="I206" s="209">
        <v>6.7590000000000003</v>
      </c>
      <c r="J206" s="207">
        <v>1.534671068335159</v>
      </c>
      <c r="K206" s="209">
        <v>6.06</v>
      </c>
      <c r="L206" s="209">
        <v>4.6310000000000002</v>
      </c>
      <c r="M206" s="208">
        <v>13.76</v>
      </c>
      <c r="N206" s="221"/>
    </row>
    <row r="207" spans="1:14" ht="16.5" customHeight="1" x14ac:dyDescent="0.25">
      <c r="A207" s="203">
        <v>44426</v>
      </c>
      <c r="B207" s="128" t="s">
        <v>17</v>
      </c>
      <c r="C207" s="157" t="str">
        <f t="shared" si="7"/>
        <v>18.08.2021_BRA2</v>
      </c>
      <c r="D207" s="190">
        <f t="shared" si="8"/>
        <v>0</v>
      </c>
      <c r="E207" s="204">
        <v>8.6301878781445698E-2</v>
      </c>
      <c r="F207" s="205">
        <v>6.7902485953587874E-2</v>
      </c>
      <c r="G207" s="204">
        <v>4.0900358838667598E-2</v>
      </c>
      <c r="H207" s="204">
        <v>1.0841182913472072E-2</v>
      </c>
      <c r="I207" s="209">
        <v>11.334</v>
      </c>
      <c r="J207" s="207">
        <v>2.5950698977726434</v>
      </c>
      <c r="K207" s="209">
        <v>10.847</v>
      </c>
      <c r="L207" s="209">
        <v>6.2930000000000001</v>
      </c>
      <c r="M207" s="208">
        <v>13.45</v>
      </c>
      <c r="N207" s="221"/>
    </row>
    <row r="208" spans="1:14" ht="16.5" customHeight="1" x14ac:dyDescent="0.25">
      <c r="A208" s="203">
        <v>44426</v>
      </c>
      <c r="B208" s="128" t="s">
        <v>30</v>
      </c>
      <c r="C208" s="157" t="str">
        <f t="shared" si="7"/>
        <v>18.08.2021_FAL1</v>
      </c>
      <c r="D208" s="190">
        <f t="shared" si="8"/>
        <v>0</v>
      </c>
      <c r="E208" s="204">
        <v>0.19886954675724444</v>
      </c>
      <c r="F208" s="205">
        <v>0.22295511682834332</v>
      </c>
      <c r="G208" s="204">
        <v>0.2516945159302621</v>
      </c>
      <c r="H208" s="204">
        <v>0.16726396495071194</v>
      </c>
      <c r="I208" s="209">
        <v>15.089</v>
      </c>
      <c r="J208" s="207">
        <v>3.654514218803933</v>
      </c>
      <c r="K208" s="209">
        <v>53</v>
      </c>
      <c r="L208" s="209">
        <v>32.594999999999999</v>
      </c>
      <c r="M208" s="208">
        <v>14.85</v>
      </c>
      <c r="N208" s="221"/>
    </row>
    <row r="209" spans="1:14" ht="16.5" customHeight="1" x14ac:dyDescent="0.25">
      <c r="A209" s="203">
        <v>44426</v>
      </c>
      <c r="B209" s="128" t="s">
        <v>32</v>
      </c>
      <c r="C209" s="157" t="str">
        <f t="shared" si="7"/>
        <v>18.08.2021_FAL2</v>
      </c>
      <c r="D209" s="190">
        <f t="shared" si="8"/>
        <v>0</v>
      </c>
      <c r="E209" s="204">
        <v>0.19511729115805113</v>
      </c>
      <c r="F209" s="205">
        <v>0.17124065770378047</v>
      </c>
      <c r="G209" s="204">
        <v>0.1541628910072855</v>
      </c>
      <c r="H209" s="204">
        <v>4.0267250821467683E-2</v>
      </c>
      <c r="I209" s="209">
        <v>12.651</v>
      </c>
      <c r="J209" s="207">
        <v>2.9894466777508431</v>
      </c>
      <c r="K209" s="209">
        <v>51</v>
      </c>
      <c r="L209" s="209">
        <v>30.617000000000001</v>
      </c>
      <c r="M209" s="208">
        <v>3.4540000000000002</v>
      </c>
      <c r="N209" s="221"/>
    </row>
    <row r="210" spans="1:14" ht="16.5" customHeight="1" x14ac:dyDescent="0.25">
      <c r="A210" s="203">
        <v>44426</v>
      </c>
      <c r="B210" s="128" t="s">
        <v>26</v>
      </c>
      <c r="C210" s="157" t="str">
        <f t="shared" si="7"/>
        <v>18.08.2021_GRU1</v>
      </c>
      <c r="D210" s="190">
        <f t="shared" si="8"/>
        <v>0</v>
      </c>
      <c r="E210" s="204">
        <v>0</v>
      </c>
      <c r="F210" s="205">
        <v>3.1468879333647878E-2</v>
      </c>
      <c r="G210" s="204">
        <v>1.2584725796513093E-2</v>
      </c>
      <c r="H210" s="204">
        <v>1.2389923329682362E-2</v>
      </c>
      <c r="I210" s="209">
        <v>3.5950000000000002</v>
      </c>
      <c r="J210" s="207">
        <v>0.82554667589145625</v>
      </c>
      <c r="K210" s="209">
        <v>8.7780000000000005</v>
      </c>
      <c r="L210" s="209">
        <v>13.143000000000001</v>
      </c>
      <c r="M210" s="208">
        <v>17.59</v>
      </c>
      <c r="N210" s="221"/>
    </row>
    <row r="211" spans="1:14" ht="16.5" customHeight="1" x14ac:dyDescent="0.25">
      <c r="A211" s="203">
        <v>44426</v>
      </c>
      <c r="B211" s="128" t="s">
        <v>28</v>
      </c>
      <c r="C211" s="157" t="str">
        <f t="shared" si="7"/>
        <v>18.08.2021_GRU2</v>
      </c>
      <c r="D211" s="190">
        <f t="shared" si="8"/>
        <v>0</v>
      </c>
      <c r="E211" s="204">
        <v>0</v>
      </c>
      <c r="F211" s="205">
        <v>1.9571620925872207E-2</v>
      </c>
      <c r="G211" s="204">
        <v>4.4046540287795879E-2</v>
      </c>
      <c r="H211" s="204">
        <v>1.8584884994523546E-2</v>
      </c>
      <c r="I211" s="209">
        <v>3.5739999999999998</v>
      </c>
      <c r="J211" s="207">
        <v>0.84711924630465329</v>
      </c>
      <c r="K211" s="209">
        <v>9.7330000000000005</v>
      </c>
      <c r="L211" s="209">
        <v>10.566000000000001</v>
      </c>
      <c r="M211" s="208">
        <v>13.56</v>
      </c>
      <c r="N211" s="221"/>
    </row>
    <row r="212" spans="1:14" ht="16.5" customHeight="1" x14ac:dyDescent="0.25">
      <c r="A212" s="203">
        <v>44426</v>
      </c>
      <c r="B212" s="128" t="s">
        <v>0</v>
      </c>
      <c r="C212" s="157" t="str">
        <f t="shared" si="7"/>
        <v>18.08.2021_KIN1</v>
      </c>
      <c r="D212" s="190">
        <f t="shared" si="8"/>
        <v>0</v>
      </c>
      <c r="E212" s="204">
        <v>2.0637405795563099E-2</v>
      </c>
      <c r="F212" s="205">
        <v>3.5160696337085816E-2</v>
      </c>
      <c r="G212" s="204">
        <v>3.1461814491282789E-3</v>
      </c>
      <c r="H212" s="204">
        <v>3.0974808324205913E-3</v>
      </c>
      <c r="I212" s="209">
        <v>5.3979999999999997</v>
      </c>
      <c r="J212" s="207">
        <v>1.2226322664728639</v>
      </c>
      <c r="K212" s="209">
        <v>9.298</v>
      </c>
      <c r="L212" s="209">
        <v>13.552</v>
      </c>
      <c r="M212" s="208">
        <v>11.43</v>
      </c>
      <c r="N212" s="221"/>
    </row>
    <row r="213" spans="1:14" ht="16.5" customHeight="1" x14ac:dyDescent="0.25">
      <c r="A213" s="203">
        <v>44426</v>
      </c>
      <c r="B213" s="128" t="s">
        <v>2</v>
      </c>
      <c r="C213" s="157" t="str">
        <f t="shared" si="7"/>
        <v>18.08.2021_KIN2</v>
      </c>
      <c r="D213" s="190">
        <f t="shared" si="8"/>
        <v>0</v>
      </c>
      <c r="E213" s="204">
        <v>0</v>
      </c>
      <c r="F213" s="205">
        <v>2.6225701858534657E-2</v>
      </c>
      <c r="G213" s="204">
        <v>0</v>
      </c>
      <c r="H213" s="204">
        <v>7.743702081051477E-3</v>
      </c>
      <c r="I213" s="209">
        <v>6.8319999999999999</v>
      </c>
      <c r="J213" s="207">
        <v>1.545501410098576</v>
      </c>
      <c r="K213" s="209">
        <v>11.321</v>
      </c>
      <c r="L213" s="209">
        <v>13.298999999999999</v>
      </c>
      <c r="M213" s="208">
        <v>13.55</v>
      </c>
      <c r="N213" s="221"/>
    </row>
    <row r="214" spans="1:14" ht="16.5" customHeight="1" x14ac:dyDescent="0.25">
      <c r="A214" s="203">
        <v>44426</v>
      </c>
      <c r="B214" s="128" t="s">
        <v>4</v>
      </c>
      <c r="C214" s="157" t="str">
        <f t="shared" si="7"/>
        <v>18.08.2021_KIN3</v>
      </c>
      <c r="D214" s="190">
        <f t="shared" si="8"/>
        <v>0</v>
      </c>
      <c r="E214" s="204">
        <v>0</v>
      </c>
      <c r="F214" s="205">
        <v>2.294662905323672E-2</v>
      </c>
      <c r="G214" s="204">
        <v>0</v>
      </c>
      <c r="H214" s="204">
        <v>1.0841182913472072E-2</v>
      </c>
      <c r="I214" s="209">
        <v>8.57</v>
      </c>
      <c r="J214" s="207">
        <v>1.9390064981380064</v>
      </c>
      <c r="K214" s="209">
        <v>16.152000000000001</v>
      </c>
      <c r="L214" s="209">
        <v>16.84</v>
      </c>
      <c r="M214" s="208">
        <v>12.78</v>
      </c>
      <c r="N214" s="221"/>
    </row>
    <row r="215" spans="1:14" ht="16.5" customHeight="1" x14ac:dyDescent="0.25">
      <c r="A215" s="203">
        <v>44426</v>
      </c>
      <c r="B215" s="128" t="s">
        <v>6</v>
      </c>
      <c r="C215" s="157" t="str">
        <f t="shared" si="7"/>
        <v>18.08.2021_KIN4</v>
      </c>
      <c r="D215" s="190">
        <f t="shared" si="8"/>
        <v>0</v>
      </c>
      <c r="E215" s="204">
        <v>3.1894172593142978E-2</v>
      </c>
      <c r="F215" s="205">
        <v>2.9579352926130752E-2</v>
      </c>
      <c r="G215" s="204">
        <v>4.7192721736924112E-2</v>
      </c>
      <c r="H215" s="204">
        <v>1.2389923329682362E-2</v>
      </c>
      <c r="I215" s="209">
        <v>8.5609999999999999</v>
      </c>
      <c r="J215" s="207">
        <v>1.9740898586592259</v>
      </c>
      <c r="K215" s="209">
        <v>30.38</v>
      </c>
      <c r="L215" s="209">
        <v>17.760000000000002</v>
      </c>
      <c r="M215" s="208">
        <v>3.5430000000000001</v>
      </c>
      <c r="N215" s="221"/>
    </row>
    <row r="216" spans="1:14" ht="16.5" customHeight="1" x14ac:dyDescent="0.25">
      <c r="A216" s="203">
        <v>44426</v>
      </c>
      <c r="B216" s="128" t="s">
        <v>34</v>
      </c>
      <c r="C216" s="157" t="str">
        <f t="shared" si="7"/>
        <v>18.08.2021_KRE1</v>
      </c>
      <c r="D216" s="190">
        <f t="shared" si="8"/>
        <v>0</v>
      </c>
      <c r="E216" s="204">
        <v>3.5646428192336266E-2</v>
      </c>
      <c r="F216" s="205">
        <v>6.4712059138952296E-2</v>
      </c>
      <c r="G216" s="204">
        <v>7.5508354779078621E-2</v>
      </c>
      <c r="H216" s="204">
        <v>8.2083242059145661E-2</v>
      </c>
      <c r="I216" s="209">
        <v>7.7830000000000004</v>
      </c>
      <c r="J216" s="207">
        <v>1.8415679354473138</v>
      </c>
      <c r="K216" s="209">
        <v>63</v>
      </c>
      <c r="L216" s="209">
        <v>34</v>
      </c>
      <c r="M216" s="208">
        <v>12.7</v>
      </c>
      <c r="N216" s="221"/>
    </row>
    <row r="217" spans="1:14" ht="16.5" customHeight="1" x14ac:dyDescent="0.25">
      <c r="A217" s="203">
        <v>44426</v>
      </c>
      <c r="B217" s="128" t="s">
        <v>37</v>
      </c>
      <c r="C217" s="157" t="str">
        <f t="shared" si="7"/>
        <v>18.08.2021_KRE2</v>
      </c>
      <c r="D217" s="190">
        <f t="shared" si="8"/>
        <v>0</v>
      </c>
      <c r="E217" s="204">
        <v>8.2549623182252396E-2</v>
      </c>
      <c r="F217" s="205">
        <v>0.10424648148447087</v>
      </c>
      <c r="G217" s="204">
        <v>0.18877088694769656</v>
      </c>
      <c r="H217" s="204">
        <v>0.18894633077765607</v>
      </c>
      <c r="I217" s="209">
        <v>9.7210000000000001</v>
      </c>
      <c r="J217" s="207">
        <v>2.3997856864112741</v>
      </c>
      <c r="K217" s="209">
        <v>64</v>
      </c>
      <c r="L217" s="209">
        <v>39</v>
      </c>
      <c r="M217" s="208">
        <v>14.95</v>
      </c>
      <c r="N217" s="221"/>
    </row>
    <row r="218" spans="1:14" ht="16.5" customHeight="1" x14ac:dyDescent="0.25">
      <c r="A218" s="203">
        <v>44426</v>
      </c>
      <c r="B218" s="128" t="s">
        <v>18</v>
      </c>
      <c r="C218" s="157" t="str">
        <f t="shared" si="7"/>
        <v>18.08.2021_ORB1</v>
      </c>
      <c r="D218" s="190">
        <f t="shared" si="8"/>
        <v>0</v>
      </c>
      <c r="E218" s="204">
        <v>0</v>
      </c>
      <c r="F218" s="205">
        <v>1.2888478042022505E-2</v>
      </c>
      <c r="G218" s="204">
        <v>0.18877088694769656</v>
      </c>
      <c r="H218" s="204">
        <v>4.3364731653888273E-2</v>
      </c>
      <c r="I218" s="209">
        <v>9.0259999999999998</v>
      </c>
      <c r="J218" s="207">
        <v>2.1984837185580433</v>
      </c>
      <c r="K218" s="209">
        <v>9.4390000000000001</v>
      </c>
      <c r="L218" s="209">
        <v>15.763999999999999</v>
      </c>
      <c r="M218" s="208">
        <v>1.51</v>
      </c>
      <c r="N218" s="221"/>
    </row>
    <row r="219" spans="1:14" ht="16.5" customHeight="1" x14ac:dyDescent="0.25">
      <c r="A219" s="203">
        <v>44426</v>
      </c>
      <c r="B219" s="128" t="s">
        <v>21</v>
      </c>
      <c r="C219" s="157" t="str">
        <f t="shared" si="7"/>
        <v>18.08.2021_ORB2</v>
      </c>
      <c r="D219" s="190">
        <f t="shared" si="8"/>
        <v>0</v>
      </c>
      <c r="E219" s="204">
        <v>0</v>
      </c>
      <c r="F219" s="205">
        <v>2.1225561138208685E-2</v>
      </c>
      <c r="G219" s="204">
        <v>1.8877088694769652E-2</v>
      </c>
      <c r="H219" s="204">
        <v>2.9426067907995623E-2</v>
      </c>
      <c r="I219" s="209">
        <v>8.0820000000000007</v>
      </c>
      <c r="J219" s="207">
        <v>1.8490979769751912</v>
      </c>
      <c r="K219" s="209">
        <v>19.221</v>
      </c>
      <c r="L219" s="209">
        <v>18.940000000000001</v>
      </c>
      <c r="M219" s="208">
        <v>13.49</v>
      </c>
      <c r="N219" s="221"/>
    </row>
    <row r="220" spans="1:14" ht="16.5" customHeight="1" x14ac:dyDescent="0.25">
      <c r="A220" s="203">
        <v>44426</v>
      </c>
      <c r="B220" s="128" t="s">
        <v>10</v>
      </c>
      <c r="C220" s="157" t="str">
        <f t="shared" si="7"/>
        <v>18.08.2021_SAL1</v>
      </c>
      <c r="D220" s="190">
        <f t="shared" si="8"/>
        <v>0</v>
      </c>
      <c r="E220" s="204">
        <v>8.8178006581042342E-2</v>
      </c>
      <c r="F220" s="205">
        <v>9.0375630921955677E-2</v>
      </c>
      <c r="G220" s="204">
        <v>9.4385443473848137E-3</v>
      </c>
      <c r="H220" s="204">
        <v>1.3938663745892661E-2</v>
      </c>
      <c r="I220" s="209">
        <v>9.1630000000000003</v>
      </c>
      <c r="J220" s="207">
        <v>2.0812193714777383</v>
      </c>
      <c r="K220" s="209">
        <v>10.135999999999999</v>
      </c>
      <c r="L220" s="209">
        <v>6.883</v>
      </c>
      <c r="M220" s="208">
        <v>15.93</v>
      </c>
      <c r="N220" s="221"/>
    </row>
    <row r="221" spans="1:14" ht="16.5" customHeight="1" x14ac:dyDescent="0.25">
      <c r="A221" s="203">
        <v>44426</v>
      </c>
      <c r="B221" s="128" t="s">
        <v>12</v>
      </c>
      <c r="C221" s="157" t="str">
        <f t="shared" si="7"/>
        <v>18.08.2021_SAL2</v>
      </c>
      <c r="D221" s="190">
        <f t="shared" si="8"/>
        <v>0</v>
      </c>
      <c r="E221" s="204">
        <v>5.4407706188302728E-2</v>
      </c>
      <c r="F221" s="205">
        <v>7.6060610286751304E-2</v>
      </c>
      <c r="G221" s="204">
        <v>0</v>
      </c>
      <c r="H221" s="204">
        <v>3.0974808324205913E-3</v>
      </c>
      <c r="I221" s="209">
        <v>8.5389999999999997</v>
      </c>
      <c r="J221" s="207">
        <v>1.9296469580394302</v>
      </c>
      <c r="K221" s="209">
        <v>11.337</v>
      </c>
      <c r="L221" s="209">
        <v>8.141</v>
      </c>
      <c r="M221" s="208">
        <v>11.53</v>
      </c>
      <c r="N221" s="221"/>
    </row>
    <row r="222" spans="1:14" ht="16.5" customHeight="1" x14ac:dyDescent="0.25">
      <c r="A222" s="203">
        <v>44426</v>
      </c>
      <c r="B222" s="128" t="s">
        <v>7</v>
      </c>
      <c r="C222" s="157" t="str">
        <f t="shared" si="7"/>
        <v>18.08.2021_STE1</v>
      </c>
      <c r="D222" s="190">
        <f t="shared" si="8"/>
        <v>0</v>
      </c>
      <c r="E222" s="204">
        <v>5.4407706188302728E-2</v>
      </c>
      <c r="F222" s="205">
        <v>5.5218981185668078E-2</v>
      </c>
      <c r="G222" s="204">
        <v>6.2923628982565578E-3</v>
      </c>
      <c r="H222" s="204">
        <v>7.743702081051477E-3</v>
      </c>
      <c r="I222" s="209">
        <v>10.997</v>
      </c>
      <c r="J222" s="207">
        <v>2.4911359169654435</v>
      </c>
      <c r="K222" s="209">
        <v>13.19</v>
      </c>
      <c r="L222" s="209">
        <v>11.497999999999999</v>
      </c>
      <c r="M222" s="208">
        <v>12.13</v>
      </c>
      <c r="N222" s="221"/>
    </row>
    <row r="223" spans="1:14" ht="16.5" customHeight="1" x14ac:dyDescent="0.25">
      <c r="A223" s="203">
        <v>44426</v>
      </c>
      <c r="B223" s="128" t="s">
        <v>9</v>
      </c>
      <c r="C223" s="157" t="str">
        <f t="shared" si="7"/>
        <v>18.08.2021_STE2</v>
      </c>
      <c r="D223" s="190">
        <f t="shared" si="8"/>
        <v>0</v>
      </c>
      <c r="E223" s="204">
        <v>5.6283833987899365E-2</v>
      </c>
      <c r="F223" s="205">
        <v>4.6287906142009026E-2</v>
      </c>
      <c r="G223" s="204">
        <v>0.10067780637210481</v>
      </c>
      <c r="H223" s="204">
        <v>1.8584884994523546E-2</v>
      </c>
      <c r="I223" s="209">
        <v>11.574</v>
      </c>
      <c r="J223" s="207">
        <v>2.6980528581064585</v>
      </c>
      <c r="K223" s="209">
        <v>15.289</v>
      </c>
      <c r="L223" s="209">
        <v>11.067</v>
      </c>
      <c r="M223" s="208">
        <v>2.1560000000000001</v>
      </c>
      <c r="N223" s="221"/>
    </row>
    <row r="224" spans="1:14" ht="16.5" customHeight="1" x14ac:dyDescent="0.25">
      <c r="A224" s="203">
        <v>44439</v>
      </c>
      <c r="B224" s="128" t="s">
        <v>22</v>
      </c>
      <c r="C224" s="157" t="str">
        <f t="shared" si="7"/>
        <v>31.08.2021_BIE1</v>
      </c>
      <c r="D224" s="190">
        <f t="shared" si="8"/>
        <v>0</v>
      </c>
      <c r="E224" s="204">
        <v>0</v>
      </c>
      <c r="F224" s="205">
        <v>2.9935956460708516E-2</v>
      </c>
      <c r="G224" s="204">
        <v>0</v>
      </c>
      <c r="H224" s="204">
        <v>2.5156305596502823E-2</v>
      </c>
      <c r="I224" s="209">
        <v>3.63</v>
      </c>
      <c r="J224" s="207">
        <v>0.82756693723885522</v>
      </c>
      <c r="K224" s="209">
        <v>9.3620000000000001</v>
      </c>
      <c r="L224" s="209">
        <v>12.832000000000001</v>
      </c>
      <c r="M224" s="204">
        <v>8.3021144060361465</v>
      </c>
      <c r="N224" s="222"/>
    </row>
    <row r="225" spans="1:14" ht="16.5" customHeight="1" x14ac:dyDescent="0.25">
      <c r="A225" s="203">
        <v>44439</v>
      </c>
      <c r="B225" s="128" t="s">
        <v>25</v>
      </c>
      <c r="C225" s="157" t="str">
        <f t="shared" si="7"/>
        <v>31.08.2021_BIE2</v>
      </c>
      <c r="D225" s="190">
        <f t="shared" si="8"/>
        <v>0</v>
      </c>
      <c r="E225" s="204">
        <v>1.5197764402407565E-2</v>
      </c>
      <c r="F225" s="205">
        <v>2.9719664713212739E-2</v>
      </c>
      <c r="G225" s="204">
        <v>1.2452924930956578E-2</v>
      </c>
      <c r="H225" s="204">
        <v>1.6171910740608957E-2</v>
      </c>
      <c r="I225" s="209">
        <v>3.7109999999999999</v>
      </c>
      <c r="J225" s="207">
        <v>0.85279667990461672</v>
      </c>
      <c r="K225" s="209">
        <v>10.641999999999999</v>
      </c>
      <c r="L225" s="209">
        <v>13.279</v>
      </c>
      <c r="M225" s="204">
        <v>3.815362344270925</v>
      </c>
      <c r="N225" s="222"/>
    </row>
    <row r="226" spans="1:14" ht="16.5" customHeight="1" x14ac:dyDescent="0.25">
      <c r="A226" s="203">
        <v>44439</v>
      </c>
      <c r="B226" s="128" t="s">
        <v>14</v>
      </c>
      <c r="C226" s="157" t="str">
        <f t="shared" si="7"/>
        <v>31.08.2021_BRA1</v>
      </c>
      <c r="D226" s="190">
        <f t="shared" si="8"/>
        <v>0</v>
      </c>
      <c r="E226" s="204">
        <v>0</v>
      </c>
      <c r="F226" s="205">
        <v>3.7012737936502782E-2</v>
      </c>
      <c r="G226" s="204">
        <v>1.2452924930956578E-2</v>
      </c>
      <c r="H226" s="204">
        <v>1.4375031769430181E-2</v>
      </c>
      <c r="I226" s="209">
        <v>3.3069999999999999</v>
      </c>
      <c r="J226" s="207">
        <v>0.76099814010184141</v>
      </c>
      <c r="K226" s="209">
        <v>4.2240000000000002</v>
      </c>
      <c r="L226" s="209">
        <v>2.4249999999999998</v>
      </c>
      <c r="M226" s="204">
        <v>7.2756185295665912</v>
      </c>
      <c r="N226" s="222"/>
    </row>
    <row r="227" spans="1:14" ht="16.5" customHeight="1" x14ac:dyDescent="0.25">
      <c r="A227" s="203">
        <v>44439</v>
      </c>
      <c r="B227" s="128" t="s">
        <v>17</v>
      </c>
      <c r="C227" s="157" t="str">
        <f t="shared" si="7"/>
        <v>31.08.2021_BRA2</v>
      </c>
      <c r="D227" s="190">
        <f t="shared" si="8"/>
        <v>0</v>
      </c>
      <c r="E227" s="204">
        <v>8.9015477214101454E-2</v>
      </c>
      <c r="F227" s="205">
        <v>8.1463896237939565E-2</v>
      </c>
      <c r="G227" s="204">
        <v>0</v>
      </c>
      <c r="H227" s="204">
        <v>8.9843948558938642E-3</v>
      </c>
      <c r="I227" s="209">
        <v>10.916</v>
      </c>
      <c r="J227" s="207">
        <v>2.4683322190138766</v>
      </c>
      <c r="K227" s="209">
        <v>12.179</v>
      </c>
      <c r="L227" s="209">
        <v>6.2690000000000001</v>
      </c>
      <c r="M227" s="204">
        <v>2.2857080189506931</v>
      </c>
      <c r="N227" s="222"/>
    </row>
    <row r="228" spans="1:14" ht="16.5" customHeight="1" x14ac:dyDescent="0.25">
      <c r="A228" s="203">
        <v>44439</v>
      </c>
      <c r="B228" s="128" t="s">
        <v>30</v>
      </c>
      <c r="C228" s="157" t="str">
        <f t="shared" si="7"/>
        <v>31.08.2021_FAL1</v>
      </c>
      <c r="D228" s="190">
        <f t="shared" si="8"/>
        <v>0</v>
      </c>
      <c r="E228" s="204">
        <v>0.13243766122098019</v>
      </c>
      <c r="F228" s="205">
        <v>0.15884546817818865</v>
      </c>
      <c r="G228" s="204">
        <v>0.14009540547326138</v>
      </c>
      <c r="H228" s="204">
        <v>0.18687541300259242</v>
      </c>
      <c r="I228" s="209">
        <v>13.46</v>
      </c>
      <c r="J228" s="207">
        <v>3.205887100884572</v>
      </c>
      <c r="K228" s="209">
        <v>45</v>
      </c>
      <c r="L228" s="209">
        <v>30.831</v>
      </c>
      <c r="M228" s="204">
        <v>7.8809878926127395</v>
      </c>
      <c r="N228" s="222"/>
    </row>
    <row r="229" spans="1:14" ht="16.5" customHeight="1" x14ac:dyDescent="0.25">
      <c r="A229" s="203">
        <v>44439</v>
      </c>
      <c r="B229" s="128" t="s">
        <v>32</v>
      </c>
      <c r="C229" s="157" t="str">
        <f t="shared" si="7"/>
        <v>31.08.2021_FAL2</v>
      </c>
      <c r="D229" s="190">
        <f t="shared" si="8"/>
        <v>0</v>
      </c>
      <c r="E229" s="204">
        <v>0.11289767841788476</v>
      </c>
      <c r="F229" s="205">
        <v>0.15022928238309199</v>
      </c>
      <c r="G229" s="204">
        <v>6.5377855887521943E-2</v>
      </c>
      <c r="H229" s="204">
        <v>7.0078279875972149E-2</v>
      </c>
      <c r="I229" s="209">
        <v>6.9660000000000002</v>
      </c>
      <c r="J229" s="207">
        <v>1.6455110036263414</v>
      </c>
      <c r="K229" s="209">
        <v>25.385000000000002</v>
      </c>
      <c r="L229" s="209">
        <v>16.975000000000001</v>
      </c>
      <c r="M229" s="204">
        <v>3.949157746973154</v>
      </c>
      <c r="N229" s="222"/>
    </row>
    <row r="230" spans="1:14" ht="16.5" customHeight="1" x14ac:dyDescent="0.25">
      <c r="A230" s="203">
        <v>44439</v>
      </c>
      <c r="B230" s="128" t="s">
        <v>26</v>
      </c>
      <c r="C230" s="157" t="str">
        <f t="shared" si="7"/>
        <v>31.08.2021_GRU1</v>
      </c>
      <c r="D230" s="190">
        <f t="shared" si="8"/>
        <v>0</v>
      </c>
      <c r="E230" s="204">
        <v>0</v>
      </c>
      <c r="F230" s="205">
        <v>3.9234656586938331E-2</v>
      </c>
      <c r="G230" s="204">
        <v>4.0472006025608832E-2</v>
      </c>
      <c r="H230" s="204">
        <v>1.7968789711787732E-2</v>
      </c>
      <c r="I230" s="209">
        <v>4.3479999999999999</v>
      </c>
      <c r="J230" s="207">
        <v>1.0189794659865787</v>
      </c>
      <c r="K230" s="209">
        <v>9.9009999999999998</v>
      </c>
      <c r="L230" s="209">
        <v>12.401999999999999</v>
      </c>
      <c r="M230" s="204">
        <v>7.6046236181786284</v>
      </c>
      <c r="N230" s="222"/>
    </row>
    <row r="231" spans="1:14" ht="16.5" customHeight="1" x14ac:dyDescent="0.25">
      <c r="A231" s="203">
        <v>44439</v>
      </c>
      <c r="B231" s="128" t="s">
        <v>28</v>
      </c>
      <c r="C231" s="157" t="str">
        <f t="shared" si="7"/>
        <v>31.08.2021_GRU2</v>
      </c>
      <c r="D231" s="190">
        <f t="shared" si="8"/>
        <v>0</v>
      </c>
      <c r="E231" s="204">
        <v>3.0395528804815129E-2</v>
      </c>
      <c r="F231" s="205">
        <v>2.9048279487655412E-2</v>
      </c>
      <c r="G231" s="204">
        <v>1.8679387396434825E-2</v>
      </c>
      <c r="H231" s="204">
        <v>1.9765668682966506E-2</v>
      </c>
      <c r="I231" s="209">
        <v>4.3490000000000002</v>
      </c>
      <c r="J231" s="207">
        <v>1.0028306453499869</v>
      </c>
      <c r="K231" s="209">
        <v>10.478</v>
      </c>
      <c r="L231" s="209">
        <v>11.288</v>
      </c>
      <c r="M231" s="204">
        <v>8.205606246709948</v>
      </c>
      <c r="N231" s="222"/>
    </row>
    <row r="232" spans="1:14" ht="16.5" customHeight="1" x14ac:dyDescent="0.25">
      <c r="A232" s="203">
        <v>44439</v>
      </c>
      <c r="B232" s="128" t="s">
        <v>0</v>
      </c>
      <c r="C232" s="157" t="str">
        <f t="shared" si="7"/>
        <v>31.08.2021_KIN1</v>
      </c>
      <c r="D232" s="190">
        <f t="shared" si="8"/>
        <v>0</v>
      </c>
      <c r="E232" s="204">
        <v>2.8224419604471189E-2</v>
      </c>
      <c r="F232" s="205">
        <v>4.2197622605574213E-2</v>
      </c>
      <c r="G232" s="204">
        <v>3.1132312327391445E-3</v>
      </c>
      <c r="H232" s="204">
        <v>7.1875158847150922E-3</v>
      </c>
      <c r="I232" s="209">
        <v>4.4560000000000004</v>
      </c>
      <c r="J232" s="207">
        <v>1.0110823521310111</v>
      </c>
      <c r="K232" s="209">
        <v>7.28</v>
      </c>
      <c r="L232" s="209">
        <v>8.7750000000000004</v>
      </c>
      <c r="M232" s="204">
        <v>7.4730215827338133</v>
      </c>
      <c r="N232" s="222"/>
    </row>
    <row r="233" spans="1:14" ht="16.5" customHeight="1" x14ac:dyDescent="0.25">
      <c r="A233" s="203">
        <v>44439</v>
      </c>
      <c r="B233" s="128" t="s">
        <v>2</v>
      </c>
      <c r="C233" s="157" t="str">
        <f t="shared" si="7"/>
        <v>31.08.2021_KIN2</v>
      </c>
      <c r="D233" s="190">
        <f t="shared" si="8"/>
        <v>0</v>
      </c>
      <c r="E233" s="204">
        <v>0</v>
      </c>
      <c r="F233" s="205">
        <v>3.1957504003544163E-2</v>
      </c>
      <c r="G233" s="204">
        <v>0</v>
      </c>
      <c r="H233" s="204">
        <v>1.6171910740608957E-2</v>
      </c>
      <c r="I233" s="209">
        <v>6.2489999999999997</v>
      </c>
      <c r="J233" s="207">
        <v>1.4139677753050686</v>
      </c>
      <c r="K233" s="209">
        <v>10.301</v>
      </c>
      <c r="L233" s="209">
        <v>11.196</v>
      </c>
      <c r="M233" s="204">
        <v>7.5081154588524299</v>
      </c>
      <c r="N233" s="222"/>
    </row>
    <row r="234" spans="1:14" ht="16.5" customHeight="1" x14ac:dyDescent="0.25">
      <c r="A234" s="203">
        <v>44439</v>
      </c>
      <c r="B234" s="128" t="s">
        <v>4</v>
      </c>
      <c r="C234" s="157" t="str">
        <f t="shared" si="7"/>
        <v>31.08.2021_KIN3</v>
      </c>
      <c r="D234" s="190">
        <f t="shared" si="8"/>
        <v>0</v>
      </c>
      <c r="E234" s="204">
        <v>0</v>
      </c>
      <c r="F234" s="205">
        <v>3.3193436614705189E-2</v>
      </c>
      <c r="G234" s="204">
        <v>0</v>
      </c>
      <c r="H234" s="204">
        <v>1.9765668682966506E-2</v>
      </c>
      <c r="I234" s="209">
        <v>4.7130000000000001</v>
      </c>
      <c r="J234" s="207">
        <v>1.0681255749106195</v>
      </c>
      <c r="K234" s="209">
        <v>9.0180000000000007</v>
      </c>
      <c r="L234" s="209">
        <v>8.8740000000000006</v>
      </c>
      <c r="M234" s="204">
        <v>7.5826899456044918</v>
      </c>
      <c r="N234" s="222"/>
    </row>
    <row r="235" spans="1:14" ht="16.5" customHeight="1" x14ac:dyDescent="0.25">
      <c r="A235" s="203">
        <v>44439</v>
      </c>
      <c r="B235" s="128" t="s">
        <v>6</v>
      </c>
      <c r="C235" s="157" t="str">
        <f t="shared" si="7"/>
        <v>31.08.2021_KIN4</v>
      </c>
      <c r="D235" s="190">
        <f t="shared" si="8"/>
        <v>0</v>
      </c>
      <c r="E235" s="204">
        <v>3.2566638005159063E-2</v>
      </c>
      <c r="F235" s="205">
        <v>5.3645577646258137E-2</v>
      </c>
      <c r="G235" s="204">
        <v>0</v>
      </c>
      <c r="H235" s="204">
        <v>1.9765668682966506E-2</v>
      </c>
      <c r="I235" s="209">
        <v>7.3630000000000004</v>
      </c>
      <c r="J235" s="207">
        <v>1.6666810749106196</v>
      </c>
      <c r="K235" s="209">
        <v>24.186</v>
      </c>
      <c r="L235" s="209">
        <v>14.846</v>
      </c>
      <c r="M235" s="204">
        <v>7.2756185295665912</v>
      </c>
      <c r="N235" s="222"/>
    </row>
    <row r="236" spans="1:14" ht="16.5" customHeight="1" x14ac:dyDescent="0.25">
      <c r="A236" s="203">
        <v>44439</v>
      </c>
      <c r="B236" s="128" t="s">
        <v>34</v>
      </c>
      <c r="C236" s="157" t="str">
        <f t="shared" si="7"/>
        <v>31.08.2021_KRE1</v>
      </c>
      <c r="D236" s="190">
        <f t="shared" si="8"/>
        <v>0</v>
      </c>
      <c r="E236" s="204">
        <v>0</v>
      </c>
      <c r="F236" s="205">
        <v>4.6127219697265742E-2</v>
      </c>
      <c r="G236" s="204">
        <v>6.5377855887521943E-2</v>
      </c>
      <c r="H236" s="204">
        <v>4.3125095308290555E-2</v>
      </c>
      <c r="I236" s="209">
        <v>2.637</v>
      </c>
      <c r="J236" s="207">
        <v>0.65951387658471095</v>
      </c>
      <c r="K236" s="209">
        <v>19.981999999999999</v>
      </c>
      <c r="L236" s="209">
        <v>13.821999999999999</v>
      </c>
      <c r="M236" s="204">
        <v>7.6616511668713807</v>
      </c>
      <c r="N236" s="222"/>
    </row>
    <row r="237" spans="1:14" ht="16.5" customHeight="1" x14ac:dyDescent="0.25">
      <c r="A237" s="203">
        <v>44439</v>
      </c>
      <c r="B237" s="128" t="s">
        <v>37</v>
      </c>
      <c r="C237" s="157" t="str">
        <f t="shared" si="7"/>
        <v>31.08.2021_KRE2</v>
      </c>
      <c r="D237" s="190">
        <f t="shared" si="8"/>
        <v>0</v>
      </c>
      <c r="E237" s="204">
        <v>1.7368873602751501E-2</v>
      </c>
      <c r="F237" s="205">
        <v>5.996150045103129E-2</v>
      </c>
      <c r="G237" s="204">
        <v>8.7170474516695962E-2</v>
      </c>
      <c r="H237" s="204">
        <v>2.1562547654145274E-2</v>
      </c>
      <c r="I237" s="209">
        <v>3.2810000000000001</v>
      </c>
      <c r="J237" s="207">
        <v>0.81533118939077376</v>
      </c>
      <c r="K237" s="209">
        <v>16.974</v>
      </c>
      <c r="L237" s="209">
        <v>14.8</v>
      </c>
      <c r="M237" s="204">
        <v>7.9336287067906657</v>
      </c>
      <c r="N237" s="222"/>
    </row>
    <row r="238" spans="1:14" ht="16.5" customHeight="1" x14ac:dyDescent="0.25">
      <c r="A238" s="203">
        <v>44439</v>
      </c>
      <c r="B238" s="128" t="s">
        <v>18</v>
      </c>
      <c r="C238" s="157" t="str">
        <f t="shared" si="7"/>
        <v>31.08.2021_ORB1</v>
      </c>
      <c r="D238" s="190">
        <f t="shared" si="8"/>
        <v>0</v>
      </c>
      <c r="E238" s="204">
        <v>0</v>
      </c>
      <c r="F238" s="205">
        <v>3.5801620595038622E-2</v>
      </c>
      <c r="G238" s="204">
        <v>6.8491087120261099E-2</v>
      </c>
      <c r="H238" s="204">
        <v>2.5156305596502823E-2</v>
      </c>
      <c r="I238" s="209">
        <v>8.2970000000000006</v>
      </c>
      <c r="J238" s="207">
        <v>1.9348848714768667</v>
      </c>
      <c r="K238" s="209">
        <v>11.555999999999999</v>
      </c>
      <c r="L238" s="209">
        <v>14.172000000000001</v>
      </c>
      <c r="M238" s="204">
        <v>2.6897262677662748</v>
      </c>
      <c r="N238" s="222"/>
    </row>
    <row r="239" spans="1:14" ht="16.5" customHeight="1" x14ac:dyDescent="0.25">
      <c r="A239" s="203">
        <v>44439</v>
      </c>
      <c r="B239" s="128" t="s">
        <v>21</v>
      </c>
      <c r="C239" s="157" t="str">
        <f t="shared" si="7"/>
        <v>31.08.2021_ORB2</v>
      </c>
      <c r="D239" s="190">
        <f t="shared" si="8"/>
        <v>0</v>
      </c>
      <c r="E239" s="204">
        <v>0</v>
      </c>
      <c r="F239" s="205">
        <v>2.6729212282184337E-2</v>
      </c>
      <c r="G239" s="204">
        <v>3.1132312327391401E-2</v>
      </c>
      <c r="H239" s="204">
        <v>1.7968789711787732E-2</v>
      </c>
      <c r="I239" s="209">
        <v>4.8739999999999997</v>
      </c>
      <c r="J239" s="207">
        <v>1.1305349072268498</v>
      </c>
      <c r="K239" s="209">
        <v>12.773</v>
      </c>
      <c r="L239" s="209">
        <v>9.5440000000000005</v>
      </c>
      <c r="M239" s="204">
        <v>6.8501052816283563</v>
      </c>
      <c r="N239" s="222"/>
    </row>
    <row r="240" spans="1:14" ht="16.5" customHeight="1" x14ac:dyDescent="0.25">
      <c r="A240" s="203">
        <v>44439</v>
      </c>
      <c r="B240" s="128" t="s">
        <v>10</v>
      </c>
      <c r="C240" s="157" t="str">
        <f t="shared" si="7"/>
        <v>31.08.2021_SAL1</v>
      </c>
      <c r="D240" s="190">
        <f t="shared" si="8"/>
        <v>0</v>
      </c>
      <c r="E240" s="204">
        <v>5.4277730008598445E-2</v>
      </c>
      <c r="F240" s="205">
        <v>7.573935813168578E-2</v>
      </c>
      <c r="G240" s="204">
        <v>0</v>
      </c>
      <c r="H240" s="204">
        <v>5.3906369135363176E-3</v>
      </c>
      <c r="I240" s="209">
        <v>5.0839999999999996</v>
      </c>
      <c r="J240" s="207">
        <v>1.1499642594083261</v>
      </c>
      <c r="K240" s="209">
        <v>5.2960000000000003</v>
      </c>
      <c r="L240" s="209">
        <v>3.6150000000000002</v>
      </c>
      <c r="M240" s="204">
        <v>7.5344358659413935</v>
      </c>
      <c r="N240" s="222"/>
    </row>
    <row r="241" spans="1:14" ht="16.5" customHeight="1" x14ac:dyDescent="0.25">
      <c r="A241" s="203">
        <v>44439</v>
      </c>
      <c r="B241" s="128" t="s">
        <v>12</v>
      </c>
      <c r="C241" s="157" t="str">
        <f t="shared" si="7"/>
        <v>31.08.2021_SAL2</v>
      </c>
      <c r="D241" s="190">
        <f t="shared" si="8"/>
        <v>0</v>
      </c>
      <c r="E241" s="204">
        <v>4.7764402407566631E-2</v>
      </c>
      <c r="F241" s="205">
        <v>6.8454066234245506E-2</v>
      </c>
      <c r="G241" s="204">
        <v>0</v>
      </c>
      <c r="H241" s="204">
        <v>1.7968789711787715E-3</v>
      </c>
      <c r="I241" s="209">
        <v>4.6769999999999996</v>
      </c>
      <c r="J241" s="207">
        <v>1.0569410498027754</v>
      </c>
      <c r="K241" s="209">
        <v>5.6369999999999996</v>
      </c>
      <c r="L241" s="209">
        <v>3.9969999999999999</v>
      </c>
      <c r="M241" s="204">
        <v>8.267020529917529</v>
      </c>
      <c r="N241" s="222"/>
    </row>
    <row r="242" spans="1:14" ht="16.5" customHeight="1" x14ac:dyDescent="0.25">
      <c r="A242" s="203">
        <v>44439</v>
      </c>
      <c r="B242" s="128" t="s">
        <v>7</v>
      </c>
      <c r="C242" s="157" t="str">
        <f t="shared" si="7"/>
        <v>31.08.2021_STE1</v>
      </c>
      <c r="D242" s="190">
        <f t="shared" si="8"/>
        <v>0</v>
      </c>
      <c r="E242" s="204">
        <v>5.2106620808254504E-2</v>
      </c>
      <c r="F242" s="205">
        <v>7.2338548945327721E-2</v>
      </c>
      <c r="G242" s="204">
        <v>0</v>
      </c>
      <c r="H242" s="204">
        <v>5.3906369135363176E-3</v>
      </c>
      <c r="I242" s="209">
        <v>4.0599999999999996</v>
      </c>
      <c r="J242" s="207">
        <v>0.91867337940832594</v>
      </c>
      <c r="K242" s="209">
        <v>5.52</v>
      </c>
      <c r="L242" s="209">
        <v>4.2759999999999998</v>
      </c>
      <c r="M242" s="204">
        <v>6.4289787682049484</v>
      </c>
      <c r="N242" s="222"/>
    </row>
    <row r="243" spans="1:14" ht="16.5" customHeight="1" x14ac:dyDescent="0.25">
      <c r="A243" s="203">
        <v>44439</v>
      </c>
      <c r="B243" s="128" t="s">
        <v>9</v>
      </c>
      <c r="C243" s="157" t="str">
        <f t="shared" si="7"/>
        <v>31.08.2021_STE2</v>
      </c>
      <c r="D243" s="190">
        <f t="shared" si="8"/>
        <v>0</v>
      </c>
      <c r="E243" s="204">
        <v>4.1251074806534817E-2</v>
      </c>
      <c r="F243" s="205">
        <v>7.5559573312342629E-2</v>
      </c>
      <c r="G243" s="204">
        <v>4.9811699723826271E-2</v>
      </c>
      <c r="H243" s="204">
        <v>1.2578152798251413E-2</v>
      </c>
      <c r="I243" s="209">
        <v>6.899</v>
      </c>
      <c r="J243" s="207">
        <v>1.6007848353379814</v>
      </c>
      <c r="K243" s="209">
        <v>10.444000000000001</v>
      </c>
      <c r="L243" s="209">
        <v>6.8129999999999997</v>
      </c>
      <c r="M243" s="204">
        <v>2.8735304439375331</v>
      </c>
      <c r="N243" s="222"/>
    </row>
    <row r="244" spans="1:14" ht="16.5" customHeight="1" x14ac:dyDescent="0.25">
      <c r="A244" s="203">
        <v>44454</v>
      </c>
      <c r="B244" s="128" t="s">
        <v>22</v>
      </c>
      <c r="C244" s="157" t="str">
        <f t="shared" si="7"/>
        <v>15.09.2021_BIE1</v>
      </c>
      <c r="D244" s="190">
        <f t="shared" si="8"/>
        <v>0</v>
      </c>
      <c r="E244" s="204">
        <v>2.6931194596876314E-2</v>
      </c>
      <c r="F244" s="205">
        <v>2.7936403555297598E-2</v>
      </c>
      <c r="G244" s="204">
        <v>8.749535784391746E-2</v>
      </c>
      <c r="H244" s="204">
        <v>1.4836732980777307E-2</v>
      </c>
      <c r="I244" s="209">
        <v>3.97</v>
      </c>
      <c r="J244" s="207">
        <v>0.96916021376822115</v>
      </c>
      <c r="K244" s="209">
        <v>8.59</v>
      </c>
      <c r="L244" s="209">
        <v>14.666</v>
      </c>
      <c r="M244" s="208">
        <v>15.25</v>
      </c>
      <c r="N244" s="221"/>
    </row>
    <row r="245" spans="1:14" ht="16.5" customHeight="1" x14ac:dyDescent="0.25">
      <c r="A245" s="203">
        <v>44454</v>
      </c>
      <c r="B245" s="128" t="s">
        <v>25</v>
      </c>
      <c r="C245" s="157" t="str">
        <f t="shared" si="7"/>
        <v>15.09.2021_BIE2</v>
      </c>
      <c r="D245" s="190">
        <f t="shared" si="8"/>
        <v>0</v>
      </c>
      <c r="E245" s="204">
        <v>2.6931194596876314E-2</v>
      </c>
      <c r="F245" s="205">
        <v>2.700746745913404E-2</v>
      </c>
      <c r="G245" s="204">
        <v>1.151254708472599E-2</v>
      </c>
      <c r="H245" s="204">
        <v>8.9020397884663847E-3</v>
      </c>
      <c r="I245" s="209">
        <v>3.859</v>
      </c>
      <c r="J245" s="207">
        <v>0.88328193369941743</v>
      </c>
      <c r="K245" s="209">
        <v>9.26</v>
      </c>
      <c r="L245" s="209">
        <v>14.925000000000001</v>
      </c>
      <c r="M245" s="208">
        <v>14.3</v>
      </c>
      <c r="N245" s="221"/>
    </row>
    <row r="246" spans="1:14" ht="16.5" customHeight="1" x14ac:dyDescent="0.25">
      <c r="A246" s="203">
        <v>44454</v>
      </c>
      <c r="B246" s="128" t="s">
        <v>14</v>
      </c>
      <c r="C246" s="157" t="str">
        <f t="shared" si="7"/>
        <v>15.09.2021_BRA1</v>
      </c>
      <c r="D246" s="190">
        <f t="shared" si="8"/>
        <v>0</v>
      </c>
      <c r="E246" s="204">
        <v>4.1432607072117413E-2</v>
      </c>
      <c r="F246" s="205">
        <v>5.6970882794681516E-2</v>
      </c>
      <c r="G246" s="204">
        <v>0.12663801793198579</v>
      </c>
      <c r="H246" s="204">
        <v>1.6320406278855032E-2</v>
      </c>
      <c r="I246" s="209">
        <v>8.36</v>
      </c>
      <c r="J246" s="207">
        <v>1.9915751022356047</v>
      </c>
      <c r="K246" s="209">
        <v>6.5940000000000003</v>
      </c>
      <c r="L246" s="209">
        <v>4.6360000000000001</v>
      </c>
      <c r="M246" s="208">
        <v>15.41</v>
      </c>
      <c r="N246" s="221"/>
    </row>
    <row r="247" spans="1:14" ht="16.5" customHeight="1" x14ac:dyDescent="0.25">
      <c r="A247" s="203">
        <v>44454</v>
      </c>
      <c r="B247" s="128" t="s">
        <v>17</v>
      </c>
      <c r="C247" s="157" t="str">
        <f t="shared" si="7"/>
        <v>15.09.2021_BRA2</v>
      </c>
      <c r="D247" s="190">
        <f t="shared" si="8"/>
        <v>0</v>
      </c>
      <c r="E247" s="204">
        <v>7.665032308341721E-2</v>
      </c>
      <c r="F247" s="205">
        <v>8.9888601621301065E-2</v>
      </c>
      <c r="G247" s="204">
        <v>6.9075282508355873E-2</v>
      </c>
      <c r="H247" s="204">
        <v>1.0385713086544112E-2</v>
      </c>
      <c r="I247" s="209">
        <v>10.994999999999999</v>
      </c>
      <c r="J247" s="207">
        <v>2.5402388464641112</v>
      </c>
      <c r="K247" s="209">
        <v>10.484</v>
      </c>
      <c r="L247" s="209">
        <v>6.149</v>
      </c>
      <c r="M247" s="208">
        <v>5.89</v>
      </c>
      <c r="N247" s="221"/>
    </row>
    <row r="248" spans="1:14" ht="16.5" customHeight="1" x14ac:dyDescent="0.25">
      <c r="A248" s="203">
        <v>44454</v>
      </c>
      <c r="B248" s="128" t="s">
        <v>30</v>
      </c>
      <c r="C248" s="157" t="str">
        <f t="shared" si="7"/>
        <v>15.09.2021_FAL1</v>
      </c>
      <c r="D248" s="190">
        <f t="shared" si="8"/>
        <v>0</v>
      </c>
      <c r="E248" s="204">
        <v>9.3223365912264169E-2</v>
      </c>
      <c r="F248" s="205">
        <v>0.11220688004518638</v>
      </c>
      <c r="G248" s="204">
        <v>0.13815056501671175</v>
      </c>
      <c r="H248" s="204">
        <v>0.12462855703852936</v>
      </c>
      <c r="I248" s="209">
        <v>12.941000000000001</v>
      </c>
      <c r="J248" s="207">
        <v>3.0681993664202065</v>
      </c>
      <c r="K248" s="209">
        <v>61</v>
      </c>
      <c r="L248" s="209">
        <v>34.145000000000003</v>
      </c>
      <c r="M248" s="208">
        <v>15.73</v>
      </c>
      <c r="N248" s="221"/>
    </row>
    <row r="249" spans="1:14" ht="16.5" customHeight="1" x14ac:dyDescent="0.25">
      <c r="A249" s="203">
        <v>44454</v>
      </c>
      <c r="B249" s="128" t="s">
        <v>32</v>
      </c>
      <c r="C249" s="157" t="str">
        <f t="shared" si="7"/>
        <v>15.09.2021_FAL2</v>
      </c>
      <c r="D249" s="190">
        <f t="shared" si="8"/>
        <v>0</v>
      </c>
      <c r="E249" s="204">
        <v>6.6292171315387852E-2</v>
      </c>
      <c r="F249" s="205">
        <v>8.604542524056398E-2</v>
      </c>
      <c r="G249" s="204">
        <v>8.2890339010027056E-2</v>
      </c>
      <c r="H249" s="204">
        <v>6.3797951817342394E-2</v>
      </c>
      <c r="I249" s="209">
        <v>14.34</v>
      </c>
      <c r="J249" s="207">
        <v>3.3227626057686859</v>
      </c>
      <c r="K249" s="209">
        <v>51</v>
      </c>
      <c r="L249" s="209">
        <v>35.968000000000004</v>
      </c>
      <c r="M249" s="208">
        <v>14.86</v>
      </c>
      <c r="N249" s="221"/>
    </row>
    <row r="250" spans="1:14" ht="16.5" customHeight="1" x14ac:dyDescent="0.25">
      <c r="A250" s="203">
        <v>44454</v>
      </c>
      <c r="B250" s="128" t="s">
        <v>26</v>
      </c>
      <c r="C250" s="157" t="str">
        <f t="shared" si="7"/>
        <v>15.09.2021_GRU1</v>
      </c>
      <c r="D250" s="190">
        <f t="shared" si="8"/>
        <v>0</v>
      </c>
      <c r="E250" s="204">
        <v>2.0716303536058706E-2</v>
      </c>
      <c r="F250" s="205">
        <v>3.8231255012003057E-2</v>
      </c>
      <c r="G250" s="204">
        <v>2.302509416945198E-2</v>
      </c>
      <c r="H250" s="204">
        <v>1.3353059682699574E-2</v>
      </c>
      <c r="I250" s="209">
        <v>2.4670000000000001</v>
      </c>
      <c r="J250" s="207">
        <v>0.57916538439203558</v>
      </c>
      <c r="K250" s="209">
        <v>9.1910000000000007</v>
      </c>
      <c r="L250" s="209">
        <v>11.933</v>
      </c>
      <c r="M250" s="208">
        <v>11.53</v>
      </c>
      <c r="N250" s="221"/>
    </row>
    <row r="251" spans="1:14" ht="16.5" customHeight="1" x14ac:dyDescent="0.25">
      <c r="A251" s="203">
        <v>44454</v>
      </c>
      <c r="B251" s="128" t="s">
        <v>28</v>
      </c>
      <c r="C251" s="157" t="str">
        <f t="shared" si="7"/>
        <v>15.09.2021_GRU2</v>
      </c>
      <c r="D251" s="190">
        <f t="shared" si="8"/>
        <v>0</v>
      </c>
      <c r="E251" s="204">
        <v>2.6931194596876314E-2</v>
      </c>
      <c r="F251" s="205">
        <v>4.0537135663253475E-2</v>
      </c>
      <c r="G251" s="204">
        <v>6.2167754257520282E-2</v>
      </c>
      <c r="H251" s="204">
        <v>2.0771426173088227E-2</v>
      </c>
      <c r="I251" s="209">
        <v>3.4710000000000001</v>
      </c>
      <c r="J251" s="207">
        <v>0.83859127020181856</v>
      </c>
      <c r="K251" s="209">
        <v>9.4440000000000008</v>
      </c>
      <c r="L251" s="209">
        <v>10.448</v>
      </c>
      <c r="M251" s="208">
        <v>13.25</v>
      </c>
      <c r="N251" s="221"/>
    </row>
    <row r="252" spans="1:14" ht="16.5" customHeight="1" x14ac:dyDescent="0.25">
      <c r="A252" s="203">
        <v>44454</v>
      </c>
      <c r="B252" s="128" t="s">
        <v>0</v>
      </c>
      <c r="C252" s="157" t="str">
        <f t="shared" si="7"/>
        <v>15.09.2021_KIN1</v>
      </c>
      <c r="D252" s="190">
        <f t="shared" si="8"/>
        <v>0</v>
      </c>
      <c r="E252" s="204">
        <v>4.3504237425723284E-2</v>
      </c>
      <c r="F252" s="205">
        <v>5.2595610068247117E-2</v>
      </c>
      <c r="G252" s="204">
        <v>9.4402886094753044E-2</v>
      </c>
      <c r="H252" s="204">
        <v>1.0385713086544112E-2</v>
      </c>
      <c r="I252" s="209">
        <v>4.407</v>
      </c>
      <c r="J252" s="207">
        <v>1.071873917372913</v>
      </c>
      <c r="K252" s="209">
        <v>8.0310000000000006</v>
      </c>
      <c r="L252" s="209">
        <v>11.755000000000001</v>
      </c>
      <c r="M252" s="208">
        <v>16.239999999999998</v>
      </c>
      <c r="N252" s="221"/>
    </row>
    <row r="253" spans="1:14" ht="16.5" customHeight="1" x14ac:dyDescent="0.25">
      <c r="A253" s="203">
        <v>44454</v>
      </c>
      <c r="B253" s="128" t="s">
        <v>2</v>
      </c>
      <c r="C253" s="157" t="str">
        <f t="shared" si="7"/>
        <v>15.09.2021_KIN2</v>
      </c>
      <c r="D253" s="190">
        <f t="shared" si="8"/>
        <v>0</v>
      </c>
      <c r="E253" s="204">
        <v>2.0716303536058706E-2</v>
      </c>
      <c r="F253" s="205">
        <v>2.3096890949082381E-2</v>
      </c>
      <c r="G253" s="204">
        <v>3.4537641254177937E-2</v>
      </c>
      <c r="H253" s="204">
        <v>1.0385713086544112E-2</v>
      </c>
      <c r="I253" s="209">
        <v>7.6710000000000003</v>
      </c>
      <c r="J253" s="207">
        <v>1.7626288334066549</v>
      </c>
      <c r="K253" s="209">
        <v>13.343999999999999</v>
      </c>
      <c r="L253" s="209">
        <v>16.151</v>
      </c>
      <c r="M253" s="208">
        <v>12.75</v>
      </c>
      <c r="N253" s="221"/>
    </row>
    <row r="254" spans="1:14" ht="16.5" customHeight="1" x14ac:dyDescent="0.25">
      <c r="A254" s="203">
        <v>44454</v>
      </c>
      <c r="B254" s="128" t="s">
        <v>4</v>
      </c>
      <c r="C254" s="157" t="str">
        <f t="shared" si="7"/>
        <v>15.09.2021_KIN3</v>
      </c>
      <c r="D254" s="190">
        <f t="shared" si="8"/>
        <v>0</v>
      </c>
      <c r="E254" s="204">
        <v>0.111868039094717</v>
      </c>
      <c r="F254" s="205">
        <v>0.13195001955301436</v>
      </c>
      <c r="G254" s="204">
        <v>0.43747678921958721</v>
      </c>
      <c r="H254" s="204">
        <v>5.9346931923109206E-2</v>
      </c>
      <c r="I254" s="209">
        <v>2.6669999999999998</v>
      </c>
      <c r="J254" s="207">
        <v>0.96015981548510776</v>
      </c>
      <c r="K254" s="209">
        <v>4.9640000000000004</v>
      </c>
      <c r="L254" s="209">
        <v>5.2990000000000004</v>
      </c>
      <c r="M254" s="208">
        <v>14.91</v>
      </c>
      <c r="N254" s="221"/>
    </row>
    <row r="255" spans="1:14" ht="16.5" customHeight="1" x14ac:dyDescent="0.25">
      <c r="A255" s="203">
        <v>44454</v>
      </c>
      <c r="B255" s="128" t="s">
        <v>6</v>
      </c>
      <c r="C255" s="157" t="str">
        <f t="shared" si="7"/>
        <v>15.09.2021_KIN4</v>
      </c>
      <c r="D255" s="190">
        <f t="shared" si="8"/>
        <v>0</v>
      </c>
      <c r="E255" s="204">
        <v>4.1432607072117413E-2</v>
      </c>
      <c r="F255" s="205">
        <v>2.7036012100370637E-2</v>
      </c>
      <c r="G255" s="204">
        <v>2.302509416945198E-2</v>
      </c>
      <c r="H255" s="204">
        <v>4.4510198942331915E-2</v>
      </c>
      <c r="I255" s="209">
        <v>7.2539999999999996</v>
      </c>
      <c r="J255" s="207">
        <v>1.6698908654396305</v>
      </c>
      <c r="K255" s="209">
        <v>31.678999999999998</v>
      </c>
      <c r="L255" s="209">
        <v>16.273</v>
      </c>
      <c r="M255" s="208">
        <v>9.8689999999999998</v>
      </c>
      <c r="N255" s="221"/>
    </row>
    <row r="256" spans="1:14" ht="16.5" customHeight="1" x14ac:dyDescent="0.25">
      <c r="A256" s="203">
        <v>44454</v>
      </c>
      <c r="B256" s="128" t="s">
        <v>34</v>
      </c>
      <c r="C256" s="157" t="str">
        <f t="shared" si="7"/>
        <v>15.09.2021_KRE1</v>
      </c>
      <c r="D256" s="190">
        <f t="shared" si="8"/>
        <v>0</v>
      </c>
      <c r="E256" s="204">
        <v>0.11808293015553463</v>
      </c>
      <c r="F256" s="205">
        <v>6.0168830691810289E-2</v>
      </c>
      <c r="G256" s="204">
        <v>5.7562735423629913E-2</v>
      </c>
      <c r="H256" s="204">
        <v>0.12314488374045163</v>
      </c>
      <c r="I256" s="209">
        <v>8.5429999999999993</v>
      </c>
      <c r="J256" s="207">
        <v>2.0117957582838746</v>
      </c>
      <c r="K256" s="209">
        <v>50</v>
      </c>
      <c r="L256" s="209">
        <v>33.899000000000001</v>
      </c>
      <c r="M256" s="208">
        <v>16.13</v>
      </c>
      <c r="N256" s="221"/>
    </row>
    <row r="257" spans="1:14" ht="16.5" customHeight="1" x14ac:dyDescent="0.25">
      <c r="A257" s="203">
        <v>44454</v>
      </c>
      <c r="B257" s="128" t="s">
        <v>37</v>
      </c>
      <c r="C257" s="157" t="str">
        <f t="shared" si="7"/>
        <v>15.09.2021_KRE2</v>
      </c>
      <c r="D257" s="190">
        <f t="shared" si="8"/>
        <v>0</v>
      </c>
      <c r="E257" s="204">
        <v>8.7008474851446568E-2</v>
      </c>
      <c r="F257" s="205">
        <v>3.1933809905670948E-2</v>
      </c>
      <c r="G257" s="204">
        <v>0.14966311210143773</v>
      </c>
      <c r="H257" s="204">
        <v>0.12166121044237389</v>
      </c>
      <c r="I257" s="209">
        <v>8.6869999999999994</v>
      </c>
      <c r="J257" s="207">
        <v>2.1153843554348262</v>
      </c>
      <c r="K257" s="209">
        <v>45</v>
      </c>
      <c r="L257" s="209">
        <v>38.786000000000001</v>
      </c>
      <c r="M257" s="208">
        <v>18.66</v>
      </c>
      <c r="N257" s="221"/>
    </row>
    <row r="258" spans="1:14" ht="16.5" customHeight="1" x14ac:dyDescent="0.25">
      <c r="A258" s="203">
        <v>44454</v>
      </c>
      <c r="B258" s="128" t="s">
        <v>18</v>
      </c>
      <c r="C258" s="157" t="str">
        <f t="shared" si="7"/>
        <v>15.09.2021_ORB1</v>
      </c>
      <c r="D258" s="190">
        <f t="shared" si="8"/>
        <v>0</v>
      </c>
      <c r="E258" s="204">
        <v>2.4859564243270446E-2</v>
      </c>
      <c r="F258" s="205">
        <v>2.6663609961723823E-2</v>
      </c>
      <c r="G258" s="204">
        <v>0</v>
      </c>
      <c r="H258" s="204">
        <v>2.0771426173088227E-2</v>
      </c>
      <c r="I258" s="209">
        <v>7.4329999999999998</v>
      </c>
      <c r="J258" s="207">
        <v>1.6834276951612326</v>
      </c>
      <c r="K258" s="209">
        <v>9.3160000000000007</v>
      </c>
      <c r="L258" s="209">
        <v>14.231</v>
      </c>
      <c r="M258" s="208">
        <v>13.5</v>
      </c>
      <c r="N258" s="221"/>
    </row>
    <row r="259" spans="1:14" ht="16.5" customHeight="1" x14ac:dyDescent="0.25">
      <c r="A259" s="203">
        <v>44454</v>
      </c>
      <c r="B259" s="128" t="s">
        <v>21</v>
      </c>
      <c r="C259" s="157" t="str">
        <f t="shared" si="7"/>
        <v>15.09.2021_ORB2</v>
      </c>
      <c r="D259" s="190">
        <f t="shared" si="8"/>
        <v>0</v>
      </c>
      <c r="E259" s="204">
        <v>1.8644673182452835E-2</v>
      </c>
      <c r="F259" s="205">
        <v>3.1552198422325282E-2</v>
      </c>
      <c r="G259" s="204">
        <v>2.302509416945198E-2</v>
      </c>
      <c r="H259" s="204">
        <v>2.5222446067321418E-2</v>
      </c>
      <c r="I259" s="209">
        <v>8.1519999999999992</v>
      </c>
      <c r="J259" s="207">
        <v>1.8668499690768336</v>
      </c>
      <c r="K259" s="209">
        <v>21.841000000000001</v>
      </c>
      <c r="L259" s="209">
        <v>18.309999999999999</v>
      </c>
      <c r="M259" s="208">
        <v>11.2</v>
      </c>
      <c r="N259" s="221"/>
    </row>
    <row r="260" spans="1:14" ht="16.5" customHeight="1" x14ac:dyDescent="0.25">
      <c r="A260" s="203">
        <v>44454</v>
      </c>
      <c r="B260" s="128" t="s">
        <v>10</v>
      </c>
      <c r="C260" s="157" t="str">
        <f t="shared" si="7"/>
        <v>15.09.2021_SAL1</v>
      </c>
      <c r="D260" s="190">
        <f t="shared" si="8"/>
        <v>0</v>
      </c>
      <c r="E260" s="204">
        <v>9.9438256973081784E-2</v>
      </c>
      <c r="F260" s="205">
        <v>4.5440334762988435E-2</v>
      </c>
      <c r="G260" s="204">
        <v>6.9075282508355932E-3</v>
      </c>
      <c r="H260" s="204">
        <v>4.8961218836565103E-2</v>
      </c>
      <c r="I260" s="209">
        <v>7.516</v>
      </c>
      <c r="J260" s="207">
        <v>1.7179087896862835</v>
      </c>
      <c r="K260" s="209">
        <v>9.2309999999999999</v>
      </c>
      <c r="L260" s="209">
        <v>6.4329999999999998</v>
      </c>
      <c r="M260" s="208">
        <v>13.8</v>
      </c>
      <c r="N260" s="221"/>
    </row>
    <row r="261" spans="1:14" ht="16.5" customHeight="1" x14ac:dyDescent="0.25">
      <c r="A261" s="203">
        <v>44454</v>
      </c>
      <c r="B261" s="128" t="s">
        <v>12</v>
      </c>
      <c r="C261" s="157" t="str">
        <f t="shared" ref="C261:C324" si="9">CONCATENATE(TEXT(A261,"TT.MM.JJJJ"),"_",B261)</f>
        <v>15.09.2021_SAL2</v>
      </c>
      <c r="D261" s="190">
        <f t="shared" ref="D261:D324" si="10">COUNTBLANK(E261:L261)</f>
        <v>0</v>
      </c>
      <c r="E261" s="204">
        <v>8.4936844497840697E-2</v>
      </c>
      <c r="F261" s="205">
        <v>0.11729724796255568</v>
      </c>
      <c r="G261" s="204">
        <v>2.993262242028754E-2</v>
      </c>
      <c r="H261" s="204">
        <v>1.3353059682699574E-2</v>
      </c>
      <c r="I261" s="209">
        <v>9.1349999999999998</v>
      </c>
      <c r="J261" s="207">
        <v>2.0906301710035264</v>
      </c>
      <c r="K261" s="209">
        <v>11.55</v>
      </c>
      <c r="L261" s="209">
        <v>7.9189999999999996</v>
      </c>
      <c r="M261" s="208">
        <v>17.45</v>
      </c>
      <c r="N261" s="221"/>
    </row>
    <row r="262" spans="1:14" ht="16.5" customHeight="1" x14ac:dyDescent="0.25">
      <c r="A262" s="203">
        <v>44454</v>
      </c>
      <c r="B262" s="128" t="s">
        <v>7</v>
      </c>
      <c r="C262" s="157" t="str">
        <f t="shared" si="9"/>
        <v>15.09.2021_STE1</v>
      </c>
      <c r="D262" s="190">
        <f t="shared" si="10"/>
        <v>0</v>
      </c>
      <c r="E262" s="204">
        <v>7.4578692729811338E-2</v>
      </c>
      <c r="F262" s="205">
        <v>8.2001897421908124E-2</v>
      </c>
      <c r="G262" s="204">
        <v>4.6050188338903958E-3</v>
      </c>
      <c r="H262" s="204">
        <v>7.4183664903886533E-3</v>
      </c>
      <c r="I262" s="209">
        <v>9.8919999999999995</v>
      </c>
      <c r="J262" s="207">
        <v>2.2401403127523265</v>
      </c>
      <c r="K262" s="209">
        <v>13.593</v>
      </c>
      <c r="L262" s="209">
        <v>10.3</v>
      </c>
      <c r="M262" s="208">
        <v>15.2</v>
      </c>
      <c r="N262" s="221"/>
    </row>
    <row r="263" spans="1:14" ht="16.5" customHeight="1" x14ac:dyDescent="0.25">
      <c r="A263" s="203">
        <v>44454</v>
      </c>
      <c r="B263" s="128" t="s">
        <v>9</v>
      </c>
      <c r="C263" s="157" t="str">
        <f t="shared" si="9"/>
        <v>15.09.2021_STE2</v>
      </c>
      <c r="D263" s="190">
        <f t="shared" si="10"/>
        <v>0</v>
      </c>
      <c r="E263" s="204">
        <v>3.9360976718511541E-2</v>
      </c>
      <c r="F263" s="205">
        <v>8.6850021414516254E-2</v>
      </c>
      <c r="G263" s="204">
        <v>3.6840150671123131E-2</v>
      </c>
      <c r="H263" s="204">
        <v>1.4836732980777307E-2</v>
      </c>
      <c r="I263" s="209">
        <v>8.9930000000000003</v>
      </c>
      <c r="J263" s="207">
        <v>2.0643719619506182</v>
      </c>
      <c r="K263" s="209">
        <v>14.949</v>
      </c>
      <c r="L263" s="209">
        <v>10.455</v>
      </c>
      <c r="M263" s="208">
        <v>12.93</v>
      </c>
      <c r="N263" s="221"/>
    </row>
    <row r="264" spans="1:14" ht="16.5" customHeight="1" x14ac:dyDescent="0.25">
      <c r="A264" s="203">
        <v>44469</v>
      </c>
      <c r="B264" s="128" t="s">
        <v>22</v>
      </c>
      <c r="C264" s="157" t="str">
        <f t="shared" si="9"/>
        <v>30.09.2021_BIE1</v>
      </c>
      <c r="D264" s="190">
        <f t="shared" si="10"/>
        <v>0</v>
      </c>
      <c r="E264" s="204">
        <v>0</v>
      </c>
      <c r="F264" s="205">
        <v>3.0646264051259628E-2</v>
      </c>
      <c r="G264" s="204">
        <v>2.4546344401776974E-2</v>
      </c>
      <c r="H264" s="204">
        <v>1.0951537950874089E-2</v>
      </c>
      <c r="I264" s="209">
        <v>3.3559999999999999</v>
      </c>
      <c r="J264" s="207">
        <v>0.78041390669367938</v>
      </c>
      <c r="K264" s="209">
        <v>7.7220000000000004</v>
      </c>
      <c r="L264" s="209">
        <v>12.821999999999999</v>
      </c>
      <c r="M264" s="208">
        <v>17.93</v>
      </c>
      <c r="N264" s="221"/>
    </row>
    <row r="265" spans="1:14" ht="16.5" customHeight="1" x14ac:dyDescent="0.25">
      <c r="A265" s="203">
        <v>44469</v>
      </c>
      <c r="B265" s="128" t="s">
        <v>25</v>
      </c>
      <c r="C265" s="157" t="str">
        <f t="shared" si="9"/>
        <v>30.09.2021_BIE2</v>
      </c>
      <c r="D265" s="190">
        <f t="shared" si="10"/>
        <v>0</v>
      </c>
      <c r="E265" s="204">
        <v>0</v>
      </c>
      <c r="F265" s="205">
        <v>3.3552585322215556E-2</v>
      </c>
      <c r="G265" s="204">
        <v>3.4364882162487773E-2</v>
      </c>
      <c r="H265" s="204">
        <v>1.0951537950874089E-2</v>
      </c>
      <c r="I265" s="209">
        <v>3.6230000000000002</v>
      </c>
      <c r="J265" s="207">
        <v>0.84834519307949374</v>
      </c>
      <c r="K265" s="209">
        <v>9.4510000000000005</v>
      </c>
      <c r="L265" s="209">
        <v>13.848000000000001</v>
      </c>
      <c r="M265" s="208">
        <v>15.08</v>
      </c>
      <c r="N265" s="221"/>
    </row>
    <row r="266" spans="1:14" ht="16.5" customHeight="1" x14ac:dyDescent="0.25">
      <c r="A266" s="203">
        <v>44469</v>
      </c>
      <c r="B266" s="128" t="s">
        <v>14</v>
      </c>
      <c r="C266" s="157" t="str">
        <f t="shared" si="9"/>
        <v>30.09.2021_BRA1</v>
      </c>
      <c r="D266" s="190">
        <f t="shared" si="10"/>
        <v>0</v>
      </c>
      <c r="E266" s="204">
        <v>2.3026940760725003E-2</v>
      </c>
      <c r="F266" s="205">
        <v>4.7288328841458734E-2</v>
      </c>
      <c r="G266" s="204">
        <v>2.7000978841954671E-2</v>
      </c>
      <c r="H266" s="204">
        <v>6.2580216862137645E-3</v>
      </c>
      <c r="I266" s="209">
        <v>5.875</v>
      </c>
      <c r="J266" s="207">
        <v>1.349857494763357</v>
      </c>
      <c r="K266" s="209">
        <v>5.2629999999999999</v>
      </c>
      <c r="L266" s="209">
        <v>3.9239999999999999</v>
      </c>
      <c r="M266" s="208">
        <v>6.4189999999999996</v>
      </c>
      <c r="N266" s="221"/>
    </row>
    <row r="267" spans="1:14" ht="16.5" customHeight="1" x14ac:dyDescent="0.25">
      <c r="A267" s="203">
        <v>44469</v>
      </c>
      <c r="B267" s="128" t="s">
        <v>17</v>
      </c>
      <c r="C267" s="157" t="str">
        <f t="shared" si="9"/>
        <v>30.09.2021_BRA2</v>
      </c>
      <c r="D267" s="190">
        <f t="shared" si="10"/>
        <v>0</v>
      </c>
      <c r="E267" s="204">
        <v>0.11129688034350417</v>
      </c>
      <c r="F267" s="205">
        <v>0.14611795317362677</v>
      </c>
      <c r="G267" s="204">
        <v>3.1910247722310069E-2</v>
      </c>
      <c r="H267" s="204">
        <v>2.65965921664085E-2</v>
      </c>
      <c r="I267" s="209">
        <v>11.257</v>
      </c>
      <c r="J267" s="207">
        <v>2.5754939107389596</v>
      </c>
      <c r="K267" s="209">
        <v>10.958</v>
      </c>
      <c r="L267" s="209">
        <v>5.7309999999999999</v>
      </c>
      <c r="M267" s="208">
        <v>17.559999999999999</v>
      </c>
      <c r="N267" s="221"/>
    </row>
    <row r="268" spans="1:14" ht="16.5" customHeight="1" x14ac:dyDescent="0.25">
      <c r="A268" s="203">
        <v>44469</v>
      </c>
      <c r="B268" s="128" t="s">
        <v>30</v>
      </c>
      <c r="C268" s="157" t="str">
        <f t="shared" si="9"/>
        <v>30.09.2021_FAL1</v>
      </c>
      <c r="D268" s="190">
        <f t="shared" si="10"/>
        <v>0</v>
      </c>
      <c r="E268" s="204">
        <v>0.22643158414712916</v>
      </c>
      <c r="F268" s="205">
        <v>0.42240300699480415</v>
      </c>
      <c r="G268" s="204">
        <v>0.19637075521421579</v>
      </c>
      <c r="H268" s="204">
        <v>1.5645054215534412E-2</v>
      </c>
      <c r="I268" s="209">
        <v>5.4109999999999996</v>
      </c>
      <c r="J268" s="207">
        <v>1.3794256344722058</v>
      </c>
      <c r="K268" s="209">
        <v>43</v>
      </c>
      <c r="L268" s="209">
        <v>20.864999999999998</v>
      </c>
      <c r="M268" s="208">
        <v>26.11</v>
      </c>
      <c r="N268" s="221"/>
    </row>
    <row r="269" spans="1:14" ht="16.5" customHeight="1" x14ac:dyDescent="0.25">
      <c r="A269" s="203">
        <v>44469</v>
      </c>
      <c r="B269" s="128" t="s">
        <v>32</v>
      </c>
      <c r="C269" s="157" t="str">
        <f t="shared" si="9"/>
        <v>30.09.2021_FAL2</v>
      </c>
      <c r="D269" s="190">
        <f t="shared" si="10"/>
        <v>0</v>
      </c>
      <c r="E269" s="204">
        <v>0.19189117300604169</v>
      </c>
      <c r="F269" s="205">
        <v>0.24035300357065378</v>
      </c>
      <c r="G269" s="204">
        <v>6.3820495444620123E-2</v>
      </c>
      <c r="H269" s="204">
        <v>1.5645054215534398E-3</v>
      </c>
      <c r="I269" s="209">
        <v>14.608000000000001</v>
      </c>
      <c r="J269" s="207">
        <v>3.349541250183385</v>
      </c>
      <c r="K269" s="209">
        <v>64</v>
      </c>
      <c r="L269" s="209">
        <v>41.673999999999999</v>
      </c>
      <c r="M269" s="208">
        <v>19.52</v>
      </c>
      <c r="N269" s="221"/>
    </row>
    <row r="270" spans="1:14" ht="16.5" customHeight="1" x14ac:dyDescent="0.25">
      <c r="A270" s="203">
        <v>44469</v>
      </c>
      <c r="B270" s="128" t="s">
        <v>26</v>
      </c>
      <c r="C270" s="157" t="str">
        <f t="shared" si="9"/>
        <v>30.09.2021_GRU1</v>
      </c>
      <c r="D270" s="190">
        <f t="shared" si="10"/>
        <v>0</v>
      </c>
      <c r="E270" s="204">
        <v>1.7270205570543748E-2</v>
      </c>
      <c r="F270" s="205">
        <v>4.6789840112917459E-2</v>
      </c>
      <c r="G270" s="204">
        <v>1.7182441081243876E-2</v>
      </c>
      <c r="H270" s="204">
        <v>9.3870325293206464E-3</v>
      </c>
      <c r="I270" s="209">
        <v>3.1920000000000002</v>
      </c>
      <c r="J270" s="207">
        <v>0.73717691572872668</v>
      </c>
      <c r="K270" s="209">
        <v>8.9990000000000006</v>
      </c>
      <c r="L270" s="209">
        <v>12.465999999999999</v>
      </c>
      <c r="M270" s="208">
        <v>18.489999999999998</v>
      </c>
      <c r="N270" s="221"/>
    </row>
    <row r="271" spans="1:14" ht="16.5" customHeight="1" x14ac:dyDescent="0.25">
      <c r="A271" s="203">
        <v>44469</v>
      </c>
      <c r="B271" s="128" t="s">
        <v>28</v>
      </c>
      <c r="C271" s="157" t="str">
        <f t="shared" si="9"/>
        <v>30.09.2021_GRU2</v>
      </c>
      <c r="D271" s="190">
        <f t="shared" si="10"/>
        <v>0</v>
      </c>
      <c r="E271" s="204">
        <v>1.5351293840483334E-2</v>
      </c>
      <c r="F271" s="205">
        <v>4.3667321508935118E-2</v>
      </c>
      <c r="G271" s="204">
        <v>8.1002936525863989E-2</v>
      </c>
      <c r="H271" s="204">
        <v>2.3467581323301619E-2</v>
      </c>
      <c r="I271" s="209">
        <v>3.7160000000000002</v>
      </c>
      <c r="J271" s="207">
        <v>0.90937559531684742</v>
      </c>
      <c r="K271" s="209">
        <v>9.7629999999999999</v>
      </c>
      <c r="L271" s="209">
        <v>10.808999999999999</v>
      </c>
      <c r="M271" s="208">
        <v>18.04</v>
      </c>
      <c r="N271" s="221"/>
    </row>
    <row r="272" spans="1:14" ht="16.5" customHeight="1" x14ac:dyDescent="0.25">
      <c r="A272" s="203">
        <v>44469</v>
      </c>
      <c r="B272" s="128" t="s">
        <v>0</v>
      </c>
      <c r="C272" s="157" t="str">
        <f t="shared" si="9"/>
        <v>30.09.2021_KIN1</v>
      </c>
      <c r="D272" s="190">
        <f t="shared" si="10"/>
        <v>0</v>
      </c>
      <c r="E272" s="204">
        <v>0</v>
      </c>
      <c r="F272" s="205">
        <v>5.8237519778065752E-2</v>
      </c>
      <c r="G272" s="204">
        <v>3.4364882162487773E-2</v>
      </c>
      <c r="H272" s="204">
        <v>3.1290108431068823E-3</v>
      </c>
      <c r="I272" s="209">
        <v>4.6989999999999998</v>
      </c>
      <c r="J272" s="207">
        <v>1.088999744701534</v>
      </c>
      <c r="K272" s="209">
        <v>9.8989999999999991</v>
      </c>
      <c r="L272" s="209">
        <v>14.403</v>
      </c>
      <c r="M272" s="208">
        <v>17.5</v>
      </c>
      <c r="N272" s="221"/>
    </row>
    <row r="273" spans="1:14" ht="16.5" customHeight="1" x14ac:dyDescent="0.25">
      <c r="A273" s="203">
        <v>44469</v>
      </c>
      <c r="B273" s="128" t="s">
        <v>2</v>
      </c>
      <c r="C273" s="157" t="str">
        <f t="shared" si="9"/>
        <v>30.09.2021_KIN2</v>
      </c>
      <c r="D273" s="190">
        <f t="shared" si="10"/>
        <v>0</v>
      </c>
      <c r="E273" s="204">
        <v>0</v>
      </c>
      <c r="F273" s="205">
        <v>4.4469624198069171E-2</v>
      </c>
      <c r="G273" s="204">
        <v>3.681951660266547E-2</v>
      </c>
      <c r="H273" s="204">
        <v>4.6935162646603223E-3</v>
      </c>
      <c r="I273" s="209">
        <v>7.3929999999999998</v>
      </c>
      <c r="J273" s="207">
        <v>1.6998758374735794</v>
      </c>
      <c r="K273" s="209">
        <v>13.526999999999999</v>
      </c>
      <c r="L273" s="209">
        <v>17.282</v>
      </c>
      <c r="M273" s="208">
        <v>13.52</v>
      </c>
      <c r="N273" s="221"/>
    </row>
    <row r="274" spans="1:14" ht="16.5" customHeight="1" x14ac:dyDescent="0.25">
      <c r="A274" s="203">
        <v>44469</v>
      </c>
      <c r="B274" s="128" t="s">
        <v>4</v>
      </c>
      <c r="C274" s="157" t="str">
        <f t="shared" si="9"/>
        <v>30.09.2021_KIN3</v>
      </c>
      <c r="D274" s="190">
        <f t="shared" si="10"/>
        <v>0</v>
      </c>
      <c r="E274" s="204">
        <v>1.5351293840483334E-2</v>
      </c>
      <c r="F274" s="205">
        <v>4.8456680362238901E-2</v>
      </c>
      <c r="G274" s="204">
        <v>5.8911226564264722E-2</v>
      </c>
      <c r="H274" s="204">
        <v>6.2580216862137645E-3</v>
      </c>
      <c r="I274" s="209">
        <v>7.266</v>
      </c>
      <c r="J274" s="207">
        <v>1.6888206530172534</v>
      </c>
      <c r="K274" s="209">
        <v>16.395</v>
      </c>
      <c r="L274" s="209">
        <v>17.411000000000001</v>
      </c>
      <c r="M274" s="208">
        <v>15.42</v>
      </c>
      <c r="N274" s="221"/>
    </row>
    <row r="275" spans="1:14" ht="16.5" customHeight="1" x14ac:dyDescent="0.25">
      <c r="A275" s="203">
        <v>44469</v>
      </c>
      <c r="B275" s="128" t="s">
        <v>6</v>
      </c>
      <c r="C275" s="157" t="str">
        <f t="shared" si="9"/>
        <v>30.09.2021_KIN4</v>
      </c>
      <c r="D275" s="190">
        <f t="shared" si="10"/>
        <v>0</v>
      </c>
      <c r="E275" s="204">
        <v>3.4540411141087496E-2</v>
      </c>
      <c r="F275" s="205">
        <v>6.2071746453894718E-2</v>
      </c>
      <c r="G275" s="204">
        <v>5.8911226564264722E-2</v>
      </c>
      <c r="H275" s="204">
        <v>7.8225271077672041E-3</v>
      </c>
      <c r="I275" s="209">
        <v>7.2519999999999998</v>
      </c>
      <c r="J275" s="207">
        <v>1.6861347866928456</v>
      </c>
      <c r="K275" s="209">
        <v>33.735999999999997</v>
      </c>
      <c r="L275" s="209">
        <v>18.279</v>
      </c>
      <c r="M275" s="208">
        <v>6.7869999999999999</v>
      </c>
      <c r="N275" s="221"/>
    </row>
    <row r="276" spans="1:14" ht="16.5" customHeight="1" x14ac:dyDescent="0.25">
      <c r="A276" s="203">
        <v>44469</v>
      </c>
      <c r="B276" s="128" t="s">
        <v>34</v>
      </c>
      <c r="C276" s="157" t="str">
        <f t="shared" si="9"/>
        <v>30.09.2021_KRE1</v>
      </c>
      <c r="D276" s="190">
        <f t="shared" si="10"/>
        <v>0</v>
      </c>
      <c r="E276" s="204">
        <v>8.4432116122658329E-2</v>
      </c>
      <c r="F276" s="205">
        <v>0.1323617728557033</v>
      </c>
      <c r="G276" s="204">
        <v>8.3457570966041686E-2</v>
      </c>
      <c r="H276" s="204">
        <v>4.0677140960389463E-2</v>
      </c>
      <c r="I276" s="209">
        <v>9.17</v>
      </c>
      <c r="J276" s="207">
        <v>2.1484160248448121</v>
      </c>
      <c r="K276" s="209">
        <v>71</v>
      </c>
      <c r="L276" s="209">
        <v>44</v>
      </c>
      <c r="M276" s="208">
        <v>15.5</v>
      </c>
      <c r="N276" s="221"/>
    </row>
    <row r="277" spans="1:14" ht="16.5" customHeight="1" x14ac:dyDescent="0.25">
      <c r="A277" s="203">
        <v>44469</v>
      </c>
      <c r="B277" s="128" t="s">
        <v>37</v>
      </c>
      <c r="C277" s="157" t="str">
        <f t="shared" si="9"/>
        <v>30.09.2021_KRE2</v>
      </c>
      <c r="D277" s="190">
        <f t="shared" si="10"/>
        <v>0</v>
      </c>
      <c r="E277" s="204">
        <v>8.4432116122658329E-2</v>
      </c>
      <c r="F277" s="205">
        <v>0.14068393625746708</v>
      </c>
      <c r="G277" s="204">
        <v>0.24055417513741431</v>
      </c>
      <c r="H277" s="204">
        <v>8.135428192077894E-2</v>
      </c>
      <c r="I277" s="209">
        <v>10.977</v>
      </c>
      <c r="J277" s="207">
        <v>2.6909312125832314</v>
      </c>
      <c r="K277" s="209">
        <v>69</v>
      </c>
      <c r="L277" s="209">
        <v>50</v>
      </c>
      <c r="M277" s="208">
        <v>10.4</v>
      </c>
      <c r="N277" s="221"/>
    </row>
    <row r="278" spans="1:14" ht="16.5" customHeight="1" x14ac:dyDescent="0.25">
      <c r="A278" s="203">
        <v>44469</v>
      </c>
      <c r="B278" s="128" t="s">
        <v>18</v>
      </c>
      <c r="C278" s="157" t="str">
        <f t="shared" si="9"/>
        <v>30.09.2021_ORB1</v>
      </c>
      <c r="D278" s="190">
        <f t="shared" si="10"/>
        <v>0</v>
      </c>
      <c r="E278" s="204">
        <v>2.3026940760725003E-2</v>
      </c>
      <c r="F278" s="205">
        <v>4.9803227392127968E-2</v>
      </c>
      <c r="G278" s="204">
        <v>7.6093667645508622E-2</v>
      </c>
      <c r="H278" s="204">
        <v>3.4419119274175701E-2</v>
      </c>
      <c r="I278" s="209">
        <v>7.1840000000000002</v>
      </c>
      <c r="J278" s="207">
        <v>1.6922149528530837</v>
      </c>
      <c r="K278" s="209">
        <v>9.2910000000000004</v>
      </c>
      <c r="L278" s="209">
        <v>13.095000000000001</v>
      </c>
      <c r="M278" s="208">
        <v>12.77</v>
      </c>
      <c r="N278" s="221"/>
    </row>
    <row r="279" spans="1:14" ht="16.5" customHeight="1" x14ac:dyDescent="0.25">
      <c r="A279" s="203">
        <v>44469</v>
      </c>
      <c r="B279" s="128" t="s">
        <v>21</v>
      </c>
      <c r="C279" s="157" t="str">
        <f t="shared" si="9"/>
        <v>30.09.2021_ORB2</v>
      </c>
      <c r="D279" s="190">
        <f t="shared" si="10"/>
        <v>0</v>
      </c>
      <c r="E279" s="204">
        <v>1.7270205570543748E-2</v>
      </c>
      <c r="F279" s="205">
        <v>4.6890796718217179E-2</v>
      </c>
      <c r="G279" s="204">
        <v>2.2091709961599273E-2</v>
      </c>
      <c r="H279" s="204">
        <v>9.3870325293206464E-3</v>
      </c>
      <c r="I279" s="209">
        <v>7.2880000000000003</v>
      </c>
      <c r="J279" s="207">
        <v>1.6661524339216338</v>
      </c>
      <c r="K279" s="209">
        <v>20.038</v>
      </c>
      <c r="L279" s="209">
        <v>16.669</v>
      </c>
      <c r="M279" s="208">
        <v>13.47</v>
      </c>
      <c r="N279" s="221"/>
    </row>
    <row r="280" spans="1:14" ht="16.5" customHeight="1" x14ac:dyDescent="0.25">
      <c r="A280" s="203">
        <v>44469</v>
      </c>
      <c r="B280" s="128" t="s">
        <v>10</v>
      </c>
      <c r="C280" s="157" t="str">
        <f t="shared" si="9"/>
        <v>30.09.2021_SAL1</v>
      </c>
      <c r="D280" s="190">
        <f t="shared" si="10"/>
        <v>0</v>
      </c>
      <c r="E280" s="204">
        <v>8.6351027852718754E-2</v>
      </c>
      <c r="F280" s="205">
        <v>0.14990408354518911</v>
      </c>
      <c r="G280" s="204">
        <v>1.7182441081243876E-2</v>
      </c>
      <c r="H280" s="204">
        <v>2.3467581323301619E-2</v>
      </c>
      <c r="I280" s="209">
        <v>8.1</v>
      </c>
      <c r="J280" s="207">
        <v>1.850033698809054</v>
      </c>
      <c r="K280" s="209">
        <v>9.36</v>
      </c>
      <c r="L280" s="209">
        <v>6.1029999999999998</v>
      </c>
      <c r="M280" s="208">
        <v>17.7</v>
      </c>
      <c r="N280" s="221"/>
    </row>
    <row r="281" spans="1:14" ht="16.5" customHeight="1" x14ac:dyDescent="0.25">
      <c r="A281" s="203">
        <v>44469</v>
      </c>
      <c r="B281" s="128" t="s">
        <v>12</v>
      </c>
      <c r="C281" s="157" t="str">
        <f t="shared" si="9"/>
        <v>30.09.2021_SAL2</v>
      </c>
      <c r="D281" s="190">
        <f t="shared" si="10"/>
        <v>0</v>
      </c>
      <c r="E281" s="204">
        <v>7.6756469202416674E-2</v>
      </c>
      <c r="F281" s="205">
        <v>0.12374317555770176</v>
      </c>
      <c r="G281" s="204">
        <v>2.7000978841954671E-2</v>
      </c>
      <c r="H281" s="204">
        <v>3.1290108431068823E-3</v>
      </c>
      <c r="I281" s="209">
        <v>6.0330000000000004</v>
      </c>
      <c r="J281" s="207">
        <v>1.3845923274121732</v>
      </c>
      <c r="K281" s="209">
        <v>10.047000000000001</v>
      </c>
      <c r="L281" s="209">
        <v>6.915</v>
      </c>
      <c r="M281" s="208">
        <v>13.95</v>
      </c>
      <c r="N281" s="221"/>
    </row>
    <row r="282" spans="1:14" ht="16.5" customHeight="1" x14ac:dyDescent="0.25">
      <c r="A282" s="203">
        <v>44469</v>
      </c>
      <c r="B282" s="128" t="s">
        <v>7</v>
      </c>
      <c r="C282" s="157" t="str">
        <f t="shared" si="9"/>
        <v>30.09.2021_STE1</v>
      </c>
      <c r="D282" s="190">
        <f t="shared" si="10"/>
        <v>0</v>
      </c>
      <c r="E282" s="204">
        <v>7.8675380932477085E-2</v>
      </c>
      <c r="F282" s="205">
        <v>0.1201199691548293</v>
      </c>
      <c r="G282" s="204">
        <v>2.9455613282132372E-2</v>
      </c>
      <c r="H282" s="204">
        <v>9.3870325293206464E-3</v>
      </c>
      <c r="I282" s="209">
        <v>10.497</v>
      </c>
      <c r="J282" s="207">
        <v>2.3966872612109946</v>
      </c>
      <c r="K282" s="209">
        <v>14.558</v>
      </c>
      <c r="L282" s="209">
        <v>10.864000000000001</v>
      </c>
      <c r="M282" s="208">
        <v>10.19</v>
      </c>
      <c r="N282" s="221"/>
    </row>
    <row r="283" spans="1:14" ht="16.5" customHeight="1" x14ac:dyDescent="0.25">
      <c r="A283" s="203">
        <v>44469</v>
      </c>
      <c r="B283" s="128" t="s">
        <v>9</v>
      </c>
      <c r="C283" s="157" t="str">
        <f t="shared" si="9"/>
        <v>30.09.2021_STE2</v>
      </c>
      <c r="D283" s="190">
        <f t="shared" si="10"/>
        <v>0</v>
      </c>
      <c r="E283" s="204">
        <v>5.5648440171752085E-2</v>
      </c>
      <c r="F283" s="205">
        <v>0.1050020135398962</v>
      </c>
      <c r="G283" s="204">
        <v>1.9637075521421576E-2</v>
      </c>
      <c r="H283" s="204">
        <v>4.6935162646603223E-3</v>
      </c>
      <c r="I283" s="209">
        <v>9.0329999999999995</v>
      </c>
      <c r="J283" s="207">
        <v>2.056960643798404</v>
      </c>
      <c r="K283" s="209">
        <v>14.808</v>
      </c>
      <c r="L283" s="209">
        <v>10.815</v>
      </c>
      <c r="M283" s="208">
        <v>8.0860000000000003</v>
      </c>
      <c r="N283" s="221"/>
    </row>
    <row r="284" spans="1:14" ht="16.5" customHeight="1" x14ac:dyDescent="0.25">
      <c r="A284" s="203">
        <v>44482</v>
      </c>
      <c r="B284" s="128" t="s">
        <v>22</v>
      </c>
      <c r="C284" s="157" t="str">
        <f t="shared" si="9"/>
        <v>13.10.2021_BIE1</v>
      </c>
      <c r="D284" s="190">
        <f t="shared" si="10"/>
        <v>0</v>
      </c>
      <c r="E284" s="204">
        <v>2.8665880979154051E-2</v>
      </c>
      <c r="F284" s="205">
        <v>3.7398448174823871E-2</v>
      </c>
      <c r="G284" s="204">
        <v>4.0759593531058076E-2</v>
      </c>
      <c r="H284" s="204">
        <v>1.9374762848349426E-2</v>
      </c>
      <c r="I284" s="209">
        <v>3.581</v>
      </c>
      <c r="J284" s="207">
        <v>0.8463885333301111</v>
      </c>
      <c r="K284" s="209">
        <v>8.2270000000000003</v>
      </c>
      <c r="L284" s="209">
        <v>11.696</v>
      </c>
      <c r="M284" s="208">
        <v>34.26</v>
      </c>
      <c r="N284" s="221"/>
    </row>
    <row r="285" spans="1:14" ht="16.5" customHeight="1" x14ac:dyDescent="0.25">
      <c r="A285" s="203">
        <v>44482</v>
      </c>
      <c r="B285" s="128" t="s">
        <v>25</v>
      </c>
      <c r="C285" s="157" t="str">
        <f t="shared" si="9"/>
        <v>13.10.2021_BIE2</v>
      </c>
      <c r="D285" s="190">
        <f t="shared" si="10"/>
        <v>0</v>
      </c>
      <c r="E285" s="204">
        <v>3.631011590692846E-2</v>
      </c>
      <c r="F285" s="205">
        <v>7.1501999860389229E-2</v>
      </c>
      <c r="G285" s="204">
        <v>4.5650744754785047E-2</v>
      </c>
      <c r="H285" s="204">
        <v>1.3413297356549602E-2</v>
      </c>
      <c r="I285" s="209">
        <v>3.0289999999999999</v>
      </c>
      <c r="J285" s="207">
        <v>0.72369125517484445</v>
      </c>
      <c r="K285" s="209">
        <v>7.5750000000000002</v>
      </c>
      <c r="L285" s="209">
        <v>9.5749999999999993</v>
      </c>
      <c r="M285" s="208">
        <v>20.88</v>
      </c>
      <c r="N285" s="221"/>
    </row>
    <row r="286" spans="1:14" ht="16.5" customHeight="1" x14ac:dyDescent="0.25">
      <c r="A286" s="203">
        <v>44482</v>
      </c>
      <c r="B286" s="128" t="s">
        <v>14</v>
      </c>
      <c r="C286" s="157" t="str">
        <f t="shared" si="9"/>
        <v>13.10.2021_BRA1</v>
      </c>
      <c r="D286" s="190">
        <f t="shared" si="10"/>
        <v>0</v>
      </c>
      <c r="E286" s="204">
        <v>3.631011590692846E-2</v>
      </c>
      <c r="F286" s="205">
        <v>6.0890890067110334E-2</v>
      </c>
      <c r="G286" s="204">
        <v>2.9346907342361808E-2</v>
      </c>
      <c r="H286" s="204">
        <v>2.235549559424934E-2</v>
      </c>
      <c r="I286" s="209">
        <v>6.8259999999999996</v>
      </c>
      <c r="J286" s="207">
        <v>1.5713823307159396</v>
      </c>
      <c r="K286" s="209">
        <v>5.7380000000000004</v>
      </c>
      <c r="L286" s="209">
        <v>4.0960000000000001</v>
      </c>
      <c r="M286" s="208">
        <v>15.59</v>
      </c>
      <c r="N286" s="221"/>
    </row>
    <row r="287" spans="1:14" ht="16.5" customHeight="1" x14ac:dyDescent="0.25">
      <c r="A287" s="203">
        <v>44482</v>
      </c>
      <c r="B287" s="128" t="s">
        <v>17</v>
      </c>
      <c r="C287" s="157" t="str">
        <f t="shared" si="9"/>
        <v>13.10.2021_BRA2</v>
      </c>
      <c r="D287" s="190">
        <f t="shared" si="10"/>
        <v>0</v>
      </c>
      <c r="E287" s="204">
        <v>5.5420703226364498E-2</v>
      </c>
      <c r="F287" s="205">
        <v>8.2081214028371985E-2</v>
      </c>
      <c r="G287" s="204">
        <v>3.0977291083604131E-2</v>
      </c>
      <c r="H287" s="204">
        <v>1.0432564610649692E-2</v>
      </c>
      <c r="I287" s="209">
        <v>10.448</v>
      </c>
      <c r="J287" s="207">
        <v>2.38711951104922</v>
      </c>
      <c r="K287" s="209">
        <v>10.781000000000001</v>
      </c>
      <c r="L287" s="209">
        <v>5.6970000000000001</v>
      </c>
      <c r="M287" s="208">
        <v>19.399999999999999</v>
      </c>
      <c r="N287" s="221"/>
    </row>
    <row r="288" spans="1:14" ht="16.5" customHeight="1" x14ac:dyDescent="0.25">
      <c r="A288" s="203">
        <v>44482</v>
      </c>
      <c r="B288" s="128" t="s">
        <v>30</v>
      </c>
      <c r="C288" s="157" t="str">
        <f t="shared" si="9"/>
        <v>13.10.2021_FAL1</v>
      </c>
      <c r="D288" s="190">
        <f t="shared" si="10"/>
        <v>0</v>
      </c>
      <c r="E288" s="204">
        <v>6.6887055618026117E-2</v>
      </c>
      <c r="F288" s="205">
        <v>0.10374833185671431</v>
      </c>
      <c r="G288" s="204">
        <v>8.967110576832775E-2</v>
      </c>
      <c r="H288" s="204">
        <v>9.0912348749947317E-2</v>
      </c>
      <c r="I288" s="209">
        <v>12.07</v>
      </c>
      <c r="J288" s="207">
        <v>2.82355788149497</v>
      </c>
      <c r="K288" s="209">
        <v>61</v>
      </c>
      <c r="L288" s="209">
        <v>34.664000000000001</v>
      </c>
      <c r="M288" s="208">
        <v>27.1</v>
      </c>
      <c r="N288" s="221"/>
    </row>
    <row r="289" spans="1:14" ht="16.5" customHeight="1" x14ac:dyDescent="0.25">
      <c r="A289" s="203">
        <v>44482</v>
      </c>
      <c r="B289" s="128" t="s">
        <v>32</v>
      </c>
      <c r="C289" s="157" t="str">
        <f t="shared" si="9"/>
        <v>13.10.2021_FAL2</v>
      </c>
      <c r="D289" s="190">
        <f t="shared" si="10"/>
        <v>0</v>
      </c>
      <c r="E289" s="204">
        <v>8.0264466741631346E-2</v>
      </c>
      <c r="F289" s="205">
        <v>0.10698760336266731</v>
      </c>
      <c r="G289" s="204">
        <v>0.23477525873889446</v>
      </c>
      <c r="H289" s="204">
        <v>7.153758590159788E-2</v>
      </c>
      <c r="I289" s="209">
        <v>14.093</v>
      </c>
      <c r="J289" s="207">
        <v>3.3872661686859051</v>
      </c>
      <c r="K289" s="209">
        <v>59</v>
      </c>
      <c r="L289" s="209">
        <v>35.396999999999998</v>
      </c>
      <c r="M289" s="208">
        <v>37.06</v>
      </c>
      <c r="N289" s="221"/>
    </row>
    <row r="290" spans="1:14" ht="16.5" customHeight="1" x14ac:dyDescent="0.25">
      <c r="A290" s="203">
        <v>44482</v>
      </c>
      <c r="B290" s="128" t="s">
        <v>26</v>
      </c>
      <c r="C290" s="157" t="str">
        <f t="shared" si="9"/>
        <v>13.10.2021_GRU1</v>
      </c>
      <c r="D290" s="190">
        <f t="shared" si="10"/>
        <v>0</v>
      </c>
      <c r="E290" s="204">
        <v>2.4843763515266841E-2</v>
      </c>
      <c r="F290" s="205">
        <v>3.7523983665008594E-2</v>
      </c>
      <c r="G290" s="204">
        <v>2.608613985987716E-2</v>
      </c>
      <c r="H290" s="204">
        <v>1.192293098359965E-2</v>
      </c>
      <c r="I290" s="209">
        <v>4.056</v>
      </c>
      <c r="J290" s="207">
        <v>0.94001428307775292</v>
      </c>
      <c r="K290" s="209">
        <v>8.6910000000000007</v>
      </c>
      <c r="L290" s="209">
        <v>12.355</v>
      </c>
      <c r="M290" s="208">
        <v>38.729999999999997</v>
      </c>
      <c r="N290" s="221"/>
    </row>
    <row r="291" spans="1:14" ht="16.5" customHeight="1" x14ac:dyDescent="0.25">
      <c r="A291" s="203">
        <v>44482</v>
      </c>
      <c r="B291" s="128" t="s">
        <v>28</v>
      </c>
      <c r="C291" s="157" t="str">
        <f t="shared" si="9"/>
        <v>13.10.2021_GRU2</v>
      </c>
      <c r="D291" s="190">
        <f t="shared" si="10"/>
        <v>0</v>
      </c>
      <c r="E291" s="204">
        <v>1.7199528587492428E-2</v>
      </c>
      <c r="F291" s="205">
        <v>2.7894437422889527E-2</v>
      </c>
      <c r="G291" s="204">
        <v>4.8911512237269694E-2</v>
      </c>
      <c r="H291" s="204">
        <v>1.9374762848349426E-2</v>
      </c>
      <c r="I291" s="209">
        <v>4.2329999999999997</v>
      </c>
      <c r="J291" s="207">
        <v>0.99998565668629735</v>
      </c>
      <c r="K291" s="209">
        <v>9.5980000000000008</v>
      </c>
      <c r="L291" s="209">
        <v>10.323</v>
      </c>
      <c r="M291" s="208">
        <v>24.17</v>
      </c>
      <c r="N291" s="221"/>
    </row>
    <row r="292" spans="1:14" ht="16.5" customHeight="1" x14ac:dyDescent="0.25">
      <c r="A292" s="203">
        <v>44482</v>
      </c>
      <c r="B292" s="128" t="s">
        <v>0</v>
      </c>
      <c r="C292" s="157" t="str">
        <f t="shared" si="9"/>
        <v>13.10.2021_KIN1</v>
      </c>
      <c r="D292" s="190">
        <f t="shared" si="10"/>
        <v>0</v>
      </c>
      <c r="E292" s="204">
        <v>2.1021646051379635E-2</v>
      </c>
      <c r="F292" s="205">
        <v>4.5554153755926662E-2</v>
      </c>
      <c r="G292" s="204">
        <v>4.23899772723004E-2</v>
      </c>
      <c r="H292" s="204">
        <v>5.9614654917998231E-3</v>
      </c>
      <c r="I292" s="209">
        <v>4.9889999999999999</v>
      </c>
      <c r="J292" s="207">
        <v>1.161595791621147</v>
      </c>
      <c r="K292" s="209">
        <v>11.092000000000001</v>
      </c>
      <c r="L292" s="209">
        <v>12.282999999999999</v>
      </c>
      <c r="M292" s="208">
        <v>21.41</v>
      </c>
      <c r="N292" s="221"/>
    </row>
    <row r="293" spans="1:14" ht="16.5" customHeight="1" x14ac:dyDescent="0.25">
      <c r="A293" s="203">
        <v>44482</v>
      </c>
      <c r="B293" s="128" t="s">
        <v>2</v>
      </c>
      <c r="C293" s="157" t="str">
        <f t="shared" si="9"/>
        <v>13.10.2021_KIN2</v>
      </c>
      <c r="D293" s="190">
        <f t="shared" si="10"/>
        <v>0</v>
      </c>
      <c r="E293" s="204">
        <v>2.4843763515266841E-2</v>
      </c>
      <c r="F293" s="205">
        <v>4.139658730829978E-2</v>
      </c>
      <c r="G293" s="204">
        <v>3.0977291083604131E-2</v>
      </c>
      <c r="H293" s="204">
        <v>1.3413297356549602E-2</v>
      </c>
      <c r="I293" s="209">
        <v>6.1050000000000004</v>
      </c>
      <c r="J293" s="207">
        <v>1.4070735851337095</v>
      </c>
      <c r="K293" s="209">
        <v>12.003</v>
      </c>
      <c r="L293" s="209">
        <v>13.494999999999999</v>
      </c>
      <c r="M293" s="208">
        <v>17.23</v>
      </c>
      <c r="N293" s="221"/>
    </row>
    <row r="294" spans="1:14" ht="16.5" customHeight="1" x14ac:dyDescent="0.25">
      <c r="A294" s="203">
        <v>44482</v>
      </c>
      <c r="B294" s="128" t="s">
        <v>4</v>
      </c>
      <c r="C294" s="157" t="str">
        <f t="shared" si="9"/>
        <v>13.10.2021_KIN3</v>
      </c>
      <c r="D294" s="190">
        <f t="shared" si="10"/>
        <v>0</v>
      </c>
      <c r="E294" s="204">
        <v>2.6754822247210448E-2</v>
      </c>
      <c r="F294" s="205">
        <v>3.7295328180978367E-2</v>
      </c>
      <c r="G294" s="204">
        <v>4.0759593531058076E-2</v>
      </c>
      <c r="H294" s="204">
        <v>1.6394030102449515E-2</v>
      </c>
      <c r="I294" s="209">
        <v>6.4969999999999999</v>
      </c>
      <c r="J294" s="207">
        <v>1.5041179692456221</v>
      </c>
      <c r="K294" s="209">
        <v>16.327999999999999</v>
      </c>
      <c r="L294" s="209">
        <v>15.487</v>
      </c>
      <c r="M294" s="208">
        <v>23.78</v>
      </c>
      <c r="N294" s="221"/>
    </row>
    <row r="295" spans="1:14" ht="16.5" customHeight="1" x14ac:dyDescent="0.25">
      <c r="A295" s="203">
        <v>44482</v>
      </c>
      <c r="B295" s="128" t="s">
        <v>6</v>
      </c>
      <c r="C295" s="157" t="str">
        <f t="shared" si="9"/>
        <v>13.10.2021_KIN4</v>
      </c>
      <c r="D295" s="190">
        <f t="shared" si="10"/>
        <v>0</v>
      </c>
      <c r="E295" s="204">
        <v>2.4843763515266841E-2</v>
      </c>
      <c r="F295" s="205">
        <v>5.8518389800429754E-2</v>
      </c>
      <c r="G295" s="204">
        <v>3.2607674824846458E-2</v>
      </c>
      <c r="H295" s="204">
        <v>1.192293098359965E-2</v>
      </c>
      <c r="I295" s="209">
        <v>7.367</v>
      </c>
      <c r="J295" s="207">
        <v>1.6929337597627019</v>
      </c>
      <c r="K295" s="209">
        <v>25.210999999999999</v>
      </c>
      <c r="L295" s="209">
        <v>16.087</v>
      </c>
      <c r="M295" s="208">
        <v>28.52</v>
      </c>
      <c r="N295" s="221"/>
    </row>
    <row r="296" spans="1:14" ht="16.5" customHeight="1" x14ac:dyDescent="0.25">
      <c r="A296" s="203">
        <v>44482</v>
      </c>
      <c r="B296" s="128" t="s">
        <v>34</v>
      </c>
      <c r="C296" s="157" t="str">
        <f t="shared" si="9"/>
        <v>13.10.2021_KRE1</v>
      </c>
      <c r="D296" s="190">
        <f t="shared" si="10"/>
        <v>0</v>
      </c>
      <c r="E296" s="204">
        <v>4.9687527030533682E-2</v>
      </c>
      <c r="F296" s="205">
        <v>7.993892991013643E-2</v>
      </c>
      <c r="G296" s="204">
        <v>0.12553954807565881</v>
      </c>
      <c r="H296" s="204">
        <v>8.7931616004047405E-2</v>
      </c>
      <c r="I296" s="209">
        <v>4.3440000000000003</v>
      </c>
      <c r="J296" s="207">
        <v>1.1054302641777005</v>
      </c>
      <c r="K296" s="209">
        <v>44</v>
      </c>
      <c r="L296" s="209">
        <v>24.398</v>
      </c>
      <c r="M296" s="208">
        <v>27.64</v>
      </c>
      <c r="N296" s="221"/>
    </row>
    <row r="297" spans="1:14" ht="16.5" customHeight="1" x14ac:dyDescent="0.25">
      <c r="A297" s="203">
        <v>44482</v>
      </c>
      <c r="B297" s="128" t="s">
        <v>37</v>
      </c>
      <c r="C297" s="157" t="str">
        <f t="shared" si="9"/>
        <v>13.10.2021_KRE2</v>
      </c>
      <c r="D297" s="190">
        <f t="shared" si="10"/>
        <v>0</v>
      </c>
      <c r="E297" s="204">
        <v>4.9687527030533682E-2</v>
      </c>
      <c r="F297" s="205">
        <v>9.1622179861868172E-2</v>
      </c>
      <c r="G297" s="204">
        <v>0.14021300174683973</v>
      </c>
      <c r="H297" s="204">
        <v>8.6441249631097436E-2</v>
      </c>
      <c r="I297" s="209">
        <v>7.9249999999999998</v>
      </c>
      <c r="J297" s="207">
        <v>1.9252107821765911</v>
      </c>
      <c r="K297" s="209">
        <v>53</v>
      </c>
      <c r="L297" s="209">
        <v>36.295000000000002</v>
      </c>
      <c r="M297" s="208">
        <v>24.2</v>
      </c>
      <c r="N297" s="221"/>
    </row>
    <row r="298" spans="1:14" ht="16.5" customHeight="1" x14ac:dyDescent="0.25">
      <c r="A298" s="203">
        <v>44482</v>
      </c>
      <c r="B298" s="128" t="s">
        <v>18</v>
      </c>
      <c r="C298" s="157" t="str">
        <f t="shared" si="9"/>
        <v>13.10.2021_ORB1</v>
      </c>
      <c r="D298" s="190">
        <f t="shared" si="10"/>
        <v>0</v>
      </c>
      <c r="E298" s="204">
        <v>3.822117463887207E-2</v>
      </c>
      <c r="F298" s="205">
        <v>4.3746040553970966E-2</v>
      </c>
      <c r="G298" s="204">
        <v>4.5650744754785047E-2</v>
      </c>
      <c r="H298" s="204">
        <v>4.7691723934398585E-2</v>
      </c>
      <c r="I298" s="209">
        <v>6.657</v>
      </c>
      <c r="J298" s="207">
        <v>1.5535836821464706</v>
      </c>
      <c r="K298" s="209">
        <v>8.9809999999999999</v>
      </c>
      <c r="L298" s="209">
        <v>12.189</v>
      </c>
      <c r="M298" s="208">
        <v>16.059999999999999</v>
      </c>
      <c r="N298" s="221"/>
    </row>
    <row r="299" spans="1:14" ht="16.5" customHeight="1" x14ac:dyDescent="0.25">
      <c r="A299" s="203">
        <v>44482</v>
      </c>
      <c r="B299" s="128" t="s">
        <v>21</v>
      </c>
      <c r="C299" s="157" t="str">
        <f t="shared" si="9"/>
        <v>13.10.2021_ORB2</v>
      </c>
      <c r="D299" s="190">
        <f t="shared" si="10"/>
        <v>0</v>
      </c>
      <c r="E299" s="204">
        <v>3.0576939711097654E-2</v>
      </c>
      <c r="F299" s="205">
        <v>4.5512683635918261E-2</v>
      </c>
      <c r="G299" s="204">
        <v>6.3584965908450586E-2</v>
      </c>
      <c r="H299" s="204">
        <v>6.8556853155697969E-2</v>
      </c>
      <c r="I299" s="209">
        <v>6.1219999999999999</v>
      </c>
      <c r="J299" s="207">
        <v>1.4530213641215048</v>
      </c>
      <c r="K299" s="209">
        <v>16.460999999999999</v>
      </c>
      <c r="L299" s="209">
        <v>13.351000000000001</v>
      </c>
      <c r="M299" s="208">
        <v>17.399999999999999</v>
      </c>
      <c r="N299" s="221"/>
    </row>
    <row r="300" spans="1:14" ht="16.5" customHeight="1" x14ac:dyDescent="0.25">
      <c r="A300" s="203">
        <v>44482</v>
      </c>
      <c r="B300" s="128" t="s">
        <v>10</v>
      </c>
      <c r="C300" s="157" t="str">
        <f t="shared" si="9"/>
        <v>13.10.2021_SAL1</v>
      </c>
      <c r="D300" s="190">
        <f t="shared" si="10"/>
        <v>0</v>
      </c>
      <c r="E300" s="204">
        <v>8.2175525473574942E-2</v>
      </c>
      <c r="F300" s="205">
        <v>0.10351497260272689</v>
      </c>
      <c r="G300" s="204">
        <v>2.608613985987716E-2</v>
      </c>
      <c r="H300" s="204">
        <v>2.235549559424934E-2</v>
      </c>
      <c r="I300" s="209">
        <v>7.0960000000000001</v>
      </c>
      <c r="J300" s="207">
        <v>1.6298352773734652</v>
      </c>
      <c r="K300" s="209">
        <v>7.6459999999999999</v>
      </c>
      <c r="L300" s="209">
        <v>5.234</v>
      </c>
      <c r="M300" s="208">
        <v>19.420000000000002</v>
      </c>
      <c r="N300" s="221"/>
    </row>
    <row r="301" spans="1:14" ht="16.5" customHeight="1" x14ac:dyDescent="0.25">
      <c r="A301" s="203">
        <v>44482</v>
      </c>
      <c r="B301" s="128" t="s">
        <v>12</v>
      </c>
      <c r="C301" s="157" t="str">
        <f t="shared" si="9"/>
        <v>13.10.2021_SAL2</v>
      </c>
      <c r="D301" s="190">
        <f t="shared" si="10"/>
        <v>0</v>
      </c>
      <c r="E301" s="204">
        <v>7.0709173081913324E-2</v>
      </c>
      <c r="F301" s="205">
        <v>8.7190277645734796E-2</v>
      </c>
      <c r="G301" s="204">
        <v>3.0977291083604131E-2</v>
      </c>
      <c r="H301" s="204">
        <v>1.3413297356549602E-2</v>
      </c>
      <c r="I301" s="209">
        <v>7.9210000000000003</v>
      </c>
      <c r="J301" s="207">
        <v>1.8172535051337095</v>
      </c>
      <c r="K301" s="209">
        <v>9.7249999999999996</v>
      </c>
      <c r="L301" s="209">
        <v>6.7619999999999996</v>
      </c>
      <c r="M301" s="208">
        <v>18.36</v>
      </c>
      <c r="N301" s="221"/>
    </row>
    <row r="302" spans="1:14" ht="16.5" customHeight="1" x14ac:dyDescent="0.25">
      <c r="A302" s="203">
        <v>44482</v>
      </c>
      <c r="B302" s="128" t="s">
        <v>7</v>
      </c>
      <c r="C302" s="157" t="str">
        <f t="shared" si="9"/>
        <v>13.10.2021_STE1</v>
      </c>
      <c r="D302" s="190">
        <f t="shared" si="10"/>
        <v>0</v>
      </c>
      <c r="E302" s="204">
        <v>5.7331761958308101E-2</v>
      </c>
      <c r="F302" s="205">
        <v>8.5108438423230043E-2</v>
      </c>
      <c r="G302" s="204">
        <v>1.3043069929938591E-2</v>
      </c>
      <c r="H302" s="204">
        <v>2.235549559424934E-2</v>
      </c>
      <c r="I302" s="209">
        <v>8.5180000000000007</v>
      </c>
      <c r="J302" s="207">
        <v>1.9408946040035675</v>
      </c>
      <c r="K302" s="209">
        <v>12.101000000000001</v>
      </c>
      <c r="L302" s="209">
        <v>9.3469999999999995</v>
      </c>
      <c r="M302" s="208">
        <v>24.45</v>
      </c>
      <c r="N302" s="221"/>
    </row>
    <row r="303" spans="1:14" ht="16.5" customHeight="1" x14ac:dyDescent="0.25">
      <c r="A303" s="203">
        <v>44482</v>
      </c>
      <c r="B303" s="128" t="s">
        <v>9</v>
      </c>
      <c r="C303" s="157" t="str">
        <f t="shared" si="9"/>
        <v>13.10.2021_STE2</v>
      </c>
      <c r="D303" s="190">
        <f t="shared" si="10"/>
        <v>0</v>
      </c>
      <c r="E303" s="204">
        <v>4.7776468298590086E-2</v>
      </c>
      <c r="F303" s="205">
        <v>6.330947711690546E-2</v>
      </c>
      <c r="G303" s="204">
        <v>2.7716523601119484E-2</v>
      </c>
      <c r="H303" s="204">
        <v>1.6394030102449515E-2</v>
      </c>
      <c r="I303" s="209">
        <v>9.0310000000000006</v>
      </c>
      <c r="J303" s="207">
        <v>2.0663447358757239</v>
      </c>
      <c r="K303" s="209">
        <v>14.222</v>
      </c>
      <c r="L303" s="209">
        <v>10.038</v>
      </c>
      <c r="M303" s="208">
        <v>17.670000000000002</v>
      </c>
      <c r="N303" s="221"/>
    </row>
    <row r="304" spans="1:14" ht="16.5" customHeight="1" x14ac:dyDescent="0.25">
      <c r="A304" s="203">
        <v>44496</v>
      </c>
      <c r="B304" s="128" t="s">
        <v>22</v>
      </c>
      <c r="C304" s="157" t="str">
        <f t="shared" si="9"/>
        <v>27.10.2021_BIE1</v>
      </c>
      <c r="D304" s="190">
        <f t="shared" si="10"/>
        <v>0</v>
      </c>
      <c r="E304" s="204">
        <v>1.6462875091201687E-2</v>
      </c>
      <c r="F304" s="205">
        <v>2.8906408523973259E-2</v>
      </c>
      <c r="G304" s="204">
        <v>1.1288015308302536E-2</v>
      </c>
      <c r="H304" s="204">
        <v>1.2349344978165935E-2</v>
      </c>
      <c r="I304" s="209">
        <v>3.137</v>
      </c>
      <c r="J304" s="207">
        <v>0.72107897908534646</v>
      </c>
      <c r="K304" s="209">
        <v>8.1690000000000005</v>
      </c>
      <c r="L304" s="209">
        <v>12.901999999999999</v>
      </c>
      <c r="M304" s="208">
        <v>9.0719999999999992</v>
      </c>
      <c r="N304" s="221"/>
    </row>
    <row r="305" spans="1:14" ht="16.5" customHeight="1" x14ac:dyDescent="0.25">
      <c r="A305" s="203">
        <v>44496</v>
      </c>
      <c r="B305" s="128" t="s">
        <v>25</v>
      </c>
      <c r="C305" s="157" t="str">
        <f t="shared" si="9"/>
        <v>27.10.2021_BIE2</v>
      </c>
      <c r="D305" s="190">
        <f t="shared" si="10"/>
        <v>0</v>
      </c>
      <c r="E305" s="204">
        <v>5.4876250304005635E-3</v>
      </c>
      <c r="F305" s="205">
        <v>3.0484370907622217E-2</v>
      </c>
      <c r="G305" s="204">
        <v>1.2900588923774327E-2</v>
      </c>
      <c r="H305" s="204">
        <v>6.1746724890829668E-3</v>
      </c>
      <c r="I305" s="209">
        <v>3.1739999999999999</v>
      </c>
      <c r="J305" s="207">
        <v>0.72880843733272282</v>
      </c>
      <c r="K305" s="209">
        <v>8.7379999999999995</v>
      </c>
      <c r="L305" s="209">
        <v>12.143000000000001</v>
      </c>
      <c r="M305" s="208">
        <v>20.54</v>
      </c>
      <c r="N305" s="221"/>
    </row>
    <row r="306" spans="1:14" ht="16.5" customHeight="1" x14ac:dyDescent="0.25">
      <c r="A306" s="203">
        <v>44496</v>
      </c>
      <c r="B306" s="128" t="s">
        <v>14</v>
      </c>
      <c r="C306" s="157" t="str">
        <f t="shared" si="9"/>
        <v>27.10.2021_BRA1</v>
      </c>
      <c r="D306" s="190">
        <f t="shared" si="10"/>
        <v>0</v>
      </c>
      <c r="E306" s="204">
        <v>4.207179189973765E-2</v>
      </c>
      <c r="F306" s="205">
        <v>7.3070866837006782E-2</v>
      </c>
      <c r="G306" s="204">
        <v>6.4502944618871636E-3</v>
      </c>
      <c r="H306" s="204">
        <v>1.3893013100436679E-2</v>
      </c>
      <c r="I306" s="209">
        <v>7.0389999999999997</v>
      </c>
      <c r="J306" s="207">
        <v>1.5991372469851388</v>
      </c>
      <c r="K306" s="209">
        <v>7.89</v>
      </c>
      <c r="L306" s="209">
        <v>5.0259999999999998</v>
      </c>
      <c r="M306" s="208">
        <v>13.33</v>
      </c>
      <c r="N306" s="221"/>
    </row>
    <row r="307" spans="1:14" ht="16.5" customHeight="1" x14ac:dyDescent="0.25">
      <c r="A307" s="203">
        <v>44496</v>
      </c>
      <c r="B307" s="128" t="s">
        <v>17</v>
      </c>
      <c r="C307" s="157" t="str">
        <f t="shared" si="9"/>
        <v>27.10.2021_BRA2</v>
      </c>
      <c r="D307" s="190">
        <f t="shared" si="10"/>
        <v>0</v>
      </c>
      <c r="E307" s="204">
        <v>5.3047041960538777E-2</v>
      </c>
      <c r="F307" s="205">
        <v>9.0546381215670865E-2</v>
      </c>
      <c r="G307" s="204">
        <v>4.8377208464153729E-3</v>
      </c>
      <c r="H307" s="204">
        <v>1.2349344978165935E-2</v>
      </c>
      <c r="I307" s="209">
        <v>10.718999999999999</v>
      </c>
      <c r="J307" s="207">
        <v>2.4286167299386356</v>
      </c>
      <c r="K307" s="209">
        <v>12.003</v>
      </c>
      <c r="L307" s="209">
        <v>6.202</v>
      </c>
      <c r="M307" s="208">
        <v>13.15</v>
      </c>
      <c r="N307" s="221"/>
    </row>
    <row r="308" spans="1:14" ht="16.5" customHeight="1" x14ac:dyDescent="0.25">
      <c r="A308" s="203">
        <v>44496</v>
      </c>
      <c r="B308" s="128" t="s">
        <v>30</v>
      </c>
      <c r="C308" s="157" t="str">
        <f t="shared" si="9"/>
        <v>27.10.2021_FAL1</v>
      </c>
      <c r="D308" s="190">
        <f t="shared" si="10"/>
        <v>0</v>
      </c>
      <c r="E308" s="204">
        <v>7.499754208214103E-2</v>
      </c>
      <c r="F308" s="205">
        <v>0.17207323272609401</v>
      </c>
      <c r="G308" s="204">
        <v>0.10159213777472276</v>
      </c>
      <c r="H308" s="204">
        <v>4.4766375545851521E-2</v>
      </c>
      <c r="I308" s="209">
        <v>8.1669999999999998</v>
      </c>
      <c r="J308" s="207">
        <v>1.9371946920956289</v>
      </c>
      <c r="K308" s="209">
        <v>53</v>
      </c>
      <c r="L308" s="209">
        <v>31.097999999999999</v>
      </c>
      <c r="M308" s="208">
        <v>17.57</v>
      </c>
      <c r="N308" s="221"/>
    </row>
    <row r="309" spans="1:14" ht="16.5" customHeight="1" x14ac:dyDescent="0.25">
      <c r="A309" s="203">
        <v>44496</v>
      </c>
      <c r="B309" s="128" t="s">
        <v>32</v>
      </c>
      <c r="C309" s="157" t="str">
        <f t="shared" si="9"/>
        <v>27.10.2021_FAL2</v>
      </c>
      <c r="D309" s="190">
        <f t="shared" si="10"/>
        <v>0</v>
      </c>
      <c r="E309" s="204">
        <v>6.5851500364806748E-2</v>
      </c>
      <c r="F309" s="205">
        <v>0.14644074245808253</v>
      </c>
      <c r="G309" s="204">
        <v>3.2251472309435793E-2</v>
      </c>
      <c r="H309" s="204">
        <v>1.3893013100436679E-2</v>
      </c>
      <c r="I309" s="209">
        <v>9.859</v>
      </c>
      <c r="J309" s="207">
        <v>2.2561250035719813</v>
      </c>
      <c r="K309" s="209">
        <v>52</v>
      </c>
      <c r="L309" s="209">
        <v>33.11</v>
      </c>
      <c r="M309" s="208">
        <v>22.84</v>
      </c>
      <c r="N309" s="221"/>
    </row>
    <row r="310" spans="1:14" ht="16.5" customHeight="1" x14ac:dyDescent="0.25">
      <c r="A310" s="203">
        <v>44496</v>
      </c>
      <c r="B310" s="128" t="s">
        <v>26</v>
      </c>
      <c r="C310" s="157" t="str">
        <f t="shared" si="9"/>
        <v>27.10.2021_GRU1</v>
      </c>
      <c r="D310" s="190">
        <f t="shared" si="10"/>
        <v>0</v>
      </c>
      <c r="E310" s="204">
        <v>2.0121291778135396E-2</v>
      </c>
      <c r="F310" s="205">
        <v>4.1871856805486919E-2</v>
      </c>
      <c r="G310" s="204">
        <v>1.4513162539246118E-2</v>
      </c>
      <c r="H310" s="204">
        <v>1.5436681222707408E-3</v>
      </c>
      <c r="I310" s="209">
        <v>3.7250000000000001</v>
      </c>
      <c r="J310" s="207">
        <v>0.85310504533992448</v>
      </c>
      <c r="K310" s="209">
        <v>9.0150000000000006</v>
      </c>
      <c r="L310" s="209">
        <v>12.334</v>
      </c>
      <c r="M310" s="208">
        <v>17.57</v>
      </c>
      <c r="N310" s="221"/>
    </row>
    <row r="311" spans="1:14" ht="16.5" customHeight="1" x14ac:dyDescent="0.25">
      <c r="A311" s="203">
        <v>44496</v>
      </c>
      <c r="B311" s="128" t="s">
        <v>28</v>
      </c>
      <c r="C311" s="157" t="str">
        <f t="shared" si="9"/>
        <v>27.10.2021_GRU2</v>
      </c>
      <c r="D311" s="190">
        <f t="shared" si="10"/>
        <v>0</v>
      </c>
      <c r="E311" s="204">
        <v>0.03</v>
      </c>
      <c r="F311" s="205">
        <v>4.9736647280764969E-2</v>
      </c>
      <c r="G311" s="204">
        <v>0.02</v>
      </c>
      <c r="H311" s="204">
        <v>1.2349344978165935E-2</v>
      </c>
      <c r="I311" s="209">
        <v>8</v>
      </c>
      <c r="J311" s="207">
        <v>1.8262495580786025</v>
      </c>
      <c r="K311" s="209">
        <v>10</v>
      </c>
      <c r="L311" s="209">
        <v>11</v>
      </c>
      <c r="M311" s="208">
        <v>8.3550000000000004</v>
      </c>
      <c r="N311" s="221"/>
    </row>
    <row r="312" spans="1:14" ht="16.5" customHeight="1" x14ac:dyDescent="0.25">
      <c r="A312" s="203">
        <v>44496</v>
      </c>
      <c r="B312" s="128" t="s">
        <v>0</v>
      </c>
      <c r="C312" s="157" t="str">
        <f t="shared" si="9"/>
        <v>27.10.2021_KIN1</v>
      </c>
      <c r="D312" s="190">
        <f t="shared" si="10"/>
        <v>0</v>
      </c>
      <c r="E312" s="204">
        <v>3.658416686933709E-3</v>
      </c>
      <c r="F312" s="205">
        <v>4.0609736604874123E-2</v>
      </c>
      <c r="G312" s="204">
        <v>9.6754416928307458E-3</v>
      </c>
      <c r="H312" s="204">
        <v>1.5436681222707408E-3</v>
      </c>
      <c r="I312" s="209">
        <v>3.6070000000000002</v>
      </c>
      <c r="J312" s="207">
        <v>0.8226959434798915</v>
      </c>
      <c r="K312" s="209">
        <v>7.3620000000000001</v>
      </c>
      <c r="L312" s="209">
        <v>9.2439999999999998</v>
      </c>
      <c r="M312" s="208">
        <v>17.89</v>
      </c>
      <c r="N312" s="221"/>
    </row>
    <row r="313" spans="1:14" ht="16.5" customHeight="1" x14ac:dyDescent="0.25">
      <c r="A313" s="203">
        <v>44496</v>
      </c>
      <c r="B313" s="128" t="s">
        <v>2</v>
      </c>
      <c r="C313" s="157" t="str">
        <f t="shared" si="9"/>
        <v>27.10.2021_KIN2</v>
      </c>
      <c r="D313" s="190">
        <f t="shared" si="10"/>
        <v>0</v>
      </c>
      <c r="E313" s="204">
        <v>9.1460417173342724E-3</v>
      </c>
      <c r="F313" s="205">
        <v>3.365496592041934E-2</v>
      </c>
      <c r="G313" s="204">
        <v>1.7738309770189677E-2</v>
      </c>
      <c r="H313" s="204">
        <v>6.1746724890829668E-3</v>
      </c>
      <c r="I313" s="209">
        <v>6.2539999999999996</v>
      </c>
      <c r="J313" s="207">
        <v>1.4282444791927558</v>
      </c>
      <c r="K313" s="209">
        <v>12.331</v>
      </c>
      <c r="L313" s="209">
        <v>14.039</v>
      </c>
      <c r="M313" s="208">
        <v>18.53</v>
      </c>
      <c r="N313" s="221"/>
    </row>
    <row r="314" spans="1:14" ht="16.5" customHeight="1" x14ac:dyDescent="0.25">
      <c r="A314" s="203">
        <v>44496</v>
      </c>
      <c r="B314" s="128" t="s">
        <v>4</v>
      </c>
      <c r="C314" s="157" t="str">
        <f t="shared" si="9"/>
        <v>27.10.2021_KIN3</v>
      </c>
      <c r="D314" s="190">
        <f t="shared" si="10"/>
        <v>0</v>
      </c>
      <c r="E314" s="204">
        <v>1.2804458404267981E-2</v>
      </c>
      <c r="F314" s="205">
        <v>4.1577058185885793E-2</v>
      </c>
      <c r="G314" s="204">
        <v>1.2900588923774327E-2</v>
      </c>
      <c r="H314" s="204">
        <v>6.1746724890829668E-3</v>
      </c>
      <c r="I314" s="209">
        <v>6.1639999999999997</v>
      </c>
      <c r="J314" s="207">
        <v>1.4041597373327226</v>
      </c>
      <c r="K314" s="209">
        <v>15.352</v>
      </c>
      <c r="L314" s="209">
        <v>15.452999999999999</v>
      </c>
      <c r="M314" s="208">
        <v>16.75</v>
      </c>
      <c r="N314" s="221"/>
    </row>
    <row r="315" spans="1:14" ht="16.5" customHeight="1" x14ac:dyDescent="0.25">
      <c r="A315" s="203">
        <v>44496</v>
      </c>
      <c r="B315" s="128" t="s">
        <v>6</v>
      </c>
      <c r="C315" s="157" t="str">
        <f t="shared" si="9"/>
        <v>27.10.2021_KIN4</v>
      </c>
      <c r="D315" s="190">
        <f t="shared" si="10"/>
        <v>0</v>
      </c>
      <c r="E315" s="204">
        <v>2.0121291778135396E-2</v>
      </c>
      <c r="F315" s="205">
        <v>4.7365671383977917E-2</v>
      </c>
      <c r="G315" s="204">
        <v>2.5801177847548633E-2</v>
      </c>
      <c r="H315" s="204">
        <v>1.0805676855895197E-2</v>
      </c>
      <c r="I315" s="209">
        <v>5.8550000000000004</v>
      </c>
      <c r="J315" s="207">
        <v>1.3457929949056202</v>
      </c>
      <c r="K315" s="209">
        <v>24.562999999999999</v>
      </c>
      <c r="L315" s="209">
        <v>14.31</v>
      </c>
      <c r="M315" s="208">
        <v>19.350000000000001</v>
      </c>
      <c r="N315" s="221"/>
    </row>
    <row r="316" spans="1:14" ht="16.5" customHeight="1" x14ac:dyDescent="0.25">
      <c r="A316" s="203">
        <v>44496</v>
      </c>
      <c r="B316" s="128" t="s">
        <v>34</v>
      </c>
      <c r="C316" s="157" t="str">
        <f t="shared" si="9"/>
        <v>27.10.2021_KRE1</v>
      </c>
      <c r="D316" s="190">
        <f t="shared" si="10"/>
        <v>0</v>
      </c>
      <c r="E316" s="204">
        <v>7.6826750425607881E-2</v>
      </c>
      <c r="F316" s="205">
        <v>0.13883476821401394</v>
      </c>
      <c r="G316" s="204">
        <v>5.1602355695097267E-2</v>
      </c>
      <c r="H316" s="204">
        <v>3.7048034934497813E-2</v>
      </c>
      <c r="I316" s="209">
        <v>4.7069999999999999</v>
      </c>
      <c r="J316" s="207">
        <v>1.1145180774094938</v>
      </c>
      <c r="K316" s="209">
        <v>58</v>
      </c>
      <c r="L316" s="209">
        <v>36.362000000000002</v>
      </c>
      <c r="M316" s="208">
        <v>16.39</v>
      </c>
      <c r="N316" s="221"/>
    </row>
    <row r="317" spans="1:14" ht="16.5" customHeight="1" x14ac:dyDescent="0.25">
      <c r="A317" s="203">
        <v>44496</v>
      </c>
      <c r="B317" s="128" t="s">
        <v>37</v>
      </c>
      <c r="C317" s="157" t="str">
        <f t="shared" si="9"/>
        <v>27.10.2021_KRE2</v>
      </c>
      <c r="D317" s="190">
        <f t="shared" si="10"/>
        <v>0</v>
      </c>
      <c r="E317" s="204">
        <v>5.6705458647472486E-2</v>
      </c>
      <c r="F317" s="205">
        <v>0.12539131382840901</v>
      </c>
      <c r="G317" s="204">
        <v>7.0953239080758734E-2</v>
      </c>
      <c r="H317" s="204">
        <v>4.01353711790393E-2</v>
      </c>
      <c r="I317" s="209">
        <v>8.4420000000000002</v>
      </c>
      <c r="J317" s="207">
        <v>1.9741082343692766</v>
      </c>
      <c r="K317" s="209">
        <v>62</v>
      </c>
      <c r="L317" s="209">
        <v>44.706000000000003</v>
      </c>
      <c r="M317" s="208">
        <v>19.36</v>
      </c>
      <c r="N317" s="221"/>
    </row>
    <row r="318" spans="1:14" ht="16.5" customHeight="1" x14ac:dyDescent="0.25">
      <c r="A318" s="203">
        <v>44496</v>
      </c>
      <c r="B318" s="128" t="s">
        <v>18</v>
      </c>
      <c r="C318" s="157" t="str">
        <f t="shared" si="9"/>
        <v>27.10.2021_ORB1</v>
      </c>
      <c r="D318" s="190">
        <f t="shared" si="10"/>
        <v>0</v>
      </c>
      <c r="E318" s="204">
        <v>2.0121291778135396E-2</v>
      </c>
      <c r="F318" s="205">
        <v>4.2938981061099592E-2</v>
      </c>
      <c r="G318" s="204">
        <v>2.2576030616605049E-2</v>
      </c>
      <c r="H318" s="204">
        <v>1.8524017467248903E-2</v>
      </c>
      <c r="I318" s="209">
        <v>6.6749999999999998</v>
      </c>
      <c r="J318" s="207">
        <v>1.5308519491313914</v>
      </c>
      <c r="K318" s="209">
        <v>10.805999999999999</v>
      </c>
      <c r="L318" s="209">
        <v>13.182</v>
      </c>
      <c r="M318" s="208">
        <v>8.1739999999999995</v>
      </c>
      <c r="N318" s="221"/>
    </row>
    <row r="319" spans="1:14" ht="16.5" customHeight="1" x14ac:dyDescent="0.25">
      <c r="A319" s="203">
        <v>44496</v>
      </c>
      <c r="B319" s="128" t="s">
        <v>21</v>
      </c>
      <c r="C319" s="157" t="str">
        <f t="shared" si="9"/>
        <v>27.10.2021_ORB2</v>
      </c>
      <c r="D319" s="190">
        <f t="shared" si="10"/>
        <v>0</v>
      </c>
      <c r="E319" s="204">
        <v>1.0975250060801127E-2</v>
      </c>
      <c r="F319" s="205">
        <v>3.8162876123006055E-2</v>
      </c>
      <c r="G319" s="204">
        <v>2.7413751463020424E-2</v>
      </c>
      <c r="H319" s="204">
        <v>1.8524017467248903E-2</v>
      </c>
      <c r="I319" s="209">
        <v>4.7709999999999999</v>
      </c>
      <c r="J319" s="207">
        <v>1.1045519109914246</v>
      </c>
      <c r="K319" s="209">
        <v>13.792999999999999</v>
      </c>
      <c r="L319" s="209">
        <v>12.13</v>
      </c>
      <c r="M319" s="208">
        <v>18.489999999999998</v>
      </c>
      <c r="N319" s="221"/>
    </row>
    <row r="320" spans="1:14" ht="16.5" customHeight="1" x14ac:dyDescent="0.25">
      <c r="A320" s="203">
        <v>44496</v>
      </c>
      <c r="B320" s="128" t="s">
        <v>10</v>
      </c>
      <c r="C320" s="157" t="str">
        <f t="shared" si="9"/>
        <v>27.10.2021_SAL1</v>
      </c>
      <c r="D320" s="190">
        <f t="shared" si="10"/>
        <v>0</v>
      </c>
      <c r="E320" s="204">
        <v>0.05</v>
      </c>
      <c r="F320" s="205">
        <v>9.8151085151494857E-2</v>
      </c>
      <c r="G320" s="204">
        <v>0.03</v>
      </c>
      <c r="H320" s="204">
        <v>0.04</v>
      </c>
      <c r="I320" s="209">
        <v>6.5</v>
      </c>
      <c r="J320" s="207">
        <v>1.5036276999999998</v>
      </c>
      <c r="K320" s="209">
        <v>8.8000000000000007</v>
      </c>
      <c r="L320" s="209">
        <v>5.9</v>
      </c>
      <c r="M320" s="208">
        <v>8.1850000000000005</v>
      </c>
      <c r="N320" s="221"/>
    </row>
    <row r="321" spans="1:14" ht="16.5" customHeight="1" x14ac:dyDescent="0.25">
      <c r="A321" s="203">
        <v>44496</v>
      </c>
      <c r="B321" s="128" t="s">
        <v>12</v>
      </c>
      <c r="C321" s="157" t="str">
        <f t="shared" si="9"/>
        <v>27.10.2021_SAL2</v>
      </c>
      <c r="D321" s="190">
        <f t="shared" si="10"/>
        <v>0</v>
      </c>
      <c r="E321" s="204">
        <v>4.3901000243204508E-2</v>
      </c>
      <c r="F321" s="205">
        <v>7.9553133666795547E-2</v>
      </c>
      <c r="G321" s="204">
        <v>8.0628680773589551E-3</v>
      </c>
      <c r="H321" s="204">
        <v>7.7183406113537096E-3</v>
      </c>
      <c r="I321" s="209">
        <v>4.444</v>
      </c>
      <c r="J321" s="207">
        <v>1.0123768652325151</v>
      </c>
      <c r="K321" s="209">
        <v>7.8860000000000001</v>
      </c>
      <c r="L321" s="209">
        <v>5.7220000000000004</v>
      </c>
      <c r="M321" s="208">
        <v>19.78</v>
      </c>
      <c r="N321" s="221"/>
    </row>
    <row r="322" spans="1:14" ht="16.5" customHeight="1" x14ac:dyDescent="0.25">
      <c r="A322" s="203">
        <v>44496</v>
      </c>
      <c r="B322" s="128" t="s">
        <v>7</v>
      </c>
      <c r="C322" s="157" t="str">
        <f t="shared" si="9"/>
        <v>27.10.2021_STE1</v>
      </c>
      <c r="D322" s="190">
        <f t="shared" si="10"/>
        <v>0</v>
      </c>
      <c r="E322" s="204">
        <v>5.1217833617071926E-2</v>
      </c>
      <c r="F322" s="205">
        <v>0.10073142962370678</v>
      </c>
      <c r="G322" s="204">
        <v>1.4513162539246118E-2</v>
      </c>
      <c r="H322" s="204">
        <v>6.1746724890829668E-3</v>
      </c>
      <c r="I322" s="209">
        <v>7.5869999999999997</v>
      </c>
      <c r="J322" s="207">
        <v>1.7268248946194005</v>
      </c>
      <c r="K322" s="209">
        <v>12.814</v>
      </c>
      <c r="L322" s="209">
        <v>9.3379999999999992</v>
      </c>
      <c r="M322" s="208">
        <v>19.32</v>
      </c>
      <c r="N322" s="221"/>
    </row>
    <row r="323" spans="1:14" ht="16.5" customHeight="1" x14ac:dyDescent="0.25">
      <c r="A323" s="203">
        <v>44496</v>
      </c>
      <c r="B323" s="128" t="s">
        <v>9</v>
      </c>
      <c r="C323" s="157" t="str">
        <f t="shared" si="9"/>
        <v>27.10.2021_STE2</v>
      </c>
      <c r="D323" s="190">
        <f t="shared" si="10"/>
        <v>0</v>
      </c>
      <c r="E323" s="204">
        <v>6.402229202133991E-2</v>
      </c>
      <c r="F323" s="205">
        <v>9.4303190818287433E-2</v>
      </c>
      <c r="G323" s="204">
        <v>8.0628680773589551E-3</v>
      </c>
      <c r="H323" s="204">
        <v>3.0873362445414847E-3</v>
      </c>
      <c r="I323" s="209">
        <v>4.8890000000000002</v>
      </c>
      <c r="J323" s="207">
        <v>1.1114791059530389</v>
      </c>
      <c r="K323" s="209">
        <v>9.2739999999999991</v>
      </c>
      <c r="L323" s="209">
        <v>6.9279999999999999</v>
      </c>
      <c r="M323" s="208">
        <v>16.04</v>
      </c>
      <c r="N323" s="221"/>
    </row>
    <row r="324" spans="1:14" ht="16.5" customHeight="1" x14ac:dyDescent="0.25">
      <c r="A324" s="203">
        <v>44510</v>
      </c>
      <c r="B324" s="128" t="s">
        <v>22</v>
      </c>
      <c r="C324" s="157" t="str">
        <f t="shared" si="9"/>
        <v>10.11.2021_BIE1</v>
      </c>
      <c r="D324" s="190">
        <f t="shared" si="10"/>
        <v>0</v>
      </c>
      <c r="E324" s="204">
        <v>1.0950600966502827E-2</v>
      </c>
      <c r="F324" s="205">
        <v>2.5940006487867252E-2</v>
      </c>
      <c r="G324" s="204">
        <v>1.9964453737584938E-2</v>
      </c>
      <c r="H324" s="204">
        <v>1.2405685207931219E-2</v>
      </c>
      <c r="I324" s="209">
        <v>3.589</v>
      </c>
      <c r="J324" s="207">
        <v>0.82992653954425188</v>
      </c>
      <c r="K324" s="209">
        <v>9.1479999999999997</v>
      </c>
      <c r="L324" s="209">
        <v>13.903</v>
      </c>
      <c r="M324" s="208">
        <v>15.31</v>
      </c>
      <c r="N324" s="221"/>
    </row>
    <row r="325" spans="1:14" ht="16.5" customHeight="1" x14ac:dyDescent="0.25">
      <c r="A325" s="203">
        <v>44510</v>
      </c>
      <c r="B325" s="128" t="s">
        <v>25</v>
      </c>
      <c r="C325" s="157" t="str">
        <f t="shared" ref="C325:C388" si="11">CONCATENATE(TEXT(A325,"TT.MM.JJJJ"),"_",B325)</f>
        <v>10.11.2021_BIE2</v>
      </c>
      <c r="D325" s="190">
        <f t="shared" ref="D325:D388" si="12">COUNTBLANK(E325:L325)</f>
        <v>0</v>
      </c>
      <c r="E325" s="204">
        <v>1.4600801288670437E-2</v>
      </c>
      <c r="F325" s="205">
        <v>3.0405916670434959E-2</v>
      </c>
      <c r="G325" s="204">
        <v>3.6299006795609025E-3</v>
      </c>
      <c r="H325" s="204">
        <v>1.0854974556939815E-2</v>
      </c>
      <c r="I325" s="209">
        <v>3.42</v>
      </c>
      <c r="J325" s="207">
        <v>0.77859877858253246</v>
      </c>
      <c r="K325" s="209">
        <v>10.106</v>
      </c>
      <c r="L325" s="209">
        <v>13.595000000000001</v>
      </c>
      <c r="M325" s="208">
        <v>7.4029999999999996</v>
      </c>
      <c r="N325" s="221"/>
    </row>
    <row r="326" spans="1:14" ht="16.5" customHeight="1" x14ac:dyDescent="0.25">
      <c r="A326" s="203">
        <v>44510</v>
      </c>
      <c r="B326" s="128" t="s">
        <v>14</v>
      </c>
      <c r="C326" s="157" t="str">
        <f t="shared" si="11"/>
        <v>10.11.2021_BRA1</v>
      </c>
      <c r="D326" s="190">
        <f t="shared" si="12"/>
        <v>0</v>
      </c>
      <c r="E326" s="204">
        <v>4.7452604188178912E-2</v>
      </c>
      <c r="F326" s="205">
        <v>6.7638825533725203E-2</v>
      </c>
      <c r="G326" s="204">
        <v>5.4448510193413537E-3</v>
      </c>
      <c r="H326" s="204">
        <v>2.6362081066853837E-2</v>
      </c>
      <c r="I326" s="209">
        <v>7.0389999999999997</v>
      </c>
      <c r="J326" s="207">
        <v>1.6021527379488121</v>
      </c>
      <c r="K326" s="209">
        <v>9.3840000000000003</v>
      </c>
      <c r="L326" s="209">
        <v>5.4169999999999998</v>
      </c>
      <c r="M326" s="208">
        <v>18.13</v>
      </c>
      <c r="N326" s="221"/>
    </row>
    <row r="327" spans="1:14" ht="16.5" customHeight="1" x14ac:dyDescent="0.25">
      <c r="A327" s="203">
        <v>44510</v>
      </c>
      <c r="B327" s="128" t="s">
        <v>17</v>
      </c>
      <c r="C327" s="157" t="str">
        <f t="shared" si="11"/>
        <v>10.11.2021_BRA2</v>
      </c>
      <c r="D327" s="190">
        <f t="shared" si="12"/>
        <v>0</v>
      </c>
      <c r="E327" s="204">
        <v>4.9277704349262721E-2</v>
      </c>
      <c r="F327" s="205">
        <v>7.6710053155076494E-2</v>
      </c>
      <c r="G327" s="204">
        <v>1.2704652378463133E-2</v>
      </c>
      <c r="H327" s="204">
        <v>2.3260659764871034E-2</v>
      </c>
      <c r="I327" s="209">
        <v>10.032</v>
      </c>
      <c r="J327" s="207">
        <v>2.2828745833907678</v>
      </c>
      <c r="K327" s="209">
        <v>12.412000000000001</v>
      </c>
      <c r="L327" s="209">
        <v>6.49</v>
      </c>
      <c r="M327" s="208">
        <v>14.86</v>
      </c>
      <c r="N327" s="221"/>
    </row>
    <row r="328" spans="1:14" ht="16.5" customHeight="1" x14ac:dyDescent="0.25">
      <c r="A328" s="203">
        <v>44510</v>
      </c>
      <c r="B328" s="128" t="s">
        <v>30</v>
      </c>
      <c r="C328" s="157" t="str">
        <f t="shared" si="11"/>
        <v>10.11.2021_FAL1</v>
      </c>
      <c r="D328" s="190">
        <f t="shared" si="12"/>
        <v>0</v>
      </c>
      <c r="E328" s="204">
        <v>0.12228171079261491</v>
      </c>
      <c r="F328" s="205">
        <v>0.26747852845959863</v>
      </c>
      <c r="G328" s="204">
        <v>7.6227914270778879E-2</v>
      </c>
      <c r="H328" s="204">
        <v>0.10234690296543254</v>
      </c>
      <c r="I328" s="209">
        <v>11.627000000000001</v>
      </c>
      <c r="J328" s="207">
        <v>2.7165402177599427</v>
      </c>
      <c r="K328" s="209">
        <v>70</v>
      </c>
      <c r="L328" s="209">
        <v>39.040999999999997</v>
      </c>
      <c r="M328" s="208">
        <v>11.77</v>
      </c>
      <c r="N328" s="221"/>
    </row>
    <row r="329" spans="1:14" ht="16.5" customHeight="1" x14ac:dyDescent="0.25">
      <c r="A329" s="203">
        <v>44510</v>
      </c>
      <c r="B329" s="128" t="s">
        <v>32</v>
      </c>
      <c r="C329" s="157" t="str">
        <f t="shared" si="11"/>
        <v>10.11.2021_FAL2</v>
      </c>
      <c r="D329" s="190">
        <f t="shared" si="12"/>
        <v>0</v>
      </c>
      <c r="E329" s="204">
        <v>8.7604807732022616E-2</v>
      </c>
      <c r="F329" s="205">
        <v>0.16006929164328385</v>
      </c>
      <c r="G329" s="204">
        <v>4.3558808154730781E-2</v>
      </c>
      <c r="H329" s="204">
        <v>5.2724162133707661E-2</v>
      </c>
      <c r="I329" s="209">
        <v>13.087999999999999</v>
      </c>
      <c r="J329" s="207">
        <v>3.0060614101056737</v>
      </c>
      <c r="K329" s="209">
        <v>60</v>
      </c>
      <c r="L329" s="209">
        <v>37.908000000000001</v>
      </c>
      <c r="M329" s="208">
        <v>8.9290000000000003</v>
      </c>
      <c r="N329" s="221"/>
    </row>
    <row r="330" spans="1:14" ht="16.5" customHeight="1" x14ac:dyDescent="0.25">
      <c r="A330" s="203">
        <v>44510</v>
      </c>
      <c r="B330" s="128" t="s">
        <v>26</v>
      </c>
      <c r="C330" s="157" t="str">
        <f t="shared" si="11"/>
        <v>10.11.2021_GRU1</v>
      </c>
      <c r="D330" s="190">
        <f t="shared" si="12"/>
        <v>0</v>
      </c>
      <c r="E330" s="204">
        <v>1.8251001610838046E-2</v>
      </c>
      <c r="F330" s="205">
        <v>4.2530965311834361E-2</v>
      </c>
      <c r="G330" s="204">
        <v>5.4448510193413537E-3</v>
      </c>
      <c r="H330" s="204">
        <v>1.0854974556939815E-2</v>
      </c>
      <c r="I330" s="209">
        <v>4.4489999999999998</v>
      </c>
      <c r="J330" s="207">
        <v>1.0124282993718685</v>
      </c>
      <c r="K330" s="209">
        <v>9.2919999999999998</v>
      </c>
      <c r="L330" s="209">
        <v>12.744</v>
      </c>
      <c r="M330" s="208">
        <v>18.84</v>
      </c>
      <c r="N330" s="221"/>
    </row>
    <row r="331" spans="1:14" ht="16.5" customHeight="1" x14ac:dyDescent="0.25">
      <c r="A331" s="203">
        <v>44510</v>
      </c>
      <c r="B331" s="128" t="s">
        <v>28</v>
      </c>
      <c r="C331" s="157" t="str">
        <f t="shared" si="11"/>
        <v>10.11.2021_GRU2</v>
      </c>
      <c r="D331" s="190">
        <f t="shared" si="12"/>
        <v>0</v>
      </c>
      <c r="E331" s="204">
        <v>2.1901201933005654E-2</v>
      </c>
      <c r="F331" s="205">
        <v>3.8160618603782774E-2</v>
      </c>
      <c r="G331" s="204">
        <v>4.1743857814950325E-2</v>
      </c>
      <c r="H331" s="204">
        <v>2.0159238462888227E-2</v>
      </c>
      <c r="I331" s="209">
        <v>4.4329999999999998</v>
      </c>
      <c r="J331" s="207">
        <v>1.039832878304757</v>
      </c>
      <c r="K331" s="209">
        <v>10.157999999999999</v>
      </c>
      <c r="L331" s="209">
        <v>11.271000000000001</v>
      </c>
      <c r="M331" s="208">
        <v>8.1219999999999999</v>
      </c>
      <c r="N331" s="221"/>
    </row>
    <row r="332" spans="1:14" ht="16.5" customHeight="1" x14ac:dyDescent="0.25">
      <c r="A332" s="203">
        <v>44510</v>
      </c>
      <c r="B332" s="128" t="s">
        <v>0</v>
      </c>
      <c r="C332" s="157" t="str">
        <f t="shared" si="11"/>
        <v>10.11.2021_KIN1</v>
      </c>
      <c r="D332" s="190">
        <f t="shared" si="12"/>
        <v>0</v>
      </c>
      <c r="E332" s="204">
        <v>1.4600801288670437E-2</v>
      </c>
      <c r="F332" s="205">
        <v>3.1050333154570425E-2</v>
      </c>
      <c r="G332" s="204">
        <v>1.8149503397804512E-3</v>
      </c>
      <c r="H332" s="204">
        <v>6.2028426039656085E-3</v>
      </c>
      <c r="I332" s="209">
        <v>5.7190000000000003</v>
      </c>
      <c r="J332" s="207">
        <v>1.2950482762201136</v>
      </c>
      <c r="K332" s="209">
        <v>12.192</v>
      </c>
      <c r="L332" s="209">
        <v>13.374000000000001</v>
      </c>
      <c r="M332" s="208">
        <v>19.149999999999999</v>
      </c>
      <c r="N332" s="221"/>
    </row>
    <row r="333" spans="1:14" ht="16.5" customHeight="1" x14ac:dyDescent="0.25">
      <c r="A333" s="203">
        <v>44510</v>
      </c>
      <c r="B333" s="128" t="s">
        <v>2</v>
      </c>
      <c r="C333" s="157" t="str">
        <f t="shared" si="11"/>
        <v>10.11.2021_KIN2</v>
      </c>
      <c r="D333" s="190">
        <f t="shared" si="12"/>
        <v>0</v>
      </c>
      <c r="E333" s="204">
        <v>1.642590144975424E-2</v>
      </c>
      <c r="F333" s="205">
        <v>3.1414577711178442E-2</v>
      </c>
      <c r="G333" s="204">
        <v>1.8149503397804488E-2</v>
      </c>
      <c r="H333" s="204">
        <v>9.3042639059484119E-3</v>
      </c>
      <c r="I333" s="209">
        <v>6.5659999999999998</v>
      </c>
      <c r="J333" s="207">
        <v>1.4999880110395269</v>
      </c>
      <c r="K333" s="209">
        <v>13.365</v>
      </c>
      <c r="L333" s="209">
        <v>14.864000000000001</v>
      </c>
      <c r="M333" s="208">
        <v>15.33</v>
      </c>
      <c r="N333" s="221"/>
    </row>
    <row r="334" spans="1:14" ht="16.5" customHeight="1" x14ac:dyDescent="0.25">
      <c r="A334" s="203">
        <v>44510</v>
      </c>
      <c r="B334" s="128" t="s">
        <v>4</v>
      </c>
      <c r="C334" s="157" t="str">
        <f t="shared" si="11"/>
        <v>10.11.2021_KIN3</v>
      </c>
      <c r="D334" s="190">
        <f t="shared" si="12"/>
        <v>0</v>
      </c>
      <c r="E334" s="204">
        <v>1.0950600966502827E-2</v>
      </c>
      <c r="F334" s="205">
        <v>3.3128187238639237E-2</v>
      </c>
      <c r="G334" s="204">
        <v>2.5409304756926293E-2</v>
      </c>
      <c r="H334" s="204">
        <v>6.2028426039656085E-3</v>
      </c>
      <c r="I334" s="209">
        <v>6.1959999999999997</v>
      </c>
      <c r="J334" s="207">
        <v>1.4211090464814831</v>
      </c>
      <c r="K334" s="209">
        <v>16.308</v>
      </c>
      <c r="L334" s="209">
        <v>16.742999999999999</v>
      </c>
      <c r="M334" s="208">
        <v>15.93</v>
      </c>
      <c r="N334" s="221"/>
    </row>
    <row r="335" spans="1:14" ht="16.5" customHeight="1" x14ac:dyDescent="0.25">
      <c r="A335" s="203">
        <v>44510</v>
      </c>
      <c r="B335" s="128" t="s">
        <v>6</v>
      </c>
      <c r="C335" s="157" t="str">
        <f t="shared" si="11"/>
        <v>10.11.2021_KIN4</v>
      </c>
      <c r="D335" s="190">
        <f t="shared" si="12"/>
        <v>0</v>
      </c>
      <c r="E335" s="204">
        <v>2.3726302094089456E-2</v>
      </c>
      <c r="F335" s="205">
        <v>5.7880426482176915E-2</v>
      </c>
      <c r="G335" s="204">
        <v>1.6334553058024035E-2</v>
      </c>
      <c r="H335" s="204">
        <v>1.0854974556939815E-2</v>
      </c>
      <c r="I335" s="209">
        <v>5.8019999999999996</v>
      </c>
      <c r="J335" s="207">
        <v>1.326486154107885</v>
      </c>
      <c r="K335" s="209">
        <v>28.530999999999999</v>
      </c>
      <c r="L335" s="209">
        <v>17.100000000000001</v>
      </c>
      <c r="M335" s="208">
        <v>13.48</v>
      </c>
      <c r="N335" s="221"/>
    </row>
    <row r="336" spans="1:14" ht="16.5" customHeight="1" x14ac:dyDescent="0.25">
      <c r="A336" s="203">
        <v>44510</v>
      </c>
      <c r="B336" s="128" t="s">
        <v>34</v>
      </c>
      <c r="C336" s="157" t="str">
        <f t="shared" si="11"/>
        <v>10.11.2021_KRE1</v>
      </c>
      <c r="D336" s="190">
        <f t="shared" si="12"/>
        <v>0</v>
      </c>
      <c r="E336" s="204">
        <v>3.1026702738424679E-2</v>
      </c>
      <c r="F336" s="205">
        <v>8.5576165918896302E-2</v>
      </c>
      <c r="G336" s="204">
        <v>3.9928907475169875E-2</v>
      </c>
      <c r="H336" s="204">
        <v>3.1014213019828048E-2</v>
      </c>
      <c r="I336" s="209">
        <v>4.734</v>
      </c>
      <c r="J336" s="207">
        <v>1.1097152545192812</v>
      </c>
      <c r="K336" s="209">
        <v>64</v>
      </c>
      <c r="L336" s="209">
        <v>41.139000000000003</v>
      </c>
      <c r="M336" s="208">
        <v>9.6159999999999997</v>
      </c>
      <c r="N336" s="221"/>
    </row>
    <row r="337" spans="1:14" ht="16.5" customHeight="1" x14ac:dyDescent="0.25">
      <c r="A337" s="203">
        <v>44510</v>
      </c>
      <c r="B337" s="128" t="s">
        <v>37</v>
      </c>
      <c r="C337" s="157" t="str">
        <f t="shared" si="11"/>
        <v>10.11.2021_KRE2</v>
      </c>
      <c r="D337" s="190">
        <f t="shared" si="12"/>
        <v>0</v>
      </c>
      <c r="E337" s="204">
        <v>5.4753004832514135E-2</v>
      </c>
      <c r="F337" s="205">
        <v>0.10882091948019612</v>
      </c>
      <c r="G337" s="204">
        <v>9.0747516989022489E-2</v>
      </c>
      <c r="H337" s="204">
        <v>4.4970608878750658E-2</v>
      </c>
      <c r="I337" s="209">
        <v>7.5339999999999998</v>
      </c>
      <c r="J337" s="207">
        <v>1.7858604213399416</v>
      </c>
      <c r="K337" s="209">
        <v>64</v>
      </c>
      <c r="L337" s="209">
        <v>46.752000000000002</v>
      </c>
      <c r="M337" s="208">
        <v>7.7229999999999999</v>
      </c>
      <c r="N337" s="221"/>
    </row>
    <row r="338" spans="1:14" ht="16.5" customHeight="1" x14ac:dyDescent="0.25">
      <c r="A338" s="203">
        <v>44510</v>
      </c>
      <c r="B338" s="128" t="s">
        <v>18</v>
      </c>
      <c r="C338" s="157" t="str">
        <f t="shared" si="11"/>
        <v>10.11.2021_ORB1</v>
      </c>
      <c r="D338" s="190">
        <f t="shared" si="12"/>
        <v>0</v>
      </c>
      <c r="E338" s="204">
        <v>1.642590144975424E-2</v>
      </c>
      <c r="F338" s="205">
        <v>4.0190505848535028E-2</v>
      </c>
      <c r="G338" s="204">
        <v>3.6299006795608997E-2</v>
      </c>
      <c r="H338" s="204">
        <v>1.550710650991402E-2</v>
      </c>
      <c r="I338" s="209">
        <v>6.0380000000000003</v>
      </c>
      <c r="J338" s="207">
        <v>1.3967100143636657</v>
      </c>
      <c r="K338" s="209">
        <v>10.294</v>
      </c>
      <c r="L338" s="209">
        <v>13.041</v>
      </c>
      <c r="M338" s="208">
        <v>17.260000000000002</v>
      </c>
      <c r="N338" s="221"/>
    </row>
    <row r="339" spans="1:14" ht="16.5" customHeight="1" x14ac:dyDescent="0.25">
      <c r="A339" s="203">
        <v>44510</v>
      </c>
      <c r="B339" s="128" t="s">
        <v>21</v>
      </c>
      <c r="C339" s="157" t="str">
        <f t="shared" si="11"/>
        <v>10.11.2021_ORB2</v>
      </c>
      <c r="D339" s="190">
        <f t="shared" si="12"/>
        <v>0</v>
      </c>
      <c r="E339" s="204">
        <v>1.8251001610838046E-2</v>
      </c>
      <c r="F339" s="205">
        <v>4.207922918224169E-2</v>
      </c>
      <c r="G339" s="204">
        <v>1.8149503397804488E-2</v>
      </c>
      <c r="H339" s="204">
        <v>2.0159238462888227E-2</v>
      </c>
      <c r="I339" s="209">
        <v>5.5519999999999996</v>
      </c>
      <c r="J339" s="207">
        <v>1.2742606280433872</v>
      </c>
      <c r="K339" s="209">
        <v>20.741</v>
      </c>
      <c r="L339" s="209">
        <v>15.989000000000001</v>
      </c>
      <c r="M339" s="208">
        <v>8.5389999999999997</v>
      </c>
      <c r="N339" s="221"/>
    </row>
    <row r="340" spans="1:14" ht="16.5" customHeight="1" x14ac:dyDescent="0.25">
      <c r="A340" s="203">
        <v>44510</v>
      </c>
      <c r="B340" s="128" t="s">
        <v>10</v>
      </c>
      <c r="C340" s="157" t="str">
        <f t="shared" si="11"/>
        <v>10.11.2021_SAL1</v>
      </c>
      <c r="D340" s="190">
        <f t="shared" si="12"/>
        <v>0</v>
      </c>
      <c r="E340" s="204">
        <v>4.9277704349262721E-2</v>
      </c>
      <c r="F340" s="205">
        <v>9.0807788875699319E-2</v>
      </c>
      <c r="G340" s="204">
        <v>1.9964453737584938E-2</v>
      </c>
      <c r="H340" s="204">
        <v>2.0159238462888227E-2</v>
      </c>
      <c r="I340" s="209">
        <v>6.7919999999999998</v>
      </c>
      <c r="J340" s="207">
        <v>1.5557487188327235</v>
      </c>
      <c r="K340" s="209">
        <v>10.212999999999999</v>
      </c>
      <c r="L340" s="209">
        <v>6.6070000000000002</v>
      </c>
      <c r="M340" s="208">
        <v>9.5</v>
      </c>
      <c r="N340" s="221"/>
    </row>
    <row r="341" spans="1:14" ht="16.5" customHeight="1" x14ac:dyDescent="0.25">
      <c r="A341" s="203">
        <v>44510</v>
      </c>
      <c r="B341" s="128" t="s">
        <v>12</v>
      </c>
      <c r="C341" s="157" t="str">
        <f t="shared" si="11"/>
        <v>10.11.2021_SAL2</v>
      </c>
      <c r="D341" s="190">
        <f t="shared" si="12"/>
        <v>0</v>
      </c>
      <c r="E341" s="204">
        <v>4.9277704349262721E-2</v>
      </c>
      <c r="F341" s="205">
        <v>8.2161947561495294E-2</v>
      </c>
      <c r="G341" s="204">
        <v>9.0747516989022562E-3</v>
      </c>
      <c r="H341" s="204">
        <v>1.0854974556939815E-2</v>
      </c>
      <c r="I341" s="209">
        <v>5.2089999999999996</v>
      </c>
      <c r="J341" s="207">
        <v>1.1869080809505408</v>
      </c>
      <c r="K341" s="209">
        <v>10.654</v>
      </c>
      <c r="L341" s="209">
        <v>6.875</v>
      </c>
      <c r="M341" s="208">
        <v>15.49</v>
      </c>
      <c r="N341" s="221"/>
    </row>
    <row r="342" spans="1:14" ht="16.5" customHeight="1" x14ac:dyDescent="0.25">
      <c r="A342" s="203">
        <v>44510</v>
      </c>
      <c r="B342" s="128" t="s">
        <v>7</v>
      </c>
      <c r="C342" s="157" t="str">
        <f t="shared" si="11"/>
        <v>10.11.2021_STE1</v>
      </c>
      <c r="D342" s="190">
        <f t="shared" si="12"/>
        <v>0</v>
      </c>
      <c r="E342" s="204">
        <v>5.2927904671430333E-2</v>
      </c>
      <c r="F342" s="205">
        <v>0.10847986712268259</v>
      </c>
      <c r="G342" s="204">
        <v>2.1779404077365391E-2</v>
      </c>
      <c r="H342" s="204">
        <v>1.8608527811896827E-2</v>
      </c>
      <c r="I342" s="209">
        <v>7.3760000000000003</v>
      </c>
      <c r="J342" s="207">
        <v>1.6885939757643655</v>
      </c>
      <c r="K342" s="209">
        <v>11.959</v>
      </c>
      <c r="L342" s="209">
        <v>8.6140000000000008</v>
      </c>
      <c r="M342" s="208">
        <v>17.61</v>
      </c>
      <c r="N342" s="221"/>
    </row>
    <row r="343" spans="1:14" ht="16.5" customHeight="1" x14ac:dyDescent="0.25">
      <c r="A343" s="203">
        <v>44510</v>
      </c>
      <c r="B343" s="128" t="s">
        <v>9</v>
      </c>
      <c r="C343" s="157" t="str">
        <f t="shared" si="11"/>
        <v>10.11.2021_STE2</v>
      </c>
      <c r="D343" s="190">
        <f t="shared" si="12"/>
        <v>0</v>
      </c>
      <c r="E343" s="204">
        <v>5.2927904671430333E-2</v>
      </c>
      <c r="F343" s="205">
        <v>9.8335170963399818E-2</v>
      </c>
      <c r="G343" s="204">
        <v>3.6299006795609025E-3</v>
      </c>
      <c r="H343" s="204">
        <v>1.0854974556939815E-2</v>
      </c>
      <c r="I343" s="209">
        <v>6.9989999999999997</v>
      </c>
      <c r="J343" s="207">
        <v>1.5869875085825327</v>
      </c>
      <c r="K343" s="209">
        <v>12.164</v>
      </c>
      <c r="L343" s="209">
        <v>8.7029999999999994</v>
      </c>
      <c r="M343" s="208">
        <v>16.36</v>
      </c>
      <c r="N343" s="221"/>
    </row>
    <row r="344" spans="1:14" ht="16.5" customHeight="1" x14ac:dyDescent="0.25">
      <c r="A344" s="203">
        <v>44524</v>
      </c>
      <c r="B344" s="128" t="s">
        <v>22</v>
      </c>
      <c r="C344" s="157" t="str">
        <f t="shared" si="11"/>
        <v>24.11.2021_BIE1</v>
      </c>
      <c r="D344" s="190">
        <f t="shared" si="12"/>
        <v>0</v>
      </c>
      <c r="E344" s="204">
        <v>1.0289383451993549E-2</v>
      </c>
      <c r="F344" s="205">
        <v>2.1529016990889781E-2</v>
      </c>
      <c r="G344" s="204">
        <v>1.8917419559359661E-2</v>
      </c>
      <c r="H344" s="204">
        <v>3.7869999999999999</v>
      </c>
      <c r="I344" s="209">
        <v>1.8917419559359661E-2</v>
      </c>
      <c r="J344" s="207">
        <v>0.87541411938820202</v>
      </c>
      <c r="K344" s="209">
        <v>8.9749999999999996</v>
      </c>
      <c r="L344" s="209">
        <v>13.827999999999999</v>
      </c>
      <c r="M344" s="208">
        <v>16.79</v>
      </c>
      <c r="N344" s="221"/>
    </row>
    <row r="345" spans="1:14" ht="16.5" customHeight="1" x14ac:dyDescent="0.25">
      <c r="A345" s="203">
        <v>44524</v>
      </c>
      <c r="B345" s="128" t="s">
        <v>25</v>
      </c>
      <c r="C345" s="157" t="str">
        <f t="shared" si="11"/>
        <v>24.11.2021_BIE2</v>
      </c>
      <c r="D345" s="190">
        <f t="shared" si="12"/>
        <v>0</v>
      </c>
      <c r="E345" s="204">
        <v>1.0289383451993549E-2</v>
      </c>
      <c r="F345" s="205">
        <v>2.0883721916283435E-2</v>
      </c>
      <c r="G345" s="204">
        <v>1.5477888730385176E-2</v>
      </c>
      <c r="H345" s="204">
        <v>2.6629999999999998</v>
      </c>
      <c r="I345" s="209">
        <v>1.5477888730385176E-2</v>
      </c>
      <c r="J345" s="207">
        <v>0.61797293771571915</v>
      </c>
      <c r="K345" s="209">
        <v>6.9370000000000003</v>
      </c>
      <c r="L345" s="209">
        <v>9.4730000000000008</v>
      </c>
      <c r="M345" s="208">
        <v>18.05</v>
      </c>
      <c r="N345" s="221"/>
    </row>
    <row r="346" spans="1:14" ht="16.5" customHeight="1" x14ac:dyDescent="0.25">
      <c r="A346" s="203">
        <v>44524</v>
      </c>
      <c r="B346" s="128" t="s">
        <v>14</v>
      </c>
      <c r="C346" s="157" t="str">
        <f t="shared" si="11"/>
        <v>24.11.2021_BRA1</v>
      </c>
      <c r="D346" s="190">
        <f t="shared" si="12"/>
        <v>0</v>
      </c>
      <c r="E346" s="204">
        <v>5.5562670640765165E-2</v>
      </c>
      <c r="F346" s="205">
        <v>6.5552497223321793E-2</v>
      </c>
      <c r="G346" s="204">
        <v>2.0637184973846878E-2</v>
      </c>
      <c r="H346" s="204">
        <v>5.9029999999999996</v>
      </c>
      <c r="I346" s="209">
        <v>2.0637184973846878E-2</v>
      </c>
      <c r="J346" s="207">
        <v>1.3600456623094519</v>
      </c>
      <c r="K346" s="209">
        <v>5.9850000000000003</v>
      </c>
      <c r="L346" s="209">
        <v>3.722</v>
      </c>
      <c r="M346" s="208">
        <v>18.920000000000002</v>
      </c>
      <c r="N346" s="221"/>
    </row>
    <row r="347" spans="1:14" ht="16.5" customHeight="1" x14ac:dyDescent="0.25">
      <c r="A347" s="203">
        <v>44524</v>
      </c>
      <c r="B347" s="128" t="s">
        <v>17</v>
      </c>
      <c r="C347" s="157" t="str">
        <f t="shared" si="11"/>
        <v>24.11.2021_BRA2</v>
      </c>
      <c r="D347" s="190">
        <f t="shared" si="12"/>
        <v>0</v>
      </c>
      <c r="E347" s="204">
        <v>5.7620547331163875E-2</v>
      </c>
      <c r="F347" s="205">
        <v>0.10245127656591488</v>
      </c>
      <c r="G347" s="204">
        <v>1.3758123315897933E-2</v>
      </c>
      <c r="H347" s="204">
        <v>9.51</v>
      </c>
      <c r="I347" s="209">
        <v>1.3758123315897933E-2</v>
      </c>
      <c r="J347" s="207">
        <v>2.1658470682063014</v>
      </c>
      <c r="K347" s="209">
        <v>9.8949999999999996</v>
      </c>
      <c r="L347" s="209">
        <v>5.2859999999999996</v>
      </c>
      <c r="M347" s="208">
        <v>13.53</v>
      </c>
      <c r="N347" s="221"/>
    </row>
    <row r="348" spans="1:14" ht="16.5" customHeight="1" x14ac:dyDescent="0.25">
      <c r="A348" s="203">
        <v>44524</v>
      </c>
      <c r="B348" s="128" t="s">
        <v>30</v>
      </c>
      <c r="C348" s="157" t="str">
        <f t="shared" si="11"/>
        <v>24.11.2021_FAL1</v>
      </c>
      <c r="D348" s="190">
        <f t="shared" si="12"/>
        <v>0</v>
      </c>
      <c r="E348" s="204">
        <v>0.10906746459113162</v>
      </c>
      <c r="F348" s="205">
        <v>0.12278560184080059</v>
      </c>
      <c r="G348" s="204">
        <v>8.598827072436202E-2</v>
      </c>
      <c r="H348" s="204">
        <v>9.1590000000000007</v>
      </c>
      <c r="I348" s="209">
        <v>8.598827072436202E-2</v>
      </c>
      <c r="J348" s="207">
        <v>2.1520243593479709</v>
      </c>
      <c r="K348" s="209">
        <v>54</v>
      </c>
      <c r="L348" s="209">
        <v>27.167000000000002</v>
      </c>
      <c r="M348" s="208">
        <v>14.5</v>
      </c>
      <c r="N348" s="221"/>
    </row>
    <row r="349" spans="1:14" ht="16.5" customHeight="1" x14ac:dyDescent="0.25">
      <c r="A349" s="203">
        <v>44524</v>
      </c>
      <c r="B349" s="128" t="s">
        <v>32</v>
      </c>
      <c r="C349" s="157" t="str">
        <f t="shared" si="11"/>
        <v>24.11.2021_FAL2</v>
      </c>
      <c r="D349" s="190">
        <f t="shared" si="12"/>
        <v>0</v>
      </c>
      <c r="E349" s="204">
        <v>9.877808113913808E-2</v>
      </c>
      <c r="F349" s="205">
        <v>0.10869093629812586</v>
      </c>
      <c r="G349" s="204">
        <v>4.4713900776668258E-2</v>
      </c>
      <c r="H349" s="204">
        <v>16.042999999999999</v>
      </c>
      <c r="I349" s="209">
        <v>4.4713900776668258E-2</v>
      </c>
      <c r="J349" s="207">
        <v>3.6721866826900076</v>
      </c>
      <c r="K349" s="209">
        <v>76</v>
      </c>
      <c r="L349" s="209">
        <v>42.087000000000003</v>
      </c>
      <c r="M349" s="208">
        <v>10.63</v>
      </c>
      <c r="N349" s="221"/>
    </row>
    <row r="350" spans="1:14" ht="16.5" customHeight="1" x14ac:dyDescent="0.25">
      <c r="A350" s="203">
        <v>44524</v>
      </c>
      <c r="B350" s="128" t="s">
        <v>26</v>
      </c>
      <c r="C350" s="157" t="str">
        <f t="shared" si="11"/>
        <v>24.11.2021_GRU1</v>
      </c>
      <c r="D350" s="190">
        <f t="shared" si="12"/>
        <v>0</v>
      </c>
      <c r="E350" s="204">
        <v>1.6463013523189678E-2</v>
      </c>
      <c r="F350" s="205">
        <v>3.6970009910488037E-2</v>
      </c>
      <c r="G350" s="204">
        <v>1.5477888730385176E-2</v>
      </c>
      <c r="H350" s="204">
        <v>4.3609999999999998</v>
      </c>
      <c r="I350" s="209">
        <v>1.5477888730385176E-2</v>
      </c>
      <c r="J350" s="207">
        <v>1.0001613871470802</v>
      </c>
      <c r="K350" s="209">
        <v>9.0069999999999997</v>
      </c>
      <c r="L350" s="209">
        <v>12.003</v>
      </c>
      <c r="M350" s="208">
        <v>18.96</v>
      </c>
      <c r="N350" s="221"/>
    </row>
    <row r="351" spans="1:14" ht="16.5" customHeight="1" x14ac:dyDescent="0.25">
      <c r="A351" s="203">
        <v>44524</v>
      </c>
      <c r="B351" s="128" t="s">
        <v>28</v>
      </c>
      <c r="C351" s="157" t="str">
        <f t="shared" si="11"/>
        <v>24.11.2021_GRU2</v>
      </c>
      <c r="D351" s="190">
        <f t="shared" si="12"/>
        <v>0</v>
      </c>
      <c r="E351" s="204">
        <v>2.0578766903987099E-2</v>
      </c>
      <c r="F351" s="205">
        <v>2.9347229298494263E-2</v>
      </c>
      <c r="G351" s="204">
        <v>2.9236012046283087E-2</v>
      </c>
      <c r="H351" s="204">
        <v>4.5259999999999998</v>
      </c>
      <c r="I351" s="209">
        <v>2.9236012046283087E-2</v>
      </c>
      <c r="J351" s="207">
        <v>1.0507906034579193</v>
      </c>
      <c r="K351" s="209">
        <v>10.054</v>
      </c>
      <c r="L351" s="209">
        <v>10.814</v>
      </c>
      <c r="M351" s="208">
        <v>13.5</v>
      </c>
      <c r="N351" s="221"/>
    </row>
    <row r="352" spans="1:14" ht="16.5" customHeight="1" x14ac:dyDescent="0.25">
      <c r="A352" s="203">
        <v>44524</v>
      </c>
      <c r="B352" s="128" t="s">
        <v>0</v>
      </c>
      <c r="C352" s="157" t="str">
        <f t="shared" si="11"/>
        <v>24.11.2021_KIN1</v>
      </c>
      <c r="D352" s="190">
        <f t="shared" si="12"/>
        <v>0</v>
      </c>
      <c r="E352" s="204">
        <v>4.1157533807974194E-3</v>
      </c>
      <c r="F352" s="205">
        <v>2.5704796538470801E-2</v>
      </c>
      <c r="G352" s="204">
        <v>1.7197654144872416E-2</v>
      </c>
      <c r="H352" s="204">
        <v>5.2889999999999997</v>
      </c>
      <c r="I352" s="209">
        <v>1.7197654144872416E-2</v>
      </c>
      <c r="J352" s="207">
        <v>1.2111041277937755</v>
      </c>
      <c r="K352" s="209">
        <v>10.516999999999999</v>
      </c>
      <c r="L352" s="209">
        <v>13.006</v>
      </c>
      <c r="M352" s="208">
        <v>17.690000000000001</v>
      </c>
      <c r="N352" s="221"/>
    </row>
    <row r="353" spans="1:14" ht="16.5" customHeight="1" x14ac:dyDescent="0.25">
      <c r="A353" s="203">
        <v>44524</v>
      </c>
      <c r="B353" s="128" t="s">
        <v>2</v>
      </c>
      <c r="C353" s="157" t="str">
        <f t="shared" si="11"/>
        <v>24.11.2021_KIN2</v>
      </c>
      <c r="D353" s="190">
        <f t="shared" si="12"/>
        <v>0</v>
      </c>
      <c r="E353" s="204">
        <v>2.6752396975183227E-2</v>
      </c>
      <c r="F353" s="205">
        <v>3.2077240429012679E-2</v>
      </c>
      <c r="G353" s="204">
        <v>1.3758123315897933E-2</v>
      </c>
      <c r="H353" s="204">
        <v>7.8550000000000004</v>
      </c>
      <c r="I353" s="209">
        <v>1.3758123315897933E-2</v>
      </c>
      <c r="J353" s="207">
        <v>1.7911396778272088</v>
      </c>
      <c r="K353" s="209">
        <v>14.243</v>
      </c>
      <c r="L353" s="209">
        <v>16.306000000000001</v>
      </c>
      <c r="M353" s="208">
        <v>14.37</v>
      </c>
      <c r="N353" s="221"/>
    </row>
    <row r="354" spans="1:14" ht="16.5" customHeight="1" x14ac:dyDescent="0.25">
      <c r="A354" s="203">
        <v>44524</v>
      </c>
      <c r="B354" s="128" t="s">
        <v>4</v>
      </c>
      <c r="C354" s="157" t="str">
        <f t="shared" si="11"/>
        <v>24.11.2021_KIN3</v>
      </c>
      <c r="D354" s="190">
        <f t="shared" si="12"/>
        <v>0</v>
      </c>
      <c r="E354" s="204">
        <v>2.469452028478452E-2</v>
      </c>
      <c r="F354" s="205">
        <v>3.538040974400266E-2</v>
      </c>
      <c r="G354" s="204">
        <v>2.407671580282136E-2</v>
      </c>
      <c r="H354" s="204">
        <v>7.7469999999999999</v>
      </c>
      <c r="I354" s="209">
        <v>2.407671580282136E-2</v>
      </c>
      <c r="J354" s="207">
        <v>1.7747580017073801</v>
      </c>
      <c r="K354" s="209">
        <v>16.375</v>
      </c>
      <c r="L354" s="209">
        <v>17.25</v>
      </c>
      <c r="M354" s="208">
        <v>19.38</v>
      </c>
      <c r="N354" s="221"/>
    </row>
    <row r="355" spans="1:14" ht="16.5" customHeight="1" x14ac:dyDescent="0.25">
      <c r="A355" s="203">
        <v>44524</v>
      </c>
      <c r="B355" s="128" t="s">
        <v>6</v>
      </c>
      <c r="C355" s="157" t="str">
        <f t="shared" si="11"/>
        <v>24.11.2021_KIN4</v>
      </c>
      <c r="D355" s="190">
        <f t="shared" si="12"/>
        <v>0</v>
      </c>
      <c r="E355" s="204">
        <v>1.8520890213588388E-2</v>
      </c>
      <c r="F355" s="205">
        <v>3.1413001629554765E-2</v>
      </c>
      <c r="G355" s="204">
        <v>1.3758123315897933E-2</v>
      </c>
      <c r="H355" s="204">
        <v>7.8129999999999997</v>
      </c>
      <c r="I355" s="209">
        <v>1.3758123315897933E-2</v>
      </c>
      <c r="J355" s="207">
        <v>1.7798680570690237</v>
      </c>
      <c r="K355" s="209">
        <v>31.856999999999999</v>
      </c>
      <c r="L355" s="209">
        <v>18.003</v>
      </c>
      <c r="M355" s="208">
        <v>16.63</v>
      </c>
      <c r="N355" s="221"/>
    </row>
    <row r="356" spans="1:14" ht="16.5" customHeight="1" x14ac:dyDescent="0.25">
      <c r="A356" s="203">
        <v>44524</v>
      </c>
      <c r="B356" s="128" t="s">
        <v>34</v>
      </c>
      <c r="C356" s="157" t="str">
        <f t="shared" si="11"/>
        <v>24.11.2021_KRE1</v>
      </c>
      <c r="D356" s="190">
        <f t="shared" si="12"/>
        <v>0</v>
      </c>
      <c r="E356" s="204">
        <v>1.8520890213588388E-2</v>
      </c>
      <c r="F356" s="205">
        <v>5.9667918644287922E-2</v>
      </c>
      <c r="G356" s="204">
        <v>5.1592962434617202E-2</v>
      </c>
      <c r="H356" s="204">
        <v>6.0940000000000003</v>
      </c>
      <c r="I356" s="209">
        <v>5.1592962434617202E-2</v>
      </c>
      <c r="J356" s="207">
        <v>1.4249923330022345</v>
      </c>
      <c r="K356" s="209">
        <v>72</v>
      </c>
      <c r="L356" s="209">
        <v>42.305999999999997</v>
      </c>
      <c r="M356" s="208">
        <v>17.41</v>
      </c>
      <c r="N356" s="221"/>
    </row>
    <row r="357" spans="1:14" ht="16.5" customHeight="1" x14ac:dyDescent="0.25">
      <c r="A357" s="203">
        <v>44524</v>
      </c>
      <c r="B357" s="128" t="s">
        <v>37</v>
      </c>
      <c r="C357" s="157" t="str">
        <f t="shared" si="11"/>
        <v>24.11.2021_KRE2</v>
      </c>
      <c r="D357" s="190">
        <f t="shared" si="12"/>
        <v>0</v>
      </c>
      <c r="E357" s="204">
        <v>3.9099657117575487E-2</v>
      </c>
      <c r="F357" s="205">
        <v>8.1920517870837581E-2</v>
      </c>
      <c r="G357" s="204">
        <v>6.3631320336027891E-2</v>
      </c>
      <c r="H357" s="204">
        <v>5.415</v>
      </c>
      <c r="I357" s="209">
        <v>6.3631320336027891E-2</v>
      </c>
      <c r="J357" s="207">
        <v>1.2805279973395547</v>
      </c>
      <c r="K357" s="209">
        <v>45</v>
      </c>
      <c r="L357" s="209">
        <v>32.021999999999998</v>
      </c>
      <c r="M357" s="208">
        <v>17.920000000000002</v>
      </c>
      <c r="N357" s="221"/>
    </row>
    <row r="358" spans="1:14" ht="16.5" customHeight="1" x14ac:dyDescent="0.25">
      <c r="A358" s="203">
        <v>44524</v>
      </c>
      <c r="B358" s="128" t="s">
        <v>18</v>
      </c>
      <c r="C358" s="157" t="str">
        <f t="shared" si="11"/>
        <v>24.11.2021_ORB1</v>
      </c>
      <c r="D358" s="190">
        <f t="shared" si="12"/>
        <v>0</v>
      </c>
      <c r="E358" s="204">
        <v>0</v>
      </c>
      <c r="F358" s="205">
        <v>3.9301668566013782E-2</v>
      </c>
      <c r="G358" s="204">
        <v>3.0955777460770328E-2</v>
      </c>
      <c r="H358" s="204">
        <v>6.5720000000000001</v>
      </c>
      <c r="I358" s="209">
        <v>3.0955777460770328E-2</v>
      </c>
      <c r="J358" s="207">
        <v>1.5164873550523459</v>
      </c>
      <c r="K358" s="209">
        <v>9.14</v>
      </c>
      <c r="L358" s="209">
        <v>12.054</v>
      </c>
      <c r="M358" s="208">
        <v>19.48</v>
      </c>
      <c r="N358" s="221"/>
    </row>
    <row r="359" spans="1:14" ht="16.5" customHeight="1" x14ac:dyDescent="0.25">
      <c r="A359" s="203">
        <v>44524</v>
      </c>
      <c r="B359" s="128" t="s">
        <v>21</v>
      </c>
      <c r="C359" s="157" t="str">
        <f t="shared" si="11"/>
        <v>24.11.2021_ORB2</v>
      </c>
      <c r="D359" s="190">
        <f t="shared" si="12"/>
        <v>0</v>
      </c>
      <c r="E359" s="204">
        <v>1.234726014239226E-2</v>
      </c>
      <c r="F359" s="205">
        <v>3.2077755601654274E-2</v>
      </c>
      <c r="G359" s="204">
        <v>2.5796481217308601E-2</v>
      </c>
      <c r="H359" s="204">
        <v>7.7779999999999996</v>
      </c>
      <c r="I359" s="209">
        <v>2.5796481217308601E-2</v>
      </c>
      <c r="J359" s="207">
        <v>1.7839878927331676</v>
      </c>
      <c r="K359" s="209">
        <v>27.992000000000001</v>
      </c>
      <c r="L359" s="209">
        <v>18.574000000000002</v>
      </c>
      <c r="M359" s="208">
        <v>18.329999999999998</v>
      </c>
      <c r="N359" s="221"/>
    </row>
    <row r="360" spans="1:14" ht="16.5" customHeight="1" x14ac:dyDescent="0.25">
      <c r="A360" s="203">
        <v>44524</v>
      </c>
      <c r="B360" s="128" t="s">
        <v>10</v>
      </c>
      <c r="C360" s="157" t="str">
        <f t="shared" si="11"/>
        <v>24.11.2021_SAL1</v>
      </c>
      <c r="D360" s="190">
        <f t="shared" si="12"/>
        <v>0</v>
      </c>
      <c r="E360" s="204">
        <v>7.4083560854353553E-2</v>
      </c>
      <c r="F360" s="205">
        <v>9.7885345964592183E-2</v>
      </c>
      <c r="G360" s="204">
        <v>1.8917419559359661E-2</v>
      </c>
      <c r="H360" s="204">
        <v>6.6849999999999996</v>
      </c>
      <c r="I360" s="209">
        <v>1.8917419559359661E-2</v>
      </c>
      <c r="J360" s="207">
        <v>1.5313241899568406</v>
      </c>
      <c r="K360" s="209">
        <v>7.4560000000000004</v>
      </c>
      <c r="L360" s="209">
        <v>4.7759999999999998</v>
      </c>
      <c r="M360" s="208">
        <v>16.68</v>
      </c>
      <c r="N360" s="221"/>
    </row>
    <row r="361" spans="1:14" ht="16.5" customHeight="1" x14ac:dyDescent="0.25">
      <c r="A361" s="203">
        <v>44524</v>
      </c>
      <c r="B361" s="128" t="s">
        <v>12</v>
      </c>
      <c r="C361" s="157" t="str">
        <f t="shared" si="11"/>
        <v>24.11.2021_SAL2</v>
      </c>
      <c r="D361" s="190">
        <f t="shared" si="12"/>
        <v>0</v>
      </c>
      <c r="E361" s="204">
        <v>5.7620547331163875E-2</v>
      </c>
      <c r="F361" s="205">
        <v>8.6153939512872105E-2</v>
      </c>
      <c r="G361" s="204">
        <v>1.7197654144872417E-3</v>
      </c>
      <c r="H361" s="204">
        <v>7.4080000000000004</v>
      </c>
      <c r="I361" s="209">
        <v>1.7197654144872417E-3</v>
      </c>
      <c r="J361" s="207">
        <v>1.6785967723526112</v>
      </c>
      <c r="K361" s="209">
        <v>9.19</v>
      </c>
      <c r="L361" s="209">
        <v>5.8449999999999998</v>
      </c>
      <c r="M361" s="208">
        <v>20.8</v>
      </c>
      <c r="N361" s="221"/>
    </row>
    <row r="362" spans="1:14" ht="16.5" customHeight="1" x14ac:dyDescent="0.25">
      <c r="A362" s="203">
        <v>44524</v>
      </c>
      <c r="B362" s="128" t="s">
        <v>7</v>
      </c>
      <c r="C362" s="157" t="str">
        <f t="shared" si="11"/>
        <v>24.11.2021_STE1</v>
      </c>
      <c r="D362" s="190">
        <f t="shared" si="12"/>
        <v>0</v>
      </c>
      <c r="E362" s="204">
        <v>7.4083560854353553E-2</v>
      </c>
      <c r="F362" s="205">
        <v>9.2165384125014641E-2</v>
      </c>
      <c r="G362" s="204">
        <v>1.3758123315897933E-2</v>
      </c>
      <c r="H362" s="204">
        <v>9.31</v>
      </c>
      <c r="I362" s="209">
        <v>1.3758123315897933E-2</v>
      </c>
      <c r="J362" s="207">
        <v>2.1184417172585701</v>
      </c>
      <c r="K362" s="209">
        <v>12.37</v>
      </c>
      <c r="L362" s="209">
        <v>9.3420000000000005</v>
      </c>
      <c r="M362" s="208">
        <v>18.36</v>
      </c>
      <c r="N362" s="221"/>
    </row>
    <row r="363" spans="1:14" ht="16.5" customHeight="1" x14ac:dyDescent="0.25">
      <c r="A363" s="203">
        <v>44524</v>
      </c>
      <c r="B363" s="128" t="s">
        <v>9</v>
      </c>
      <c r="C363" s="157" t="str">
        <f t="shared" si="11"/>
        <v>24.11.2021_STE2</v>
      </c>
      <c r="D363" s="190">
        <f t="shared" si="12"/>
        <v>0</v>
      </c>
      <c r="E363" s="204">
        <v>0.11112534128153033</v>
      </c>
      <c r="F363" s="205">
        <v>0.15132166001433051</v>
      </c>
      <c r="G363" s="204">
        <v>3.7834839118719293E-2</v>
      </c>
      <c r="H363" s="204">
        <v>9.35</v>
      </c>
      <c r="I363" s="209">
        <v>3.7834839118719293E-2</v>
      </c>
      <c r="J363" s="207">
        <v>2.1470643866913952</v>
      </c>
      <c r="K363" s="209">
        <v>13.76</v>
      </c>
      <c r="L363" s="209">
        <v>9.75</v>
      </c>
      <c r="M363" s="208">
        <v>21.62</v>
      </c>
      <c r="N363" s="221"/>
    </row>
    <row r="364" spans="1:14" ht="16.5" customHeight="1" x14ac:dyDescent="0.25">
      <c r="A364" s="203">
        <v>44537</v>
      </c>
      <c r="B364" s="128" t="s">
        <v>22</v>
      </c>
      <c r="C364" s="157" t="str">
        <f t="shared" si="11"/>
        <v>07.12.2021_BIE1</v>
      </c>
      <c r="D364" s="190">
        <f t="shared" si="12"/>
        <v>0</v>
      </c>
      <c r="E364" s="204">
        <v>3.8841885507087136E-2</v>
      </c>
      <c r="F364" s="205">
        <v>6.5913614164608406E-2</v>
      </c>
      <c r="G364" s="204">
        <v>6.0394531470372513E-2</v>
      </c>
      <c r="H364" s="204">
        <v>6.032</v>
      </c>
      <c r="I364" s="209">
        <v>6.0394531470372513E-2</v>
      </c>
      <c r="J364" s="207">
        <v>1.4116208448197198</v>
      </c>
      <c r="K364" s="209">
        <v>16.474</v>
      </c>
      <c r="L364" s="209">
        <v>11.212999999999999</v>
      </c>
      <c r="M364" s="209">
        <v>36.061760726288682</v>
      </c>
      <c r="N364" s="223"/>
    </row>
    <row r="365" spans="1:14" ht="16.5" customHeight="1" x14ac:dyDescent="0.25">
      <c r="A365" s="203">
        <v>44537</v>
      </c>
      <c r="B365" s="128" t="s">
        <v>25</v>
      </c>
      <c r="C365" s="157" t="str">
        <f t="shared" si="11"/>
        <v>07.12.2021_BIE2</v>
      </c>
      <c r="D365" s="190">
        <f t="shared" si="12"/>
        <v>0</v>
      </c>
      <c r="E365" s="204">
        <v>0.47535069406292346</v>
      </c>
      <c r="F365" s="205">
        <v>0.90923136250051306</v>
      </c>
      <c r="G365" s="204">
        <v>5.8762246836038118E-2</v>
      </c>
      <c r="H365" s="204">
        <v>6.09</v>
      </c>
      <c r="I365" s="209">
        <v>5.8762246836038118E-2</v>
      </c>
      <c r="J365" s="207">
        <v>1.4257311072022958</v>
      </c>
      <c r="K365" s="209">
        <v>17.821000000000002</v>
      </c>
      <c r="L365" s="209">
        <v>10.994</v>
      </c>
      <c r="M365" s="209">
        <v>20.444808170747674</v>
      </c>
      <c r="N365" s="223"/>
    </row>
    <row r="366" spans="1:14" ht="16.5" customHeight="1" x14ac:dyDescent="0.25">
      <c r="A366" s="203">
        <v>44537</v>
      </c>
      <c r="B366" s="128" t="s">
        <v>14</v>
      </c>
      <c r="C366" s="157" t="str">
        <f t="shared" si="11"/>
        <v>07.12.2021_BRA1</v>
      </c>
      <c r="D366" s="190">
        <f t="shared" si="12"/>
        <v>0</v>
      </c>
      <c r="E366" s="204">
        <v>4.6240339889389442E-2</v>
      </c>
      <c r="F366" s="205">
        <v>8.347580499533061E-2</v>
      </c>
      <c r="G366" s="204">
        <v>3.1013408052353465E-2</v>
      </c>
      <c r="H366" s="204">
        <v>14.715</v>
      </c>
      <c r="I366" s="209">
        <v>3.1013408052353465E-2</v>
      </c>
      <c r="J366" s="207">
        <v>3.3541349654377846</v>
      </c>
      <c r="K366" s="209">
        <v>12.365</v>
      </c>
      <c r="L366" s="209">
        <v>7.6130000000000004</v>
      </c>
      <c r="M366" s="209">
        <v>15.272620138797954</v>
      </c>
      <c r="N366" s="223"/>
    </row>
    <row r="367" spans="1:14" ht="16.5" customHeight="1" x14ac:dyDescent="0.25">
      <c r="A367" s="203">
        <v>44537</v>
      </c>
      <c r="B367" s="128" t="s">
        <v>17</v>
      </c>
      <c r="C367" s="157" t="str">
        <f t="shared" si="11"/>
        <v>07.12.2021_BRA2</v>
      </c>
      <c r="D367" s="190">
        <f t="shared" si="12"/>
        <v>0</v>
      </c>
      <c r="E367" s="204">
        <v>5.3638794271691756E-2</v>
      </c>
      <c r="F367" s="205">
        <v>7.6841637502470667E-2</v>
      </c>
      <c r="G367" s="204">
        <v>2.6116554149350282E-2</v>
      </c>
      <c r="H367" s="204">
        <v>17.023</v>
      </c>
      <c r="I367" s="209">
        <v>2.6116554149350282E-2</v>
      </c>
      <c r="J367" s="207">
        <v>3.871185116334984</v>
      </c>
      <c r="K367" s="209">
        <v>20.672999999999998</v>
      </c>
      <c r="L367" s="209">
        <v>9.3699999999999992</v>
      </c>
      <c r="M367" s="209">
        <v>19.357993976692416</v>
      </c>
      <c r="N367" s="223"/>
    </row>
    <row r="368" spans="1:14" ht="16.5" customHeight="1" x14ac:dyDescent="0.25">
      <c r="A368" s="203">
        <v>44537</v>
      </c>
      <c r="B368" s="128" t="s">
        <v>30</v>
      </c>
      <c r="C368" s="157" t="str">
        <f t="shared" si="11"/>
        <v>07.12.2021_FAL1</v>
      </c>
      <c r="D368" s="190">
        <f t="shared" si="12"/>
        <v>0</v>
      </c>
      <c r="E368" s="204">
        <v>0.27189319854960992</v>
      </c>
      <c r="F368" s="205">
        <v>0.3821844971539235</v>
      </c>
      <c r="G368" s="204">
        <v>0.38195460443424784</v>
      </c>
      <c r="H368" s="204">
        <v>13.23</v>
      </c>
      <c r="I368" s="209">
        <v>0.38195460443424784</v>
      </c>
      <c r="J368" s="207">
        <v>3.3909641174454772</v>
      </c>
      <c r="K368" s="209">
        <v>115</v>
      </c>
      <c r="L368" s="209">
        <v>31.346</v>
      </c>
      <c r="M368" s="209">
        <v>26.996246344550649</v>
      </c>
      <c r="N368" s="223"/>
    </row>
    <row r="369" spans="1:14" ht="16.5" customHeight="1" x14ac:dyDescent="0.25">
      <c r="A369" s="203">
        <v>44537</v>
      </c>
      <c r="B369" s="128" t="s">
        <v>32</v>
      </c>
      <c r="C369" s="157" t="str">
        <f t="shared" si="11"/>
        <v>07.12.2021_FAL2</v>
      </c>
      <c r="D369" s="190">
        <f t="shared" si="12"/>
        <v>0</v>
      </c>
      <c r="E369" s="204">
        <v>9.2480679778778885E-2</v>
      </c>
      <c r="F369" s="205">
        <v>0.1385079903254384</v>
      </c>
      <c r="G369" s="204">
        <v>0.11099535513473871</v>
      </c>
      <c r="H369" s="204">
        <v>11.214</v>
      </c>
      <c r="I369" s="209">
        <v>0.11099535513473871</v>
      </c>
      <c r="J369" s="207">
        <v>2.648241828310689</v>
      </c>
      <c r="K369" s="209">
        <v>101</v>
      </c>
      <c r="L369" s="209">
        <v>32.628</v>
      </c>
      <c r="M369" s="209">
        <v>38.890096460215617</v>
      </c>
      <c r="N369" s="223"/>
    </row>
    <row r="370" spans="1:14" ht="16.5" customHeight="1" x14ac:dyDescent="0.25">
      <c r="A370" s="203">
        <v>44537</v>
      </c>
      <c r="B370" s="128" t="s">
        <v>26</v>
      </c>
      <c r="C370" s="157" t="str">
        <f t="shared" si="11"/>
        <v>07.12.2021_GRU1</v>
      </c>
      <c r="D370" s="190">
        <f t="shared" si="12"/>
        <v>0</v>
      </c>
      <c r="E370" s="204">
        <v>4.8089953484965017E-2</v>
      </c>
      <c r="F370" s="205">
        <v>9.0262692555719781E-2</v>
      </c>
      <c r="G370" s="204">
        <v>0.11752449367207629</v>
      </c>
      <c r="H370" s="204">
        <v>12.573</v>
      </c>
      <c r="I370" s="209">
        <v>0.11752449367207629</v>
      </c>
      <c r="J370" s="207">
        <v>2.9493381447177529</v>
      </c>
      <c r="K370" s="209">
        <v>19.091000000000001</v>
      </c>
      <c r="L370" s="209">
        <v>10.378</v>
      </c>
      <c r="M370" s="209">
        <v>41.098642573436337</v>
      </c>
      <c r="N370" s="223"/>
    </row>
    <row r="371" spans="1:14" ht="16.5" customHeight="1" x14ac:dyDescent="0.25">
      <c r="A371" s="203">
        <v>44537</v>
      </c>
      <c r="B371" s="128" t="s">
        <v>28</v>
      </c>
      <c r="C371" s="157" t="str">
        <f t="shared" si="11"/>
        <v>07.12.2021_GRU2</v>
      </c>
      <c r="D371" s="190">
        <f t="shared" si="12"/>
        <v>0</v>
      </c>
      <c r="E371" s="204">
        <v>2.9593817529209244E-2</v>
      </c>
      <c r="F371" s="205">
        <v>6.1996654808099953E-2</v>
      </c>
      <c r="G371" s="204">
        <v>0.14364104782142653</v>
      </c>
      <c r="H371" s="204">
        <v>11.39</v>
      </c>
      <c r="I371" s="209">
        <v>0.14364104782142653</v>
      </c>
      <c r="J371" s="207">
        <v>2.7028686288648403</v>
      </c>
      <c r="K371" s="209">
        <v>19.818000000000001</v>
      </c>
      <c r="L371" s="209">
        <v>10.507</v>
      </c>
      <c r="M371" s="209">
        <v>25.276548382872853</v>
      </c>
      <c r="N371" s="223"/>
    </row>
    <row r="372" spans="1:14" ht="16.5" customHeight="1" x14ac:dyDescent="0.25">
      <c r="A372" s="203">
        <v>44537</v>
      </c>
      <c r="B372" s="128" t="s">
        <v>0</v>
      </c>
      <c r="C372" s="157" t="str">
        <f t="shared" si="11"/>
        <v>07.12.2021_KIN1</v>
      </c>
      <c r="D372" s="190">
        <f t="shared" si="12"/>
        <v>0</v>
      </c>
      <c r="E372" s="204">
        <v>0.30518624326997035</v>
      </c>
      <c r="F372" s="205">
        <v>0.66480799526515555</v>
      </c>
      <c r="G372" s="204">
        <v>2.12197002463471E-2</v>
      </c>
      <c r="H372" s="204">
        <v>12.925000000000001</v>
      </c>
      <c r="I372" s="209">
        <v>2.12197002463471E-2</v>
      </c>
      <c r="J372" s="207">
        <v>2.9399456941852087</v>
      </c>
      <c r="K372" s="209">
        <v>28.44</v>
      </c>
      <c r="L372" s="209">
        <v>10.946</v>
      </c>
      <c r="M372" s="209">
        <v>21.950635066125439</v>
      </c>
      <c r="N372" s="223"/>
    </row>
    <row r="373" spans="1:14" ht="16.5" customHeight="1" x14ac:dyDescent="0.25">
      <c r="A373" s="203">
        <v>44537</v>
      </c>
      <c r="B373" s="128" t="s">
        <v>2</v>
      </c>
      <c r="C373" s="157" t="str">
        <f t="shared" si="11"/>
        <v>07.12.2021_KIN2</v>
      </c>
      <c r="D373" s="190">
        <f t="shared" si="12"/>
        <v>0</v>
      </c>
      <c r="E373" s="204">
        <v>2.4044976742482509E-2</v>
      </c>
      <c r="F373" s="205">
        <v>4.7519912429813155E-2</v>
      </c>
      <c r="G373" s="204">
        <v>1.7955130977678313E-2</v>
      </c>
      <c r="H373" s="204">
        <v>12.348000000000001</v>
      </c>
      <c r="I373" s="209">
        <v>1.7955130977678313E-2</v>
      </c>
      <c r="J373" s="207">
        <v>2.8075392498094383</v>
      </c>
      <c r="K373" s="209">
        <v>23.343</v>
      </c>
      <c r="L373" s="209">
        <v>12.039</v>
      </c>
      <c r="M373" s="209">
        <v>17.372048361049277</v>
      </c>
      <c r="N373" s="223"/>
    </row>
    <row r="374" spans="1:14" ht="16.5" customHeight="1" x14ac:dyDescent="0.25">
      <c r="A374" s="203">
        <v>44537</v>
      </c>
      <c r="B374" s="128" t="s">
        <v>4</v>
      </c>
      <c r="C374" s="157" t="str">
        <f t="shared" si="11"/>
        <v>07.12.2021_KIN3</v>
      </c>
      <c r="D374" s="190">
        <f t="shared" si="12"/>
        <v>0</v>
      </c>
      <c r="E374" s="204">
        <v>3.3293044720360397E-2</v>
      </c>
      <c r="F374" s="205">
        <v>5.6191381015090656E-2</v>
      </c>
      <c r="G374" s="204">
        <v>2.2851984880681495E-2</v>
      </c>
      <c r="H374" s="204">
        <v>10.6</v>
      </c>
      <c r="I374" s="209">
        <v>2.2851984880681495E-2</v>
      </c>
      <c r="J374" s="207">
        <v>2.4165208478965807</v>
      </c>
      <c r="K374" s="209">
        <v>26.02</v>
      </c>
      <c r="L374" s="209">
        <v>14.265000000000001</v>
      </c>
      <c r="M374" s="209">
        <v>24.442887695866609</v>
      </c>
      <c r="N374" s="223"/>
    </row>
    <row r="375" spans="1:14" ht="16.5" customHeight="1" x14ac:dyDescent="0.25">
      <c r="A375" s="203">
        <v>44537</v>
      </c>
      <c r="B375" s="128" t="s">
        <v>6</v>
      </c>
      <c r="C375" s="157" t="str">
        <f t="shared" si="11"/>
        <v>07.12.2021_KIN4</v>
      </c>
      <c r="D375" s="190">
        <f t="shared" si="12"/>
        <v>0</v>
      </c>
      <c r="E375" s="204">
        <v>4.2541112698238286E-2</v>
      </c>
      <c r="F375" s="205">
        <v>6.1553867102731093E-2</v>
      </c>
      <c r="G375" s="204">
        <v>2.6116554149350282E-2</v>
      </c>
      <c r="H375" s="204">
        <v>11.326000000000001</v>
      </c>
      <c r="I375" s="209">
        <v>2.6116554149350282E-2</v>
      </c>
      <c r="J375" s="207">
        <v>2.5830373732880099</v>
      </c>
      <c r="K375" s="209">
        <v>44.085000000000001</v>
      </c>
      <c r="L375" s="209">
        <v>14.297000000000001</v>
      </c>
      <c r="M375" s="209">
        <v>29.532146130679582</v>
      </c>
      <c r="N375" s="223"/>
    </row>
    <row r="376" spans="1:14" ht="16.5" customHeight="1" x14ac:dyDescent="0.25">
      <c r="A376" s="203">
        <v>44537</v>
      </c>
      <c r="B376" s="128" t="s">
        <v>34</v>
      </c>
      <c r="C376" s="157" t="str">
        <f t="shared" si="11"/>
        <v>07.12.2021_KRE1</v>
      </c>
      <c r="D376" s="190">
        <f t="shared" si="12"/>
        <v>0</v>
      </c>
      <c r="E376" s="204">
        <v>4.6240339889389442E-2</v>
      </c>
      <c r="F376" s="205">
        <v>8.0585858200222668E-2</v>
      </c>
      <c r="G376" s="204">
        <v>0.34767662711322567</v>
      </c>
      <c r="H376" s="204">
        <v>7.57</v>
      </c>
      <c r="I376" s="209">
        <v>0.34767662711322567</v>
      </c>
      <c r="J376" s="207">
        <v>1.9993877178604453</v>
      </c>
      <c r="K376" s="209">
        <v>60</v>
      </c>
      <c r="L376" s="209">
        <v>36.140999999999998</v>
      </c>
      <c r="M376" s="209">
        <v>33.682990703155689</v>
      </c>
      <c r="N376" s="223"/>
    </row>
    <row r="377" spans="1:14" ht="16.5" customHeight="1" x14ac:dyDescent="0.25">
      <c r="A377" s="203">
        <v>44537</v>
      </c>
      <c r="B377" s="128" t="s">
        <v>37</v>
      </c>
      <c r="C377" s="157" t="str">
        <f t="shared" si="11"/>
        <v>07.12.2021_KRE2</v>
      </c>
      <c r="D377" s="190">
        <f t="shared" si="12"/>
        <v>0</v>
      </c>
      <c r="E377" s="204">
        <v>5.9187635058418488E-2</v>
      </c>
      <c r="F377" s="205">
        <v>9.4496149178612682E-2</v>
      </c>
      <c r="G377" s="204">
        <v>0.17138988660511126</v>
      </c>
      <c r="H377" s="204">
        <v>7.85</v>
      </c>
      <c r="I377" s="209">
        <v>0.17138988660511126</v>
      </c>
      <c r="J377" s="207">
        <v>1.9225582696136931</v>
      </c>
      <c r="K377" s="209">
        <v>84</v>
      </c>
      <c r="L377" s="209">
        <v>37.61</v>
      </c>
      <c r="M377" s="209">
        <v>24.648029330889091</v>
      </c>
      <c r="N377" s="223"/>
    </row>
    <row r="378" spans="1:14" ht="16.5" customHeight="1" x14ac:dyDescent="0.25">
      <c r="A378" s="203">
        <v>44537</v>
      </c>
      <c r="B378" s="128" t="s">
        <v>18</v>
      </c>
      <c r="C378" s="157" t="str">
        <f t="shared" si="11"/>
        <v>07.12.2021_ORB1</v>
      </c>
      <c r="D378" s="190">
        <f t="shared" si="12"/>
        <v>0</v>
      </c>
      <c r="E378" s="204">
        <v>3.8841885507087136E-2</v>
      </c>
      <c r="F378" s="205">
        <v>7.2403011785025395E-2</v>
      </c>
      <c r="G378" s="204">
        <v>2.9381123418019073E-2</v>
      </c>
      <c r="H378" s="204">
        <v>8.39</v>
      </c>
      <c r="I378" s="209">
        <v>2.9381123418019073E-2</v>
      </c>
      <c r="J378" s="207">
        <v>1.9242397627420704</v>
      </c>
      <c r="K378" s="209">
        <v>16.241</v>
      </c>
      <c r="L378" s="209">
        <v>9.4990000000000006</v>
      </c>
      <c r="M378" s="209">
        <v>15.813844878006195</v>
      </c>
      <c r="N378" s="223"/>
    </row>
    <row r="379" spans="1:14" ht="16.5" customHeight="1" x14ac:dyDescent="0.25">
      <c r="A379" s="203">
        <v>44537</v>
      </c>
      <c r="B379" s="128" t="s">
        <v>21</v>
      </c>
      <c r="C379" s="157" t="str">
        <f t="shared" si="11"/>
        <v>07.12.2021_ORB2</v>
      </c>
      <c r="D379" s="190">
        <f t="shared" si="12"/>
        <v>0</v>
      </c>
      <c r="E379" s="204">
        <v>0.13317217888144159</v>
      </c>
      <c r="F379" s="205">
        <v>0.20255236734167498</v>
      </c>
      <c r="G379" s="204">
        <v>0.52559565225567439</v>
      </c>
      <c r="H379" s="204">
        <v>4.984</v>
      </c>
      <c r="I379" s="209">
        <v>0.52559565225567439</v>
      </c>
      <c r="J379" s="207">
        <v>1.5466084764584345</v>
      </c>
      <c r="K379" s="209">
        <v>22.643999999999998</v>
      </c>
      <c r="L379" s="209">
        <v>8.1950000000000003</v>
      </c>
      <c r="M379" s="209">
        <v>17.193095019859452</v>
      </c>
      <c r="N379" s="223"/>
    </row>
    <row r="380" spans="1:14" ht="16.5" customHeight="1" x14ac:dyDescent="0.25">
      <c r="A380" s="203">
        <v>44537</v>
      </c>
      <c r="B380" s="128" t="s">
        <v>10</v>
      </c>
      <c r="C380" s="157" t="str">
        <f t="shared" si="11"/>
        <v>07.12.2021_SAL1</v>
      </c>
      <c r="D380" s="190">
        <f t="shared" si="12"/>
        <v>0</v>
      </c>
      <c r="E380" s="204">
        <v>8.8781452587627735E-2</v>
      </c>
      <c r="F380" s="205">
        <v>0.19337674826527473</v>
      </c>
      <c r="G380" s="204">
        <v>3.1013408052353465E-2</v>
      </c>
      <c r="H380" s="204">
        <v>10.871</v>
      </c>
      <c r="I380" s="209">
        <v>3.1013408052353465E-2</v>
      </c>
      <c r="J380" s="207">
        <v>2.4909006466100236</v>
      </c>
      <c r="K380" s="209">
        <v>10.151999999999999</v>
      </c>
      <c r="L380" s="209">
        <v>6.9710000000000001</v>
      </c>
      <c r="M380" s="209">
        <v>19.423464711274057</v>
      </c>
      <c r="N380" s="223"/>
    </row>
    <row r="381" spans="1:14" ht="16.5" customHeight="1" x14ac:dyDescent="0.25">
      <c r="A381" s="203">
        <v>44537</v>
      </c>
      <c r="B381" s="128" t="s">
        <v>12</v>
      </c>
      <c r="C381" s="157" t="str">
        <f t="shared" si="11"/>
        <v>07.12.2021_SAL2</v>
      </c>
      <c r="D381" s="190">
        <f t="shared" si="12"/>
        <v>0</v>
      </c>
      <c r="E381" s="204">
        <v>4.8089953484965017E-2</v>
      </c>
      <c r="F381" s="205">
        <v>7.2997403350533369E-2</v>
      </c>
      <c r="G381" s="204">
        <v>1.6322846343343918E-2</v>
      </c>
      <c r="H381" s="204">
        <v>12.170999999999999</v>
      </c>
      <c r="I381" s="209">
        <v>1.6322846343343918E-2</v>
      </c>
      <c r="J381" s="207">
        <v>2.7726691213329366</v>
      </c>
      <c r="K381" s="209">
        <v>10.231999999999999</v>
      </c>
      <c r="L381" s="209">
        <v>8.0920000000000005</v>
      </c>
      <c r="M381" s="209">
        <v>18.06603814761468</v>
      </c>
      <c r="N381" s="223"/>
    </row>
    <row r="382" spans="1:14" ht="16.5" customHeight="1" x14ac:dyDescent="0.25">
      <c r="A382" s="203">
        <v>44537</v>
      </c>
      <c r="B382" s="128" t="s">
        <v>7</v>
      </c>
      <c r="C382" s="157" t="str">
        <f t="shared" si="11"/>
        <v>07.12.2021_STE1</v>
      </c>
      <c r="D382" s="190">
        <f t="shared" si="12"/>
        <v>0</v>
      </c>
      <c r="E382" s="204">
        <v>5.1789180676116174E-2</v>
      </c>
      <c r="F382" s="205">
        <v>7.9491472505583055E-2</v>
      </c>
      <c r="G382" s="204">
        <v>3.4277977321022231E-2</v>
      </c>
      <c r="H382" s="204">
        <v>9.9039999999999999</v>
      </c>
      <c r="I382" s="209">
        <v>3.4277977321022231E-2</v>
      </c>
      <c r="J382" s="207">
        <v>2.270009300829213</v>
      </c>
      <c r="K382" s="209">
        <v>9.2409999999999997</v>
      </c>
      <c r="L382" s="209">
        <v>7.1529999999999996</v>
      </c>
      <c r="M382" s="209">
        <v>24.796429662607476</v>
      </c>
      <c r="N382" s="223"/>
    </row>
    <row r="383" spans="1:14" ht="16.5" customHeight="1" x14ac:dyDescent="0.25">
      <c r="A383" s="203">
        <v>44537</v>
      </c>
      <c r="B383" s="128" t="s">
        <v>9</v>
      </c>
      <c r="C383" s="157" t="str">
        <f t="shared" si="11"/>
        <v>07.12.2021_STE2</v>
      </c>
      <c r="D383" s="190">
        <f t="shared" si="12"/>
        <v>0</v>
      </c>
      <c r="E383" s="204">
        <v>5.1789180676116174E-2</v>
      </c>
      <c r="F383" s="205">
        <v>8.6852243308235655E-2</v>
      </c>
      <c r="G383" s="204">
        <v>3.2645692686687836E-2</v>
      </c>
      <c r="H383" s="204">
        <v>11.78</v>
      </c>
      <c r="I383" s="209">
        <v>3.2645692686687836E-2</v>
      </c>
      <c r="J383" s="207">
        <v>2.6983948313370538</v>
      </c>
      <c r="K383" s="209">
        <v>26.562000000000001</v>
      </c>
      <c r="L383" s="209">
        <v>8.5760000000000005</v>
      </c>
      <c r="M383" s="209">
        <v>17.852167081314651</v>
      </c>
      <c r="N383" s="223"/>
    </row>
    <row r="384" spans="1:14" ht="16.5" customHeight="1" x14ac:dyDescent="0.25">
      <c r="A384" s="203">
        <v>44551</v>
      </c>
      <c r="B384" s="128" t="s">
        <v>22</v>
      </c>
      <c r="C384" s="157" t="str">
        <f t="shared" si="11"/>
        <v>21.12.2021_BIE1</v>
      </c>
      <c r="D384" s="190">
        <f t="shared" si="12"/>
        <v>0</v>
      </c>
      <c r="E384" s="204">
        <v>3.8921791335388603E-2</v>
      </c>
      <c r="F384" s="205">
        <v>5.1561723978221917E-2</v>
      </c>
      <c r="G384" s="204">
        <v>2.8110758981239443E-2</v>
      </c>
      <c r="H384" s="204">
        <v>3.126796691875633E-3</v>
      </c>
      <c r="I384" s="209">
        <v>5.0199999999999996</v>
      </c>
      <c r="J384" s="207">
        <v>1.1566470764941839</v>
      </c>
      <c r="K384" s="209">
        <v>9.2859999999999996</v>
      </c>
      <c r="L384" s="209">
        <v>13.566000000000001</v>
      </c>
      <c r="M384" s="208"/>
      <c r="N384" s="221"/>
    </row>
    <row r="385" spans="1:14" ht="16.5" customHeight="1" x14ac:dyDescent="0.25">
      <c r="A385" s="203">
        <v>44551</v>
      </c>
      <c r="B385" s="128" t="s">
        <v>25</v>
      </c>
      <c r="C385" s="157" t="str">
        <f t="shared" si="11"/>
        <v>21.12.2021_BIE2</v>
      </c>
      <c r="D385" s="190">
        <f t="shared" si="12"/>
        <v>0</v>
      </c>
      <c r="E385" s="204">
        <v>2.0485153334415056E-3</v>
      </c>
      <c r="F385" s="205">
        <v>1.7625961245831667E-2</v>
      </c>
      <c r="G385" s="204">
        <v>4.6181961183464793E-2</v>
      </c>
      <c r="H385" s="204">
        <v>1.5633983459378175E-2</v>
      </c>
      <c r="I385" s="209">
        <v>4.8570000000000002</v>
      </c>
      <c r="J385" s="207">
        <v>1.1376701873035562</v>
      </c>
      <c r="K385" s="209">
        <v>9.8550000000000004</v>
      </c>
      <c r="L385" s="209">
        <v>13.145</v>
      </c>
      <c r="M385" s="208"/>
      <c r="N385" s="221"/>
    </row>
    <row r="386" spans="1:14" ht="16.5" customHeight="1" x14ac:dyDescent="0.25">
      <c r="A386" s="203">
        <v>44551</v>
      </c>
      <c r="B386" s="128" t="s">
        <v>14</v>
      </c>
      <c r="C386" s="157" t="str">
        <f t="shared" si="11"/>
        <v>21.12.2021_BRA1</v>
      </c>
      <c r="D386" s="190">
        <f t="shared" si="12"/>
        <v>0</v>
      </c>
      <c r="E386" s="204">
        <v>4.7115852669154627E-2</v>
      </c>
      <c r="F386" s="205">
        <v>4.7077433460839785E-2</v>
      </c>
      <c r="G386" s="204">
        <v>1.6063290846422541E-2</v>
      </c>
      <c r="H386" s="204">
        <v>3.2831365264694171E-2</v>
      </c>
      <c r="I386" s="209">
        <v>12.706</v>
      </c>
      <c r="J386" s="207">
        <v>2.8923727138641744</v>
      </c>
      <c r="K386" s="209">
        <v>10.988</v>
      </c>
      <c r="L386" s="209">
        <v>6.9359999999999999</v>
      </c>
      <c r="M386" s="208"/>
      <c r="N386" s="221"/>
    </row>
    <row r="387" spans="1:14" ht="16.5" customHeight="1" x14ac:dyDescent="0.25">
      <c r="A387" s="203">
        <v>44551</v>
      </c>
      <c r="B387" s="128" t="s">
        <v>17</v>
      </c>
      <c r="C387" s="157" t="str">
        <f t="shared" si="11"/>
        <v>21.12.2021_BRA2</v>
      </c>
      <c r="D387" s="190">
        <f t="shared" si="12"/>
        <v>0</v>
      </c>
      <c r="E387" s="204">
        <v>5.326139866947914E-2</v>
      </c>
      <c r="F387" s="205">
        <v>5.4684721471715686E-2</v>
      </c>
      <c r="G387" s="204">
        <v>8.0316454232112634E-3</v>
      </c>
      <c r="H387" s="204">
        <v>2.1887576843129447E-2</v>
      </c>
      <c r="I387" s="209">
        <v>14.468999999999999</v>
      </c>
      <c r="J387" s="207">
        <v>3.2810131951245598</v>
      </c>
      <c r="K387" s="209">
        <v>13</v>
      </c>
      <c r="L387" s="209">
        <v>8.0280000000000005</v>
      </c>
      <c r="M387" s="208"/>
      <c r="N387" s="221"/>
    </row>
    <row r="388" spans="1:14" ht="16.5" customHeight="1" x14ac:dyDescent="0.25">
      <c r="A388" s="203">
        <v>44551</v>
      </c>
      <c r="B388" s="128" t="s">
        <v>30</v>
      </c>
      <c r="C388" s="157" t="str">
        <f t="shared" si="11"/>
        <v>21.12.2021_FAL1</v>
      </c>
      <c r="D388" s="190">
        <f t="shared" si="12"/>
        <v>0</v>
      </c>
      <c r="E388" s="204">
        <v>0.12700795067337334</v>
      </c>
      <c r="F388" s="205">
        <v>0.1674599645441108</v>
      </c>
      <c r="G388" s="204">
        <v>0.1345300608387888</v>
      </c>
      <c r="H388" s="204">
        <v>0.16415682632347087</v>
      </c>
      <c r="I388" s="209">
        <v>12.103</v>
      </c>
      <c r="J388" s="207">
        <v>2.8881434027148916</v>
      </c>
      <c r="K388" s="209">
        <v>44</v>
      </c>
      <c r="L388" s="209">
        <v>25.588000000000001</v>
      </c>
      <c r="M388" s="208"/>
      <c r="N388" s="221"/>
    </row>
    <row r="389" spans="1:14" ht="16.5" customHeight="1" x14ac:dyDescent="0.25">
      <c r="A389" s="203">
        <v>44551</v>
      </c>
      <c r="B389" s="128" t="s">
        <v>32</v>
      </c>
      <c r="C389" s="157" t="str">
        <f t="shared" ref="C389:C452" si="13">CONCATENATE(TEXT(A389,"TT.MM.JJJJ"),"_",B389)</f>
        <v>21.12.2021_FAL2</v>
      </c>
      <c r="D389" s="190">
        <f t="shared" ref="D389:D452" si="14">COUNTBLANK(E389:L389)</f>
        <v>0</v>
      </c>
      <c r="E389" s="204">
        <v>7.7843582670777206E-2</v>
      </c>
      <c r="F389" s="205">
        <v>9.7554972371584669E-2</v>
      </c>
      <c r="G389" s="204">
        <v>4.4174049827661974E-2</v>
      </c>
      <c r="H389" s="204">
        <v>9.2240502410331243E-2</v>
      </c>
      <c r="I389" s="209">
        <v>13.673999999999999</v>
      </c>
      <c r="J389" s="207">
        <v>3.1509297089095063</v>
      </c>
      <c r="K389" s="209">
        <v>48</v>
      </c>
      <c r="L389" s="209">
        <v>27.913</v>
      </c>
      <c r="M389" s="208"/>
      <c r="N389" s="221"/>
    </row>
    <row r="390" spans="1:14" ht="16.5" customHeight="1" x14ac:dyDescent="0.25">
      <c r="A390" s="203">
        <v>44551</v>
      </c>
      <c r="B390" s="128" t="s">
        <v>26</v>
      </c>
      <c r="C390" s="157" t="str">
        <f t="shared" si="13"/>
        <v>21.12.2021_GRU1</v>
      </c>
      <c r="D390" s="190">
        <f t="shared" si="14"/>
        <v>0</v>
      </c>
      <c r="E390" s="204">
        <v>2.2533668667856561E-2</v>
      </c>
      <c r="F390" s="205">
        <v>2.8908290682949877E-2</v>
      </c>
      <c r="G390" s="204">
        <v>1.0039556779014082E-2</v>
      </c>
      <c r="H390" s="204">
        <v>3.126796691875635E-2</v>
      </c>
      <c r="I390" s="209">
        <v>7.8129999999999997</v>
      </c>
      <c r="J390" s="207">
        <v>1.7820374579717519</v>
      </c>
      <c r="K390" s="209">
        <v>12.225</v>
      </c>
      <c r="L390" s="209">
        <v>11.541</v>
      </c>
      <c r="M390" s="208"/>
      <c r="N390" s="221"/>
    </row>
    <row r="391" spans="1:14" ht="16.5" customHeight="1" x14ac:dyDescent="0.25">
      <c r="A391" s="203">
        <v>44551</v>
      </c>
      <c r="B391" s="128" t="s">
        <v>28</v>
      </c>
      <c r="C391" s="157" t="str">
        <f t="shared" si="13"/>
        <v>21.12.2021_GRU2</v>
      </c>
      <c r="D391" s="190">
        <f t="shared" si="14"/>
        <v>0</v>
      </c>
      <c r="E391" s="204">
        <v>2.8679214668181078E-2</v>
      </c>
      <c r="F391" s="205">
        <v>2.3810647432388591E-2</v>
      </c>
      <c r="G391" s="204">
        <v>6.4253163385690162E-2</v>
      </c>
      <c r="H391" s="204">
        <v>3.4394763610631991E-2</v>
      </c>
      <c r="I391" s="209">
        <v>6.5979999999999999</v>
      </c>
      <c r="J391" s="207">
        <v>1.5506536846186114</v>
      </c>
      <c r="K391" s="209">
        <v>10.488</v>
      </c>
      <c r="L391" s="209">
        <v>9.5950000000000006</v>
      </c>
      <c r="M391" s="208"/>
      <c r="N391" s="221"/>
    </row>
    <row r="392" spans="1:14" ht="16.5" customHeight="1" x14ac:dyDescent="0.25">
      <c r="A392" s="203">
        <v>44551</v>
      </c>
      <c r="B392" s="128" t="s">
        <v>0</v>
      </c>
      <c r="C392" s="157" t="str">
        <f t="shared" si="13"/>
        <v>21.12.2021_KIN1</v>
      </c>
      <c r="D392" s="190">
        <f t="shared" si="14"/>
        <v>0</v>
      </c>
      <c r="E392" s="204">
        <v>2.0485153334415057E-2</v>
      </c>
      <c r="F392" s="205">
        <v>2.9627691396147602E-2</v>
      </c>
      <c r="G392" s="204">
        <v>2.0079113558028164E-2</v>
      </c>
      <c r="H392" s="204">
        <v>2.1887576843129447E-2</v>
      </c>
      <c r="I392" s="209">
        <v>9.1869999999999994</v>
      </c>
      <c r="J392" s="207">
        <v>2.0973225936565636</v>
      </c>
      <c r="K392" s="209">
        <v>10.794</v>
      </c>
      <c r="L392" s="209">
        <v>9.5150000000000006</v>
      </c>
      <c r="M392" s="208"/>
      <c r="N392" s="221"/>
    </row>
    <row r="393" spans="1:14" ht="16.5" customHeight="1" x14ac:dyDescent="0.25">
      <c r="A393" s="203">
        <v>44551</v>
      </c>
      <c r="B393" s="128" t="s">
        <v>2</v>
      </c>
      <c r="C393" s="157" t="str">
        <f t="shared" si="13"/>
        <v>21.12.2021_KIN2</v>
      </c>
      <c r="D393" s="190">
        <f t="shared" si="14"/>
        <v>0</v>
      </c>
      <c r="E393" s="204">
        <v>1.4339607334090539E-2</v>
      </c>
      <c r="F393" s="205">
        <v>2.7318485500596932E-2</v>
      </c>
      <c r="G393" s="204">
        <v>4.4174049827661974E-2</v>
      </c>
      <c r="H393" s="204">
        <v>2.3450975189067264E-2</v>
      </c>
      <c r="I393" s="209">
        <v>8.766</v>
      </c>
      <c r="J393" s="207">
        <v>2.0214167773469929</v>
      </c>
      <c r="K393" s="209">
        <v>10.904999999999999</v>
      </c>
      <c r="L393" s="209">
        <v>10.426</v>
      </c>
      <c r="M393" s="208"/>
      <c r="N393" s="221"/>
    </row>
    <row r="394" spans="1:14" ht="16.5" customHeight="1" x14ac:dyDescent="0.25">
      <c r="A394" s="203">
        <v>44551</v>
      </c>
      <c r="B394" s="128" t="s">
        <v>4</v>
      </c>
      <c r="C394" s="157" t="str">
        <f t="shared" si="13"/>
        <v>21.12.2021_KIN3</v>
      </c>
      <c r="D394" s="190">
        <f t="shared" si="14"/>
        <v>0</v>
      </c>
      <c r="E394" s="204">
        <v>4.0970306668830113E-3</v>
      </c>
      <c r="F394" s="205">
        <v>2.649454094870619E-2</v>
      </c>
      <c r="G394" s="204">
        <v>2.4094936269633806E-2</v>
      </c>
      <c r="H394" s="204">
        <v>2.1887576843129447E-2</v>
      </c>
      <c r="I394" s="209">
        <v>9.2219999999999995</v>
      </c>
      <c r="J394" s="207">
        <v>2.1083462898338983</v>
      </c>
      <c r="K394" s="209">
        <v>12.952</v>
      </c>
      <c r="L394" s="209">
        <v>13.106</v>
      </c>
      <c r="M394" s="208"/>
      <c r="N394" s="221"/>
    </row>
    <row r="395" spans="1:14" ht="16.5" customHeight="1" x14ac:dyDescent="0.25">
      <c r="A395" s="203">
        <v>44551</v>
      </c>
      <c r="B395" s="128" t="s">
        <v>6</v>
      </c>
      <c r="C395" s="157" t="str">
        <f t="shared" si="13"/>
        <v>21.12.2021_KIN4</v>
      </c>
      <c r="D395" s="190">
        <f t="shared" si="14"/>
        <v>0</v>
      </c>
      <c r="E395" s="204">
        <v>1.4339607334090539E-2</v>
      </c>
      <c r="F395" s="205">
        <v>3.1029869989547865E-2</v>
      </c>
      <c r="G395" s="204">
        <v>6.2245252029887344E-2</v>
      </c>
      <c r="H395" s="204">
        <v>1.8760780151253813E-2</v>
      </c>
      <c r="I395" s="209">
        <v>9.6189999999999998</v>
      </c>
      <c r="J395" s="207">
        <v>2.2266880652657361</v>
      </c>
      <c r="K395" s="209">
        <v>22.550999999999998</v>
      </c>
      <c r="L395" s="209">
        <v>14.31</v>
      </c>
      <c r="M395" s="208"/>
      <c r="N395" s="221"/>
    </row>
    <row r="396" spans="1:14" ht="16.5" customHeight="1" x14ac:dyDescent="0.25">
      <c r="A396" s="203">
        <v>44551</v>
      </c>
      <c r="B396" s="128" t="s">
        <v>34</v>
      </c>
      <c r="C396" s="157" t="str">
        <f t="shared" si="13"/>
        <v>21.12.2021_KRE1</v>
      </c>
      <c r="D396" s="190">
        <f t="shared" si="14"/>
        <v>0</v>
      </c>
      <c r="E396" s="204">
        <v>2.8679214668181078E-2</v>
      </c>
      <c r="F396" s="205">
        <v>3.9294726472009607E-2</v>
      </c>
      <c r="G396" s="204">
        <v>0.13252214948298596</v>
      </c>
      <c r="H396" s="204">
        <v>5.6282340453761431E-2</v>
      </c>
      <c r="I396" s="209">
        <v>9.6999999999999993</v>
      </c>
      <c r="J396" s="207">
        <v>2.3109762824031908</v>
      </c>
      <c r="K396" s="209">
        <v>65</v>
      </c>
      <c r="L396" s="209">
        <v>44.017000000000003</v>
      </c>
      <c r="M396" s="208"/>
      <c r="N396" s="221"/>
    </row>
    <row r="397" spans="1:14" ht="16.5" customHeight="1" x14ac:dyDescent="0.25">
      <c r="A397" s="203">
        <v>44551</v>
      </c>
      <c r="B397" s="128" t="s">
        <v>37</v>
      </c>
      <c r="C397" s="157" t="str">
        <f t="shared" si="13"/>
        <v>21.12.2021_KRE2</v>
      </c>
      <c r="D397" s="190">
        <f t="shared" si="14"/>
        <v>0</v>
      </c>
      <c r="E397" s="204">
        <v>3.277624533506409E-2</v>
      </c>
      <c r="F397" s="205">
        <v>4.3015590059594336E-2</v>
      </c>
      <c r="G397" s="204">
        <v>0.11043512456915495</v>
      </c>
      <c r="H397" s="204">
        <v>4.3775153686258894E-2</v>
      </c>
      <c r="I397" s="209">
        <v>10.042999999999999</v>
      </c>
      <c r="J397" s="207">
        <v>2.3674915254164843</v>
      </c>
      <c r="K397" s="209">
        <v>57</v>
      </c>
      <c r="L397" s="209">
        <v>38</v>
      </c>
      <c r="M397" s="208"/>
      <c r="N397" s="221"/>
    </row>
    <row r="398" spans="1:14" ht="16.5" customHeight="1" x14ac:dyDescent="0.25">
      <c r="A398" s="203">
        <v>44551</v>
      </c>
      <c r="B398" s="128" t="s">
        <v>18</v>
      </c>
      <c r="C398" s="157" t="str">
        <f t="shared" si="13"/>
        <v>21.12.2021_ORB1</v>
      </c>
      <c r="D398" s="190">
        <f t="shared" si="14"/>
        <v>0</v>
      </c>
      <c r="E398" s="204">
        <v>2.8679214668181078E-2</v>
      </c>
      <c r="F398" s="205">
        <v>3.3666151416345602E-2</v>
      </c>
      <c r="G398" s="204">
        <v>3.8150315760253538E-2</v>
      </c>
      <c r="H398" s="204">
        <v>2.6577771880942902E-2</v>
      </c>
      <c r="I398" s="209">
        <v>8.23</v>
      </c>
      <c r="J398" s="207">
        <v>1.8966250413338324</v>
      </c>
      <c r="K398" s="209">
        <v>10.077999999999999</v>
      </c>
      <c r="L398" s="209">
        <v>12.519</v>
      </c>
      <c r="M398" s="208"/>
      <c r="N398" s="221"/>
    </row>
    <row r="399" spans="1:14" ht="16.5" customHeight="1" x14ac:dyDescent="0.25">
      <c r="A399" s="203">
        <v>44551</v>
      </c>
      <c r="B399" s="128" t="s">
        <v>21</v>
      </c>
      <c r="C399" s="157" t="str">
        <f t="shared" si="13"/>
        <v>21.12.2021_ORB2</v>
      </c>
      <c r="D399" s="190">
        <f t="shared" si="14"/>
        <v>0</v>
      </c>
      <c r="E399" s="204">
        <v>3.277624533506409E-2</v>
      </c>
      <c r="F399" s="205">
        <v>2.7914718097208333E-2</v>
      </c>
      <c r="G399" s="204">
        <v>4.6181961183464793E-2</v>
      </c>
      <c r="H399" s="204">
        <v>3.2831365264694171E-2</v>
      </c>
      <c r="I399" s="209">
        <v>10.036</v>
      </c>
      <c r="J399" s="207">
        <v>2.3126866601941845</v>
      </c>
      <c r="K399" s="209">
        <v>23.260999999999999</v>
      </c>
      <c r="L399" s="209">
        <v>18.242000000000001</v>
      </c>
      <c r="M399" s="208"/>
      <c r="N399" s="221"/>
    </row>
    <row r="400" spans="1:14" ht="16.5" customHeight="1" x14ac:dyDescent="0.25">
      <c r="A400" s="203">
        <v>44551</v>
      </c>
      <c r="B400" s="128" t="s">
        <v>10</v>
      </c>
      <c r="C400" s="157" t="str">
        <f t="shared" si="13"/>
        <v>21.12.2021_SAL1</v>
      </c>
      <c r="D400" s="190">
        <f t="shared" si="14"/>
        <v>0</v>
      </c>
      <c r="E400" s="204">
        <v>5.5309914002920652E-2</v>
      </c>
      <c r="F400" s="205">
        <v>5.9086055586709513E-2</v>
      </c>
      <c r="G400" s="204">
        <v>6.0237340674084525E-2</v>
      </c>
      <c r="H400" s="204">
        <v>5.6282340453761431E-2</v>
      </c>
      <c r="I400" s="209">
        <v>13.368</v>
      </c>
      <c r="J400" s="207">
        <v>3.0833390112111676</v>
      </c>
      <c r="K400" s="209">
        <v>10.778</v>
      </c>
      <c r="L400" s="209">
        <v>8.1470000000000002</v>
      </c>
      <c r="M400" s="208"/>
      <c r="N400" s="221"/>
    </row>
    <row r="401" spans="1:14" ht="16.5" customHeight="1" x14ac:dyDescent="0.25">
      <c r="A401" s="203">
        <v>44551</v>
      </c>
      <c r="B401" s="128" t="s">
        <v>12</v>
      </c>
      <c r="C401" s="157" t="str">
        <f t="shared" si="13"/>
        <v>21.12.2021_SAL2</v>
      </c>
      <c r="D401" s="190">
        <f t="shared" si="14"/>
        <v>0</v>
      </c>
      <c r="E401" s="204">
        <v>3.4824760668505594E-2</v>
      </c>
      <c r="F401" s="205">
        <v>5.7440506926830628E-2</v>
      </c>
      <c r="G401" s="204">
        <v>2.4094936269633806E-2</v>
      </c>
      <c r="H401" s="204">
        <v>5.159214541594799E-2</v>
      </c>
      <c r="I401" s="209">
        <v>13.345000000000001</v>
      </c>
      <c r="J401" s="207">
        <v>3.0486518557358937</v>
      </c>
      <c r="K401" s="209">
        <v>11.244</v>
      </c>
      <c r="L401" s="209">
        <v>8.5860000000000003</v>
      </c>
      <c r="M401" s="208"/>
      <c r="N401" s="221"/>
    </row>
    <row r="402" spans="1:14" ht="16.5" customHeight="1" x14ac:dyDescent="0.25">
      <c r="A402" s="203">
        <v>44551</v>
      </c>
      <c r="B402" s="128" t="s">
        <v>7</v>
      </c>
      <c r="C402" s="157" t="str">
        <f t="shared" si="13"/>
        <v>21.12.2021_STE1</v>
      </c>
      <c r="D402" s="190">
        <f t="shared" si="14"/>
        <v>0</v>
      </c>
      <c r="E402" s="204">
        <v>5.7358429336362156E-2</v>
      </c>
      <c r="F402" s="205">
        <v>6.1519518597166228E-2</v>
      </c>
      <c r="G402" s="204">
        <v>3.2126581692845081E-2</v>
      </c>
      <c r="H402" s="204">
        <v>3.4394763610631991E-2</v>
      </c>
      <c r="I402" s="209">
        <v>12.342000000000001</v>
      </c>
      <c r="J402" s="207">
        <v>2.8231049951999339</v>
      </c>
      <c r="K402" s="209">
        <v>10.119999999999999</v>
      </c>
      <c r="L402" s="209">
        <v>8.7910000000000004</v>
      </c>
      <c r="M402" s="208"/>
      <c r="N402" s="221"/>
    </row>
    <row r="403" spans="1:14" ht="16.5" customHeight="1" x14ac:dyDescent="0.25">
      <c r="A403" s="203">
        <v>44551</v>
      </c>
      <c r="B403" s="128" t="s">
        <v>9</v>
      </c>
      <c r="C403" s="157" t="str">
        <f t="shared" si="13"/>
        <v>21.12.2021_STE2</v>
      </c>
      <c r="D403" s="190">
        <f t="shared" si="14"/>
        <v>0</v>
      </c>
      <c r="E403" s="204">
        <v>6.1455460003245165E-2</v>
      </c>
      <c r="F403" s="205">
        <v>6.1729283138148773E-2</v>
      </c>
      <c r="G403" s="204">
        <v>3.8150315760253538E-2</v>
      </c>
      <c r="H403" s="204">
        <v>3.7521560302507626E-2</v>
      </c>
      <c r="I403" s="209">
        <v>12.285</v>
      </c>
      <c r="J403" s="207">
        <v>2.8158597277187778</v>
      </c>
      <c r="K403" s="209">
        <v>11.053000000000001</v>
      </c>
      <c r="L403" s="209">
        <v>8.5510000000000002</v>
      </c>
      <c r="M403" s="208"/>
      <c r="N403" s="221"/>
    </row>
    <row r="404" spans="1:14" ht="16.5" customHeight="1" x14ac:dyDescent="0.25">
      <c r="A404" s="203">
        <v>44565</v>
      </c>
      <c r="B404" s="128" t="s">
        <v>22</v>
      </c>
      <c r="C404" s="157" t="str">
        <f t="shared" si="13"/>
        <v>04.01.2022_BIE1</v>
      </c>
      <c r="D404" s="190">
        <f t="shared" si="14"/>
        <v>0</v>
      </c>
      <c r="E404" s="204">
        <v>6.7065779904507919E-2</v>
      </c>
      <c r="F404" s="205">
        <v>0.10571525466177267</v>
      </c>
      <c r="G404" s="204">
        <v>3.9302694136291609E-2</v>
      </c>
      <c r="H404" s="204">
        <v>1.2645322840279019E-2</v>
      </c>
      <c r="I404" s="209">
        <v>8.3339999999999996</v>
      </c>
      <c r="J404" s="207">
        <v>1.9167685975086119</v>
      </c>
      <c r="K404" s="209">
        <v>7.9630000000000001</v>
      </c>
      <c r="L404" s="209">
        <v>10.797000000000001</v>
      </c>
      <c r="M404" s="208"/>
      <c r="N404" s="221"/>
    </row>
    <row r="405" spans="1:14" ht="16.5" customHeight="1" x14ac:dyDescent="0.25">
      <c r="A405" s="203">
        <v>44565</v>
      </c>
      <c r="B405" s="128" t="s">
        <v>25</v>
      </c>
      <c r="C405" s="157" t="str">
        <f t="shared" si="13"/>
        <v>04.01.2022_BIE2</v>
      </c>
      <c r="D405" s="190">
        <f t="shared" si="14"/>
        <v>0</v>
      </c>
      <c r="E405" s="204">
        <v>3.166995162157319E-2</v>
      </c>
      <c r="F405" s="205">
        <v>4.1215670462893775E-2</v>
      </c>
      <c r="G405" s="204">
        <v>3.4935728121148091E-2</v>
      </c>
      <c r="H405" s="204">
        <v>1.580665355034877E-2</v>
      </c>
      <c r="I405" s="209">
        <v>8.33</v>
      </c>
      <c r="J405" s="207">
        <v>1.913436679202194</v>
      </c>
      <c r="K405" s="209">
        <v>8.2390000000000008</v>
      </c>
      <c r="L405" s="209">
        <v>10.51</v>
      </c>
      <c r="M405" s="208"/>
      <c r="N405" s="221"/>
    </row>
    <row r="406" spans="1:14" ht="16.5" customHeight="1" x14ac:dyDescent="0.25">
      <c r="A406" s="203">
        <v>44565</v>
      </c>
      <c r="B406" s="128" t="s">
        <v>14</v>
      </c>
      <c r="C406" s="157" t="str">
        <f t="shared" si="13"/>
        <v>04.01.2022_BRA1</v>
      </c>
      <c r="D406" s="190">
        <f t="shared" si="14"/>
        <v>0</v>
      </c>
      <c r="E406" s="204">
        <v>8.0106348219273357E-2</v>
      </c>
      <c r="F406" s="205">
        <v>0.10231654853498302</v>
      </c>
      <c r="G406" s="204">
        <v>8.9522803310442003E-2</v>
      </c>
      <c r="H406" s="204">
        <v>3.1613307100697541E-2</v>
      </c>
      <c r="I406" s="209">
        <v>11.835000000000001</v>
      </c>
      <c r="J406" s="207">
        <v>2.7523096828893325</v>
      </c>
      <c r="K406" s="209">
        <v>7.1559999999999997</v>
      </c>
      <c r="L406" s="209">
        <v>7.1879999999999997</v>
      </c>
      <c r="M406" s="208"/>
      <c r="N406" s="221"/>
    </row>
    <row r="407" spans="1:14" ht="16.5" customHeight="1" x14ac:dyDescent="0.25">
      <c r="A407" s="203">
        <v>44565</v>
      </c>
      <c r="B407" s="128" t="s">
        <v>17</v>
      </c>
      <c r="C407" s="157" t="str">
        <f t="shared" si="13"/>
        <v>04.01.2022_BRA2</v>
      </c>
      <c r="D407" s="190">
        <f t="shared" si="14"/>
        <v>0</v>
      </c>
      <c r="E407" s="204">
        <v>9.3146916534038796E-2</v>
      </c>
      <c r="F407" s="205">
        <v>0.10747726747777882</v>
      </c>
      <c r="G407" s="204">
        <v>7.4238422257439707E-2</v>
      </c>
      <c r="H407" s="204">
        <v>3.3193972455732419E-2</v>
      </c>
      <c r="I407" s="209">
        <v>13.619</v>
      </c>
      <c r="J407" s="207">
        <v>3.143874827412827</v>
      </c>
      <c r="K407" s="209">
        <v>7.915</v>
      </c>
      <c r="L407" s="209">
        <v>7.7560000000000002</v>
      </c>
      <c r="M407" s="208"/>
      <c r="N407" s="221"/>
    </row>
    <row r="408" spans="1:14" ht="16.5" customHeight="1" x14ac:dyDescent="0.25">
      <c r="A408" s="203">
        <v>44565</v>
      </c>
      <c r="B408" s="128" t="s">
        <v>30</v>
      </c>
      <c r="C408" s="157" t="str">
        <f t="shared" si="13"/>
        <v>04.01.2022_FAL1</v>
      </c>
      <c r="D408" s="190">
        <f t="shared" si="14"/>
        <v>0</v>
      </c>
      <c r="E408" s="204">
        <v>0.18070501807603526</v>
      </c>
      <c r="F408" s="205">
        <v>0.19730778616554004</v>
      </c>
      <c r="G408" s="204">
        <v>0.15721077654516641</v>
      </c>
      <c r="H408" s="204">
        <v>9.8001252012162393E-2</v>
      </c>
      <c r="I408" s="209">
        <v>15.614000000000001</v>
      </c>
      <c r="J408" s="207">
        <v>3.678643257054659</v>
      </c>
      <c r="K408" s="209">
        <v>29.164000000000001</v>
      </c>
      <c r="L408" s="209">
        <v>23.399000000000001</v>
      </c>
      <c r="M408" s="208"/>
      <c r="N408" s="221"/>
    </row>
    <row r="409" spans="1:14" ht="16.5" customHeight="1" x14ac:dyDescent="0.25">
      <c r="A409" s="203">
        <v>44565</v>
      </c>
      <c r="B409" s="128" t="s">
        <v>32</v>
      </c>
      <c r="C409" s="157" t="str">
        <f t="shared" si="13"/>
        <v>04.01.2022_FAL2</v>
      </c>
      <c r="D409" s="190">
        <f t="shared" si="14"/>
        <v>0</v>
      </c>
      <c r="E409" s="204">
        <v>0.17511620308399292</v>
      </c>
      <c r="F409" s="205">
        <v>0.19396582075738733</v>
      </c>
      <c r="G409" s="204">
        <v>0.15502729353759465</v>
      </c>
      <c r="H409" s="204">
        <v>9.3259255947057751E-2</v>
      </c>
      <c r="I409" s="209">
        <v>15.22</v>
      </c>
      <c r="J409" s="207">
        <v>3.5865113236320889</v>
      </c>
      <c r="K409" s="209">
        <v>26.498999999999999</v>
      </c>
      <c r="L409" s="209">
        <v>21.888000000000002</v>
      </c>
      <c r="M409" s="208"/>
      <c r="N409" s="221"/>
    </row>
    <row r="410" spans="1:14" ht="16.5" customHeight="1" x14ac:dyDescent="0.25">
      <c r="A410" s="203">
        <v>44565</v>
      </c>
      <c r="B410" s="128" t="s">
        <v>26</v>
      </c>
      <c r="C410" s="157" t="str">
        <f t="shared" si="13"/>
        <v>04.01.2022_GRU1</v>
      </c>
      <c r="D410" s="190">
        <f t="shared" si="14"/>
        <v>0</v>
      </c>
      <c r="E410" s="204">
        <v>2.0492321637488532E-2</v>
      </c>
      <c r="F410" s="205">
        <v>3.8852383476637428E-2</v>
      </c>
      <c r="G410" s="204">
        <v>3.7119211128719853E-2</v>
      </c>
      <c r="H410" s="204">
        <v>2.8451976390627794E-2</v>
      </c>
      <c r="I410" s="209">
        <v>11.959</v>
      </c>
      <c r="J410" s="207">
        <v>2.7386642304614659</v>
      </c>
      <c r="K410" s="209">
        <v>9.25</v>
      </c>
      <c r="L410" s="209">
        <v>9.4179999999999993</v>
      </c>
      <c r="M410" s="208"/>
      <c r="N410" s="221"/>
    </row>
    <row r="411" spans="1:14" ht="16.5" customHeight="1" x14ac:dyDescent="0.25">
      <c r="A411" s="203">
        <v>44565</v>
      </c>
      <c r="B411" s="128" t="s">
        <v>28</v>
      </c>
      <c r="C411" s="157" t="str">
        <f t="shared" si="13"/>
        <v>04.01.2022_GRU2</v>
      </c>
      <c r="D411" s="190">
        <f t="shared" si="14"/>
        <v>0</v>
      </c>
      <c r="E411" s="204">
        <v>2.4218198298850083E-2</v>
      </c>
      <c r="F411" s="205">
        <v>3.9715328789333051E-2</v>
      </c>
      <c r="G411" s="204">
        <v>3.4935728121148091E-2</v>
      </c>
      <c r="H411" s="204">
        <v>3.0032641745662673E-2</v>
      </c>
      <c r="I411" s="209">
        <v>11.773</v>
      </c>
      <c r="J411" s="207">
        <v>2.6954381913082566</v>
      </c>
      <c r="K411" s="209">
        <v>9.4619999999999997</v>
      </c>
      <c r="L411" s="209">
        <v>9.5329999999999995</v>
      </c>
      <c r="M411" s="208"/>
      <c r="N411" s="221"/>
    </row>
    <row r="412" spans="1:14" ht="16.5" customHeight="1" x14ac:dyDescent="0.25">
      <c r="A412" s="203">
        <v>44565</v>
      </c>
      <c r="B412" s="128" t="s">
        <v>0</v>
      </c>
      <c r="C412" s="157" t="str">
        <f t="shared" si="13"/>
        <v>04.01.2022_KIN1</v>
      </c>
      <c r="D412" s="190">
        <f t="shared" si="14"/>
        <v>0</v>
      </c>
      <c r="E412" s="204">
        <v>0.108050423179485</v>
      </c>
      <c r="F412" s="205">
        <v>0.12095949071455502</v>
      </c>
      <c r="G412" s="204">
        <v>0.14629336150730768</v>
      </c>
      <c r="H412" s="204">
        <v>2.3709980325523159E-2</v>
      </c>
      <c r="I412" s="209">
        <v>7.8940000000000001</v>
      </c>
      <c r="J412" s="207">
        <v>1.9038316157869148</v>
      </c>
      <c r="K412" s="209">
        <v>8.58</v>
      </c>
      <c r="L412" s="209">
        <v>5.1130000000000004</v>
      </c>
      <c r="M412" s="208"/>
      <c r="N412" s="221"/>
    </row>
    <row r="413" spans="1:14" ht="16.5" customHeight="1" x14ac:dyDescent="0.25">
      <c r="A413" s="203">
        <v>44565</v>
      </c>
      <c r="B413" s="128" t="s">
        <v>2</v>
      </c>
      <c r="C413" s="157" t="str">
        <f t="shared" si="13"/>
        <v>04.01.2022_KIN2</v>
      </c>
      <c r="D413" s="190">
        <f t="shared" si="14"/>
        <v>0</v>
      </c>
      <c r="E413" s="204">
        <v>9.5009854864719565E-2</v>
      </c>
      <c r="F413" s="205">
        <v>0.12085526693627137</v>
      </c>
      <c r="G413" s="204">
        <v>0.10699066737101603</v>
      </c>
      <c r="H413" s="204">
        <v>2.3709980325523159E-2</v>
      </c>
      <c r="I413" s="209">
        <v>8.3689999999999998</v>
      </c>
      <c r="J413" s="207">
        <v>1.9806017168170256</v>
      </c>
      <c r="K413" s="209">
        <v>8.4190000000000005</v>
      </c>
      <c r="L413" s="209">
        <v>5.3819999999999997</v>
      </c>
      <c r="M413" s="208"/>
      <c r="N413" s="221"/>
    </row>
    <row r="414" spans="1:14" ht="16.5" customHeight="1" x14ac:dyDescent="0.25">
      <c r="A414" s="203">
        <v>44565</v>
      </c>
      <c r="B414" s="128" t="s">
        <v>4</v>
      </c>
      <c r="C414" s="157" t="str">
        <f t="shared" si="13"/>
        <v>04.01.2022_KIN3</v>
      </c>
      <c r="D414" s="190">
        <f t="shared" si="14"/>
        <v>0</v>
      </c>
      <c r="E414" s="204">
        <v>9.8735731526081116E-2</v>
      </c>
      <c r="F414" s="205">
        <v>0.10332525160577687</v>
      </c>
      <c r="G414" s="204">
        <v>0.16157774256030991</v>
      </c>
      <c r="H414" s="204">
        <v>3.4774637810767298E-2</v>
      </c>
      <c r="I414" s="209">
        <v>8.8550000000000004</v>
      </c>
      <c r="J414" s="207">
        <v>2.1361294898021432</v>
      </c>
      <c r="K414" s="209">
        <v>8.1920000000000002</v>
      </c>
      <c r="L414" s="209">
        <v>7.1269999999999998</v>
      </c>
      <c r="M414" s="208"/>
      <c r="N414" s="221"/>
    </row>
    <row r="415" spans="1:14" ht="16.5" customHeight="1" x14ac:dyDescent="0.25">
      <c r="A415" s="203">
        <v>44565</v>
      </c>
      <c r="B415" s="128" t="s">
        <v>6</v>
      </c>
      <c r="C415" s="157" t="str">
        <f t="shared" si="13"/>
        <v>04.01.2022_KIN4</v>
      </c>
      <c r="D415" s="190">
        <f t="shared" si="14"/>
        <v>0</v>
      </c>
      <c r="E415" s="204">
        <v>0.10059866985676189</v>
      </c>
      <c r="F415" s="205">
        <v>7.1443765165299156E-2</v>
      </c>
      <c r="G415" s="204">
        <v>0.15939425955273817</v>
      </c>
      <c r="H415" s="204">
        <v>3.6355303165802176E-2</v>
      </c>
      <c r="I415" s="209">
        <v>9.3209999999999997</v>
      </c>
      <c r="J415" s="207">
        <v>2.240170690648934</v>
      </c>
      <c r="K415" s="209">
        <v>9.9779999999999998</v>
      </c>
      <c r="L415" s="209">
        <v>7.04</v>
      </c>
      <c r="M415" s="208"/>
      <c r="N415" s="221"/>
    </row>
    <row r="416" spans="1:14" ht="16.5" customHeight="1" x14ac:dyDescent="0.25">
      <c r="A416" s="203">
        <v>44565</v>
      </c>
      <c r="B416" s="128" t="s">
        <v>34</v>
      </c>
      <c r="C416" s="157" t="str">
        <f t="shared" si="13"/>
        <v>04.01.2022_KRE1</v>
      </c>
      <c r="D416" s="190">
        <f t="shared" si="14"/>
        <v>0</v>
      </c>
      <c r="E416" s="204">
        <v>0.13040568314765433</v>
      </c>
      <c r="F416" s="205">
        <v>0.14691050808063164</v>
      </c>
      <c r="G416" s="204">
        <v>0.18996302165874276</v>
      </c>
      <c r="H416" s="204">
        <v>7.2710606331604352E-2</v>
      </c>
      <c r="I416" s="209">
        <v>14.537000000000001</v>
      </c>
      <c r="J416" s="207">
        <v>3.4531133207854539</v>
      </c>
      <c r="K416" s="209">
        <v>28.119</v>
      </c>
      <c r="L416" s="209">
        <v>26.759</v>
      </c>
      <c r="M416" s="208"/>
      <c r="N416" s="221"/>
    </row>
    <row r="417" spans="1:14" ht="16.5" customHeight="1" x14ac:dyDescent="0.25">
      <c r="A417" s="203">
        <v>44565</v>
      </c>
      <c r="B417" s="128" t="s">
        <v>37</v>
      </c>
      <c r="C417" s="157" t="str">
        <f t="shared" si="13"/>
        <v>04.01.2022_KRE2</v>
      </c>
      <c r="D417" s="190">
        <f t="shared" si="14"/>
        <v>0</v>
      </c>
      <c r="E417" s="204">
        <v>0.10246160818744267</v>
      </c>
      <c r="F417" s="205">
        <v>0.11961953382960085</v>
      </c>
      <c r="G417" s="204">
        <v>0.23799964782532138</v>
      </c>
      <c r="H417" s="204">
        <v>7.2710606331604352E-2</v>
      </c>
      <c r="I417" s="209">
        <v>15.494</v>
      </c>
      <c r="J417" s="207">
        <v>3.7065708706375404</v>
      </c>
      <c r="K417" s="209">
        <v>31.766999999999999</v>
      </c>
      <c r="L417" s="209">
        <v>31.106999999999999</v>
      </c>
      <c r="M417" s="208"/>
      <c r="N417" s="221"/>
    </row>
    <row r="418" spans="1:14" ht="16.5" customHeight="1" x14ac:dyDescent="0.25">
      <c r="A418" s="203">
        <v>44565</v>
      </c>
      <c r="B418" s="128" t="s">
        <v>18</v>
      </c>
      <c r="C418" s="157" t="str">
        <f t="shared" si="13"/>
        <v>04.01.2022_ORB1</v>
      </c>
      <c r="D418" s="190">
        <f t="shared" si="14"/>
        <v>0</v>
      </c>
      <c r="E418" s="204">
        <v>5.2162273259061726E-2</v>
      </c>
      <c r="F418" s="205">
        <v>6.6013287442116139E-2</v>
      </c>
      <c r="G418" s="204">
        <v>6.3321007219580949E-2</v>
      </c>
      <c r="H418" s="204">
        <v>2.8451976390627794E-2</v>
      </c>
      <c r="I418" s="209">
        <v>11.395</v>
      </c>
      <c r="J418" s="207">
        <v>2.6316189831080585</v>
      </c>
      <c r="K418" s="209">
        <v>9.6910000000000007</v>
      </c>
      <c r="L418" s="209">
        <v>9.5470000000000006</v>
      </c>
      <c r="M418" s="208"/>
      <c r="N418" s="221"/>
    </row>
    <row r="419" spans="1:14" ht="16.5" customHeight="1" x14ac:dyDescent="0.25">
      <c r="A419" s="203">
        <v>44565</v>
      </c>
      <c r="B419" s="128" t="s">
        <v>21</v>
      </c>
      <c r="C419" s="157" t="str">
        <f t="shared" si="13"/>
        <v>04.01.2022_ORB2</v>
      </c>
      <c r="D419" s="190">
        <f t="shared" si="14"/>
        <v>0</v>
      </c>
      <c r="E419" s="204">
        <v>7.8243409888592588E-2</v>
      </c>
      <c r="F419" s="205">
        <v>0.10809711705772482</v>
      </c>
      <c r="G419" s="204">
        <v>0.16812819158302519</v>
      </c>
      <c r="H419" s="204">
        <v>3.1613307100697541E-2</v>
      </c>
      <c r="I419" s="209">
        <v>10.754</v>
      </c>
      <c r="J419" s="207">
        <v>2.5691805108291108</v>
      </c>
      <c r="K419" s="209">
        <v>16.484000000000002</v>
      </c>
      <c r="L419" s="209">
        <v>10.986000000000001</v>
      </c>
      <c r="M419" s="208"/>
      <c r="N419" s="221"/>
    </row>
    <row r="420" spans="1:14" ht="16.5" customHeight="1" x14ac:dyDescent="0.25">
      <c r="A420" s="203">
        <v>44565</v>
      </c>
      <c r="B420" s="128" t="s">
        <v>10</v>
      </c>
      <c r="C420" s="157" t="str">
        <f t="shared" si="13"/>
        <v>04.01.2022_SAL1</v>
      </c>
      <c r="D420" s="190">
        <f t="shared" si="14"/>
        <v>0</v>
      </c>
      <c r="E420" s="204">
        <v>8.7558101541996461E-2</v>
      </c>
      <c r="F420" s="205">
        <v>0.10269026951795121</v>
      </c>
      <c r="G420" s="204">
        <v>4.5853143159006883E-2</v>
      </c>
      <c r="H420" s="204">
        <v>2.6871311035592916E-2</v>
      </c>
      <c r="I420" s="209">
        <v>11.96</v>
      </c>
      <c r="J420" s="207">
        <v>2.7451906777763235</v>
      </c>
      <c r="K420" s="209">
        <v>6.3070000000000004</v>
      </c>
      <c r="L420" s="209">
        <v>6.2569999999999997</v>
      </c>
      <c r="M420" s="208"/>
      <c r="N420" s="221"/>
    </row>
    <row r="421" spans="1:14" ht="16.5" customHeight="1" x14ac:dyDescent="0.25">
      <c r="A421" s="203">
        <v>44565</v>
      </c>
      <c r="B421" s="128" t="s">
        <v>12</v>
      </c>
      <c r="C421" s="157" t="str">
        <f t="shared" si="13"/>
        <v>04.01.2022_SAL2</v>
      </c>
      <c r="D421" s="190">
        <f t="shared" si="14"/>
        <v>0</v>
      </c>
      <c r="E421" s="204">
        <v>9.6872793195400334E-2</v>
      </c>
      <c r="F421" s="205">
        <v>0.11445828113097933</v>
      </c>
      <c r="G421" s="204">
        <v>7.8605388272583218E-2</v>
      </c>
      <c r="H421" s="204">
        <v>2.8451976390627794E-2</v>
      </c>
      <c r="I421" s="209">
        <v>12</v>
      </c>
      <c r="J421" s="207">
        <v>2.7801385021519045</v>
      </c>
      <c r="K421" s="209">
        <v>6.5359999999999996</v>
      </c>
      <c r="L421" s="209">
        <v>6.3230000000000004</v>
      </c>
      <c r="M421" s="208"/>
      <c r="N421" s="221"/>
    </row>
    <row r="422" spans="1:14" ht="16.5" customHeight="1" x14ac:dyDescent="0.25">
      <c r="A422" s="203">
        <v>44565</v>
      </c>
      <c r="B422" s="128" t="s">
        <v>7</v>
      </c>
      <c r="C422" s="157" t="str">
        <f t="shared" si="13"/>
        <v>04.01.2022_STE1</v>
      </c>
      <c r="D422" s="190">
        <f t="shared" si="14"/>
        <v>0</v>
      </c>
      <c r="E422" s="204">
        <v>8.5695163211315678E-2</v>
      </c>
      <c r="F422" s="205">
        <v>0.10022369901201809</v>
      </c>
      <c r="G422" s="204">
        <v>6.7687973234724433E-2</v>
      </c>
      <c r="H422" s="204">
        <v>2.6871311035592916E-2</v>
      </c>
      <c r="I422" s="209">
        <v>10</v>
      </c>
      <c r="J422" s="207">
        <v>2.3194400049818169</v>
      </c>
      <c r="K422" s="209">
        <v>6.016</v>
      </c>
      <c r="L422" s="209">
        <v>5.36</v>
      </c>
      <c r="M422" s="208"/>
      <c r="N422" s="221"/>
    </row>
    <row r="423" spans="1:14" ht="16.5" customHeight="1" x14ac:dyDescent="0.25">
      <c r="A423" s="203">
        <v>44565</v>
      </c>
      <c r="B423" s="128" t="s">
        <v>9</v>
      </c>
      <c r="C423" s="157" t="str">
        <f t="shared" si="13"/>
        <v>04.01.2022_STE2</v>
      </c>
      <c r="D423" s="190">
        <f t="shared" si="14"/>
        <v>0</v>
      </c>
      <c r="E423" s="204">
        <v>8.7558101541996461E-2</v>
      </c>
      <c r="F423" s="205">
        <v>9.7303778930496951E-2</v>
      </c>
      <c r="G423" s="204">
        <v>6.9871456242296182E-2</v>
      </c>
      <c r="H423" s="204">
        <v>2.8451976390627794E-2</v>
      </c>
      <c r="I423" s="209">
        <v>10</v>
      </c>
      <c r="J423" s="207">
        <v>2.3216166912697069</v>
      </c>
      <c r="K423" s="209">
        <v>6.9720000000000004</v>
      </c>
      <c r="L423" s="209">
        <v>5.4</v>
      </c>
      <c r="M423" s="208"/>
      <c r="N423" s="221"/>
    </row>
    <row r="424" spans="1:14" ht="16.5" customHeight="1" x14ac:dyDescent="0.25">
      <c r="A424" s="203">
        <v>44579</v>
      </c>
      <c r="B424" s="128" t="s">
        <v>22</v>
      </c>
      <c r="C424" s="157" t="str">
        <f t="shared" si="13"/>
        <v>18.01.2022_BIE1</v>
      </c>
      <c r="D424" s="190">
        <f t="shared" si="14"/>
        <v>0</v>
      </c>
      <c r="E424" s="204">
        <v>1.8467437754025217E-2</v>
      </c>
      <c r="F424" s="205">
        <v>2.079501739034912E-2</v>
      </c>
      <c r="G424" s="204">
        <v>7.1941651011161508E-3</v>
      </c>
      <c r="H424" s="204">
        <v>1.9337192870492778E-2</v>
      </c>
      <c r="I424" s="209">
        <v>5.0839999999999996</v>
      </c>
      <c r="J424" s="207">
        <v>1.159796485628787</v>
      </c>
      <c r="K424" s="209">
        <v>6.6749999999999998</v>
      </c>
      <c r="L424" s="209">
        <v>12.555999999999999</v>
      </c>
      <c r="M424" s="208"/>
      <c r="N424" s="221"/>
    </row>
    <row r="425" spans="1:14" ht="16.5" customHeight="1" x14ac:dyDescent="0.25">
      <c r="A425" s="203">
        <v>44579</v>
      </c>
      <c r="B425" s="128" t="s">
        <v>25</v>
      </c>
      <c r="C425" s="157" t="str">
        <f t="shared" si="13"/>
        <v>18.01.2022_BIE2</v>
      </c>
      <c r="D425" s="190">
        <f t="shared" si="14"/>
        <v>0</v>
      </c>
      <c r="E425" s="204">
        <v>5.909580081288069E-2</v>
      </c>
      <c r="F425" s="205">
        <v>2.1219706752461678E-2</v>
      </c>
      <c r="G425" s="204">
        <v>2.3980550337053805E-2</v>
      </c>
      <c r="H425" s="204">
        <v>0.01</v>
      </c>
      <c r="I425" s="209">
        <v>5.04</v>
      </c>
      <c r="J425" s="207">
        <v>1.1600499575312186</v>
      </c>
      <c r="K425" s="209">
        <v>6.8209999999999997</v>
      </c>
      <c r="L425" s="209">
        <v>12.468999999999999</v>
      </c>
      <c r="M425" s="208"/>
      <c r="N425" s="221"/>
    </row>
    <row r="426" spans="1:14" ht="16.5" customHeight="1" x14ac:dyDescent="0.25">
      <c r="A426" s="203">
        <v>44579</v>
      </c>
      <c r="B426" s="128" t="s">
        <v>14</v>
      </c>
      <c r="C426" s="157" t="str">
        <f t="shared" si="13"/>
        <v>18.01.2022_BRA1</v>
      </c>
      <c r="D426" s="190">
        <f t="shared" si="14"/>
        <v>0</v>
      </c>
      <c r="E426" s="204">
        <v>7.9409982342308422E-2</v>
      </c>
      <c r="F426" s="205">
        <v>4.2842837469370856E-2</v>
      </c>
      <c r="G426" s="204">
        <v>1.6786385235937652E-2</v>
      </c>
      <c r="H426" s="204">
        <v>1.1280029174454117E-2</v>
      </c>
      <c r="I426" s="209">
        <v>12.885999999999999</v>
      </c>
      <c r="J426" s="207">
        <v>2.9270294851540157</v>
      </c>
      <c r="K426" s="209">
        <v>9.4190000000000005</v>
      </c>
      <c r="L426" s="209">
        <v>8.3130000000000006</v>
      </c>
      <c r="M426" s="208"/>
      <c r="N426" s="221"/>
    </row>
    <row r="427" spans="1:14" ht="16.5" customHeight="1" x14ac:dyDescent="0.25">
      <c r="A427" s="203">
        <v>44579</v>
      </c>
      <c r="B427" s="128" t="s">
        <v>17</v>
      </c>
      <c r="C427" s="157" t="str">
        <f t="shared" si="13"/>
        <v>18.01.2022_BRA2</v>
      </c>
      <c r="D427" s="190">
        <f t="shared" si="14"/>
        <v>0</v>
      </c>
      <c r="E427" s="204">
        <v>5.909580081288069E-2</v>
      </c>
      <c r="F427" s="205">
        <v>4.4948055281303557E-2</v>
      </c>
      <c r="G427" s="204">
        <v>1.1990275168526918E-2</v>
      </c>
      <c r="H427" s="204">
        <v>1.1280029174454117E-2</v>
      </c>
      <c r="I427" s="209">
        <v>14.452999999999999</v>
      </c>
      <c r="J427" s="207">
        <v>3.2772436436477719</v>
      </c>
      <c r="K427" s="209">
        <v>10.805999999999999</v>
      </c>
      <c r="L427" s="209">
        <v>9.0180000000000007</v>
      </c>
      <c r="M427" s="208"/>
      <c r="N427" s="221"/>
    </row>
    <row r="428" spans="1:14" ht="16.5" customHeight="1" x14ac:dyDescent="0.25">
      <c r="A428" s="203">
        <v>44579</v>
      </c>
      <c r="B428" s="128" t="s">
        <v>30</v>
      </c>
      <c r="C428" s="157" t="str">
        <f t="shared" si="13"/>
        <v>18.01.2022_FAL1</v>
      </c>
      <c r="D428" s="190">
        <f t="shared" si="14"/>
        <v>0</v>
      </c>
      <c r="E428" s="204">
        <v>0.12188508917656643</v>
      </c>
      <c r="F428" s="205">
        <v>9.6369766327233472E-2</v>
      </c>
      <c r="G428" s="204">
        <v>0.2565918886064758</v>
      </c>
      <c r="H428" s="204">
        <v>0.12891461913661847</v>
      </c>
      <c r="I428" s="209">
        <v>17.09</v>
      </c>
      <c r="J428" s="207">
        <v>4.0986073913801855</v>
      </c>
      <c r="K428" s="209">
        <v>37</v>
      </c>
      <c r="L428" s="209">
        <v>32.545000000000002</v>
      </c>
      <c r="M428" s="208"/>
      <c r="N428" s="221"/>
    </row>
    <row r="429" spans="1:14" ht="16.5" customHeight="1" x14ac:dyDescent="0.25">
      <c r="A429" s="203">
        <v>44579</v>
      </c>
      <c r="B429" s="128" t="s">
        <v>32</v>
      </c>
      <c r="C429" s="157" t="str">
        <f t="shared" si="13"/>
        <v>18.01.2022_FAL2</v>
      </c>
      <c r="D429" s="190">
        <f t="shared" si="14"/>
        <v>0</v>
      </c>
      <c r="E429" s="204">
        <v>8.6796957443918507E-2</v>
      </c>
      <c r="F429" s="205">
        <v>0.1015784702722406</v>
      </c>
      <c r="G429" s="204">
        <v>0.18944634766272511</v>
      </c>
      <c r="H429" s="204">
        <v>8.7017367917217481E-2</v>
      </c>
      <c r="I429" s="209">
        <v>15.981</v>
      </c>
      <c r="J429" s="207">
        <v>3.7832241021590258</v>
      </c>
      <c r="K429" s="209">
        <v>39</v>
      </c>
      <c r="L429" s="209">
        <v>32.420999999999999</v>
      </c>
      <c r="M429" s="208"/>
      <c r="N429" s="221"/>
    </row>
    <row r="430" spans="1:14" ht="16.5" customHeight="1" x14ac:dyDescent="0.25">
      <c r="A430" s="203">
        <v>44579</v>
      </c>
      <c r="B430" s="128" t="s">
        <v>26</v>
      </c>
      <c r="C430" s="157" t="str">
        <f t="shared" si="13"/>
        <v>18.01.2022_GRU1</v>
      </c>
      <c r="D430" s="190">
        <f t="shared" si="14"/>
        <v>0</v>
      </c>
      <c r="E430" s="204">
        <v>4.4321850609660519E-2</v>
      </c>
      <c r="F430" s="205">
        <v>2.9523787983760687E-2</v>
      </c>
      <c r="G430" s="204">
        <v>1.1990275168526918E-2</v>
      </c>
      <c r="H430" s="204">
        <v>3.2228654784154619E-2</v>
      </c>
      <c r="I430" s="209">
        <v>9.8439999999999994</v>
      </c>
      <c r="J430" s="207">
        <v>2.2425866227146454</v>
      </c>
      <c r="K430" s="209">
        <v>8.9960000000000004</v>
      </c>
      <c r="L430" s="209">
        <v>10.446</v>
      </c>
      <c r="M430" s="208"/>
      <c r="N430" s="221"/>
    </row>
    <row r="431" spans="1:14" ht="16.5" customHeight="1" x14ac:dyDescent="0.25">
      <c r="A431" s="203">
        <v>44579</v>
      </c>
      <c r="B431" s="128" t="s">
        <v>28</v>
      </c>
      <c r="C431" s="157" t="str">
        <f t="shared" si="13"/>
        <v>18.01.2022_GRU2</v>
      </c>
      <c r="D431" s="190">
        <f t="shared" si="14"/>
        <v>0</v>
      </c>
      <c r="E431" s="204">
        <v>3.3241387957245384E-2</v>
      </c>
      <c r="F431" s="205">
        <v>3.1269360413373859E-2</v>
      </c>
      <c r="G431" s="204">
        <v>2.8776660404464572E-2</v>
      </c>
      <c r="H431" s="204">
        <v>3.7062953001777817E-2</v>
      </c>
      <c r="I431" s="209">
        <v>9.2590000000000003</v>
      </c>
      <c r="J431" s="207">
        <v>2.1249589350788538</v>
      </c>
      <c r="K431" s="209">
        <v>9.0090000000000003</v>
      </c>
      <c r="L431" s="209">
        <v>10.292999999999999</v>
      </c>
      <c r="M431" s="208"/>
      <c r="N431" s="221"/>
    </row>
    <row r="432" spans="1:14" ht="16.5" customHeight="1" x14ac:dyDescent="0.25">
      <c r="A432" s="203">
        <v>44579</v>
      </c>
      <c r="B432" s="128" t="s">
        <v>0</v>
      </c>
      <c r="C432" s="157" t="str">
        <f t="shared" si="13"/>
        <v>18.01.2022_KIN1</v>
      </c>
      <c r="D432" s="190">
        <f t="shared" si="14"/>
        <v>0</v>
      </c>
      <c r="E432" s="204">
        <v>7.7563238566905904E-2</v>
      </c>
      <c r="F432" s="205">
        <v>6.8196175563705511E-2</v>
      </c>
      <c r="G432" s="204">
        <v>8.3931926179688365E-2</v>
      </c>
      <c r="H432" s="204">
        <v>2.9005789305739164E-2</v>
      </c>
      <c r="I432" s="209">
        <v>9.1319999999999997</v>
      </c>
      <c r="J432" s="207">
        <v>2.136647953913398</v>
      </c>
      <c r="K432" s="209">
        <v>15.462999999999999</v>
      </c>
      <c r="L432" s="209">
        <v>7.593</v>
      </c>
      <c r="M432" s="208"/>
      <c r="N432" s="221"/>
    </row>
    <row r="433" spans="1:14" ht="16.5" customHeight="1" x14ac:dyDescent="0.25">
      <c r="A433" s="203">
        <v>44579</v>
      </c>
      <c r="B433" s="128" t="s">
        <v>2</v>
      </c>
      <c r="C433" s="157" t="str">
        <f t="shared" si="13"/>
        <v>18.01.2022_KIN2</v>
      </c>
      <c r="D433" s="190">
        <f t="shared" si="14"/>
        <v>0</v>
      </c>
      <c r="E433" s="204">
        <v>6.83295196898933E-2</v>
      </c>
      <c r="F433" s="205">
        <v>4.6101247114557049E-2</v>
      </c>
      <c r="G433" s="204">
        <v>7.4339706044866824E-2</v>
      </c>
      <c r="H433" s="204">
        <v>2.5782923827323698E-2</v>
      </c>
      <c r="I433" s="209">
        <v>9.7859999999999996</v>
      </c>
      <c r="J433" s="207">
        <v>2.2759374695060073</v>
      </c>
      <c r="K433" s="209">
        <v>14.269</v>
      </c>
      <c r="L433" s="209">
        <v>8.3130000000000006</v>
      </c>
      <c r="M433" s="208"/>
      <c r="N433" s="221"/>
    </row>
    <row r="434" spans="1:14" ht="16.5" customHeight="1" x14ac:dyDescent="0.25">
      <c r="A434" s="203">
        <v>44579</v>
      </c>
      <c r="B434" s="128" t="s">
        <v>4</v>
      </c>
      <c r="C434" s="157" t="str">
        <f t="shared" si="13"/>
        <v>18.01.2022_KIN3</v>
      </c>
      <c r="D434" s="190">
        <f t="shared" si="14"/>
        <v>0</v>
      </c>
      <c r="E434" s="204">
        <v>3.5088131732647909E-2</v>
      </c>
      <c r="F434" s="205">
        <v>3.8702186001207527E-2</v>
      </c>
      <c r="G434" s="204">
        <v>7.4339706044866824E-2</v>
      </c>
      <c r="H434" s="204">
        <v>2.7394356566531431E-2</v>
      </c>
      <c r="I434" s="209">
        <v>8.8640000000000008</v>
      </c>
      <c r="J434" s="207">
        <v>2.0681759302034592</v>
      </c>
      <c r="K434" s="209">
        <v>14.385999999999999</v>
      </c>
      <c r="L434" s="209">
        <v>10.882</v>
      </c>
      <c r="M434" s="208"/>
      <c r="N434" s="221"/>
    </row>
    <row r="435" spans="1:14" ht="16.5" customHeight="1" x14ac:dyDescent="0.25">
      <c r="A435" s="203">
        <v>44579</v>
      </c>
      <c r="B435" s="128" t="s">
        <v>6</v>
      </c>
      <c r="C435" s="157" t="str">
        <f t="shared" si="13"/>
        <v>18.01.2022_KIN4</v>
      </c>
      <c r="D435" s="190">
        <f t="shared" si="14"/>
        <v>0</v>
      </c>
      <c r="E435" s="204">
        <v>5.909580081288069E-2</v>
      </c>
      <c r="F435" s="205">
        <v>4.0254411568871946E-2</v>
      </c>
      <c r="G435" s="204">
        <v>2.3980550337053805E-2</v>
      </c>
      <c r="H435" s="204">
        <v>1.4502894652869582E-2</v>
      </c>
      <c r="I435" s="209">
        <v>8.6180000000000003</v>
      </c>
      <c r="J435" s="207">
        <v>1.9695837238082849</v>
      </c>
      <c r="K435" s="209">
        <v>18.36</v>
      </c>
      <c r="L435" s="209">
        <v>11.058</v>
      </c>
      <c r="M435" s="208"/>
      <c r="N435" s="221"/>
    </row>
    <row r="436" spans="1:14" ht="16.5" customHeight="1" x14ac:dyDescent="0.25">
      <c r="A436" s="203">
        <v>44579</v>
      </c>
      <c r="B436" s="128" t="s">
        <v>34</v>
      </c>
      <c r="C436" s="157" t="str">
        <f t="shared" si="13"/>
        <v>18.01.2022_KRE1</v>
      </c>
      <c r="D436" s="190">
        <f t="shared" si="14"/>
        <v>0</v>
      </c>
      <c r="E436" s="204">
        <v>5.909580081288069E-2</v>
      </c>
      <c r="F436" s="205">
        <v>3.6965538958746012E-2</v>
      </c>
      <c r="G436" s="204">
        <v>0.47001878660625479</v>
      </c>
      <c r="H436" s="204">
        <v>0.10313169530929479</v>
      </c>
      <c r="I436" s="209">
        <v>12.135</v>
      </c>
      <c r="J436" s="207">
        <v>3.1372957822488052</v>
      </c>
      <c r="K436" s="209">
        <v>40</v>
      </c>
      <c r="L436" s="209">
        <v>37</v>
      </c>
      <c r="M436" s="208"/>
      <c r="N436" s="221"/>
    </row>
    <row r="437" spans="1:14" ht="16.5" customHeight="1" x14ac:dyDescent="0.25">
      <c r="A437" s="203">
        <v>44579</v>
      </c>
      <c r="B437" s="128" t="s">
        <v>37</v>
      </c>
      <c r="C437" s="157" t="str">
        <f t="shared" si="13"/>
        <v>18.01.2022_KRE2</v>
      </c>
      <c r="D437" s="190">
        <f t="shared" si="14"/>
        <v>0</v>
      </c>
      <c r="E437" s="204">
        <v>6.0942544588283215E-2</v>
      </c>
      <c r="F437" s="205">
        <v>4.4279474854913001E-2</v>
      </c>
      <c r="G437" s="204">
        <v>0.36690242015692337</v>
      </c>
      <c r="H437" s="204">
        <v>9.3463098874048411E-2</v>
      </c>
      <c r="I437" s="209">
        <v>15.233000000000001</v>
      </c>
      <c r="J437" s="207">
        <v>3.7540286106798537</v>
      </c>
      <c r="K437" s="209">
        <v>45</v>
      </c>
      <c r="L437" s="209">
        <v>47.927</v>
      </c>
      <c r="M437" s="208"/>
      <c r="N437" s="221"/>
    </row>
    <row r="438" spans="1:14" ht="16.5" customHeight="1" x14ac:dyDescent="0.25">
      <c r="A438" s="203">
        <v>44579</v>
      </c>
      <c r="B438" s="128" t="s">
        <v>18</v>
      </c>
      <c r="C438" s="157" t="str">
        <f t="shared" si="13"/>
        <v>18.01.2022_ORB1</v>
      </c>
      <c r="D438" s="190">
        <f t="shared" si="14"/>
        <v>0</v>
      </c>
      <c r="E438" s="204">
        <v>4.986208193586808E-2</v>
      </c>
      <c r="F438" s="205">
        <v>3.1833402463676219E-2</v>
      </c>
      <c r="G438" s="204">
        <v>0.01</v>
      </c>
      <c r="H438" s="204">
        <v>4.8342982176231919E-3</v>
      </c>
      <c r="I438" s="209">
        <v>6.3150000000000004</v>
      </c>
      <c r="J438" s="207">
        <v>1.4356057520923553</v>
      </c>
      <c r="K438" s="209">
        <v>8.1880000000000006</v>
      </c>
      <c r="L438" s="209">
        <v>16.082999999999998</v>
      </c>
      <c r="M438" s="208"/>
      <c r="N438" s="221"/>
    </row>
    <row r="439" spans="1:14" ht="16.5" customHeight="1" x14ac:dyDescent="0.25">
      <c r="A439" s="203">
        <v>44579</v>
      </c>
      <c r="B439" s="128" t="s">
        <v>21</v>
      </c>
      <c r="C439" s="157" t="str">
        <f t="shared" si="13"/>
        <v>18.01.2022_ORB2</v>
      </c>
      <c r="D439" s="190">
        <f t="shared" si="14"/>
        <v>0</v>
      </c>
      <c r="E439" s="204">
        <v>6.6482775914490769E-2</v>
      </c>
      <c r="F439" s="205">
        <v>2.8090042070175004E-2</v>
      </c>
      <c r="G439" s="204">
        <v>7.1941651011161508E-3</v>
      </c>
      <c r="H439" s="204">
        <v>1.1280029174454117E-2</v>
      </c>
      <c r="I439" s="209">
        <v>6.7649999999999997</v>
      </c>
      <c r="J439" s="207">
        <v>1.537030952141528</v>
      </c>
      <c r="K439" s="209">
        <v>10.327999999999999</v>
      </c>
      <c r="L439" s="209">
        <v>17.178999999999998</v>
      </c>
      <c r="M439" s="208"/>
      <c r="N439" s="221"/>
    </row>
    <row r="440" spans="1:14" ht="16.5" customHeight="1" x14ac:dyDescent="0.25">
      <c r="A440" s="203">
        <v>44579</v>
      </c>
      <c r="B440" s="128" t="s">
        <v>10</v>
      </c>
      <c r="C440" s="157" t="str">
        <f t="shared" si="13"/>
        <v>18.01.2022_SAL1</v>
      </c>
      <c r="D440" s="190">
        <f t="shared" si="14"/>
        <v>0</v>
      </c>
      <c r="E440" s="204">
        <v>1.4773950203220173E-2</v>
      </c>
      <c r="F440" s="205">
        <v>4.9114691114200248E-2</v>
      </c>
      <c r="G440" s="204">
        <v>1.1990275168526918E-2</v>
      </c>
      <c r="H440" s="204">
        <v>3.2228654784154619E-2</v>
      </c>
      <c r="I440" s="209">
        <v>11.18</v>
      </c>
      <c r="J440" s="207">
        <v>2.5443489427146453</v>
      </c>
      <c r="K440" s="209">
        <v>10.208</v>
      </c>
      <c r="L440" s="209">
        <v>7.6520000000000001</v>
      </c>
      <c r="M440" s="208"/>
      <c r="N440" s="221"/>
    </row>
    <row r="441" spans="1:14" ht="16.5" customHeight="1" x14ac:dyDescent="0.25">
      <c r="A441" s="203">
        <v>44579</v>
      </c>
      <c r="B441" s="128" t="s">
        <v>12</v>
      </c>
      <c r="C441" s="157" t="str">
        <f t="shared" si="13"/>
        <v>18.01.2022_SAL2</v>
      </c>
      <c r="D441" s="190">
        <f t="shared" si="14"/>
        <v>0</v>
      </c>
      <c r="E441" s="204">
        <v>8.4950213668515989E-2</v>
      </c>
      <c r="F441" s="205">
        <v>4.7696982619033178E-2</v>
      </c>
      <c r="G441" s="204">
        <v>1.6786385235937652E-2</v>
      </c>
      <c r="H441" s="204">
        <v>3.0617222044946896E-2</v>
      </c>
      <c r="I441" s="209">
        <v>11.083</v>
      </c>
      <c r="J441" s="207">
        <v>2.5256730835234373</v>
      </c>
      <c r="K441" s="209">
        <v>9.3789999999999996</v>
      </c>
      <c r="L441" s="209">
        <v>7.907</v>
      </c>
      <c r="M441" s="208"/>
      <c r="N441" s="221"/>
    </row>
    <row r="442" spans="1:14" ht="16.5" customHeight="1" x14ac:dyDescent="0.25">
      <c r="A442" s="203">
        <v>44579</v>
      </c>
      <c r="B442" s="128" t="s">
        <v>7</v>
      </c>
      <c r="C442" s="157" t="str">
        <f t="shared" si="13"/>
        <v>18.01.2022_STE1</v>
      </c>
      <c r="D442" s="190">
        <f t="shared" si="14"/>
        <v>0</v>
      </c>
      <c r="E442" s="204">
        <v>7.5716494791503386E-2</v>
      </c>
      <c r="F442" s="205">
        <v>5.2502085859253166E-2</v>
      </c>
      <c r="G442" s="204">
        <v>3.1174715438169954E-2</v>
      </c>
      <c r="H442" s="204">
        <v>1.4502894652869582E-2</v>
      </c>
      <c r="I442" s="209">
        <v>9.6590000000000007</v>
      </c>
      <c r="J442" s="207">
        <v>2.2103005910676505</v>
      </c>
      <c r="K442" s="209">
        <v>9.7210000000000001</v>
      </c>
      <c r="L442" s="209">
        <v>6.6790000000000003</v>
      </c>
      <c r="M442" s="208"/>
      <c r="N442" s="221"/>
    </row>
    <row r="443" spans="1:14" ht="16.5" customHeight="1" x14ac:dyDescent="0.25">
      <c r="A443" s="203">
        <v>44579</v>
      </c>
      <c r="B443" s="128" t="s">
        <v>9</v>
      </c>
      <c r="C443" s="157" t="str">
        <f t="shared" si="13"/>
        <v>18.01.2022_STE2</v>
      </c>
      <c r="D443" s="190">
        <f t="shared" si="14"/>
        <v>0</v>
      </c>
      <c r="E443" s="204">
        <v>6.6482775914490769E-2</v>
      </c>
      <c r="F443" s="205">
        <v>5.4139185672817815E-2</v>
      </c>
      <c r="G443" s="204">
        <v>9.5922201348215344E-3</v>
      </c>
      <c r="H443" s="204">
        <v>3.5451520262570084E-2</v>
      </c>
      <c r="I443" s="209">
        <v>10.114000000000001</v>
      </c>
      <c r="J443" s="207">
        <v>2.3026906583564273</v>
      </c>
      <c r="K443" s="209">
        <v>10.737</v>
      </c>
      <c r="L443" s="209">
        <v>6.9749999999999996</v>
      </c>
      <c r="M443" s="208"/>
      <c r="N443" s="221"/>
    </row>
    <row r="444" spans="1:14" ht="16.5" customHeight="1" x14ac:dyDescent="0.25">
      <c r="A444" s="203">
        <v>44593</v>
      </c>
      <c r="B444" s="128" t="s">
        <v>22</v>
      </c>
      <c r="C444" s="157" t="str">
        <f t="shared" si="13"/>
        <v>01.02.2022_BIE1</v>
      </c>
      <c r="D444" s="190">
        <f t="shared" si="14"/>
        <v>0</v>
      </c>
      <c r="E444" s="204">
        <v>0.25828371022540458</v>
      </c>
      <c r="F444" s="205">
        <v>2.7236676083887676E-2</v>
      </c>
      <c r="G444" s="204">
        <v>3.5579238612491675E-2</v>
      </c>
      <c r="H444" s="204">
        <v>6.7330127136803024E-3</v>
      </c>
      <c r="I444" s="209">
        <v>4.3920000000000003</v>
      </c>
      <c r="J444" s="207">
        <v>1.0216978287108938</v>
      </c>
      <c r="K444" s="209">
        <v>11.084</v>
      </c>
      <c r="L444" s="209">
        <v>10.499000000000001</v>
      </c>
      <c r="M444" s="208"/>
      <c r="N444" s="221"/>
    </row>
    <row r="445" spans="1:14" ht="16.5" customHeight="1" x14ac:dyDescent="0.25">
      <c r="A445" s="203">
        <v>44593</v>
      </c>
      <c r="B445" s="128" t="s">
        <v>25</v>
      </c>
      <c r="C445" s="157" t="str">
        <f t="shared" si="13"/>
        <v>01.02.2022_BIE2</v>
      </c>
      <c r="D445" s="190">
        <f t="shared" si="14"/>
        <v>0</v>
      </c>
      <c r="E445" s="204">
        <v>3.8742556533810688E-2</v>
      </c>
      <c r="F445" s="205">
        <v>3.0712412720304502E-2</v>
      </c>
      <c r="G445" s="204">
        <v>5.5592560332018238E-2</v>
      </c>
      <c r="H445" s="204">
        <v>1.0099519070520455E-2</v>
      </c>
      <c r="I445" s="209">
        <v>4.3620000000000001</v>
      </c>
      <c r="J445" s="207">
        <v>1.0314868057532287</v>
      </c>
      <c r="K445" s="209">
        <v>11.523</v>
      </c>
      <c r="L445" s="209">
        <v>10.356999999999999</v>
      </c>
      <c r="M445" s="208"/>
      <c r="N445" s="221"/>
    </row>
    <row r="446" spans="1:14" ht="16.5" customHeight="1" x14ac:dyDescent="0.25">
      <c r="A446" s="203">
        <v>44593</v>
      </c>
      <c r="B446" s="128" t="s">
        <v>14</v>
      </c>
      <c r="C446" s="157" t="str">
        <f t="shared" si="13"/>
        <v>01.02.2022_BRA1</v>
      </c>
      <c r="D446" s="190">
        <f t="shared" si="14"/>
        <v>0</v>
      </c>
      <c r="E446" s="204">
        <v>4.058744017827786E-2</v>
      </c>
      <c r="F446" s="205">
        <v>4.5647286017393887E-2</v>
      </c>
      <c r="G446" s="204">
        <v>3.7802941025772405E-2</v>
      </c>
      <c r="H446" s="204">
        <v>1.6832531784200758E-2</v>
      </c>
      <c r="I446" s="209">
        <v>11.45</v>
      </c>
      <c r="J446" s="207">
        <v>2.6206897699788017</v>
      </c>
      <c r="K446" s="209">
        <v>15.801</v>
      </c>
      <c r="L446" s="209">
        <v>7.2480000000000002</v>
      </c>
      <c r="M446" s="208"/>
      <c r="N446" s="221"/>
    </row>
    <row r="447" spans="1:14" ht="16.5" customHeight="1" x14ac:dyDescent="0.25">
      <c r="A447" s="203">
        <v>44593</v>
      </c>
      <c r="B447" s="128" t="s">
        <v>17</v>
      </c>
      <c r="C447" s="157" t="str">
        <f t="shared" si="13"/>
        <v>01.02.2022_BRA2</v>
      </c>
      <c r="D447" s="190">
        <f t="shared" si="14"/>
        <v>0</v>
      </c>
      <c r="E447" s="204">
        <v>5.3501625689548096E-2</v>
      </c>
      <c r="F447" s="205">
        <v>5.1418618089986275E-2</v>
      </c>
      <c r="G447" s="204">
        <v>2.4460726546088017E-2</v>
      </c>
      <c r="H447" s="204">
        <v>1.8515784962620834E-2</v>
      </c>
      <c r="I447" s="209">
        <v>12.106999999999999</v>
      </c>
      <c r="J447" s="207">
        <v>2.7592387302876413</v>
      </c>
      <c r="K447" s="209">
        <v>16.555</v>
      </c>
      <c r="L447" s="209">
        <v>7.6239999999999997</v>
      </c>
      <c r="M447" s="208"/>
      <c r="N447" s="221"/>
    </row>
    <row r="448" spans="1:14" ht="16.5" customHeight="1" x14ac:dyDescent="0.25">
      <c r="A448" s="203">
        <v>44593</v>
      </c>
      <c r="B448" s="128" t="s">
        <v>30</v>
      </c>
      <c r="C448" s="157" t="str">
        <f t="shared" si="13"/>
        <v>01.02.2022_FAL1</v>
      </c>
      <c r="D448" s="190">
        <f t="shared" si="14"/>
        <v>0</v>
      </c>
      <c r="E448" s="204">
        <v>7.5640229423154196E-2</v>
      </c>
      <c r="F448" s="205">
        <v>8.2695974236325284E-2</v>
      </c>
      <c r="G448" s="204">
        <v>0.15565916892965104</v>
      </c>
      <c r="H448" s="204">
        <v>0.14139326698728633</v>
      </c>
      <c r="I448" s="209">
        <v>14.897</v>
      </c>
      <c r="J448" s="207">
        <v>3.5287003582164638</v>
      </c>
      <c r="K448" s="209">
        <v>38</v>
      </c>
      <c r="L448" s="209">
        <v>29.254999999999999</v>
      </c>
      <c r="M448" s="208"/>
      <c r="N448" s="221"/>
    </row>
    <row r="449" spans="1:14" ht="16.5" customHeight="1" x14ac:dyDescent="0.25">
      <c r="A449" s="203">
        <v>44593</v>
      </c>
      <c r="B449" s="128" t="s">
        <v>32</v>
      </c>
      <c r="C449" s="157" t="str">
        <f t="shared" si="13"/>
        <v>01.02.2022_FAL2</v>
      </c>
      <c r="D449" s="190">
        <f t="shared" si="14"/>
        <v>0</v>
      </c>
      <c r="E449" s="204">
        <v>7.379534577868703E-2</v>
      </c>
      <c r="F449" s="205">
        <v>9.21461882917127E-2</v>
      </c>
      <c r="G449" s="204">
        <v>0.11785622790387867</v>
      </c>
      <c r="H449" s="204">
        <v>9.2578924813104146E-2</v>
      </c>
      <c r="I449" s="209">
        <v>16.553999999999998</v>
      </c>
      <c r="J449" s="207">
        <v>3.8587518160644314</v>
      </c>
      <c r="K449" s="209">
        <v>43</v>
      </c>
      <c r="L449" s="209">
        <v>32.402000000000001</v>
      </c>
      <c r="M449" s="208"/>
      <c r="N449" s="221"/>
    </row>
    <row r="450" spans="1:14" ht="16.5" customHeight="1" x14ac:dyDescent="0.25">
      <c r="A450" s="203">
        <v>44593</v>
      </c>
      <c r="B450" s="128" t="s">
        <v>26</v>
      </c>
      <c r="C450" s="157" t="str">
        <f t="shared" si="13"/>
        <v>01.02.2022_GRU1</v>
      </c>
      <c r="D450" s="190">
        <f t="shared" si="14"/>
        <v>0</v>
      </c>
      <c r="E450" s="204">
        <v>5.1656742045080917E-2</v>
      </c>
      <c r="F450" s="205">
        <v>6.5931781867089367E-2</v>
      </c>
      <c r="G450" s="204">
        <v>7.5605882051544809E-2</v>
      </c>
      <c r="H450" s="204">
        <v>3.0298557211561356E-2</v>
      </c>
      <c r="I450" s="209">
        <v>8.673</v>
      </c>
      <c r="J450" s="207">
        <v>2.0269021170972636</v>
      </c>
      <c r="K450" s="209">
        <v>12.382</v>
      </c>
      <c r="L450" s="209">
        <v>9.9130000000000003</v>
      </c>
      <c r="M450" s="208"/>
      <c r="N450" s="221"/>
    </row>
    <row r="451" spans="1:14" ht="16.5" customHeight="1" x14ac:dyDescent="0.25">
      <c r="A451" s="203">
        <v>44593</v>
      </c>
      <c r="B451" s="128" t="s">
        <v>28</v>
      </c>
      <c r="C451" s="157" t="str">
        <f t="shared" si="13"/>
        <v>01.02.2022_GRU2</v>
      </c>
      <c r="D451" s="190">
        <f t="shared" si="14"/>
        <v>0</v>
      </c>
      <c r="E451" s="204">
        <v>2.9518138311474811E-2</v>
      </c>
      <c r="F451" s="205">
        <v>3.7427502858487914E-2</v>
      </c>
      <c r="G451" s="204">
        <v>7.5605882051544809E-2</v>
      </c>
      <c r="H451" s="204">
        <v>2.8615304033141293E-2</v>
      </c>
      <c r="I451" s="209">
        <v>8.4499999999999993</v>
      </c>
      <c r="J451" s="207">
        <v>1.9760206406670937</v>
      </c>
      <c r="K451" s="209">
        <v>13.521000000000001</v>
      </c>
      <c r="L451" s="209">
        <v>9.6780000000000008</v>
      </c>
      <c r="M451" s="208"/>
      <c r="N451" s="221"/>
    </row>
    <row r="452" spans="1:14" ht="16.5" customHeight="1" x14ac:dyDescent="0.25">
      <c r="A452" s="203">
        <v>44593</v>
      </c>
      <c r="B452" s="128" t="s">
        <v>0</v>
      </c>
      <c r="C452" s="157" t="str">
        <f t="shared" si="13"/>
        <v>01.02.2022_KIN1</v>
      </c>
      <c r="D452" s="190">
        <f t="shared" si="14"/>
        <v>0</v>
      </c>
      <c r="E452" s="204">
        <v>4.4277207467212212E-2</v>
      </c>
      <c r="F452" s="205">
        <v>4.8400617724387245E-2</v>
      </c>
      <c r="G452" s="204">
        <v>3.3355536199210944E-2</v>
      </c>
      <c r="H452" s="204">
        <v>1.3466025427360605E-2</v>
      </c>
      <c r="I452" s="209">
        <v>8.1289999999999996</v>
      </c>
      <c r="J452" s="207">
        <v>1.8660972017446851</v>
      </c>
      <c r="K452" s="209">
        <v>14.365</v>
      </c>
      <c r="L452" s="209">
        <v>7.03</v>
      </c>
      <c r="M452" s="208"/>
      <c r="N452" s="221"/>
    </row>
    <row r="453" spans="1:14" ht="16.5" customHeight="1" x14ac:dyDescent="0.25">
      <c r="A453" s="203">
        <v>44593</v>
      </c>
      <c r="B453" s="128" t="s">
        <v>2</v>
      </c>
      <c r="C453" s="157" t="str">
        <f t="shared" ref="C453:C516" si="15">CONCATENATE(TEXT(A453,"TT.MM.JJJJ"),"_",B453)</f>
        <v>01.02.2022_KIN2</v>
      </c>
      <c r="D453" s="190">
        <f t="shared" ref="D453:D516" si="16">COUNTBLANK(E453:L453)</f>
        <v>0</v>
      </c>
      <c r="E453" s="204">
        <v>4.058744017827786E-2</v>
      </c>
      <c r="F453" s="205">
        <v>4.0915812802666471E-2</v>
      </c>
      <c r="G453" s="204">
        <v>3.7802941025772405E-2</v>
      </c>
      <c r="H453" s="204">
        <v>1.8515784962620834E-2</v>
      </c>
      <c r="I453" s="209">
        <v>8.4320000000000004</v>
      </c>
      <c r="J453" s="207">
        <v>1.939526576408972</v>
      </c>
      <c r="K453" s="209">
        <v>14.404999999999999</v>
      </c>
      <c r="L453" s="209">
        <v>7.9370000000000003</v>
      </c>
      <c r="M453" s="208"/>
      <c r="N453" s="221"/>
    </row>
    <row r="454" spans="1:14" ht="16.5" customHeight="1" x14ac:dyDescent="0.25">
      <c r="A454" s="203">
        <v>44593</v>
      </c>
      <c r="B454" s="128" t="s">
        <v>4</v>
      </c>
      <c r="C454" s="157" t="str">
        <f t="shared" si="15"/>
        <v>01.02.2022_KIN3</v>
      </c>
      <c r="D454" s="190">
        <f t="shared" si="16"/>
        <v>0</v>
      </c>
      <c r="E454" s="204">
        <v>3.5052789244876335E-2</v>
      </c>
      <c r="F454" s="205">
        <v>4.6598361133045864E-2</v>
      </c>
      <c r="G454" s="204">
        <v>0.11340882307731721</v>
      </c>
      <c r="H454" s="204">
        <v>1.5149278605780681E-2</v>
      </c>
      <c r="I454" s="209">
        <v>7.9630000000000001</v>
      </c>
      <c r="J454" s="207">
        <v>1.8912758249028359</v>
      </c>
      <c r="K454" s="209">
        <v>16.460999999999999</v>
      </c>
      <c r="L454" s="209">
        <v>9.75</v>
      </c>
      <c r="M454" s="208"/>
      <c r="N454" s="221"/>
    </row>
    <row r="455" spans="1:14" ht="16.5" customHeight="1" x14ac:dyDescent="0.25">
      <c r="A455" s="203">
        <v>44593</v>
      </c>
      <c r="B455" s="128" t="s">
        <v>6</v>
      </c>
      <c r="C455" s="157" t="str">
        <f t="shared" si="15"/>
        <v>01.02.2022_KIN4</v>
      </c>
      <c r="D455" s="190">
        <f t="shared" si="16"/>
        <v>0</v>
      </c>
      <c r="E455" s="204">
        <v>4.243232382274504E-2</v>
      </c>
      <c r="F455" s="205">
        <v>5.3704729639536944E-2</v>
      </c>
      <c r="G455" s="204">
        <v>0.17789619306245835</v>
      </c>
      <c r="H455" s="204">
        <v>1.3466025427360605E-2</v>
      </c>
      <c r="I455" s="209">
        <v>8.1940000000000008</v>
      </c>
      <c r="J455" s="207">
        <v>1.9930131263924284</v>
      </c>
      <c r="K455" s="209">
        <v>23.614000000000001</v>
      </c>
      <c r="L455" s="209">
        <v>9.8390000000000004</v>
      </c>
      <c r="M455" s="208"/>
      <c r="N455" s="221"/>
    </row>
    <row r="456" spans="1:14" ht="16.5" customHeight="1" x14ac:dyDescent="0.25">
      <c r="A456" s="203">
        <v>44593</v>
      </c>
      <c r="B456" s="128" t="s">
        <v>34</v>
      </c>
      <c r="C456" s="157" t="str">
        <f t="shared" si="15"/>
        <v>01.02.2022_KRE1</v>
      </c>
      <c r="D456" s="190">
        <f t="shared" si="16"/>
        <v>0</v>
      </c>
      <c r="E456" s="204">
        <v>3.6897672889343515E-2</v>
      </c>
      <c r="F456" s="205">
        <v>3.4991296342904335E-2</v>
      </c>
      <c r="G456" s="204">
        <v>0.39137162473740839</v>
      </c>
      <c r="H456" s="204">
        <v>7.2379886672063243E-2</v>
      </c>
      <c r="I456" s="209">
        <v>10.756</v>
      </c>
      <c r="J456" s="207">
        <v>2.7553899293896595</v>
      </c>
      <c r="K456" s="209">
        <v>48</v>
      </c>
      <c r="L456" s="209">
        <v>36</v>
      </c>
      <c r="M456" s="208"/>
      <c r="N456" s="221"/>
    </row>
    <row r="457" spans="1:14" ht="16.5" customHeight="1" x14ac:dyDescent="0.25">
      <c r="A457" s="203">
        <v>44593</v>
      </c>
      <c r="B457" s="128" t="s">
        <v>37</v>
      </c>
      <c r="C457" s="157" t="str">
        <f t="shared" si="15"/>
        <v>01.02.2022_KRE2</v>
      </c>
      <c r="D457" s="190">
        <f t="shared" si="16"/>
        <v>0</v>
      </c>
      <c r="E457" s="204">
        <v>4.7966974756146565E-2</v>
      </c>
      <c r="F457" s="205">
        <v>4.6429559969465829E-2</v>
      </c>
      <c r="G457" s="204">
        <v>0.30464723061945997</v>
      </c>
      <c r="H457" s="204">
        <v>6.0597114423122725E-2</v>
      </c>
      <c r="I457" s="209">
        <v>12.666</v>
      </c>
      <c r="J457" s="207">
        <v>3.1158737395898237</v>
      </c>
      <c r="K457" s="209">
        <v>50</v>
      </c>
      <c r="L457" s="209">
        <v>43</v>
      </c>
      <c r="M457" s="208"/>
      <c r="N457" s="221"/>
    </row>
    <row r="458" spans="1:14" ht="16.5" customHeight="1" x14ac:dyDescent="0.25">
      <c r="A458" s="203">
        <v>44593</v>
      </c>
      <c r="B458" s="128" t="s">
        <v>18</v>
      </c>
      <c r="C458" s="157" t="str">
        <f t="shared" si="15"/>
        <v>01.02.2022_ORB1</v>
      </c>
      <c r="D458" s="190">
        <f t="shared" si="16"/>
        <v>0</v>
      </c>
      <c r="E458" s="204">
        <v>2.7673254667007631E-2</v>
      </c>
      <c r="F458" s="205">
        <v>2.9766275729741977E-2</v>
      </c>
      <c r="G458" s="204">
        <v>5.3368857918737508E-2</v>
      </c>
      <c r="H458" s="204">
        <v>1.0099519070520455E-2</v>
      </c>
      <c r="I458" s="209">
        <v>6.26</v>
      </c>
      <c r="J458" s="207">
        <v>1.4584613830663402</v>
      </c>
      <c r="K458" s="209">
        <v>13.378</v>
      </c>
      <c r="L458" s="209">
        <v>14.12</v>
      </c>
      <c r="M458" s="208"/>
      <c r="N458" s="221"/>
    </row>
    <row r="459" spans="1:14" ht="16.5" customHeight="1" x14ac:dyDescent="0.25">
      <c r="A459" s="203">
        <v>44593</v>
      </c>
      <c r="B459" s="128" t="s">
        <v>21</v>
      </c>
      <c r="C459" s="157" t="str">
        <f t="shared" si="15"/>
        <v>01.02.2022_ORB2</v>
      </c>
      <c r="D459" s="190">
        <f t="shared" si="16"/>
        <v>0</v>
      </c>
      <c r="E459" s="204">
        <v>4.058744017827786E-2</v>
      </c>
      <c r="F459" s="205">
        <v>3.6324915319279151E-2</v>
      </c>
      <c r="G459" s="204">
        <v>4.2250345852333851E-2</v>
      </c>
      <c r="H459" s="204">
        <v>2.6932050854721213E-2</v>
      </c>
      <c r="I459" s="209">
        <v>6.3689999999999998</v>
      </c>
      <c r="J459" s="207">
        <v>1.4795724639335983</v>
      </c>
      <c r="K459" s="209">
        <v>11.061</v>
      </c>
      <c r="L459" s="209">
        <v>13.71</v>
      </c>
      <c r="M459" s="208"/>
      <c r="N459" s="221"/>
    </row>
    <row r="460" spans="1:14" ht="16.5" customHeight="1" x14ac:dyDescent="0.25">
      <c r="A460" s="203">
        <v>44593</v>
      </c>
      <c r="B460" s="128" t="s">
        <v>10</v>
      </c>
      <c r="C460" s="157" t="str">
        <f t="shared" si="15"/>
        <v>01.02.2022_SAL1</v>
      </c>
      <c r="D460" s="190">
        <f t="shared" si="16"/>
        <v>0</v>
      </c>
      <c r="E460" s="204">
        <v>3.8742556533810688E-2</v>
      </c>
      <c r="F460" s="205">
        <v>4.2905774704315419E-2</v>
      </c>
      <c r="G460" s="204">
        <v>4.2250345852333851E-2</v>
      </c>
      <c r="H460" s="204">
        <v>1.8515784962620834E-2</v>
      </c>
      <c r="I460" s="209">
        <v>9.7970000000000006</v>
      </c>
      <c r="J460" s="207">
        <v>2.2512924917827486</v>
      </c>
      <c r="K460" s="209">
        <v>11.143000000000001</v>
      </c>
      <c r="L460" s="209">
        <v>6.4729999999999999</v>
      </c>
      <c r="M460" s="208"/>
      <c r="N460" s="221"/>
    </row>
    <row r="461" spans="1:14" ht="16.5" customHeight="1" x14ac:dyDescent="0.25">
      <c r="A461" s="203">
        <v>44593</v>
      </c>
      <c r="B461" s="128" t="s">
        <v>12</v>
      </c>
      <c r="C461" s="157" t="str">
        <f t="shared" si="15"/>
        <v>01.02.2022_SAL2</v>
      </c>
      <c r="D461" s="190">
        <f t="shared" si="16"/>
        <v>0</v>
      </c>
      <c r="E461" s="204">
        <v>5.3501625689548096E-2</v>
      </c>
      <c r="F461" s="205">
        <v>4.6239567639163377E-2</v>
      </c>
      <c r="G461" s="204">
        <v>3.3355536199210944E-2</v>
      </c>
      <c r="H461" s="204">
        <v>6.3963620779962885E-2</v>
      </c>
      <c r="I461" s="209">
        <v>9.7889999999999997</v>
      </c>
      <c r="J461" s="207">
        <v>2.2564153946497849</v>
      </c>
      <c r="K461" s="209">
        <v>11.365</v>
      </c>
      <c r="L461" s="209">
        <v>6.6289999999999996</v>
      </c>
      <c r="M461" s="208"/>
      <c r="N461" s="221"/>
    </row>
    <row r="462" spans="1:14" ht="16.5" customHeight="1" x14ac:dyDescent="0.25">
      <c r="A462" s="203">
        <v>44593</v>
      </c>
      <c r="B462" s="128" t="s">
        <v>7</v>
      </c>
      <c r="C462" s="157" t="str">
        <f t="shared" si="15"/>
        <v>01.02.2022_STE1</v>
      </c>
      <c r="D462" s="190">
        <f t="shared" si="16"/>
        <v>0</v>
      </c>
      <c r="E462" s="204">
        <v>4.6122091111679392E-2</v>
      </c>
      <c r="F462" s="205">
        <v>5.356762155366053E-2</v>
      </c>
      <c r="G462" s="204">
        <v>5.1145155505456778E-2</v>
      </c>
      <c r="H462" s="204">
        <v>1.5149278605780681E-2</v>
      </c>
      <c r="I462" s="209">
        <v>8.4700000000000006</v>
      </c>
      <c r="J462" s="207">
        <v>1.957444799669962</v>
      </c>
      <c r="K462" s="209">
        <v>10.739000000000001</v>
      </c>
      <c r="L462" s="209">
        <v>6.2539999999999996</v>
      </c>
      <c r="M462" s="208"/>
      <c r="N462" s="221"/>
    </row>
    <row r="463" spans="1:14" ht="16.5" customHeight="1" x14ac:dyDescent="0.25">
      <c r="A463" s="203">
        <v>44593</v>
      </c>
      <c r="B463" s="128" t="s">
        <v>9</v>
      </c>
      <c r="C463" s="157" t="str">
        <f t="shared" si="15"/>
        <v>01.02.2022_STE2</v>
      </c>
      <c r="D463" s="190">
        <f t="shared" si="16"/>
        <v>0</v>
      </c>
      <c r="E463" s="204">
        <v>6.0881160267416794E-2</v>
      </c>
      <c r="F463" s="205">
        <v>5.1726337160520608E-2</v>
      </c>
      <c r="G463" s="204">
        <v>5.3368857918737508E-2</v>
      </c>
      <c r="H463" s="204">
        <v>2.356554449788106E-2</v>
      </c>
      <c r="I463" s="209">
        <v>8.9130000000000003</v>
      </c>
      <c r="J463" s="207">
        <v>2.0617942245077003</v>
      </c>
      <c r="K463" s="209">
        <v>12.744999999999999</v>
      </c>
      <c r="L463" s="209">
        <v>6.3129999999999997</v>
      </c>
      <c r="M463" s="208"/>
      <c r="N463" s="221"/>
    </row>
    <row r="464" spans="1:14" ht="16.5" customHeight="1" x14ac:dyDescent="0.25">
      <c r="A464" s="203">
        <v>44607</v>
      </c>
      <c r="B464" s="128" t="s">
        <v>22</v>
      </c>
      <c r="C464" s="157" t="str">
        <f t="shared" si="15"/>
        <v>15.02.2022_BIE1</v>
      </c>
      <c r="D464" s="190">
        <f t="shared" si="16"/>
        <v>0</v>
      </c>
      <c r="E464" s="204">
        <v>9.5033523848441007E-3</v>
      </c>
      <c r="F464" s="205">
        <v>1.9622559772131742E-2</v>
      </c>
      <c r="G464" s="204">
        <v>1.7243434383567079E-2</v>
      </c>
      <c r="H464" s="204">
        <v>7.9058013150243786E-3</v>
      </c>
      <c r="I464" s="209">
        <v>4.8460000000000001</v>
      </c>
      <c r="J464" s="207">
        <v>1.1103622955748553</v>
      </c>
      <c r="K464" s="209">
        <v>6.2519999999999998</v>
      </c>
      <c r="L464" s="209">
        <v>12.632</v>
      </c>
      <c r="M464" s="208"/>
      <c r="N464" s="221"/>
    </row>
    <row r="465" spans="1:14" ht="16.5" customHeight="1" x14ac:dyDescent="0.25">
      <c r="A465" s="203">
        <v>44607</v>
      </c>
      <c r="B465" s="128" t="s">
        <v>25</v>
      </c>
      <c r="C465" s="157" t="str">
        <f t="shared" si="15"/>
        <v>15.02.2022_BIE2</v>
      </c>
      <c r="D465" s="190">
        <f t="shared" si="16"/>
        <v>0</v>
      </c>
      <c r="E465" s="204">
        <v>2.090737524665702E-2</v>
      </c>
      <c r="F465" s="205">
        <v>1.9585583128565058E-2</v>
      </c>
      <c r="G465" s="204">
        <v>4.1384242520560999E-2</v>
      </c>
      <c r="H465" s="204">
        <v>7.9058013150243786E-3</v>
      </c>
      <c r="I465" s="209">
        <v>4.8410000000000002</v>
      </c>
      <c r="J465" s="207">
        <v>1.1279780416851497</v>
      </c>
      <c r="K465" s="209">
        <v>6.6219999999999999</v>
      </c>
      <c r="L465" s="209">
        <v>12.698</v>
      </c>
      <c r="M465" s="208"/>
      <c r="N465" s="221"/>
    </row>
    <row r="466" spans="1:14" ht="16.5" customHeight="1" x14ac:dyDescent="0.25">
      <c r="A466" s="203">
        <v>44607</v>
      </c>
      <c r="B466" s="128" t="s">
        <v>14</v>
      </c>
      <c r="C466" s="157" t="str">
        <f t="shared" si="15"/>
        <v>15.02.2022_BRA1</v>
      </c>
      <c r="D466" s="190">
        <f t="shared" si="16"/>
        <v>0</v>
      </c>
      <c r="E466" s="204">
        <v>2.4708716200594661E-2</v>
      </c>
      <c r="F466" s="205">
        <v>6.8975135974230217E-2</v>
      </c>
      <c r="G466" s="204">
        <v>7.9319798164408595E-2</v>
      </c>
      <c r="H466" s="204">
        <v>1.8973923156058507E-2</v>
      </c>
      <c r="I466" s="209">
        <v>9.8870000000000005</v>
      </c>
      <c r="J466" s="207">
        <v>2.3005443309815434</v>
      </c>
      <c r="K466" s="209">
        <v>8.4450000000000003</v>
      </c>
      <c r="L466" s="209">
        <v>7.4939999999999998</v>
      </c>
      <c r="M466" s="208"/>
      <c r="N466" s="221"/>
    </row>
    <row r="467" spans="1:14" ht="16.5" customHeight="1" x14ac:dyDescent="0.25">
      <c r="A467" s="203">
        <v>44607</v>
      </c>
      <c r="B467" s="128" t="s">
        <v>17</v>
      </c>
      <c r="C467" s="157" t="str">
        <f t="shared" si="15"/>
        <v>15.02.2022_BRA2</v>
      </c>
      <c r="D467" s="190">
        <f t="shared" si="16"/>
        <v>0</v>
      </c>
      <c r="E467" s="204">
        <v>9.6934194325409812E-2</v>
      </c>
      <c r="F467" s="205">
        <v>0.16584277594951619</v>
      </c>
      <c r="G467" s="204">
        <v>7.2422424410981762E-2</v>
      </c>
      <c r="H467" s="204">
        <v>3.7947846312117013E-2</v>
      </c>
      <c r="I467" s="209">
        <v>10.885</v>
      </c>
      <c r="J467" s="207">
        <v>2.526383460140607</v>
      </c>
      <c r="K467" s="209">
        <v>9.6880000000000006</v>
      </c>
      <c r="L467" s="209">
        <v>7.9189999999999996</v>
      </c>
      <c r="M467" s="208"/>
      <c r="N467" s="221"/>
    </row>
    <row r="468" spans="1:14" ht="16.5" customHeight="1" x14ac:dyDescent="0.25">
      <c r="A468" s="203">
        <v>44607</v>
      </c>
      <c r="B468" s="128" t="s">
        <v>30</v>
      </c>
      <c r="C468" s="157" t="str">
        <f t="shared" si="15"/>
        <v>15.02.2022_FAL1</v>
      </c>
      <c r="D468" s="190">
        <f t="shared" si="16"/>
        <v>0</v>
      </c>
      <c r="E468" s="204">
        <v>7.9828160032690443E-2</v>
      </c>
      <c r="F468" s="205">
        <v>9.4174370751394787E-2</v>
      </c>
      <c r="G468" s="204">
        <v>0.18967777821923792</v>
      </c>
      <c r="H468" s="204">
        <v>7.5895692624234026E-2</v>
      </c>
      <c r="I468" s="209">
        <v>14.984999999999999</v>
      </c>
      <c r="J468" s="207">
        <v>3.5550512916289039</v>
      </c>
      <c r="K468" s="209">
        <v>35</v>
      </c>
      <c r="L468" s="209">
        <v>30.385999999999999</v>
      </c>
      <c r="M468" s="208"/>
      <c r="N468" s="221"/>
    </row>
    <row r="469" spans="1:14" ht="16.5" customHeight="1" x14ac:dyDescent="0.25">
      <c r="A469" s="203">
        <v>44607</v>
      </c>
      <c r="B469" s="128" t="s">
        <v>32</v>
      </c>
      <c r="C469" s="157" t="str">
        <f t="shared" si="15"/>
        <v>15.02.2022_FAL2</v>
      </c>
      <c r="D469" s="190">
        <f t="shared" si="16"/>
        <v>0</v>
      </c>
      <c r="E469" s="204">
        <v>6.6523466693908712E-2</v>
      </c>
      <c r="F469" s="205">
        <v>8.4948639459742667E-2</v>
      </c>
      <c r="G469" s="204">
        <v>0.15519090945210379</v>
      </c>
      <c r="H469" s="204">
        <v>9.9613096569307155E-2</v>
      </c>
      <c r="I469" s="209">
        <v>16.411999999999999</v>
      </c>
      <c r="J469" s="207">
        <v>3.857809836530989</v>
      </c>
      <c r="K469" s="209">
        <v>39</v>
      </c>
      <c r="L469" s="209">
        <v>32.612000000000002</v>
      </c>
      <c r="M469" s="208"/>
      <c r="N469" s="221"/>
    </row>
    <row r="470" spans="1:14" ht="16.5" customHeight="1" x14ac:dyDescent="0.25">
      <c r="A470" s="203">
        <v>44607</v>
      </c>
      <c r="B470" s="128" t="s">
        <v>26</v>
      </c>
      <c r="C470" s="157" t="str">
        <f t="shared" si="15"/>
        <v>15.02.2022_GRU1</v>
      </c>
      <c r="D470" s="190">
        <f t="shared" si="16"/>
        <v>0</v>
      </c>
      <c r="E470" s="204">
        <v>4.181475049331404E-2</v>
      </c>
      <c r="F470" s="205">
        <v>5.3065151369958256E-2</v>
      </c>
      <c r="G470" s="204">
        <v>3.6211212205490895E-2</v>
      </c>
      <c r="H470" s="204">
        <v>1.5811602630048757E-2</v>
      </c>
      <c r="I470" s="209">
        <v>8.673</v>
      </c>
      <c r="J470" s="207">
        <v>1.9919019965861597</v>
      </c>
      <c r="K470" s="209">
        <v>8.8000000000000007</v>
      </c>
      <c r="L470" s="209">
        <v>10.917</v>
      </c>
      <c r="M470" s="208"/>
      <c r="N470" s="221"/>
    </row>
    <row r="471" spans="1:14" ht="16.5" customHeight="1" x14ac:dyDescent="0.25">
      <c r="A471" s="203">
        <v>44607</v>
      </c>
      <c r="B471" s="128" t="s">
        <v>28</v>
      </c>
      <c r="C471" s="157" t="str">
        <f t="shared" si="15"/>
        <v>15.02.2022_GRU2</v>
      </c>
      <c r="D471" s="190">
        <f t="shared" si="16"/>
        <v>0</v>
      </c>
      <c r="E471" s="204">
        <v>2.6609386677563483E-2</v>
      </c>
      <c r="F471" s="205">
        <v>5.0069523779291712E-2</v>
      </c>
      <c r="G471" s="204">
        <v>2.9313838452064051E-2</v>
      </c>
      <c r="H471" s="204">
        <v>1.739276289305363E-2</v>
      </c>
      <c r="I471" s="209">
        <v>8.25</v>
      </c>
      <c r="J471" s="207">
        <v>1.8914846290824332</v>
      </c>
      <c r="K471" s="209">
        <v>9.0120000000000005</v>
      </c>
      <c r="L471" s="209">
        <v>10.755000000000001</v>
      </c>
      <c r="M471" s="208"/>
      <c r="N471" s="221"/>
    </row>
    <row r="472" spans="1:14" ht="16.5" customHeight="1" x14ac:dyDescent="0.25">
      <c r="A472" s="203">
        <v>44607</v>
      </c>
      <c r="B472" s="128" t="s">
        <v>0</v>
      </c>
      <c r="C472" s="157" t="str">
        <f t="shared" si="15"/>
        <v>15.02.2022_KIN1</v>
      </c>
      <c r="D472" s="190">
        <f t="shared" si="16"/>
        <v>0</v>
      </c>
      <c r="E472" s="204">
        <v>1.520536381575056E-2</v>
      </c>
      <c r="F472" s="205">
        <v>3.0735202048038746E-2</v>
      </c>
      <c r="G472" s="204">
        <v>2.7589495013707339E-2</v>
      </c>
      <c r="H472" s="204">
        <v>9.4869615780292568E-3</v>
      </c>
      <c r="I472" s="209">
        <v>7.2990000000000004</v>
      </c>
      <c r="J472" s="207">
        <v>1.6729364024356244</v>
      </c>
      <c r="K472" s="209">
        <v>8.1370000000000005</v>
      </c>
      <c r="L472" s="209">
        <v>8.5229999999999997</v>
      </c>
      <c r="M472" s="208"/>
      <c r="N472" s="221"/>
    </row>
    <row r="473" spans="1:14" ht="16.5" customHeight="1" x14ac:dyDescent="0.25">
      <c r="A473" s="203">
        <v>44607</v>
      </c>
      <c r="B473" s="128" t="s">
        <v>2</v>
      </c>
      <c r="C473" s="157" t="str">
        <f t="shared" si="15"/>
        <v>15.02.2022_KIN2</v>
      </c>
      <c r="D473" s="190">
        <f t="shared" si="16"/>
        <v>0</v>
      </c>
      <c r="E473" s="204">
        <v>7.6026819078752802E-3</v>
      </c>
      <c r="F473" s="205">
        <v>2.8306207867943353E-2</v>
      </c>
      <c r="G473" s="204">
        <v>5.1730303150701262E-2</v>
      </c>
      <c r="H473" s="204">
        <v>9.4869615780292568E-3</v>
      </c>
      <c r="I473" s="209">
        <v>8.0570000000000004</v>
      </c>
      <c r="J473" s="207">
        <v>1.8628909585459188</v>
      </c>
      <c r="K473" s="209">
        <v>8.92</v>
      </c>
      <c r="L473" s="209">
        <v>9.3279999999999994</v>
      </c>
      <c r="M473" s="208"/>
      <c r="N473" s="221"/>
    </row>
    <row r="474" spans="1:14" ht="16.5" customHeight="1" x14ac:dyDescent="0.25">
      <c r="A474" s="203">
        <v>44607</v>
      </c>
      <c r="B474" s="128" t="s">
        <v>4</v>
      </c>
      <c r="C474" s="157" t="str">
        <f t="shared" si="15"/>
        <v>15.02.2022_KIN3</v>
      </c>
      <c r="D474" s="190">
        <f t="shared" si="16"/>
        <v>0</v>
      </c>
      <c r="E474" s="204">
        <v>2.2808045723625842E-2</v>
      </c>
      <c r="F474" s="205">
        <v>2.7964406543481181E-2</v>
      </c>
      <c r="G474" s="204">
        <v>6.2076363780841519E-2</v>
      </c>
      <c r="H474" s="204">
        <v>1.4230442367043881E-2</v>
      </c>
      <c r="I474" s="209">
        <v>8.1300000000000008</v>
      </c>
      <c r="J474" s="207">
        <v>1.8888572338908323</v>
      </c>
      <c r="K474" s="209">
        <v>11.765000000000001</v>
      </c>
      <c r="L474" s="209">
        <v>10.97</v>
      </c>
      <c r="M474" s="208"/>
      <c r="N474" s="221"/>
    </row>
    <row r="475" spans="1:14" ht="16.5" customHeight="1" x14ac:dyDescent="0.25">
      <c r="A475" s="203">
        <v>44607</v>
      </c>
      <c r="B475" s="128" t="s">
        <v>6</v>
      </c>
      <c r="C475" s="157" t="str">
        <f t="shared" si="15"/>
        <v>15.02.2022_KIN4</v>
      </c>
      <c r="D475" s="190">
        <f t="shared" si="16"/>
        <v>0</v>
      </c>
      <c r="E475" s="204">
        <v>1.9006704769688201E-2</v>
      </c>
      <c r="F475" s="205">
        <v>3.1686056482526585E-2</v>
      </c>
      <c r="G475" s="204">
        <v>7.4146767849338463E-2</v>
      </c>
      <c r="H475" s="204">
        <v>1.8973923156058507E-2</v>
      </c>
      <c r="I475" s="209">
        <v>8.3190000000000008</v>
      </c>
      <c r="J475" s="207">
        <v>1.9423633646721949</v>
      </c>
      <c r="K475" s="209">
        <v>17.744</v>
      </c>
      <c r="L475" s="209">
        <v>11.084</v>
      </c>
      <c r="M475" s="208"/>
      <c r="N475" s="221"/>
    </row>
    <row r="476" spans="1:14" ht="16.5" customHeight="1" x14ac:dyDescent="0.25">
      <c r="A476" s="203">
        <v>44607</v>
      </c>
      <c r="B476" s="128" t="s">
        <v>34</v>
      </c>
      <c r="C476" s="157" t="str">
        <f t="shared" si="15"/>
        <v>15.02.2022_KRE1</v>
      </c>
      <c r="D476" s="190">
        <f t="shared" si="16"/>
        <v>0</v>
      </c>
      <c r="E476" s="204">
        <v>2.6609386677563483E-2</v>
      </c>
      <c r="F476" s="205">
        <v>3.1418140689315359E-2</v>
      </c>
      <c r="G476" s="204">
        <v>0.4190154555206802</v>
      </c>
      <c r="H476" s="204">
        <v>7.4314532361229146E-2</v>
      </c>
      <c r="I476" s="209">
        <v>11.327</v>
      </c>
      <c r="J476" s="207">
        <v>2.9064158604346289</v>
      </c>
      <c r="K476" s="209">
        <v>40</v>
      </c>
      <c r="L476" s="209">
        <v>35</v>
      </c>
      <c r="M476" s="208"/>
      <c r="N476" s="221"/>
    </row>
    <row r="477" spans="1:14" ht="16.5" customHeight="1" x14ac:dyDescent="0.25">
      <c r="A477" s="203">
        <v>44607</v>
      </c>
      <c r="B477" s="128" t="s">
        <v>37</v>
      </c>
      <c r="C477" s="157" t="str">
        <f t="shared" si="15"/>
        <v>15.02.2022_KRE2</v>
      </c>
      <c r="D477" s="190">
        <f t="shared" si="16"/>
        <v>0</v>
      </c>
      <c r="E477" s="204">
        <v>2.2808045723625842E-2</v>
      </c>
      <c r="F477" s="205">
        <v>3.274223066064999E-2</v>
      </c>
      <c r="G477" s="204">
        <v>0.18278040446581115</v>
      </c>
      <c r="H477" s="204">
        <v>5.534060920517065E-2</v>
      </c>
      <c r="I477" s="209">
        <v>13.436999999999999</v>
      </c>
      <c r="J477" s="207">
        <v>3.1937907947361719</v>
      </c>
      <c r="K477" s="209">
        <v>40</v>
      </c>
      <c r="L477" s="209">
        <v>42</v>
      </c>
      <c r="M477" s="208"/>
      <c r="N477" s="221"/>
    </row>
    <row r="478" spans="1:14" ht="16.5" customHeight="1" x14ac:dyDescent="0.25">
      <c r="A478" s="203">
        <v>44607</v>
      </c>
      <c r="B478" s="128" t="s">
        <v>18</v>
      </c>
      <c r="C478" s="157" t="str">
        <f t="shared" si="15"/>
        <v>15.02.2022_ORB1</v>
      </c>
      <c r="D478" s="190">
        <f t="shared" si="16"/>
        <v>0</v>
      </c>
      <c r="E478" s="204">
        <v>1.3304693338781742E-2</v>
      </c>
      <c r="F478" s="205">
        <v>3.0181288675127479E-2</v>
      </c>
      <c r="G478" s="204">
        <v>2.7589495013707339E-2</v>
      </c>
      <c r="H478" s="204">
        <v>7.9058013150243786E-3</v>
      </c>
      <c r="I478" s="209">
        <v>5.7619999999999996</v>
      </c>
      <c r="J478" s="207">
        <v>1.3252928281935525</v>
      </c>
      <c r="K478" s="209">
        <v>7.9029999999999996</v>
      </c>
      <c r="L478" s="209">
        <v>15.005000000000001</v>
      </c>
      <c r="M478" s="208"/>
      <c r="N478" s="221"/>
    </row>
    <row r="479" spans="1:14" ht="16.5" customHeight="1" x14ac:dyDescent="0.25">
      <c r="A479" s="203">
        <v>44607</v>
      </c>
      <c r="B479" s="128" t="s">
        <v>21</v>
      </c>
      <c r="C479" s="157" t="str">
        <f t="shared" si="15"/>
        <v>15.02.2022_ORB2</v>
      </c>
      <c r="D479" s="190">
        <f t="shared" si="16"/>
        <v>0</v>
      </c>
      <c r="E479" s="204">
        <v>2.090737524665702E-2</v>
      </c>
      <c r="F479" s="205">
        <v>7.0170562041905735E-2</v>
      </c>
      <c r="G479" s="204">
        <v>2.4140808136993919E-2</v>
      </c>
      <c r="H479" s="204">
        <v>4.7434807890146249E-3</v>
      </c>
      <c r="I479" s="209">
        <v>5.9429999999999996</v>
      </c>
      <c r="J479" s="207">
        <v>1.3625346588365097</v>
      </c>
      <c r="K479" s="209">
        <v>9.8810000000000002</v>
      </c>
      <c r="L479" s="209">
        <v>15.537000000000001</v>
      </c>
      <c r="M479" s="208"/>
      <c r="N479" s="221"/>
    </row>
    <row r="480" spans="1:14" ht="16.5" customHeight="1" x14ac:dyDescent="0.25">
      <c r="A480" s="203">
        <v>44607</v>
      </c>
      <c r="B480" s="128" t="s">
        <v>10</v>
      </c>
      <c r="C480" s="157" t="str">
        <f t="shared" si="15"/>
        <v>15.02.2022_SAL1</v>
      </c>
      <c r="D480" s="190">
        <f t="shared" si="16"/>
        <v>0</v>
      </c>
      <c r="E480" s="204">
        <v>3.4212068585438758E-2</v>
      </c>
      <c r="F480" s="205">
        <v>6.1942373504788512E-2</v>
      </c>
      <c r="G480" s="204">
        <v>1.8967777821923788E-2</v>
      </c>
      <c r="H480" s="204">
        <v>3.7947846312117013E-2</v>
      </c>
      <c r="I480" s="209">
        <v>9.282</v>
      </c>
      <c r="J480" s="207">
        <v>2.1228068516106697</v>
      </c>
      <c r="K480" s="209">
        <v>8.8049999999999997</v>
      </c>
      <c r="L480" s="209">
        <v>7.0679999999999996</v>
      </c>
      <c r="M480" s="208"/>
      <c r="N480" s="221"/>
    </row>
    <row r="481" spans="1:14" ht="16.5" customHeight="1" x14ac:dyDescent="0.25">
      <c r="A481" s="203">
        <v>44607</v>
      </c>
      <c r="B481" s="128" t="s">
        <v>12</v>
      </c>
      <c r="C481" s="157" t="str">
        <f t="shared" si="15"/>
        <v>15.02.2022_SAL2</v>
      </c>
      <c r="D481" s="190">
        <f t="shared" si="16"/>
        <v>0</v>
      </c>
      <c r="E481" s="204">
        <v>3.6112739062407584E-2</v>
      </c>
      <c r="F481" s="205">
        <v>4.7176708964611166E-2</v>
      </c>
      <c r="G481" s="204">
        <v>3.4486868767134179E-2</v>
      </c>
      <c r="H481" s="204">
        <v>3.6366686049112133E-2</v>
      </c>
      <c r="I481" s="209">
        <v>9.0419999999999998</v>
      </c>
      <c r="J481" s="207">
        <v>2.0801670862966444</v>
      </c>
      <c r="K481" s="209">
        <v>8.7550000000000008</v>
      </c>
      <c r="L481" s="209">
        <v>7.1189999999999998</v>
      </c>
      <c r="M481" s="208"/>
      <c r="N481" s="221"/>
    </row>
    <row r="482" spans="1:14" ht="16.5" customHeight="1" x14ac:dyDescent="0.25">
      <c r="A482" s="203">
        <v>44607</v>
      </c>
      <c r="B482" s="128" t="s">
        <v>7</v>
      </c>
      <c r="C482" s="157" t="str">
        <f t="shared" si="15"/>
        <v>15.02.2022_STE1</v>
      </c>
      <c r="D482" s="190">
        <f t="shared" si="16"/>
        <v>0</v>
      </c>
      <c r="E482" s="204">
        <v>3.2311398108469946E-2</v>
      </c>
      <c r="F482" s="205">
        <v>4.5050416447762059E-2</v>
      </c>
      <c r="G482" s="204">
        <v>3.7935555643847603E-2</v>
      </c>
      <c r="H482" s="204">
        <v>2.2136243682068259E-2</v>
      </c>
      <c r="I482" s="209">
        <v>8.8469999999999995</v>
      </c>
      <c r="J482" s="207">
        <v>2.0344678489908965</v>
      </c>
      <c r="K482" s="209">
        <v>7.5270000000000001</v>
      </c>
      <c r="L482" s="209">
        <v>6.8109999999999999</v>
      </c>
      <c r="M482" s="208"/>
      <c r="N482" s="221"/>
    </row>
    <row r="483" spans="1:14" ht="16.5" customHeight="1" x14ac:dyDescent="0.25">
      <c r="A483" s="203">
        <v>44607</v>
      </c>
      <c r="B483" s="128" t="s">
        <v>9</v>
      </c>
      <c r="C483" s="157" t="str">
        <f t="shared" si="15"/>
        <v>15.02.2022_STE2</v>
      </c>
      <c r="D483" s="190">
        <f t="shared" si="16"/>
        <v>0</v>
      </c>
      <c r="E483" s="204">
        <v>0.12354358100297332</v>
      </c>
      <c r="F483" s="205">
        <v>6.5332530047617424E-2</v>
      </c>
      <c r="G483" s="204">
        <v>3.7935555643847603E-2</v>
      </c>
      <c r="H483" s="204">
        <v>2.5298564208078009E-2</v>
      </c>
      <c r="I483" s="209">
        <v>9.3079999999999998</v>
      </c>
      <c r="J483" s="207">
        <v>2.1395566874750402</v>
      </c>
      <c r="K483" s="209">
        <v>9.0299999999999994</v>
      </c>
      <c r="L483" s="209">
        <v>7.0510000000000002</v>
      </c>
      <c r="M483" s="208"/>
      <c r="N483" s="221"/>
    </row>
    <row r="484" spans="1:14" ht="16.5" customHeight="1" x14ac:dyDescent="0.25">
      <c r="A484" s="203">
        <v>44621</v>
      </c>
      <c r="B484" s="128" t="s">
        <v>22</v>
      </c>
      <c r="C484" s="157" t="str">
        <f t="shared" si="15"/>
        <v>01.03.2022_BIE1</v>
      </c>
      <c r="D484" s="190">
        <f t="shared" si="16"/>
        <v>0</v>
      </c>
      <c r="E484" s="204">
        <v>1.3099246177952821E-2</v>
      </c>
      <c r="F484" s="205">
        <v>1.9600909509168742E-2</v>
      </c>
      <c r="G484" s="204">
        <v>2.9958988102489141E-2</v>
      </c>
      <c r="H484" s="204">
        <v>4.6004685059864636E-3</v>
      </c>
      <c r="I484" s="209">
        <v>4.726</v>
      </c>
      <c r="J484" s="207">
        <v>1.0921250873083492</v>
      </c>
      <c r="K484" s="209">
        <v>6.2240000000000002</v>
      </c>
      <c r="L484" s="209">
        <v>12.816000000000001</v>
      </c>
      <c r="M484" s="208"/>
      <c r="N484" s="221"/>
    </row>
    <row r="485" spans="1:14" ht="16.5" customHeight="1" x14ac:dyDescent="0.25">
      <c r="A485" s="203">
        <v>44621</v>
      </c>
      <c r="B485" s="128" t="s">
        <v>25</v>
      </c>
      <c r="C485" s="157" t="str">
        <f t="shared" si="15"/>
        <v>01.03.2022_BIE2</v>
      </c>
      <c r="D485" s="190">
        <f t="shared" si="16"/>
        <v>0</v>
      </c>
      <c r="E485" s="204">
        <v>2.2455850590776264E-2</v>
      </c>
      <c r="F485" s="205">
        <v>1.8608516201697855E-2</v>
      </c>
      <c r="G485" s="204">
        <v>2.1147521013521742E-2</v>
      </c>
      <c r="H485" s="204">
        <v>4.6004685059864636E-3</v>
      </c>
      <c r="I485" s="209">
        <v>4.6970000000000001</v>
      </c>
      <c r="J485" s="207">
        <v>1.0787328412284369</v>
      </c>
      <c r="K485" s="209">
        <v>6.6150000000000002</v>
      </c>
      <c r="L485" s="209">
        <v>12.868</v>
      </c>
      <c r="M485" s="208"/>
      <c r="N485" s="221"/>
    </row>
    <row r="486" spans="1:14" ht="16.5" customHeight="1" x14ac:dyDescent="0.25">
      <c r="A486" s="203">
        <v>44621</v>
      </c>
      <c r="B486" s="128" t="s">
        <v>14</v>
      </c>
      <c r="C486" s="157" t="str">
        <f t="shared" si="15"/>
        <v>01.03.2022_BRA1</v>
      </c>
      <c r="D486" s="190">
        <f t="shared" si="16"/>
        <v>0</v>
      </c>
      <c r="E486" s="204">
        <v>4.4911701181552528E-2</v>
      </c>
      <c r="F486" s="205">
        <v>4.2030866513541994E-2</v>
      </c>
      <c r="G486" s="204">
        <v>3.172128152028262E-2</v>
      </c>
      <c r="H486" s="204">
        <v>1.0734426513968416E-2</v>
      </c>
      <c r="I486" s="209">
        <v>9.6690000000000005</v>
      </c>
      <c r="J486" s="207">
        <v>2.211836384039862</v>
      </c>
      <c r="K486" s="209">
        <v>7.26</v>
      </c>
      <c r="L486" s="209">
        <v>7.5890000000000004</v>
      </c>
      <c r="M486" s="208"/>
      <c r="N486" s="221"/>
    </row>
    <row r="487" spans="1:14" ht="16.5" customHeight="1" x14ac:dyDescent="0.25">
      <c r="A487" s="203">
        <v>44621</v>
      </c>
      <c r="B487" s="128" t="s">
        <v>17</v>
      </c>
      <c r="C487" s="157" t="str">
        <f t="shared" si="15"/>
        <v>01.03.2022_BRA2</v>
      </c>
      <c r="D487" s="190">
        <f t="shared" si="16"/>
        <v>0</v>
      </c>
      <c r="E487" s="204">
        <v>5.0525663829246593E-2</v>
      </c>
      <c r="F487" s="205">
        <v>5.1734127713322517E-2</v>
      </c>
      <c r="G487" s="204">
        <v>1.7622934177934792E-2</v>
      </c>
      <c r="H487" s="204">
        <v>1.5334895019954886E-2</v>
      </c>
      <c r="I487" s="209">
        <v>11.031000000000001</v>
      </c>
      <c r="J487" s="207">
        <v>2.5099247109486496</v>
      </c>
      <c r="K487" s="209">
        <v>9.0609999999999999</v>
      </c>
      <c r="L487" s="209">
        <v>8.17</v>
      </c>
      <c r="M487" s="208"/>
      <c r="N487" s="221"/>
    </row>
    <row r="488" spans="1:14" ht="16.5" customHeight="1" x14ac:dyDescent="0.25">
      <c r="A488" s="203">
        <v>44621</v>
      </c>
      <c r="B488" s="128" t="s">
        <v>30</v>
      </c>
      <c r="C488" s="157" t="str">
        <f t="shared" si="15"/>
        <v>01.03.2022_FAL1</v>
      </c>
      <c r="D488" s="190">
        <f t="shared" si="16"/>
        <v>0</v>
      </c>
      <c r="E488" s="204">
        <v>7.8595477067716926E-2</v>
      </c>
      <c r="F488" s="205">
        <v>7.9782004986887839E-2</v>
      </c>
      <c r="G488" s="204">
        <v>0.12159824582775004</v>
      </c>
      <c r="H488" s="204">
        <v>7.3607496095783445E-2</v>
      </c>
      <c r="I488" s="209">
        <v>15.468999999999999</v>
      </c>
      <c r="J488" s="207">
        <v>3.610812654089151</v>
      </c>
      <c r="K488" s="209">
        <v>35</v>
      </c>
      <c r="L488" s="209">
        <v>30.388000000000002</v>
      </c>
      <c r="M488" s="208"/>
      <c r="N488" s="221"/>
    </row>
    <row r="489" spans="1:14" ht="16.5" customHeight="1" x14ac:dyDescent="0.25">
      <c r="A489" s="203">
        <v>44621</v>
      </c>
      <c r="B489" s="128" t="s">
        <v>32</v>
      </c>
      <c r="C489" s="157" t="str">
        <f t="shared" si="15"/>
        <v>01.03.2022_FAL2</v>
      </c>
      <c r="D489" s="190">
        <f t="shared" si="16"/>
        <v>0</v>
      </c>
      <c r="E489" s="204">
        <v>7.4852835302587545E-2</v>
      </c>
      <c r="F489" s="205">
        <v>7.1830364342402295E-2</v>
      </c>
      <c r="G489" s="204">
        <v>8.987696430746743E-2</v>
      </c>
      <c r="H489" s="204">
        <v>7.054051709179246E-2</v>
      </c>
      <c r="I489" s="209">
        <v>18.579000000000001</v>
      </c>
      <c r="J489" s="207">
        <v>4.2877033544437015</v>
      </c>
      <c r="K489" s="209">
        <v>42</v>
      </c>
      <c r="L489" s="209">
        <v>33</v>
      </c>
      <c r="M489" s="208"/>
      <c r="N489" s="221"/>
    </row>
    <row r="490" spans="1:14" ht="16.5" customHeight="1" x14ac:dyDescent="0.25">
      <c r="A490" s="203">
        <v>44621</v>
      </c>
      <c r="B490" s="128" t="s">
        <v>26</v>
      </c>
      <c r="C490" s="157" t="str">
        <f t="shared" si="15"/>
        <v>01.03.2022_GRU1</v>
      </c>
      <c r="D490" s="190">
        <f t="shared" si="16"/>
        <v>0</v>
      </c>
      <c r="E490" s="204">
        <v>3.3683775886164398E-2</v>
      </c>
      <c r="F490" s="205">
        <v>4.544745688463285E-2</v>
      </c>
      <c r="G490" s="204">
        <v>3.5245868355869583E-2</v>
      </c>
      <c r="H490" s="204">
        <v>1.2267916015963906E-2</v>
      </c>
      <c r="I490" s="209">
        <v>7.9530000000000003</v>
      </c>
      <c r="J490" s="207">
        <v>1.8274471413507094</v>
      </c>
      <c r="K490" s="209">
        <v>7.7510000000000003</v>
      </c>
      <c r="L490" s="209">
        <v>11.442</v>
      </c>
      <c r="M490" s="208"/>
      <c r="N490" s="221"/>
    </row>
    <row r="491" spans="1:14" ht="16.5" customHeight="1" x14ac:dyDescent="0.25">
      <c r="A491" s="203">
        <v>44621</v>
      </c>
      <c r="B491" s="128" t="s">
        <v>28</v>
      </c>
      <c r="C491" s="157" t="str">
        <f t="shared" si="15"/>
        <v>01.03.2022_GRU2</v>
      </c>
      <c r="D491" s="190">
        <f t="shared" si="16"/>
        <v>0</v>
      </c>
      <c r="E491" s="204">
        <v>4.4911701181552528E-2</v>
      </c>
      <c r="F491" s="205">
        <v>5.0911910080140815E-2</v>
      </c>
      <c r="G491" s="204">
        <v>2.1147521013521742E-2</v>
      </c>
      <c r="H491" s="204">
        <v>1.0734426513968416E-2</v>
      </c>
      <c r="I491" s="209">
        <v>7.4619999999999997</v>
      </c>
      <c r="J491" s="207">
        <v>1.7051308747439669</v>
      </c>
      <c r="K491" s="209">
        <v>8.0879999999999992</v>
      </c>
      <c r="L491" s="209">
        <v>11.157</v>
      </c>
      <c r="M491" s="208"/>
      <c r="N491" s="221"/>
    </row>
    <row r="492" spans="1:14" ht="16.5" customHeight="1" x14ac:dyDescent="0.25">
      <c r="A492" s="203">
        <v>44621</v>
      </c>
      <c r="B492" s="128" t="s">
        <v>0</v>
      </c>
      <c r="C492" s="157" t="str">
        <f t="shared" si="15"/>
        <v>01.03.2022_KIN1</v>
      </c>
      <c r="D492" s="190">
        <f t="shared" si="16"/>
        <v>0</v>
      </c>
      <c r="E492" s="204">
        <v>3.3683775886164398E-2</v>
      </c>
      <c r="F492" s="205">
        <v>3.0375215044734716E-2</v>
      </c>
      <c r="G492" s="204">
        <v>2.8196694684695663E-2</v>
      </c>
      <c r="H492" s="204">
        <v>4.6004685059864636E-3</v>
      </c>
      <c r="I492" s="209">
        <v>6.6639999999999997</v>
      </c>
      <c r="J492" s="207">
        <v>1.5284927440923666</v>
      </c>
      <c r="K492" s="209">
        <v>7.25</v>
      </c>
      <c r="L492" s="209">
        <v>8.5519999999999996</v>
      </c>
      <c r="M492" s="208"/>
      <c r="N492" s="221"/>
    </row>
    <row r="493" spans="1:14" ht="16.5" customHeight="1" x14ac:dyDescent="0.25">
      <c r="A493" s="203">
        <v>44621</v>
      </c>
      <c r="B493" s="128" t="s">
        <v>2</v>
      </c>
      <c r="C493" s="157" t="str">
        <f t="shared" si="15"/>
        <v>01.03.2022_KIN2</v>
      </c>
      <c r="D493" s="190">
        <f t="shared" si="16"/>
        <v>0</v>
      </c>
      <c r="E493" s="204">
        <v>2.4327171473340951E-2</v>
      </c>
      <c r="F493" s="205">
        <v>2.5592119519913536E-2</v>
      </c>
      <c r="G493" s="204">
        <v>2.4672107849108702E-2</v>
      </c>
      <c r="H493" s="204">
        <v>4.6004685059864636E-3</v>
      </c>
      <c r="I493" s="209">
        <v>7.5410000000000004</v>
      </c>
      <c r="J493" s="207">
        <v>1.7238439276604021</v>
      </c>
      <c r="K493" s="209">
        <v>7.9589999999999996</v>
      </c>
      <c r="L493" s="209">
        <v>9.2149999999999999</v>
      </c>
      <c r="M493" s="208"/>
      <c r="N493" s="221"/>
    </row>
    <row r="494" spans="1:14" ht="16.5" customHeight="1" x14ac:dyDescent="0.25">
      <c r="A494" s="203">
        <v>44621</v>
      </c>
      <c r="B494" s="128" t="s">
        <v>4</v>
      </c>
      <c r="C494" s="157" t="str">
        <f t="shared" si="15"/>
        <v>01.03.2022_KIN3</v>
      </c>
      <c r="D494" s="190">
        <f t="shared" si="16"/>
        <v>0</v>
      </c>
      <c r="E494" s="204">
        <v>2.6198492355905642E-2</v>
      </c>
      <c r="F494" s="205">
        <v>2.4619795504815824E-2</v>
      </c>
      <c r="G494" s="204">
        <v>3.172128152028262E-2</v>
      </c>
      <c r="H494" s="204">
        <v>4.6004685059864636E-3</v>
      </c>
      <c r="I494" s="209">
        <v>7.8860000000000001</v>
      </c>
      <c r="J494" s="207">
        <v>1.8072426905243315</v>
      </c>
      <c r="K494" s="209">
        <v>9.6319999999999997</v>
      </c>
      <c r="L494" s="209">
        <v>10.943</v>
      </c>
      <c r="M494" s="208"/>
      <c r="N494" s="221"/>
    </row>
    <row r="495" spans="1:14" ht="16.5" customHeight="1" x14ac:dyDescent="0.25">
      <c r="A495" s="203">
        <v>44621</v>
      </c>
      <c r="B495" s="128" t="s">
        <v>6</v>
      </c>
      <c r="C495" s="157" t="str">
        <f t="shared" si="15"/>
        <v>01.03.2022_KIN4</v>
      </c>
      <c r="D495" s="190">
        <f t="shared" si="16"/>
        <v>0</v>
      </c>
      <c r="E495" s="204">
        <v>1.8713208825646886E-2</v>
      </c>
      <c r="F495" s="205">
        <v>2.5793693270116717E-2</v>
      </c>
      <c r="G495" s="204">
        <v>3.5245868355869583E-2</v>
      </c>
      <c r="H495" s="204">
        <v>6.1339580079819529E-3</v>
      </c>
      <c r="I495" s="209">
        <v>7.9080000000000004</v>
      </c>
      <c r="J495" s="207">
        <v>1.8154155078351792</v>
      </c>
      <c r="K495" s="209">
        <v>13.089</v>
      </c>
      <c r="L495" s="209">
        <v>11.141</v>
      </c>
      <c r="M495" s="208"/>
      <c r="N495" s="221"/>
    </row>
    <row r="496" spans="1:14" ht="16.5" customHeight="1" x14ac:dyDescent="0.25">
      <c r="A496" s="203">
        <v>44621</v>
      </c>
      <c r="B496" s="128" t="s">
        <v>34</v>
      </c>
      <c r="C496" s="157" t="str">
        <f t="shared" si="15"/>
        <v>01.03.2022_KRE1</v>
      </c>
      <c r="D496" s="190">
        <f t="shared" si="16"/>
        <v>0</v>
      </c>
      <c r="E496" s="204">
        <v>3.7426417651293772E-2</v>
      </c>
      <c r="F496" s="205">
        <v>3.6843137375960018E-2</v>
      </c>
      <c r="G496" s="204">
        <v>0.13393429975230439</v>
      </c>
      <c r="H496" s="204">
        <v>5.3672132569842095E-2</v>
      </c>
      <c r="I496" s="209">
        <v>11.909000000000001</v>
      </c>
      <c r="J496" s="207">
        <v>2.8102249551755554</v>
      </c>
      <c r="K496" s="209">
        <v>39</v>
      </c>
      <c r="L496" s="209">
        <v>38.494999999999997</v>
      </c>
      <c r="M496" s="208"/>
      <c r="N496" s="221"/>
    </row>
    <row r="497" spans="1:14" ht="16.5" customHeight="1" x14ac:dyDescent="0.25">
      <c r="A497" s="203">
        <v>44621</v>
      </c>
      <c r="B497" s="128" t="s">
        <v>37</v>
      </c>
      <c r="C497" s="157" t="str">
        <f t="shared" si="15"/>
        <v>01.03.2022_KRE2</v>
      </c>
      <c r="D497" s="190">
        <f t="shared" si="16"/>
        <v>0</v>
      </c>
      <c r="E497" s="204">
        <v>4.1169059416423147E-2</v>
      </c>
      <c r="F497" s="205">
        <v>3.7300828361715471E-2</v>
      </c>
      <c r="G497" s="204">
        <v>8.6352377471880459E-2</v>
      </c>
      <c r="H497" s="204">
        <v>3.0669790039909772E-2</v>
      </c>
      <c r="I497" s="209">
        <v>13.51</v>
      </c>
      <c r="J497" s="207">
        <v>3.1278928751607906</v>
      </c>
      <c r="K497" s="209">
        <v>41</v>
      </c>
      <c r="L497" s="209">
        <v>41</v>
      </c>
      <c r="M497" s="208"/>
      <c r="N497" s="221"/>
    </row>
    <row r="498" spans="1:14" ht="16.5" customHeight="1" x14ac:dyDescent="0.25">
      <c r="A498" s="203">
        <v>44621</v>
      </c>
      <c r="B498" s="128" t="s">
        <v>18</v>
      </c>
      <c r="C498" s="157" t="str">
        <f t="shared" si="15"/>
        <v>01.03.2022_ORB1</v>
      </c>
      <c r="D498" s="190">
        <f t="shared" si="16"/>
        <v>0</v>
      </c>
      <c r="E498" s="204">
        <v>4.6783022064117219E-2</v>
      </c>
      <c r="F498" s="205">
        <v>3.8652373016607192E-2</v>
      </c>
      <c r="G498" s="204">
        <v>2.4672107849108702E-2</v>
      </c>
      <c r="H498" s="204">
        <v>3.0669790039909795E-3</v>
      </c>
      <c r="I498" s="209">
        <v>5.5910000000000002</v>
      </c>
      <c r="J498" s="207">
        <v>1.2829305567815195</v>
      </c>
      <c r="K498" s="209">
        <v>7.4619999999999997</v>
      </c>
      <c r="L498" s="209">
        <v>15.382999999999999</v>
      </c>
      <c r="M498" s="208"/>
      <c r="N498" s="221"/>
    </row>
    <row r="499" spans="1:14" ht="16.5" customHeight="1" x14ac:dyDescent="0.25">
      <c r="A499" s="203">
        <v>44621</v>
      </c>
      <c r="B499" s="128" t="s">
        <v>21</v>
      </c>
      <c r="C499" s="157" t="str">
        <f t="shared" si="15"/>
        <v>01.03.2022_ORB2</v>
      </c>
      <c r="D499" s="190">
        <f t="shared" si="16"/>
        <v>0</v>
      </c>
      <c r="E499" s="204">
        <v>2.994113412103502E-2</v>
      </c>
      <c r="F499" s="205">
        <v>4.1480331900634132E-2</v>
      </c>
      <c r="G499" s="204">
        <v>3.7008161773663062E-2</v>
      </c>
      <c r="H499" s="204">
        <v>7.6674475099774431E-3</v>
      </c>
      <c r="I499" s="209">
        <v>6.2750000000000004</v>
      </c>
      <c r="J499" s="207">
        <v>1.4484050719300441</v>
      </c>
      <c r="K499" s="209">
        <v>9.6880000000000006</v>
      </c>
      <c r="L499" s="209">
        <v>16.132999999999999</v>
      </c>
      <c r="M499" s="208"/>
      <c r="N499" s="221"/>
    </row>
    <row r="500" spans="1:14" ht="16.5" customHeight="1" x14ac:dyDescent="0.25">
      <c r="A500" s="203">
        <v>44621</v>
      </c>
      <c r="B500" s="128" t="s">
        <v>10</v>
      </c>
      <c r="C500" s="157" t="str">
        <f t="shared" si="15"/>
        <v>01.03.2022_SAL1</v>
      </c>
      <c r="D500" s="190">
        <f t="shared" si="16"/>
        <v>0</v>
      </c>
      <c r="E500" s="204">
        <v>4.6783022064117219E-2</v>
      </c>
      <c r="F500" s="205">
        <v>5.0516197658565472E-2</v>
      </c>
      <c r="G500" s="204">
        <v>2.1147521013521742E-2</v>
      </c>
      <c r="H500" s="204">
        <v>2.4535832031927812E-2</v>
      </c>
      <c r="I500" s="209">
        <v>9.0129999999999999</v>
      </c>
      <c r="J500" s="207">
        <v>2.05965708265391</v>
      </c>
      <c r="K500" s="209">
        <v>7.282</v>
      </c>
      <c r="L500" s="209">
        <v>7.4429999999999996</v>
      </c>
      <c r="M500" s="208"/>
      <c r="N500" s="221"/>
    </row>
    <row r="501" spans="1:14" ht="16.5" customHeight="1" x14ac:dyDescent="0.25">
      <c r="A501" s="203">
        <v>44621</v>
      </c>
      <c r="B501" s="128" t="s">
        <v>12</v>
      </c>
      <c r="C501" s="157" t="str">
        <f t="shared" si="15"/>
        <v>01.03.2022_SAL2</v>
      </c>
      <c r="D501" s="190">
        <f t="shared" si="16"/>
        <v>0</v>
      </c>
      <c r="E501" s="204">
        <v>4.1169059416423147E-2</v>
      </c>
      <c r="F501" s="205">
        <v>4.6347688640834363E-2</v>
      </c>
      <c r="G501" s="204">
        <v>2.1147521013521742E-2</v>
      </c>
      <c r="H501" s="204">
        <v>1.9935363525941351E-2</v>
      </c>
      <c r="I501" s="209">
        <v>8.7910000000000004</v>
      </c>
      <c r="J501" s="207">
        <v>2.0081133300172622</v>
      </c>
      <c r="K501" s="209">
        <v>7.4870000000000001</v>
      </c>
      <c r="L501" s="209">
        <v>7.5860000000000003</v>
      </c>
      <c r="M501" s="208"/>
      <c r="N501" s="221"/>
    </row>
    <row r="502" spans="1:14" ht="16.5" customHeight="1" x14ac:dyDescent="0.25">
      <c r="A502" s="203">
        <v>44621</v>
      </c>
      <c r="B502" s="128" t="s">
        <v>7</v>
      </c>
      <c r="C502" s="157" t="str">
        <f t="shared" si="15"/>
        <v>01.03.2022_STE1</v>
      </c>
      <c r="D502" s="190">
        <f t="shared" si="16"/>
        <v>0</v>
      </c>
      <c r="E502" s="204">
        <v>4.4911701181552528E-2</v>
      </c>
      <c r="F502" s="205">
        <v>4.7753148909898076E-2</v>
      </c>
      <c r="G502" s="204">
        <v>2.8196694684695663E-2</v>
      </c>
      <c r="H502" s="204">
        <v>1.6868384521950372E-2</v>
      </c>
      <c r="I502" s="209">
        <v>8.0670000000000002</v>
      </c>
      <c r="J502" s="207">
        <v>1.849123321123427</v>
      </c>
      <c r="K502" s="209">
        <v>6.8159999999999998</v>
      </c>
      <c r="L502" s="209">
        <v>7.0759999999999996</v>
      </c>
      <c r="M502" s="208"/>
      <c r="N502" s="221"/>
    </row>
    <row r="503" spans="1:14" ht="16.5" customHeight="1" x14ac:dyDescent="0.25">
      <c r="A503" s="203">
        <v>44621</v>
      </c>
      <c r="B503" s="128" t="s">
        <v>9</v>
      </c>
      <c r="C503" s="157" t="str">
        <f t="shared" si="15"/>
        <v>01.03.2022_STE2</v>
      </c>
      <c r="D503" s="190">
        <f t="shared" si="16"/>
        <v>0</v>
      </c>
      <c r="E503" s="204">
        <v>4.4911701181552528E-2</v>
      </c>
      <c r="F503" s="205">
        <v>4.4773995032777555E-2</v>
      </c>
      <c r="G503" s="204">
        <v>1.9385227595728274E-2</v>
      </c>
      <c r="H503" s="204">
        <v>2.146885302793684E-2</v>
      </c>
      <c r="I503" s="209">
        <v>8.3490000000000002</v>
      </c>
      <c r="J503" s="207">
        <v>1.9073772576801624</v>
      </c>
      <c r="K503" s="209">
        <v>7.4329999999999998</v>
      </c>
      <c r="L503" s="209">
        <v>7.1779999999999999</v>
      </c>
      <c r="M503" s="208"/>
      <c r="N503" s="221"/>
    </row>
    <row r="504" spans="1:14" ht="16.5" customHeight="1" x14ac:dyDescent="0.25">
      <c r="A504" s="203">
        <v>44641</v>
      </c>
      <c r="B504" s="128" t="s">
        <v>22</v>
      </c>
      <c r="C504" s="157" t="str">
        <f t="shared" si="15"/>
        <v>21.03.2022_BIE1</v>
      </c>
      <c r="D504" s="190">
        <f t="shared" si="16"/>
        <v>0</v>
      </c>
      <c r="E504" s="204">
        <v>2.859585070296447E-2</v>
      </c>
      <c r="F504" s="205">
        <v>1.4620436352576285E-2</v>
      </c>
      <c r="G504" s="204">
        <v>1.5727486863562255E-2</v>
      </c>
      <c r="H504" s="204">
        <v>7.5283243887895018E-3</v>
      </c>
      <c r="I504" s="209">
        <v>3.9630000000000001</v>
      </c>
      <c r="J504" s="207">
        <v>0.90962704463485433</v>
      </c>
      <c r="K504" s="209">
        <v>6.2480000000000002</v>
      </c>
      <c r="L504" s="209">
        <v>13.249000000000001</v>
      </c>
      <c r="M504" s="208"/>
      <c r="N504" s="221"/>
    </row>
    <row r="505" spans="1:14" ht="16.5" customHeight="1" x14ac:dyDescent="0.25">
      <c r="A505" s="203">
        <v>44641</v>
      </c>
      <c r="B505" s="128" t="s">
        <v>25</v>
      </c>
      <c r="C505" s="157" t="str">
        <f t="shared" si="15"/>
        <v>21.03.2022_BIE2</v>
      </c>
      <c r="D505" s="190">
        <f t="shared" si="16"/>
        <v>0</v>
      </c>
      <c r="E505" s="204">
        <v>2.2876680562371576E-2</v>
      </c>
      <c r="F505" s="205">
        <v>1.3513165402983862E-2</v>
      </c>
      <c r="G505" s="204">
        <v>2.3591230295343383E-2</v>
      </c>
      <c r="H505" s="204">
        <v>9.0339892665474049E-3</v>
      </c>
      <c r="I505" s="209">
        <v>3.9260000000000002</v>
      </c>
      <c r="J505" s="207">
        <v>0.9078343724442316</v>
      </c>
      <c r="K505" s="209">
        <v>6.5780000000000003</v>
      </c>
      <c r="L505" s="209">
        <v>13.178000000000001</v>
      </c>
      <c r="M505" s="208"/>
      <c r="N505" s="221"/>
    </row>
    <row r="506" spans="1:14" ht="16.5" customHeight="1" x14ac:dyDescent="0.25">
      <c r="A506" s="203">
        <v>44641</v>
      </c>
      <c r="B506" s="128" t="s">
        <v>14</v>
      </c>
      <c r="C506" s="157" t="str">
        <f t="shared" si="15"/>
        <v>21.03.2022_BRA1</v>
      </c>
      <c r="D506" s="190">
        <f t="shared" si="16"/>
        <v>0</v>
      </c>
      <c r="E506" s="204">
        <v>3.8127800937285961E-2</v>
      </c>
      <c r="F506" s="205">
        <v>4.1632743857716571E-2</v>
      </c>
      <c r="G506" s="204">
        <v>1.5727486863562255E-2</v>
      </c>
      <c r="H506" s="204">
        <v>1.5056648777579009E-2</v>
      </c>
      <c r="I506" s="209">
        <v>7.2389999999999999</v>
      </c>
      <c r="J506" s="207">
        <v>1.6518691629950213</v>
      </c>
      <c r="K506" s="209">
        <v>6.9859999999999998</v>
      </c>
      <c r="L506" s="209">
        <v>5.4729999999999999</v>
      </c>
      <c r="M506" s="208"/>
      <c r="N506" s="221"/>
    </row>
    <row r="507" spans="1:14" ht="16.5" customHeight="1" x14ac:dyDescent="0.25">
      <c r="A507" s="203">
        <v>44641</v>
      </c>
      <c r="B507" s="128" t="s">
        <v>17</v>
      </c>
      <c r="C507" s="157" t="str">
        <f t="shared" si="15"/>
        <v>21.03.2022_BRA2</v>
      </c>
      <c r="D507" s="190">
        <f t="shared" si="16"/>
        <v>0</v>
      </c>
      <c r="E507" s="204">
        <v>4.1940581031014557E-2</v>
      </c>
      <c r="F507" s="205">
        <v>3.8641246932332791E-2</v>
      </c>
      <c r="G507" s="204">
        <v>2.16252944373981E-2</v>
      </c>
      <c r="H507" s="204">
        <v>1.5056648777579009E-2</v>
      </c>
      <c r="I507" s="209">
        <v>9.5549999999999997</v>
      </c>
      <c r="J507" s="207">
        <v>2.1795636715980291</v>
      </c>
      <c r="K507" s="209">
        <v>10.195</v>
      </c>
      <c r="L507" s="209">
        <v>6.4930000000000003</v>
      </c>
      <c r="M507" s="208"/>
      <c r="N507" s="221"/>
    </row>
    <row r="508" spans="1:14" ht="16.5" customHeight="1" x14ac:dyDescent="0.25">
      <c r="A508" s="203">
        <v>44641</v>
      </c>
      <c r="B508" s="128" t="s">
        <v>30</v>
      </c>
      <c r="C508" s="157" t="str">
        <f t="shared" si="15"/>
        <v>21.03.2022_FAL1</v>
      </c>
      <c r="D508" s="190">
        <f t="shared" si="16"/>
        <v>0</v>
      </c>
      <c r="E508" s="204">
        <v>7.8161991921436219E-2</v>
      </c>
      <c r="F508" s="205">
        <v>5.7688337514442398E-2</v>
      </c>
      <c r="G508" s="204">
        <v>7.6671498459865942E-2</v>
      </c>
      <c r="H508" s="204">
        <v>0.10238521168753729</v>
      </c>
      <c r="I508" s="209">
        <v>14.028</v>
      </c>
      <c r="J508" s="207">
        <v>3.259210189537372</v>
      </c>
      <c r="K508" s="209">
        <v>39</v>
      </c>
      <c r="L508" s="209">
        <v>30.588000000000001</v>
      </c>
      <c r="M508" s="208"/>
      <c r="N508" s="221"/>
    </row>
    <row r="509" spans="1:14" ht="16.5" customHeight="1" x14ac:dyDescent="0.25">
      <c r="A509" s="203">
        <v>44641</v>
      </c>
      <c r="B509" s="128" t="s">
        <v>32</v>
      </c>
      <c r="C509" s="157" t="str">
        <f t="shared" si="15"/>
        <v>21.03.2022_FAL2</v>
      </c>
      <c r="D509" s="190">
        <f t="shared" si="16"/>
        <v>0</v>
      </c>
      <c r="E509" s="204">
        <v>5.7191701405928941E-2</v>
      </c>
      <c r="F509" s="205">
        <v>4.161719730920687E-2</v>
      </c>
      <c r="G509" s="204">
        <v>4.5216524732741452E-2</v>
      </c>
      <c r="H509" s="204">
        <v>4.366428145497913E-2</v>
      </c>
      <c r="I509" s="209">
        <v>13.401</v>
      </c>
      <c r="J509" s="207">
        <v>3.0752876397786948</v>
      </c>
      <c r="K509" s="209">
        <v>30</v>
      </c>
      <c r="L509" s="209">
        <v>25.959</v>
      </c>
      <c r="M509" s="208"/>
      <c r="N509" s="221"/>
    </row>
    <row r="510" spans="1:14" ht="16.5" customHeight="1" x14ac:dyDescent="0.25">
      <c r="A510" s="203">
        <v>44641</v>
      </c>
      <c r="B510" s="128" t="s">
        <v>26</v>
      </c>
      <c r="C510" s="157" t="str">
        <f t="shared" si="15"/>
        <v>21.03.2022_GRU1</v>
      </c>
      <c r="D510" s="190">
        <f t="shared" si="16"/>
        <v>0</v>
      </c>
      <c r="E510" s="204">
        <v>3.0502240749828768E-2</v>
      </c>
      <c r="F510" s="205">
        <v>1.7406368872037861E-2</v>
      </c>
      <c r="G510" s="204">
        <v>1.3761551005616973E-2</v>
      </c>
      <c r="H510" s="204">
        <v>6.0226595110316047E-3</v>
      </c>
      <c r="I510" s="209">
        <v>5.1529999999999996</v>
      </c>
      <c r="J510" s="207">
        <v>1.1764274154284851</v>
      </c>
      <c r="K510" s="209">
        <v>8.0690000000000008</v>
      </c>
      <c r="L510" s="209">
        <v>11.958</v>
      </c>
      <c r="M510" s="208"/>
      <c r="N510" s="221"/>
    </row>
    <row r="511" spans="1:14" ht="16.5" customHeight="1" x14ac:dyDescent="0.25">
      <c r="A511" s="203">
        <v>44641</v>
      </c>
      <c r="B511" s="128" t="s">
        <v>28</v>
      </c>
      <c r="C511" s="157" t="str">
        <f t="shared" si="15"/>
        <v>21.03.2022_GRU2</v>
      </c>
      <c r="D511" s="190">
        <f t="shared" si="16"/>
        <v>0</v>
      </c>
      <c r="E511" s="204">
        <v>3.0502240749828768E-2</v>
      </c>
      <c r="F511" s="205">
        <v>1.4955407267045903E-2</v>
      </c>
      <c r="G511" s="204">
        <v>4.1284653016850893E-2</v>
      </c>
      <c r="H511" s="204">
        <v>1.0539654144305308E-2</v>
      </c>
      <c r="I511" s="209">
        <v>4.758</v>
      </c>
      <c r="J511" s="207">
        <v>1.109955377925288</v>
      </c>
      <c r="K511" s="209">
        <v>8.4760000000000009</v>
      </c>
      <c r="L511" s="209">
        <v>11.103999999999999</v>
      </c>
      <c r="M511" s="208"/>
      <c r="N511" s="221"/>
    </row>
    <row r="512" spans="1:14" ht="16.5" customHeight="1" x14ac:dyDescent="0.25">
      <c r="A512" s="203">
        <v>44641</v>
      </c>
      <c r="B512" s="128" t="s">
        <v>0</v>
      </c>
      <c r="C512" s="157" t="str">
        <f t="shared" si="15"/>
        <v>21.03.2022_KIN1</v>
      </c>
      <c r="D512" s="190">
        <f t="shared" si="16"/>
        <v>0</v>
      </c>
      <c r="E512" s="204">
        <v>1.906390046864298E-2</v>
      </c>
      <c r="F512" s="205">
        <v>1.1309672097076114E-2</v>
      </c>
      <c r="G512" s="204">
        <v>1.3761551005616973E-2</v>
      </c>
      <c r="H512" s="204">
        <v>6.0226595110316047E-3</v>
      </c>
      <c r="I512" s="209">
        <v>4.3719999999999999</v>
      </c>
      <c r="J512" s="207">
        <v>1.000022945428485</v>
      </c>
      <c r="K512" s="209">
        <v>7.1609999999999996</v>
      </c>
      <c r="L512" s="209">
        <v>10.441000000000001</v>
      </c>
      <c r="M512" s="208"/>
      <c r="N512" s="221"/>
    </row>
    <row r="513" spans="1:14" ht="16.5" customHeight="1" x14ac:dyDescent="0.25">
      <c r="A513" s="203">
        <v>44641</v>
      </c>
      <c r="B513" s="128" t="s">
        <v>2</v>
      </c>
      <c r="C513" s="157" t="str">
        <f t="shared" si="15"/>
        <v>21.03.2022_KIN2</v>
      </c>
      <c r="D513" s="190">
        <f t="shared" si="16"/>
        <v>0</v>
      </c>
      <c r="E513" s="204">
        <v>2.4783070609235874E-2</v>
      </c>
      <c r="F513" s="205">
        <v>1.0300990493422485E-2</v>
      </c>
      <c r="G513" s="204">
        <v>1.5727486863562255E-2</v>
      </c>
      <c r="H513" s="204">
        <v>9.0339892665474049E-3</v>
      </c>
      <c r="I513" s="209">
        <v>6.0259999999999998</v>
      </c>
      <c r="J513" s="207">
        <v>1.3760552543068878</v>
      </c>
      <c r="K513" s="209">
        <v>8.782</v>
      </c>
      <c r="L513" s="209">
        <v>11.454000000000001</v>
      </c>
      <c r="M513" s="208"/>
      <c r="N513" s="221"/>
    </row>
    <row r="514" spans="1:14" ht="16.5" customHeight="1" x14ac:dyDescent="0.25">
      <c r="A514" s="203">
        <v>44641</v>
      </c>
      <c r="B514" s="128" t="s">
        <v>4</v>
      </c>
      <c r="C514" s="157" t="str">
        <f t="shared" si="15"/>
        <v>21.03.2022_KIN3</v>
      </c>
      <c r="D514" s="190">
        <f t="shared" si="16"/>
        <v>0</v>
      </c>
      <c r="E514" s="204">
        <v>2.6689460656100172E-2</v>
      </c>
      <c r="F514" s="205">
        <v>9.9380021410975031E-3</v>
      </c>
      <c r="G514" s="204">
        <v>2.94890378691792E-2</v>
      </c>
      <c r="H514" s="204">
        <v>6.0226595110316047E-3</v>
      </c>
      <c r="I514" s="209">
        <v>6.6820000000000004</v>
      </c>
      <c r="J514" s="207">
        <v>1.5339948817031723</v>
      </c>
      <c r="K514" s="209">
        <v>10.912000000000001</v>
      </c>
      <c r="L514" s="209">
        <v>12.676</v>
      </c>
      <c r="M514" s="208"/>
      <c r="N514" s="221"/>
    </row>
    <row r="515" spans="1:14" ht="16.5" customHeight="1" x14ac:dyDescent="0.25">
      <c r="A515" s="203">
        <v>44641</v>
      </c>
      <c r="B515" s="128" t="s">
        <v>6</v>
      </c>
      <c r="C515" s="157" t="str">
        <f t="shared" si="15"/>
        <v>21.03.2022_KIN4</v>
      </c>
      <c r="D515" s="190">
        <f t="shared" si="16"/>
        <v>0</v>
      </c>
      <c r="E515" s="204">
        <v>2.4783070609235874E-2</v>
      </c>
      <c r="F515" s="205">
        <v>1.1881571962159733E-2</v>
      </c>
      <c r="G515" s="204">
        <v>2.94890378691792E-2</v>
      </c>
      <c r="H515" s="204">
        <v>1.0539654144305308E-2</v>
      </c>
      <c r="I515" s="209">
        <v>6.9829999999999997</v>
      </c>
      <c r="J515" s="207">
        <v>1.6033569507192724</v>
      </c>
      <c r="K515" s="209">
        <v>17.902999999999999</v>
      </c>
      <c r="L515" s="209">
        <v>13.441000000000001</v>
      </c>
      <c r="M515" s="208"/>
      <c r="N515" s="221"/>
    </row>
    <row r="516" spans="1:14" ht="16.5" customHeight="1" x14ac:dyDescent="0.25">
      <c r="A516" s="203">
        <v>44641</v>
      </c>
      <c r="B516" s="128" t="s">
        <v>34</v>
      </c>
      <c r="C516" s="157" t="str">
        <f t="shared" si="15"/>
        <v>21.03.2022_KRE1</v>
      </c>
      <c r="D516" s="190">
        <f t="shared" si="16"/>
        <v>0</v>
      </c>
      <c r="E516" s="204">
        <v>4.0034190984150259E-2</v>
      </c>
      <c r="F516" s="205">
        <v>1.9997967291758987E-2</v>
      </c>
      <c r="G516" s="204">
        <v>7.0773690886030097E-2</v>
      </c>
      <c r="H516" s="204">
        <v>6.3237924865831838E-2</v>
      </c>
      <c r="I516" s="209">
        <v>9.9369999999999994</v>
      </c>
      <c r="J516" s="207">
        <v>2.3186780394614956</v>
      </c>
      <c r="K516" s="209">
        <v>43</v>
      </c>
      <c r="L516" s="209">
        <v>37.884999999999998</v>
      </c>
      <c r="M516" s="208"/>
      <c r="N516" s="221"/>
    </row>
    <row r="517" spans="1:14" ht="16.5" customHeight="1" x14ac:dyDescent="0.25">
      <c r="A517" s="203">
        <v>44641</v>
      </c>
      <c r="B517" s="128" t="s">
        <v>37</v>
      </c>
      <c r="C517" s="157" t="str">
        <f t="shared" ref="C517:C580" si="17">CONCATENATE(TEXT(A517,"TT.MM.JJJJ"),"_",B517)</f>
        <v>21.03.2022_KRE2</v>
      </c>
      <c r="D517" s="190">
        <f t="shared" ref="D517:D580" si="18">COUNTBLANK(E517:L517)</f>
        <v>0</v>
      </c>
      <c r="E517" s="204">
        <v>3.4315020843557364E-2</v>
      </c>
      <c r="F517" s="205">
        <v>2.2994697997470784E-2</v>
      </c>
      <c r="G517" s="204">
        <v>8.06033701757565E-2</v>
      </c>
      <c r="H517" s="204">
        <v>4.9686940966010743E-2</v>
      </c>
      <c r="I517" s="209">
        <v>11.936</v>
      </c>
      <c r="J517" s="207">
        <v>2.7736992200848753</v>
      </c>
      <c r="K517" s="209">
        <v>44</v>
      </c>
      <c r="L517" s="209">
        <v>41</v>
      </c>
      <c r="M517" s="208"/>
      <c r="N517" s="221"/>
    </row>
    <row r="518" spans="1:14" ht="16.5" customHeight="1" x14ac:dyDescent="0.25">
      <c r="A518" s="203">
        <v>44641</v>
      </c>
      <c r="B518" s="128" t="s">
        <v>18</v>
      </c>
      <c r="C518" s="157" t="str">
        <f t="shared" si="17"/>
        <v>21.03.2022_ORB1</v>
      </c>
      <c r="D518" s="190">
        <f t="shared" si="18"/>
        <v>0</v>
      </c>
      <c r="E518" s="204">
        <v>3.4315020843557364E-2</v>
      </c>
      <c r="F518" s="205">
        <v>1.6957665869574548E-2</v>
      </c>
      <c r="G518" s="204">
        <v>4.9148396448632017E-2</v>
      </c>
      <c r="H518" s="204">
        <v>7.5283243887895018E-3</v>
      </c>
      <c r="I518" s="209">
        <v>5.7430000000000003</v>
      </c>
      <c r="J518" s="207">
        <v>1.3376266467185653</v>
      </c>
      <c r="K518" s="209">
        <v>7.3369999999999997</v>
      </c>
      <c r="L518" s="209">
        <v>15.222</v>
      </c>
      <c r="M518" s="208"/>
      <c r="N518" s="221"/>
    </row>
    <row r="519" spans="1:14" ht="16.5" customHeight="1" x14ac:dyDescent="0.25">
      <c r="A519" s="203">
        <v>44641</v>
      </c>
      <c r="B519" s="128" t="s">
        <v>21</v>
      </c>
      <c r="C519" s="157" t="str">
        <f t="shared" si="17"/>
        <v>21.03.2022_ORB2</v>
      </c>
      <c r="D519" s="190">
        <f t="shared" si="18"/>
        <v>0</v>
      </c>
      <c r="E519" s="204">
        <v>4.0034190984150259E-2</v>
      </c>
      <c r="F519" s="205">
        <v>1.5093298197882448E-2</v>
      </c>
      <c r="G519" s="204">
        <v>3.7352781300960328E-2</v>
      </c>
      <c r="H519" s="204">
        <v>1.0539654144305308E-2</v>
      </c>
      <c r="I519" s="209">
        <v>6.1310000000000002</v>
      </c>
      <c r="J519" s="207">
        <v>1.4170218288566163</v>
      </c>
      <c r="K519" s="209">
        <v>11.044</v>
      </c>
      <c r="L519" s="209">
        <v>16.181999999999999</v>
      </c>
      <c r="M519" s="208"/>
      <c r="N519" s="221"/>
    </row>
    <row r="520" spans="1:14" ht="16.5" customHeight="1" x14ac:dyDescent="0.25">
      <c r="A520" s="203">
        <v>44641</v>
      </c>
      <c r="B520" s="128" t="s">
        <v>10</v>
      </c>
      <c r="C520" s="157" t="str">
        <f t="shared" si="17"/>
        <v>21.03.2022_SAL1</v>
      </c>
      <c r="D520" s="190">
        <f t="shared" si="18"/>
        <v>0</v>
      </c>
      <c r="E520" s="204">
        <v>4.9566141218471749E-2</v>
      </c>
      <c r="F520" s="205">
        <v>3.1939365423566152E-2</v>
      </c>
      <c r="G520" s="204">
        <v>0</v>
      </c>
      <c r="H520" s="204">
        <v>1.9573643410852711E-2</v>
      </c>
      <c r="I520" s="209">
        <v>7.5190000000000001</v>
      </c>
      <c r="J520" s="207">
        <v>1.6905369599274105</v>
      </c>
      <c r="K520" s="209">
        <v>8.3330000000000002</v>
      </c>
      <c r="L520" s="209">
        <v>6.0590000000000002</v>
      </c>
      <c r="M520" s="208"/>
      <c r="N520" s="221"/>
    </row>
    <row r="521" spans="1:14" ht="16.5" customHeight="1" x14ac:dyDescent="0.25">
      <c r="A521" s="203">
        <v>44641</v>
      </c>
      <c r="B521" s="128" t="s">
        <v>12</v>
      </c>
      <c r="C521" s="157" t="str">
        <f t="shared" si="17"/>
        <v>21.03.2022_SAL2</v>
      </c>
      <c r="D521" s="190">
        <f t="shared" si="18"/>
        <v>0</v>
      </c>
      <c r="E521" s="204">
        <v>3.4315020843557364E-2</v>
      </c>
      <c r="F521" s="205">
        <v>2.5844905287690144E-2</v>
      </c>
      <c r="G521" s="204">
        <v>1.9659358579452817E-2</v>
      </c>
      <c r="H521" s="204">
        <v>1.5056648777579009E-2</v>
      </c>
      <c r="I521" s="209">
        <v>6.7240000000000002</v>
      </c>
      <c r="J521" s="207">
        <v>1.5385991720636931</v>
      </c>
      <c r="K521" s="209">
        <v>8.7899999999999991</v>
      </c>
      <c r="L521" s="209">
        <v>6.5090000000000003</v>
      </c>
      <c r="M521" s="208"/>
      <c r="N521" s="221"/>
    </row>
    <row r="522" spans="1:14" ht="16.5" customHeight="1" x14ac:dyDescent="0.25">
      <c r="A522" s="203">
        <v>44641</v>
      </c>
      <c r="B522" s="128" t="s">
        <v>7</v>
      </c>
      <c r="C522" s="157" t="str">
        <f t="shared" si="17"/>
        <v>21.03.2022_STE1</v>
      </c>
      <c r="D522" s="190">
        <f t="shared" si="18"/>
        <v>0</v>
      </c>
      <c r="E522" s="204">
        <v>4.0034190984150259E-2</v>
      </c>
      <c r="F522" s="205">
        <v>1.8983320569420321E-2</v>
      </c>
      <c r="G522" s="204">
        <v>1.7693422721507535E-2</v>
      </c>
      <c r="H522" s="204">
        <v>1.2045319022063209E-2</v>
      </c>
      <c r="I522" s="209">
        <v>7.1669999999999998</v>
      </c>
      <c r="J522" s="207">
        <v>1.6362162531852904</v>
      </c>
      <c r="K522" s="209">
        <v>9.4090000000000007</v>
      </c>
      <c r="L522" s="209">
        <v>8.3260000000000005</v>
      </c>
      <c r="M522" s="208"/>
      <c r="N522" s="221"/>
    </row>
    <row r="523" spans="1:14" ht="16.5" customHeight="1" x14ac:dyDescent="0.25">
      <c r="A523" s="203">
        <v>44641</v>
      </c>
      <c r="B523" s="128" t="s">
        <v>9</v>
      </c>
      <c r="C523" s="157" t="str">
        <f t="shared" si="17"/>
        <v>21.03.2022_STE2</v>
      </c>
      <c r="D523" s="190">
        <f t="shared" si="18"/>
        <v>0</v>
      </c>
      <c r="E523" s="204">
        <v>4.0034190984150259E-2</v>
      </c>
      <c r="F523" s="205">
        <v>1.884298660953225E-2</v>
      </c>
      <c r="G523" s="204">
        <v>3.9318717158905638E-3</v>
      </c>
      <c r="H523" s="204">
        <v>1.0539654144305308E-2</v>
      </c>
      <c r="I523" s="209">
        <v>6.9459999999999997</v>
      </c>
      <c r="J523" s="207">
        <v>1.5751548767729053</v>
      </c>
      <c r="K523" s="209">
        <v>10.465</v>
      </c>
      <c r="L523" s="209">
        <v>8.2040000000000006</v>
      </c>
      <c r="M523" s="208"/>
      <c r="N523" s="221"/>
    </row>
    <row r="524" spans="1:14" ht="16.5" customHeight="1" x14ac:dyDescent="0.25">
      <c r="A524" s="203">
        <v>44655</v>
      </c>
      <c r="B524" s="128" t="s">
        <v>22</v>
      </c>
      <c r="C524" s="157" t="str">
        <f t="shared" si="17"/>
        <v>04.04.2022_BIE1</v>
      </c>
      <c r="D524" s="190">
        <f t="shared" si="18"/>
        <v>0</v>
      </c>
      <c r="E524" s="204">
        <v>1.8358581793064762E-2</v>
      </c>
      <c r="F524" s="205">
        <v>1.3935129688032004E-2</v>
      </c>
      <c r="G524" s="204">
        <v>6.9820426975085892E-2</v>
      </c>
      <c r="H524" s="204">
        <v>1.0850214855739716E-2</v>
      </c>
      <c r="I524" s="209">
        <v>3.59</v>
      </c>
      <c r="J524" s="207">
        <v>0.86839151125471425</v>
      </c>
      <c r="K524" s="209">
        <v>24.611999999999998</v>
      </c>
      <c r="L524" s="209">
        <v>11.845000000000001</v>
      </c>
      <c r="M524" s="208"/>
      <c r="N524" s="221"/>
    </row>
    <row r="525" spans="1:14" ht="16.5" customHeight="1" x14ac:dyDescent="0.25">
      <c r="A525" s="203">
        <v>44655</v>
      </c>
      <c r="B525" s="128" t="s">
        <v>25</v>
      </c>
      <c r="C525" s="157" t="str">
        <f t="shared" si="17"/>
        <v>04.04.2022_BIE2</v>
      </c>
      <c r="D525" s="190">
        <f t="shared" si="18"/>
        <v>0</v>
      </c>
      <c r="E525" s="204">
        <v>2.2030298151677716E-2</v>
      </c>
      <c r="F525" s="205">
        <v>1.2499205151618349E-2</v>
      </c>
      <c r="G525" s="204">
        <v>1.8870385668942134E-2</v>
      </c>
      <c r="H525" s="204">
        <v>1.3950276243093924E-2</v>
      </c>
      <c r="I525" s="209">
        <v>3.4470000000000001</v>
      </c>
      <c r="J525" s="207">
        <v>0.79747371737028683</v>
      </c>
      <c r="K525" s="209">
        <v>20.959</v>
      </c>
      <c r="L525" s="209">
        <v>11.478999999999999</v>
      </c>
      <c r="M525" s="208"/>
      <c r="N525" s="221"/>
    </row>
    <row r="526" spans="1:14" ht="16.5" customHeight="1" x14ac:dyDescent="0.25">
      <c r="A526" s="203">
        <v>44655</v>
      </c>
      <c r="B526" s="128" t="s">
        <v>14</v>
      </c>
      <c r="C526" s="157" t="str">
        <f t="shared" si="17"/>
        <v>04.04.2022_BRA1</v>
      </c>
      <c r="D526" s="190">
        <f t="shared" si="18"/>
        <v>0</v>
      </c>
      <c r="E526" s="204">
        <v>5.1404029020581339E-2</v>
      </c>
      <c r="F526" s="205">
        <v>4.6900576286715172E-2</v>
      </c>
      <c r="G526" s="204">
        <v>0.1169963911474412</v>
      </c>
      <c r="H526" s="204">
        <v>3.8750767341927561E-2</v>
      </c>
      <c r="I526" s="209">
        <v>7.7549999999999999</v>
      </c>
      <c r="J526" s="207">
        <v>1.8542660488793263</v>
      </c>
      <c r="K526" s="209">
        <v>17.827000000000002</v>
      </c>
      <c r="L526" s="209">
        <v>5.3380000000000001</v>
      </c>
      <c r="M526" s="208"/>
      <c r="N526" s="221"/>
    </row>
    <row r="527" spans="1:14" ht="16.5" customHeight="1" x14ac:dyDescent="0.25">
      <c r="A527" s="203">
        <v>44655</v>
      </c>
      <c r="B527" s="128" t="s">
        <v>17</v>
      </c>
      <c r="C527" s="157" t="str">
        <f t="shared" si="17"/>
        <v>04.04.2022_BRA2</v>
      </c>
      <c r="D527" s="190">
        <f t="shared" si="18"/>
        <v>0</v>
      </c>
      <c r="E527" s="204">
        <v>0.1009721998618562</v>
      </c>
      <c r="F527" s="205">
        <v>0.1013010117211065</v>
      </c>
      <c r="G527" s="204">
        <v>0.10378712117918173</v>
      </c>
      <c r="H527" s="204">
        <v>4.3400859422958862E-2</v>
      </c>
      <c r="I527" s="209">
        <v>8.5139999999999993</v>
      </c>
      <c r="J527" s="207">
        <v>2.0168602333757422</v>
      </c>
      <c r="K527" s="209">
        <v>19.184000000000001</v>
      </c>
      <c r="L527" s="209">
        <v>5.5350000000000001</v>
      </c>
      <c r="M527" s="208"/>
      <c r="N527" s="221"/>
    </row>
    <row r="528" spans="1:14" ht="16.5" customHeight="1" x14ac:dyDescent="0.25">
      <c r="A528" s="203">
        <v>44655</v>
      </c>
      <c r="B528" s="128" t="s">
        <v>30</v>
      </c>
      <c r="C528" s="157" t="str">
        <f t="shared" si="17"/>
        <v>04.04.2022_FAL1</v>
      </c>
      <c r="D528" s="190">
        <f t="shared" si="18"/>
        <v>0</v>
      </c>
      <c r="E528" s="204">
        <v>7.527018535156553E-2</v>
      </c>
      <c r="F528" s="205">
        <v>5.9033371947988723E-2</v>
      </c>
      <c r="G528" s="204">
        <v>6.9820426975085892E-2</v>
      </c>
      <c r="H528" s="204">
        <v>8.2151626764886437E-2</v>
      </c>
      <c r="I528" s="209">
        <v>12.784000000000001</v>
      </c>
      <c r="J528" s="207">
        <v>2.9667480061104543</v>
      </c>
      <c r="K528" s="209">
        <v>43</v>
      </c>
      <c r="L528" s="209">
        <v>29.611000000000001</v>
      </c>
      <c r="M528" s="208"/>
      <c r="N528" s="221"/>
    </row>
    <row r="529" spans="1:14" ht="16.5" customHeight="1" x14ac:dyDescent="0.25">
      <c r="A529" s="203">
        <v>44655</v>
      </c>
      <c r="B529" s="128" t="s">
        <v>32</v>
      </c>
      <c r="C529" s="157" t="str">
        <f t="shared" si="17"/>
        <v>04.04.2022_FAL2</v>
      </c>
      <c r="D529" s="190">
        <f t="shared" si="18"/>
        <v>0</v>
      </c>
      <c r="E529" s="204">
        <v>5.6911603558500765E-2</v>
      </c>
      <c r="F529" s="205">
        <v>4.7657024675117982E-2</v>
      </c>
      <c r="G529" s="204">
        <v>3.2079655637201623E-2</v>
      </c>
      <c r="H529" s="204">
        <v>3.5650705954573356E-2</v>
      </c>
      <c r="I529" s="209">
        <v>17.34</v>
      </c>
      <c r="J529" s="207">
        <v>3.9523491892336002</v>
      </c>
      <c r="K529" s="209">
        <v>48</v>
      </c>
      <c r="L529" s="209">
        <v>36.475999999999999</v>
      </c>
      <c r="M529" s="208"/>
      <c r="N529" s="221"/>
    </row>
    <row r="530" spans="1:14" ht="16.5" customHeight="1" x14ac:dyDescent="0.25">
      <c r="A530" s="203">
        <v>44655</v>
      </c>
      <c r="B530" s="128" t="s">
        <v>26</v>
      </c>
      <c r="C530" s="157" t="str">
        <f t="shared" si="17"/>
        <v>04.04.2022_GRU1</v>
      </c>
      <c r="D530" s="190">
        <f t="shared" si="18"/>
        <v>0</v>
      </c>
      <c r="E530" s="204">
        <v>3.1209589048210098E-2</v>
      </c>
      <c r="F530" s="205">
        <v>1.9180510478143866E-2</v>
      </c>
      <c r="G530" s="204">
        <v>1.1322231401365289E-2</v>
      </c>
      <c r="H530" s="204">
        <v>1.0850214855739716E-2</v>
      </c>
      <c r="I530" s="209">
        <v>4.9669999999999996</v>
      </c>
      <c r="J530" s="207">
        <v>1.1339912373736758</v>
      </c>
      <c r="K530" s="209">
        <v>9.77</v>
      </c>
      <c r="L530" s="209">
        <v>11.627000000000001</v>
      </c>
      <c r="M530" s="208"/>
      <c r="N530" s="221"/>
    </row>
    <row r="531" spans="1:14" ht="16.5" customHeight="1" x14ac:dyDescent="0.25">
      <c r="A531" s="203">
        <v>44655</v>
      </c>
      <c r="B531" s="128" t="s">
        <v>28</v>
      </c>
      <c r="C531" s="157" t="str">
        <f t="shared" si="17"/>
        <v>04.04.2022_GRU2</v>
      </c>
      <c r="D531" s="190">
        <f t="shared" si="18"/>
        <v>0</v>
      </c>
      <c r="E531" s="204">
        <v>2.2030298151677716E-2</v>
      </c>
      <c r="F531" s="205">
        <v>1.547893111884479E-2</v>
      </c>
      <c r="G531" s="204">
        <v>3.0192617070307411E-2</v>
      </c>
      <c r="H531" s="204">
        <v>1.0850214855739716E-2</v>
      </c>
      <c r="I531" s="209">
        <v>4.6840000000000002</v>
      </c>
      <c r="J531" s="207">
        <v>1.0847226931417531</v>
      </c>
      <c r="K531" s="209">
        <v>9.8219999999999992</v>
      </c>
      <c r="L531" s="209">
        <v>11.093</v>
      </c>
      <c r="M531" s="208"/>
      <c r="N531" s="221"/>
    </row>
    <row r="532" spans="1:14" ht="16.5" customHeight="1" x14ac:dyDescent="0.25">
      <c r="A532" s="203">
        <v>44655</v>
      </c>
      <c r="B532" s="128" t="s">
        <v>0</v>
      </c>
      <c r="C532" s="157" t="str">
        <f t="shared" si="17"/>
        <v>04.04.2022_KIN1</v>
      </c>
      <c r="D532" s="190">
        <f t="shared" si="18"/>
        <v>0</v>
      </c>
      <c r="E532" s="204">
        <v>1.8358581793064762E-2</v>
      </c>
      <c r="F532" s="205">
        <v>9.9723077428017365E-3</v>
      </c>
      <c r="G532" s="204">
        <v>5.6611157006826443E-3</v>
      </c>
      <c r="H532" s="204">
        <v>3.1000613873542024E-3</v>
      </c>
      <c r="I532" s="209">
        <v>4.202</v>
      </c>
      <c r="J532" s="207">
        <v>0.95444535341980297</v>
      </c>
      <c r="K532" s="209">
        <v>9.7010000000000005</v>
      </c>
      <c r="L532" s="209">
        <v>10.457000000000001</v>
      </c>
      <c r="M532" s="208"/>
      <c r="N532" s="221"/>
    </row>
    <row r="533" spans="1:14" ht="16.5" customHeight="1" x14ac:dyDescent="0.25">
      <c r="A533" s="203">
        <v>44655</v>
      </c>
      <c r="B533" s="128" t="s">
        <v>2</v>
      </c>
      <c r="C533" s="157" t="str">
        <f t="shared" si="17"/>
        <v>04.04.2022_KIN2</v>
      </c>
      <c r="D533" s="190">
        <f t="shared" si="18"/>
        <v>0</v>
      </c>
      <c r="E533" s="204">
        <v>1.468686543445181E-2</v>
      </c>
      <c r="F533" s="205">
        <v>9.1344452430041877E-3</v>
      </c>
      <c r="G533" s="204">
        <v>2.2644462802730563E-2</v>
      </c>
      <c r="H533" s="204">
        <v>7.7501534683855136E-3</v>
      </c>
      <c r="I533" s="209">
        <v>5.8019999999999996</v>
      </c>
      <c r="J533" s="207">
        <v>1.330440473145142</v>
      </c>
      <c r="K533" s="209">
        <v>11</v>
      </c>
      <c r="L533" s="209">
        <v>11.699</v>
      </c>
      <c r="M533" s="208"/>
      <c r="N533" s="221"/>
    </row>
    <row r="534" spans="1:14" ht="16.5" customHeight="1" x14ac:dyDescent="0.25">
      <c r="A534" s="203">
        <v>44655</v>
      </c>
      <c r="B534" s="128" t="s">
        <v>4</v>
      </c>
      <c r="C534" s="157" t="str">
        <f t="shared" si="17"/>
        <v>04.04.2022_KIN3</v>
      </c>
      <c r="D534" s="190">
        <f t="shared" si="18"/>
        <v>0</v>
      </c>
      <c r="E534" s="204">
        <v>2.0194439972371237E-2</v>
      </c>
      <c r="F534" s="205">
        <v>1.0592635218661531E-2</v>
      </c>
      <c r="G534" s="204">
        <v>1.8870385668942134E-2</v>
      </c>
      <c r="H534" s="204">
        <v>7.7501534683855136E-3</v>
      </c>
      <c r="I534" s="209">
        <v>6.3959999999999999</v>
      </c>
      <c r="J534" s="207">
        <v>1.4616767199915266</v>
      </c>
      <c r="K534" s="209">
        <v>13.788</v>
      </c>
      <c r="L534" s="209">
        <v>13.125</v>
      </c>
      <c r="M534" s="208"/>
      <c r="N534" s="221"/>
    </row>
    <row r="535" spans="1:14" ht="16.5" customHeight="1" x14ac:dyDescent="0.25">
      <c r="A535" s="203">
        <v>44655</v>
      </c>
      <c r="B535" s="128" t="s">
        <v>6</v>
      </c>
      <c r="C535" s="157" t="str">
        <f t="shared" si="17"/>
        <v>04.04.2022_KIN4</v>
      </c>
      <c r="D535" s="190">
        <f t="shared" si="18"/>
        <v>0</v>
      </c>
      <c r="E535" s="204">
        <v>2.0194439972371237E-2</v>
      </c>
      <c r="F535" s="205">
        <v>1.1846218707042219E-2</v>
      </c>
      <c r="G535" s="204">
        <v>2.8305578503413208E-2</v>
      </c>
      <c r="H535" s="204">
        <v>9.3001841620626129E-3</v>
      </c>
      <c r="I535" s="209">
        <v>6.4459999999999997</v>
      </c>
      <c r="J535" s="207">
        <v>1.4807684597202553</v>
      </c>
      <c r="K535" s="209">
        <v>23.951000000000001</v>
      </c>
      <c r="L535" s="209">
        <v>13.461</v>
      </c>
      <c r="M535" s="208"/>
      <c r="N535" s="221"/>
    </row>
    <row r="536" spans="1:14" ht="16.5" customHeight="1" x14ac:dyDescent="0.25">
      <c r="A536" s="203">
        <v>44655</v>
      </c>
      <c r="B536" s="128" t="s">
        <v>34</v>
      </c>
      <c r="C536" s="157" t="str">
        <f t="shared" si="17"/>
        <v>04.04.2022_KRE1</v>
      </c>
      <c r="D536" s="190">
        <f t="shared" si="18"/>
        <v>0</v>
      </c>
      <c r="E536" s="204">
        <v>2.570201451029067E-2</v>
      </c>
      <c r="F536" s="205">
        <v>1.9322587535895146E-2</v>
      </c>
      <c r="G536" s="204">
        <v>5.4724118439932176E-2</v>
      </c>
      <c r="H536" s="204">
        <v>3.5650705954573356E-2</v>
      </c>
      <c r="I536" s="209">
        <v>7.2590000000000003</v>
      </c>
      <c r="J536" s="207">
        <v>1.6929369181552929</v>
      </c>
      <c r="K536" s="209">
        <v>45</v>
      </c>
      <c r="L536" s="209">
        <v>35</v>
      </c>
      <c r="M536" s="208"/>
      <c r="N536" s="221"/>
    </row>
    <row r="537" spans="1:14" ht="16.5" customHeight="1" x14ac:dyDescent="0.25">
      <c r="A537" s="203">
        <v>44655</v>
      </c>
      <c r="B537" s="128" t="s">
        <v>37</v>
      </c>
      <c r="C537" s="157" t="str">
        <f t="shared" si="17"/>
        <v>04.04.2022_KRE2</v>
      </c>
      <c r="D537" s="190">
        <f t="shared" si="18"/>
        <v>0</v>
      </c>
      <c r="E537" s="204">
        <v>2.7537872689597145E-2</v>
      </c>
      <c r="F537" s="205">
        <v>2.7201699462547857E-2</v>
      </c>
      <c r="G537" s="204">
        <v>5.8498195573720602E-2</v>
      </c>
      <c r="H537" s="204">
        <v>3.255064456721915E-2</v>
      </c>
      <c r="I537" s="209">
        <v>8</v>
      </c>
      <c r="J537" s="207">
        <v>1.862293307619528</v>
      </c>
      <c r="K537" s="209">
        <v>48</v>
      </c>
      <c r="L537" s="209">
        <v>42.728000000000002</v>
      </c>
      <c r="M537" s="208"/>
      <c r="N537" s="221"/>
    </row>
    <row r="538" spans="1:14" ht="16.5" customHeight="1" x14ac:dyDescent="0.25">
      <c r="A538" s="203">
        <v>44655</v>
      </c>
      <c r="B538" s="128" t="s">
        <v>18</v>
      </c>
      <c r="C538" s="157" t="str">
        <f t="shared" si="17"/>
        <v>04.04.2022_ORB1</v>
      </c>
      <c r="D538" s="190">
        <f t="shared" si="18"/>
        <v>0</v>
      </c>
      <c r="E538" s="204">
        <v>2.7537872689597145E-2</v>
      </c>
      <c r="F538" s="205">
        <v>1.8631300049081478E-2</v>
      </c>
      <c r="G538" s="204">
        <v>2.075742423583635E-2</v>
      </c>
      <c r="H538" s="204">
        <v>9.3001841620626129E-3</v>
      </c>
      <c r="I538" s="209">
        <v>5.5739999999999998</v>
      </c>
      <c r="J538" s="207">
        <v>1.2779487534130245</v>
      </c>
      <c r="K538" s="209">
        <v>10.568</v>
      </c>
      <c r="L538" s="209">
        <v>13.898</v>
      </c>
      <c r="M538" s="208"/>
      <c r="N538" s="221"/>
    </row>
    <row r="539" spans="1:14" ht="16.5" customHeight="1" x14ac:dyDescent="0.25">
      <c r="A539" s="203">
        <v>44655</v>
      </c>
      <c r="B539" s="128" t="s">
        <v>21</v>
      </c>
      <c r="C539" s="157" t="str">
        <f t="shared" si="17"/>
        <v>04.04.2022_ORB2</v>
      </c>
      <c r="D539" s="190">
        <f t="shared" si="18"/>
        <v>0</v>
      </c>
      <c r="E539" s="204">
        <v>2.570201451029067E-2</v>
      </c>
      <c r="F539" s="205">
        <v>1.7684248283906703E-2</v>
      </c>
      <c r="G539" s="204">
        <v>2.8305578503413208E-2</v>
      </c>
      <c r="H539" s="204">
        <v>1.240024554941682E-2</v>
      </c>
      <c r="I539" s="209">
        <v>5.8520000000000003</v>
      </c>
      <c r="J539" s="207">
        <v>1.3475454934096354</v>
      </c>
      <c r="K539" s="209">
        <v>15.098000000000001</v>
      </c>
      <c r="L539" s="209">
        <v>15.146000000000001</v>
      </c>
      <c r="M539" s="208"/>
      <c r="N539" s="221"/>
    </row>
    <row r="540" spans="1:14" ht="16.5" customHeight="1" x14ac:dyDescent="0.25">
      <c r="A540" s="203">
        <v>44655</v>
      </c>
      <c r="B540" s="128" t="s">
        <v>10</v>
      </c>
      <c r="C540" s="157" t="str">
        <f t="shared" si="17"/>
        <v>04.04.2022_SAL1</v>
      </c>
      <c r="D540" s="190">
        <f t="shared" si="18"/>
        <v>0</v>
      </c>
      <c r="E540" s="204">
        <v>5.1404029020581339E-2</v>
      </c>
      <c r="F540" s="205">
        <v>4.7193425701211031E-2</v>
      </c>
      <c r="G540" s="204">
        <v>7.1707465541980112E-2</v>
      </c>
      <c r="H540" s="204">
        <v>3.7200736648250458E-2</v>
      </c>
      <c r="I540" s="209">
        <v>6.7629999999999999</v>
      </c>
      <c r="J540" s="207">
        <v>1.5945647041912521</v>
      </c>
      <c r="K540" s="209">
        <v>10.355</v>
      </c>
      <c r="L540" s="209">
        <v>5.3090000000000002</v>
      </c>
      <c r="M540" s="208"/>
      <c r="N540" s="221"/>
    </row>
    <row r="541" spans="1:14" ht="16.5" customHeight="1" x14ac:dyDescent="0.25">
      <c r="A541" s="203">
        <v>44655</v>
      </c>
      <c r="B541" s="128" t="s">
        <v>12</v>
      </c>
      <c r="C541" s="157" t="str">
        <f t="shared" si="17"/>
        <v>04.04.2022_SAL2</v>
      </c>
      <c r="D541" s="190">
        <f t="shared" si="18"/>
        <v>0</v>
      </c>
      <c r="E541" s="204">
        <v>5.874746173780724E-2</v>
      </c>
      <c r="F541" s="205">
        <v>4.9724257979592727E-2</v>
      </c>
      <c r="G541" s="204">
        <v>6.0385234140614821E-2</v>
      </c>
      <c r="H541" s="204">
        <v>3.7200736648250458E-2</v>
      </c>
      <c r="I541" s="209">
        <v>6.7229999999999999</v>
      </c>
      <c r="J541" s="207">
        <v>1.5767383047304058</v>
      </c>
      <c r="K541" s="209">
        <v>10.632999999999999</v>
      </c>
      <c r="L541" s="209">
        <v>5.4119999999999999</v>
      </c>
      <c r="M541" s="208"/>
      <c r="N541" s="221"/>
    </row>
    <row r="542" spans="1:14" ht="16.5" customHeight="1" x14ac:dyDescent="0.25">
      <c r="A542" s="203">
        <v>44655</v>
      </c>
      <c r="B542" s="128" t="s">
        <v>7</v>
      </c>
      <c r="C542" s="157" t="str">
        <f t="shared" si="17"/>
        <v>04.04.2022_STE1</v>
      </c>
      <c r="D542" s="190">
        <f t="shared" si="18"/>
        <v>0</v>
      </c>
      <c r="E542" s="204">
        <v>4.5896454482661914E-2</v>
      </c>
      <c r="F542" s="205">
        <v>3.456611968191578E-2</v>
      </c>
      <c r="G542" s="204">
        <v>1.1322231401365289E-2</v>
      </c>
      <c r="H542" s="204">
        <v>1.8600368324125229E-2</v>
      </c>
      <c r="I542" s="209">
        <v>6.9770000000000003</v>
      </c>
      <c r="J542" s="207">
        <v>1.5903494715971258</v>
      </c>
      <c r="K542" s="209">
        <v>21.443000000000001</v>
      </c>
      <c r="L542" s="209">
        <v>8.1419999999999995</v>
      </c>
      <c r="M542" s="208"/>
      <c r="N542" s="221"/>
    </row>
    <row r="543" spans="1:14" ht="16.5" customHeight="1" x14ac:dyDescent="0.25">
      <c r="A543" s="203">
        <v>44655</v>
      </c>
      <c r="B543" s="128" t="s">
        <v>9</v>
      </c>
      <c r="C543" s="157" t="str">
        <f t="shared" si="17"/>
        <v>04.04.2022_STE2</v>
      </c>
      <c r="D543" s="190">
        <f t="shared" si="18"/>
        <v>0</v>
      </c>
      <c r="E543" s="204">
        <v>3.8553021765436006E-2</v>
      </c>
      <c r="F543" s="205">
        <v>2.9224285931411183E-2</v>
      </c>
      <c r="G543" s="204">
        <v>1.6983347102047918E-2</v>
      </c>
      <c r="H543" s="204">
        <v>6.20012277470841E-3</v>
      </c>
      <c r="I543" s="209">
        <v>6.681</v>
      </c>
      <c r="J543" s="207">
        <v>1.5241124965700292</v>
      </c>
      <c r="K543" s="209">
        <v>24.786000000000001</v>
      </c>
      <c r="L543" s="209">
        <v>8.3529999999999998</v>
      </c>
      <c r="M543" s="208"/>
      <c r="N543" s="221"/>
    </row>
    <row r="544" spans="1:14" ht="16.5" customHeight="1" x14ac:dyDescent="0.25">
      <c r="A544" s="203">
        <v>44669</v>
      </c>
      <c r="B544" s="128" t="s">
        <v>22</v>
      </c>
      <c r="C544" s="157" t="str">
        <f t="shared" si="17"/>
        <v>18.04.2022_BIE1</v>
      </c>
      <c r="D544" s="190">
        <f t="shared" si="18"/>
        <v>0</v>
      </c>
      <c r="E544" s="204">
        <v>3.5143891413299648E-2</v>
      </c>
      <c r="F544" s="205">
        <v>2.0801254985549102E-2</v>
      </c>
      <c r="G544" s="204">
        <v>2.1518074461372043E-2</v>
      </c>
      <c r="H544" s="204">
        <v>1.157173587729143E-2</v>
      </c>
      <c r="I544" s="209">
        <v>3.681</v>
      </c>
      <c r="J544" s="207">
        <v>0.85165905462635205</v>
      </c>
      <c r="K544" s="209">
        <v>6.0990000000000002</v>
      </c>
      <c r="L544" s="209">
        <v>13.016</v>
      </c>
      <c r="M544" s="208"/>
      <c r="N544" s="221"/>
    </row>
    <row r="545" spans="1:14" ht="16.5" customHeight="1" x14ac:dyDescent="0.25">
      <c r="A545" s="203">
        <v>44669</v>
      </c>
      <c r="B545" s="128" t="s">
        <v>25</v>
      </c>
      <c r="C545" s="157" t="str">
        <f t="shared" si="17"/>
        <v>18.04.2022_BIE2</v>
      </c>
      <c r="D545" s="190">
        <f t="shared" si="18"/>
        <v>0</v>
      </c>
      <c r="E545" s="204">
        <v>5.1682193254852418E-2</v>
      </c>
      <c r="F545" s="205">
        <v>1.7190168652770128E-2</v>
      </c>
      <c r="G545" s="204">
        <v>7.8247543495898256E-3</v>
      </c>
      <c r="H545" s="204">
        <v>6.6124205013093898E-3</v>
      </c>
      <c r="I545" s="209">
        <v>3.633</v>
      </c>
      <c r="J545" s="207">
        <v>0.8286747049265365</v>
      </c>
      <c r="K545" s="209">
        <v>6.5019999999999998</v>
      </c>
      <c r="L545" s="209">
        <v>13.122999999999999</v>
      </c>
      <c r="M545" s="208"/>
      <c r="N545" s="221"/>
    </row>
    <row r="546" spans="1:14" ht="16.5" customHeight="1" x14ac:dyDescent="0.25">
      <c r="A546" s="203">
        <v>44669</v>
      </c>
      <c r="B546" s="128" t="s">
        <v>14</v>
      </c>
      <c r="C546" s="157" t="str">
        <f t="shared" si="17"/>
        <v>18.04.2022_BRA1</v>
      </c>
      <c r="D546" s="190">
        <f t="shared" si="18"/>
        <v>0</v>
      </c>
      <c r="E546" s="204">
        <v>4.3413042334076037E-2</v>
      </c>
      <c r="F546" s="205">
        <v>3.4112889560420349E-2</v>
      </c>
      <c r="G546" s="204">
        <v>2.9342828810961868E-2</v>
      </c>
      <c r="H546" s="204">
        <v>2.3143471754582864E-2</v>
      </c>
      <c r="I546" s="209">
        <v>6.3419999999999996</v>
      </c>
      <c r="J546" s="207">
        <v>1.4622979831191063</v>
      </c>
      <c r="K546" s="209">
        <v>7.2450000000000001</v>
      </c>
      <c r="L546" s="209">
        <v>5.7910000000000004</v>
      </c>
      <c r="M546" s="208"/>
      <c r="N546" s="221"/>
    </row>
    <row r="547" spans="1:14" ht="16.5" customHeight="1" x14ac:dyDescent="0.25">
      <c r="A547" s="203">
        <v>44669</v>
      </c>
      <c r="B547" s="128" t="s">
        <v>17</v>
      </c>
      <c r="C547" s="157" t="str">
        <f t="shared" si="17"/>
        <v>18.04.2022_BRA2</v>
      </c>
      <c r="D547" s="190">
        <f t="shared" si="18"/>
        <v>0</v>
      </c>
      <c r="E547" s="204">
        <v>6.4085919636016994E-2</v>
      </c>
      <c r="F547" s="205">
        <v>4.1949577132258206E-2</v>
      </c>
      <c r="G547" s="204">
        <v>1.5649508699179665E-2</v>
      </c>
      <c r="H547" s="204">
        <v>2.1490366629255516E-2</v>
      </c>
      <c r="I547" s="209">
        <v>7.9420000000000002</v>
      </c>
      <c r="J547" s="207">
        <v>1.8125539691301027</v>
      </c>
      <c r="K547" s="209">
        <v>10.121</v>
      </c>
      <c r="L547" s="209">
        <v>6.5869999999999997</v>
      </c>
      <c r="M547" s="208"/>
      <c r="N547" s="221"/>
    </row>
    <row r="548" spans="1:14" ht="16.5" customHeight="1" x14ac:dyDescent="0.25">
      <c r="A548" s="203">
        <v>44669</v>
      </c>
      <c r="B548" s="128" t="s">
        <v>30</v>
      </c>
      <c r="C548" s="157" t="str">
        <f t="shared" si="17"/>
        <v>18.04.2022_FAL1</v>
      </c>
      <c r="D548" s="190">
        <f t="shared" si="18"/>
        <v>0</v>
      </c>
      <c r="E548" s="204">
        <v>0.11576811289086941</v>
      </c>
      <c r="F548" s="205">
        <v>8.6489900203944078E-2</v>
      </c>
      <c r="G548" s="204">
        <v>0.14084557829261699</v>
      </c>
      <c r="H548" s="204">
        <v>0.10910493827160492</v>
      </c>
      <c r="I548" s="209">
        <v>13.978999999999999</v>
      </c>
      <c r="J548" s="207">
        <v>3.3000189115452239</v>
      </c>
      <c r="K548" s="209">
        <v>42</v>
      </c>
      <c r="L548" s="209">
        <v>30.651</v>
      </c>
      <c r="M548" s="208"/>
      <c r="N548" s="221"/>
    </row>
    <row r="549" spans="1:14" ht="16.5" customHeight="1" x14ac:dyDescent="0.25">
      <c r="A549" s="203">
        <v>44669</v>
      </c>
      <c r="B549" s="128" t="s">
        <v>32</v>
      </c>
      <c r="C549" s="157" t="str">
        <f t="shared" si="17"/>
        <v>18.04.2022_FAL2</v>
      </c>
      <c r="D549" s="190">
        <f t="shared" si="18"/>
        <v>0</v>
      </c>
      <c r="E549" s="204">
        <v>9.9229811049316649E-2</v>
      </c>
      <c r="F549" s="205">
        <v>8.1540697988210967E-2</v>
      </c>
      <c r="G549" s="204">
        <v>3.129901739835933E-2</v>
      </c>
      <c r="H549" s="204">
        <v>6.2817994762439197E-2</v>
      </c>
      <c r="I549" s="209">
        <v>15.808999999999999</v>
      </c>
      <c r="J549" s="207">
        <v>3.6142071425250761</v>
      </c>
      <c r="K549" s="209">
        <v>48</v>
      </c>
      <c r="L549" s="209">
        <v>38.307000000000002</v>
      </c>
      <c r="M549" s="208"/>
      <c r="N549" s="221"/>
    </row>
    <row r="550" spans="1:14" ht="16.5" customHeight="1" x14ac:dyDescent="0.25">
      <c r="A550" s="203">
        <v>44669</v>
      </c>
      <c r="B550" s="128" t="s">
        <v>26</v>
      </c>
      <c r="C550" s="157" t="str">
        <f t="shared" si="17"/>
        <v>18.04.2022_GRU1</v>
      </c>
      <c r="D550" s="190">
        <f t="shared" si="18"/>
        <v>0</v>
      </c>
      <c r="E550" s="204">
        <v>5.1682193254852418E-2</v>
      </c>
      <c r="F550" s="205">
        <v>2.8249029830663991E-2</v>
      </c>
      <c r="G550" s="204">
        <v>3.5211394573154246E-2</v>
      </c>
      <c r="H550" s="204">
        <v>6.6124205013093898E-3</v>
      </c>
      <c r="I550" s="209">
        <v>4.38</v>
      </c>
      <c r="J550" s="207">
        <v>1.0186650471937322</v>
      </c>
      <c r="K550" s="209">
        <v>7.4530000000000003</v>
      </c>
      <c r="L550" s="209">
        <v>11.840999999999999</v>
      </c>
      <c r="M550" s="208"/>
      <c r="N550" s="221"/>
    </row>
    <row r="551" spans="1:14" ht="16.5" customHeight="1" x14ac:dyDescent="0.25">
      <c r="A551" s="203">
        <v>44669</v>
      </c>
      <c r="B551" s="128" t="s">
        <v>28</v>
      </c>
      <c r="C551" s="157" t="str">
        <f t="shared" si="17"/>
        <v>18.04.2022_GRU2</v>
      </c>
      <c r="D551" s="190">
        <f t="shared" si="18"/>
        <v>0</v>
      </c>
      <c r="E551" s="204">
        <v>3.7211179143493742E-2</v>
      </c>
      <c r="F551" s="205">
        <v>2.2746556687628577E-2</v>
      </c>
      <c r="G551" s="204">
        <v>3.9123771747949156E-2</v>
      </c>
      <c r="H551" s="204">
        <v>9.9186307519640842E-3</v>
      </c>
      <c r="I551" s="209">
        <v>3.9620000000000002</v>
      </c>
      <c r="J551" s="207">
        <v>0.92829588465700053</v>
      </c>
      <c r="K551" s="209">
        <v>8.0020000000000007</v>
      </c>
      <c r="L551" s="209">
        <v>10.929</v>
      </c>
      <c r="M551" s="208"/>
      <c r="N551" s="221"/>
    </row>
    <row r="552" spans="1:14" ht="16.5" customHeight="1" x14ac:dyDescent="0.25">
      <c r="A552" s="203">
        <v>44669</v>
      </c>
      <c r="B552" s="128" t="s">
        <v>0</v>
      </c>
      <c r="C552" s="157" t="str">
        <f t="shared" si="17"/>
        <v>18.04.2022_KIN1</v>
      </c>
      <c r="D552" s="190">
        <f t="shared" si="18"/>
        <v>0</v>
      </c>
      <c r="E552" s="204">
        <v>3.7211179143493742E-2</v>
      </c>
      <c r="F552" s="205">
        <v>1.5576261934666127E-2</v>
      </c>
      <c r="G552" s="204">
        <v>3.129901739835933E-2</v>
      </c>
      <c r="H552" s="204">
        <v>9.9186307519640842E-3</v>
      </c>
      <c r="I552" s="209">
        <v>4.6239999999999997</v>
      </c>
      <c r="J552" s="207">
        <v>1.0717459811520875</v>
      </c>
      <c r="K552" s="209">
        <v>7.7450000000000001</v>
      </c>
      <c r="L552" s="209">
        <v>9.9250000000000007</v>
      </c>
      <c r="M552" s="208"/>
      <c r="N552" s="221"/>
    </row>
    <row r="553" spans="1:14" ht="16.5" customHeight="1" x14ac:dyDescent="0.25">
      <c r="A553" s="203">
        <v>44669</v>
      </c>
      <c r="B553" s="128" t="s">
        <v>2</v>
      </c>
      <c r="C553" s="157" t="str">
        <f t="shared" si="17"/>
        <v>18.04.2022_KIN2</v>
      </c>
      <c r="D553" s="190">
        <f t="shared" si="18"/>
        <v>0</v>
      </c>
      <c r="E553" s="204">
        <v>3.100931595291145E-2</v>
      </c>
      <c r="F553" s="205">
        <v>1.1935937771190626E-2</v>
      </c>
      <c r="G553" s="204">
        <v>9.7809429369872854E-3</v>
      </c>
      <c r="H553" s="204">
        <v>1.322484100261878E-2</v>
      </c>
      <c r="I553" s="209">
        <v>5.6639999999999997</v>
      </c>
      <c r="J553" s="207">
        <v>1.2909487872243885</v>
      </c>
      <c r="K553" s="209">
        <v>9.0370000000000008</v>
      </c>
      <c r="L553" s="209">
        <v>10.855</v>
      </c>
      <c r="M553" s="208"/>
      <c r="N553" s="221"/>
    </row>
    <row r="554" spans="1:14" ht="16.5" customHeight="1" x14ac:dyDescent="0.25">
      <c r="A554" s="203">
        <v>44669</v>
      </c>
      <c r="B554" s="128" t="s">
        <v>4</v>
      </c>
      <c r="C554" s="157" t="str">
        <f t="shared" si="17"/>
        <v>18.04.2022_KIN3</v>
      </c>
      <c r="D554" s="190">
        <f t="shared" si="18"/>
        <v>0</v>
      </c>
      <c r="E554" s="204">
        <v>2.8942028222717353E-2</v>
      </c>
      <c r="F554" s="205">
        <v>1.3929934044980278E-2</v>
      </c>
      <c r="G554" s="204">
        <v>2.5430451636166949E-2</v>
      </c>
      <c r="H554" s="204">
        <v>1.157173587729143E-2</v>
      </c>
      <c r="I554" s="209">
        <v>6.1559999999999997</v>
      </c>
      <c r="J554" s="207">
        <v>1.4137252263788085</v>
      </c>
      <c r="K554" s="209">
        <v>10.992000000000001</v>
      </c>
      <c r="L554" s="209">
        <v>12.635</v>
      </c>
      <c r="M554" s="208"/>
      <c r="N554" s="221"/>
    </row>
    <row r="555" spans="1:14" ht="16.5" customHeight="1" x14ac:dyDescent="0.25">
      <c r="A555" s="203">
        <v>44669</v>
      </c>
      <c r="B555" s="128" t="s">
        <v>6</v>
      </c>
      <c r="C555" s="157" t="str">
        <f t="shared" si="17"/>
        <v>18.04.2022_KIN4</v>
      </c>
      <c r="D555" s="190">
        <f t="shared" si="18"/>
        <v>0</v>
      </c>
      <c r="E555" s="204">
        <v>3.7211179143493742E-2</v>
      </c>
      <c r="F555" s="205">
        <v>1.5623370444356632E-2</v>
      </c>
      <c r="G555" s="204">
        <v>6.2598034796718646E-2</v>
      </c>
      <c r="H555" s="204">
        <v>1.4877946127946125E-2</v>
      </c>
      <c r="I555" s="209">
        <v>6.4349999999999996</v>
      </c>
      <c r="J555" s="207">
        <v>1.5066097887379568</v>
      </c>
      <c r="K555" s="209">
        <v>17.782</v>
      </c>
      <c r="L555" s="209">
        <v>13.087999999999999</v>
      </c>
      <c r="M555" s="208"/>
      <c r="N555" s="221"/>
    </row>
    <row r="556" spans="1:14" ht="16.5" customHeight="1" x14ac:dyDescent="0.25">
      <c r="A556" s="203">
        <v>44669</v>
      </c>
      <c r="B556" s="128" t="s">
        <v>34</v>
      </c>
      <c r="C556" s="157" t="str">
        <f t="shared" si="17"/>
        <v>18.04.2022_KRE1</v>
      </c>
      <c r="D556" s="190">
        <f t="shared" si="18"/>
        <v>0</v>
      </c>
      <c r="E556" s="204">
        <v>5.7884056445434706E-2</v>
      </c>
      <c r="F556" s="205">
        <v>4.065457431846127E-2</v>
      </c>
      <c r="G556" s="204">
        <v>0.14280176688001445</v>
      </c>
      <c r="H556" s="204">
        <v>8.1002151141040021E-2</v>
      </c>
      <c r="I556" s="209">
        <v>7.5839999999999996</v>
      </c>
      <c r="J556" s="207">
        <v>1.8485433288795519</v>
      </c>
      <c r="K556" s="209">
        <v>47</v>
      </c>
      <c r="L556" s="209">
        <v>37.527999999999999</v>
      </c>
      <c r="M556" s="208"/>
      <c r="N556" s="221"/>
    </row>
    <row r="557" spans="1:14" ht="16.5" customHeight="1" x14ac:dyDescent="0.25">
      <c r="A557" s="203">
        <v>44669</v>
      </c>
      <c r="B557" s="128" t="s">
        <v>37</v>
      </c>
      <c r="C557" s="157" t="str">
        <f t="shared" si="17"/>
        <v>18.04.2022_KRE2</v>
      </c>
      <c r="D557" s="190">
        <f t="shared" si="18"/>
        <v>0</v>
      </c>
      <c r="E557" s="204">
        <v>5.9951344175628807E-2</v>
      </c>
      <c r="F557" s="205">
        <v>4.3605419150692916E-2</v>
      </c>
      <c r="G557" s="204">
        <v>0.10172180654466781</v>
      </c>
      <c r="H557" s="204">
        <v>4.6286943509165734E-2</v>
      </c>
      <c r="I557" s="209">
        <v>9.5109999999999992</v>
      </c>
      <c r="J557" s="207">
        <v>2.2413275955152341</v>
      </c>
      <c r="K557" s="209">
        <v>48</v>
      </c>
      <c r="L557" s="209">
        <v>44.567</v>
      </c>
      <c r="M557" s="208"/>
      <c r="N557" s="221"/>
    </row>
    <row r="558" spans="1:14" ht="16.5" customHeight="1" x14ac:dyDescent="0.25">
      <c r="A558" s="203">
        <v>44669</v>
      </c>
      <c r="B558" s="128" t="s">
        <v>18</v>
      </c>
      <c r="C558" s="157" t="str">
        <f t="shared" si="17"/>
        <v>18.04.2022_ORB1</v>
      </c>
      <c r="D558" s="190">
        <f t="shared" si="18"/>
        <v>0</v>
      </c>
      <c r="E558" s="204">
        <v>4.5480330064270123E-2</v>
      </c>
      <c r="F558" s="205">
        <v>2.3576632452956114E-2</v>
      </c>
      <c r="G558" s="204">
        <v>4.4992337510141533E-2</v>
      </c>
      <c r="H558" s="204">
        <v>6.6124205013093898E-3</v>
      </c>
      <c r="I558" s="209">
        <v>5.234</v>
      </c>
      <c r="J558" s="207">
        <v>1.2191528315748734</v>
      </c>
      <c r="K558" s="209">
        <v>8.1059999999999999</v>
      </c>
      <c r="L558" s="209">
        <v>15.12</v>
      </c>
      <c r="M558" s="208"/>
      <c r="N558" s="221"/>
    </row>
    <row r="559" spans="1:14" ht="16.5" customHeight="1" x14ac:dyDescent="0.25">
      <c r="A559" s="203">
        <v>44669</v>
      </c>
      <c r="B559" s="128" t="s">
        <v>21</v>
      </c>
      <c r="C559" s="157" t="str">
        <f t="shared" si="17"/>
        <v>18.04.2022_ORB2</v>
      </c>
      <c r="D559" s="190">
        <f t="shared" si="18"/>
        <v>0</v>
      </c>
      <c r="E559" s="204">
        <v>4.1345754603881936E-2</v>
      </c>
      <c r="F559" s="205">
        <v>2.1267061434742281E-2</v>
      </c>
      <c r="G559" s="204">
        <v>3.9123771747949156E-2</v>
      </c>
      <c r="H559" s="204">
        <v>9.9186307519640842E-3</v>
      </c>
      <c r="I559" s="209">
        <v>6.1120000000000001</v>
      </c>
      <c r="J559" s="207">
        <v>1.4139163846570004</v>
      </c>
      <c r="K559" s="209">
        <v>11.487</v>
      </c>
      <c r="L559" s="209">
        <v>15.848000000000001</v>
      </c>
      <c r="M559" s="208"/>
      <c r="N559" s="221"/>
    </row>
    <row r="560" spans="1:14" ht="16.5" customHeight="1" x14ac:dyDescent="0.25">
      <c r="A560" s="203">
        <v>44669</v>
      </c>
      <c r="B560" s="128" t="s">
        <v>10</v>
      </c>
      <c r="C560" s="157" t="str">
        <f t="shared" si="17"/>
        <v>18.04.2022_SAL1</v>
      </c>
      <c r="D560" s="190">
        <f t="shared" si="18"/>
        <v>0</v>
      </c>
      <c r="E560" s="204">
        <v>5.5816768715240613E-2</v>
      </c>
      <c r="F560" s="205">
        <v>4.0564787953237064E-2</v>
      </c>
      <c r="G560" s="204">
        <v>4.4992337510141533E-2</v>
      </c>
      <c r="H560" s="204">
        <v>1.9837261503928165E-2</v>
      </c>
      <c r="I560" s="209">
        <v>6.2610000000000001</v>
      </c>
      <c r="J560" s="207">
        <v>1.4551476244181207</v>
      </c>
      <c r="K560" s="209">
        <v>7.9390000000000001</v>
      </c>
      <c r="L560" s="209">
        <v>6.3579999999999997</v>
      </c>
      <c r="M560" s="208"/>
      <c r="N560" s="221"/>
    </row>
    <row r="561" spans="1:14" ht="16.5" customHeight="1" x14ac:dyDescent="0.25">
      <c r="A561" s="203">
        <v>44669</v>
      </c>
      <c r="B561" s="128" t="s">
        <v>12</v>
      </c>
      <c r="C561" s="157" t="str">
        <f t="shared" si="17"/>
        <v>18.04.2022_SAL2</v>
      </c>
      <c r="D561" s="190">
        <f t="shared" si="18"/>
        <v>0</v>
      </c>
      <c r="E561" s="204">
        <v>4.9614905524658325E-2</v>
      </c>
      <c r="F561" s="205">
        <v>3.3938828788079925E-2</v>
      </c>
      <c r="G561" s="204">
        <v>2.1518074461372043E-2</v>
      </c>
      <c r="H561" s="204">
        <v>1.9837261503928165E-2</v>
      </c>
      <c r="I561" s="209">
        <v>5.5949999999999998</v>
      </c>
      <c r="J561" s="207">
        <v>1.2864906739033817</v>
      </c>
      <c r="K561" s="209">
        <v>8.3629999999999995</v>
      </c>
      <c r="L561" s="209">
        <v>6.6760000000000002</v>
      </c>
      <c r="M561" s="208"/>
      <c r="N561" s="221"/>
    </row>
    <row r="562" spans="1:14" ht="16.5" customHeight="1" x14ac:dyDescent="0.25">
      <c r="A562" s="203">
        <v>44669</v>
      </c>
      <c r="B562" s="128" t="s">
        <v>7</v>
      </c>
      <c r="C562" s="157" t="str">
        <f t="shared" si="17"/>
        <v>18.04.2022_STE1</v>
      </c>
      <c r="D562" s="190">
        <f t="shared" si="18"/>
        <v>0</v>
      </c>
      <c r="E562" s="204">
        <v>5.5816768715240613E-2</v>
      </c>
      <c r="F562" s="205">
        <v>3.2807266636862245E-2</v>
      </c>
      <c r="G562" s="204">
        <v>2.9342828810961868E-2</v>
      </c>
      <c r="H562" s="204">
        <v>2.1490366629255516E-2</v>
      </c>
      <c r="I562" s="209">
        <v>6.2910000000000004</v>
      </c>
      <c r="J562" s="207">
        <v>1.4502753252637006</v>
      </c>
      <c r="K562" s="209">
        <v>8.2889999999999997</v>
      </c>
      <c r="L562" s="209">
        <v>7.8049999999999997</v>
      </c>
      <c r="M562" s="208"/>
      <c r="N562" s="221"/>
    </row>
    <row r="563" spans="1:14" ht="16.5" customHeight="1" x14ac:dyDescent="0.25">
      <c r="A563" s="203">
        <v>44669</v>
      </c>
      <c r="B563" s="128" t="s">
        <v>9</v>
      </c>
      <c r="C563" s="157" t="str">
        <f t="shared" si="17"/>
        <v>18.04.2022_STE2</v>
      </c>
      <c r="D563" s="190">
        <f t="shared" si="18"/>
        <v>0</v>
      </c>
      <c r="E563" s="204">
        <v>4.9614905524658325E-2</v>
      </c>
      <c r="F563" s="205">
        <v>3.1860304606455205E-2</v>
      </c>
      <c r="G563" s="204">
        <v>3.5211394573154246E-2</v>
      </c>
      <c r="H563" s="204">
        <v>2.1490366629255516E-2</v>
      </c>
      <c r="I563" s="209">
        <v>6.4530000000000003</v>
      </c>
      <c r="J563" s="207">
        <v>1.4914231478923854</v>
      </c>
      <c r="K563" s="209">
        <v>9.2249999999999996</v>
      </c>
      <c r="L563" s="209">
        <v>7.9189999999999996</v>
      </c>
      <c r="M563" s="208"/>
      <c r="N563" s="221"/>
    </row>
    <row r="564" spans="1:14" ht="16.5" customHeight="1" x14ac:dyDescent="0.25">
      <c r="A564" s="203">
        <v>44685</v>
      </c>
      <c r="B564" s="128" t="s">
        <v>22</v>
      </c>
      <c r="C564" s="157" t="str">
        <f t="shared" si="17"/>
        <v>04.05.2022_BIE1</v>
      </c>
      <c r="D564" s="190">
        <f t="shared" si="18"/>
        <v>0</v>
      </c>
      <c r="E564" s="204">
        <v>4.6236273467941895E-2</v>
      </c>
      <c r="F564" s="205">
        <v>1.2529700965133775E-2</v>
      </c>
      <c r="G564" s="204">
        <v>0.47877765522610788</v>
      </c>
      <c r="H564" s="204">
        <v>1.8528136465430983E-2</v>
      </c>
      <c r="I564" s="209">
        <v>2.9849999999999999</v>
      </c>
      <c r="J564" s="207">
        <v>1.0516289026534209</v>
      </c>
      <c r="K564" s="209">
        <v>5.4189999999999996</v>
      </c>
      <c r="L564" s="209">
        <v>8.0229999999999997</v>
      </c>
      <c r="M564" s="210">
        <v>9.6</v>
      </c>
      <c r="N564" s="224"/>
    </row>
    <row r="565" spans="1:14" ht="16.5" customHeight="1" x14ac:dyDescent="0.25">
      <c r="A565" s="203">
        <v>44685</v>
      </c>
      <c r="B565" s="128" t="s">
        <v>25</v>
      </c>
      <c r="C565" s="157" t="str">
        <f t="shared" si="17"/>
        <v>04.05.2022_BIE2</v>
      </c>
      <c r="D565" s="190">
        <f t="shared" si="18"/>
        <v>0</v>
      </c>
      <c r="E565" s="204">
        <v>1.4071909316330143E-2</v>
      </c>
      <c r="F565" s="205">
        <v>1.7899653786995443E-2</v>
      </c>
      <c r="G565" s="204">
        <v>0.52763251800428213</v>
      </c>
      <c r="H565" s="204">
        <v>1.515938438080717E-2</v>
      </c>
      <c r="I565" s="209">
        <v>2.9849999999999999</v>
      </c>
      <c r="J565" s="207">
        <v>1.0885385984798819</v>
      </c>
      <c r="K565" s="209">
        <v>5.8140000000000001</v>
      </c>
      <c r="L565" s="209">
        <v>8.3670000000000009</v>
      </c>
      <c r="M565" s="208"/>
      <c r="N565" s="221"/>
    </row>
    <row r="566" spans="1:14" ht="16.5" customHeight="1" x14ac:dyDescent="0.25">
      <c r="A566" s="203">
        <v>44685</v>
      </c>
      <c r="B566" s="128" t="s">
        <v>14</v>
      </c>
      <c r="C566" s="157" t="str">
        <f t="shared" si="17"/>
        <v>04.05.2022_BRA1</v>
      </c>
      <c r="D566" s="190">
        <f t="shared" si="18"/>
        <v>0</v>
      </c>
      <c r="E566" s="204">
        <v>5.0256818986893367E-2</v>
      </c>
      <c r="F566" s="205">
        <v>5.3280726115081146E-2</v>
      </c>
      <c r="G566" s="204">
        <v>1.3027963407513138E-2</v>
      </c>
      <c r="H566" s="204">
        <v>4.8846905227045316E-2</v>
      </c>
      <c r="I566" s="209">
        <v>5.1319999999999997</v>
      </c>
      <c r="J566" s="207">
        <v>1.1841523636026736</v>
      </c>
      <c r="K566" s="209">
        <v>5.6879999999999997</v>
      </c>
      <c r="L566" s="209">
        <v>3.3</v>
      </c>
      <c r="M566" s="208"/>
      <c r="N566" s="221"/>
    </row>
    <row r="567" spans="1:14" ht="16.5" customHeight="1" x14ac:dyDescent="0.25">
      <c r="A567" s="203">
        <v>44685</v>
      </c>
      <c r="B567" s="128" t="s">
        <v>17</v>
      </c>
      <c r="C567" s="157" t="str">
        <f t="shared" si="17"/>
        <v>04.05.2022_BRA2</v>
      </c>
      <c r="D567" s="190">
        <f t="shared" si="18"/>
        <v>0</v>
      </c>
      <c r="E567" s="204">
        <v>8.4431455897980859E-2</v>
      </c>
      <c r="F567" s="205">
        <v>6.5290416870264031E-2</v>
      </c>
      <c r="G567" s="204">
        <v>0.34686952572503732</v>
      </c>
      <c r="H567" s="204">
        <v>4.37937771001096E-2</v>
      </c>
      <c r="I567" s="209">
        <v>7.9130000000000003</v>
      </c>
      <c r="J567" s="207">
        <v>2.0699830434683624</v>
      </c>
      <c r="K567" s="209">
        <v>9.4120000000000008</v>
      </c>
      <c r="L567" s="209">
        <v>4.0540000000000003</v>
      </c>
      <c r="M567" s="208"/>
      <c r="N567" s="221"/>
    </row>
    <row r="568" spans="1:14" ht="16.5" customHeight="1" x14ac:dyDescent="0.25">
      <c r="A568" s="203">
        <v>44685</v>
      </c>
      <c r="B568" s="128" t="s">
        <v>30</v>
      </c>
      <c r="C568" s="157" t="str">
        <f t="shared" si="17"/>
        <v>04.05.2022_FAL1</v>
      </c>
      <c r="D568" s="190">
        <f t="shared" si="18"/>
        <v>0</v>
      </c>
      <c r="E568" s="204">
        <v>0.1447396386822529</v>
      </c>
      <c r="F568" s="205">
        <v>0.15263945951126101</v>
      </c>
      <c r="G568" s="204">
        <v>0.4315512878738727</v>
      </c>
      <c r="H568" s="204">
        <v>0.22570638966979559</v>
      </c>
      <c r="I568" s="209">
        <v>11.441000000000001</v>
      </c>
      <c r="J568" s="207">
        <v>2.9879902398561526</v>
      </c>
      <c r="K568" s="209">
        <v>37</v>
      </c>
      <c r="L568" s="209">
        <v>19.157</v>
      </c>
      <c r="M568" s="208"/>
      <c r="N568" s="221"/>
    </row>
    <row r="569" spans="1:14" ht="16.5" customHeight="1" x14ac:dyDescent="0.25">
      <c r="A569" s="203">
        <v>44685</v>
      </c>
      <c r="B569" s="128" t="s">
        <v>32</v>
      </c>
      <c r="C569" s="157" t="str">
        <f t="shared" si="17"/>
        <v>04.05.2022_FAL2</v>
      </c>
      <c r="D569" s="190">
        <f t="shared" si="18"/>
        <v>0</v>
      </c>
      <c r="E569" s="204">
        <v>8.8452001416932324E-2</v>
      </c>
      <c r="F569" s="205">
        <v>8.1506196046801732E-2</v>
      </c>
      <c r="G569" s="204">
        <v>0.31918510348407186</v>
      </c>
      <c r="H569" s="204">
        <v>0.12127507504645736</v>
      </c>
      <c r="I569" s="209">
        <v>11.439</v>
      </c>
      <c r="J569" s="207">
        <v>2.8684931676022409</v>
      </c>
      <c r="K569" s="209">
        <v>42</v>
      </c>
      <c r="L569" s="209">
        <v>22.585999999999999</v>
      </c>
      <c r="M569" s="208"/>
      <c r="N569" s="221"/>
    </row>
    <row r="570" spans="1:14" ht="16.5" customHeight="1" x14ac:dyDescent="0.25">
      <c r="A570" s="203">
        <v>44685</v>
      </c>
      <c r="B570" s="128" t="s">
        <v>26</v>
      </c>
      <c r="C570" s="157" t="str">
        <f t="shared" si="17"/>
        <v>04.05.2022_GRU1</v>
      </c>
      <c r="D570" s="190">
        <f t="shared" si="18"/>
        <v>0</v>
      </c>
      <c r="E570" s="204">
        <v>2.0102727594757348E-2</v>
      </c>
      <c r="F570" s="205">
        <v>3.0941894931442379E-2</v>
      </c>
      <c r="G570" s="204">
        <v>0.28987218581716728</v>
      </c>
      <c r="H570" s="204">
        <v>2.5265640634678614E-2</v>
      </c>
      <c r="I570" s="209">
        <v>2.9510000000000001</v>
      </c>
      <c r="J570" s="207">
        <v>0.89931734785640005</v>
      </c>
      <c r="K570" s="209">
        <v>6.6890000000000001</v>
      </c>
      <c r="L570" s="209">
        <v>7.6529999999999996</v>
      </c>
      <c r="M570" s="208"/>
      <c r="N570" s="221"/>
    </row>
    <row r="571" spans="1:14" ht="16.5" customHeight="1" x14ac:dyDescent="0.25">
      <c r="A571" s="203">
        <v>44685</v>
      </c>
      <c r="B571" s="128" t="s">
        <v>28</v>
      </c>
      <c r="C571" s="157" t="str">
        <f t="shared" si="17"/>
        <v>04.05.2022_GRU2</v>
      </c>
      <c r="D571" s="190">
        <f t="shared" si="18"/>
        <v>0</v>
      </c>
      <c r="E571" s="204">
        <v>2.8143818632660286E-2</v>
      </c>
      <c r="F571" s="205">
        <v>2.3185654033021055E-2</v>
      </c>
      <c r="G571" s="204">
        <v>0.30290014922468045</v>
      </c>
      <c r="H571" s="204">
        <v>3.0318768761614334E-2</v>
      </c>
      <c r="I571" s="209">
        <v>2.7789999999999999</v>
      </c>
      <c r="J571" s="207">
        <v>0.87212221602094553</v>
      </c>
      <c r="K571" s="209">
        <v>7.3639999999999999</v>
      </c>
      <c r="L571" s="209">
        <v>6.867</v>
      </c>
      <c r="M571" s="208"/>
      <c r="N571" s="221"/>
    </row>
    <row r="572" spans="1:14" ht="16.5" customHeight="1" x14ac:dyDescent="0.25">
      <c r="A572" s="203">
        <v>44685</v>
      </c>
      <c r="B572" s="128" t="s">
        <v>0</v>
      </c>
      <c r="C572" s="157" t="str">
        <f t="shared" si="17"/>
        <v>04.05.2022_KIN1</v>
      </c>
      <c r="D572" s="190">
        <f t="shared" si="18"/>
        <v>0</v>
      </c>
      <c r="E572" s="204">
        <v>5.22670917463691E-2</v>
      </c>
      <c r="F572" s="205">
        <v>2.4026750659560791E-2</v>
      </c>
      <c r="G572" s="204">
        <v>0.71165250113540512</v>
      </c>
      <c r="H572" s="204">
        <v>2.0212512507742891E-2</v>
      </c>
      <c r="I572" s="209">
        <v>3.9710000000000001</v>
      </c>
      <c r="J572" s="207">
        <v>1.4556745200396128</v>
      </c>
      <c r="K572" s="209">
        <v>6.9589999999999996</v>
      </c>
      <c r="L572" s="209">
        <v>6.2149999999999999</v>
      </c>
      <c r="M572" s="208"/>
      <c r="N572" s="221"/>
    </row>
    <row r="573" spans="1:14" ht="16.5" customHeight="1" x14ac:dyDescent="0.25">
      <c r="A573" s="203">
        <v>44685</v>
      </c>
      <c r="B573" s="128" t="s">
        <v>2</v>
      </c>
      <c r="C573" s="157" t="str">
        <f t="shared" si="17"/>
        <v>04.05.2022_KIN2</v>
      </c>
      <c r="D573" s="190">
        <f t="shared" si="18"/>
        <v>0</v>
      </c>
      <c r="E573" s="204">
        <v>6.0308182784272038E-2</v>
      </c>
      <c r="F573" s="205">
        <v>2.3521920704796542E-2</v>
      </c>
      <c r="G573" s="204">
        <v>0.40549536105884643</v>
      </c>
      <c r="H573" s="204">
        <v>3.2003144803926242E-2</v>
      </c>
      <c r="I573" s="209">
        <v>4.8609999999999998</v>
      </c>
      <c r="J573" s="207">
        <v>1.4225605203441389</v>
      </c>
      <c r="K573" s="209">
        <v>8.0530000000000008</v>
      </c>
      <c r="L573" s="209">
        <v>6.8159999999999998</v>
      </c>
      <c r="M573" s="208"/>
      <c r="N573" s="221"/>
    </row>
    <row r="574" spans="1:14" ht="16.5" customHeight="1" x14ac:dyDescent="0.25">
      <c r="A574" s="203">
        <v>44685</v>
      </c>
      <c r="B574" s="128" t="s">
        <v>4</v>
      </c>
      <c r="C574" s="157" t="str">
        <f t="shared" si="17"/>
        <v>04.05.2022_KIN3</v>
      </c>
      <c r="D574" s="190">
        <f t="shared" si="18"/>
        <v>0</v>
      </c>
      <c r="E574" s="204">
        <v>5.22670917463691E-2</v>
      </c>
      <c r="F574" s="205">
        <v>2.2858087184708557E-2</v>
      </c>
      <c r="G574" s="204">
        <v>0.35501200285473306</v>
      </c>
      <c r="H574" s="204">
        <v>2.18968885500548E-2</v>
      </c>
      <c r="I574" s="209">
        <v>5.2569999999999997</v>
      </c>
      <c r="J574" s="207">
        <v>1.4697283678157358</v>
      </c>
      <c r="K574" s="209">
        <v>9.609</v>
      </c>
      <c r="L574" s="209">
        <v>7.8579999999999997</v>
      </c>
      <c r="M574" s="208"/>
      <c r="N574" s="221"/>
    </row>
    <row r="575" spans="1:14" ht="16.5" customHeight="1" x14ac:dyDescent="0.25">
      <c r="A575" s="203">
        <v>44685</v>
      </c>
      <c r="B575" s="128" t="s">
        <v>6</v>
      </c>
      <c r="C575" s="157" t="str">
        <f t="shared" si="17"/>
        <v>04.05.2022_KIN4</v>
      </c>
      <c r="D575" s="190">
        <f t="shared" si="18"/>
        <v>0</v>
      </c>
      <c r="E575" s="204">
        <v>4.8246546227417635E-2</v>
      </c>
      <c r="F575" s="205">
        <v>2.883079221504483E-2</v>
      </c>
      <c r="G575" s="204">
        <v>0.4527217284110816</v>
      </c>
      <c r="H575" s="204">
        <v>3.8740648973173877E-2</v>
      </c>
      <c r="I575" s="209">
        <v>5.4969999999999999</v>
      </c>
      <c r="J575" s="207">
        <v>1.6049358754738037</v>
      </c>
      <c r="K575" s="209">
        <v>15.454000000000001</v>
      </c>
      <c r="L575" s="209">
        <v>11.775</v>
      </c>
      <c r="M575" s="208"/>
      <c r="N575" s="221"/>
    </row>
    <row r="576" spans="1:14" ht="16.5" customHeight="1" x14ac:dyDescent="0.25">
      <c r="A576" s="203">
        <v>44685</v>
      </c>
      <c r="B576" s="128" t="s">
        <v>34</v>
      </c>
      <c r="C576" s="157" t="str">
        <f t="shared" si="17"/>
        <v>04.05.2022_KRE1</v>
      </c>
      <c r="D576" s="190">
        <f t="shared" si="18"/>
        <v>0</v>
      </c>
      <c r="E576" s="204">
        <v>5.0256818986893367E-2</v>
      </c>
      <c r="F576" s="205">
        <v>4.6854808801493467E-2</v>
      </c>
      <c r="G576" s="204">
        <v>0.5146045545967689</v>
      </c>
      <c r="H576" s="204">
        <v>8.9271930242531106E-2</v>
      </c>
      <c r="I576" s="209">
        <v>4.6029999999999998</v>
      </c>
      <c r="J576" s="207">
        <v>1.4664437397611836</v>
      </c>
      <c r="K576" s="209">
        <v>41</v>
      </c>
      <c r="L576" s="209">
        <v>20.587</v>
      </c>
      <c r="M576" s="208"/>
      <c r="N576" s="221"/>
    </row>
    <row r="577" spans="1:14" ht="16.5" customHeight="1" x14ac:dyDescent="0.25">
      <c r="A577" s="203">
        <v>44685</v>
      </c>
      <c r="B577" s="128" t="s">
        <v>37</v>
      </c>
      <c r="C577" s="157" t="str">
        <f t="shared" si="17"/>
        <v>04.05.2022_KRE2</v>
      </c>
      <c r="D577" s="190">
        <f t="shared" si="18"/>
        <v>0</v>
      </c>
      <c r="E577" s="204">
        <v>9.247254693588379E-2</v>
      </c>
      <c r="F577" s="205">
        <v>5.502946268931426E-2</v>
      </c>
      <c r="G577" s="204">
        <v>1.4086485434373581</v>
      </c>
      <c r="H577" s="204">
        <v>0.10611569066565019</v>
      </c>
      <c r="I577" s="209">
        <v>7.016</v>
      </c>
      <c r="J577" s="207">
        <v>2.7108123495168313</v>
      </c>
      <c r="K577" s="209">
        <v>42</v>
      </c>
      <c r="L577" s="209">
        <v>24.956</v>
      </c>
      <c r="M577" s="208"/>
      <c r="N577" s="221"/>
    </row>
    <row r="578" spans="1:14" ht="16.5" customHeight="1" x14ac:dyDescent="0.25">
      <c r="A578" s="203">
        <v>44685</v>
      </c>
      <c r="B578" s="128" t="s">
        <v>18</v>
      </c>
      <c r="C578" s="157" t="str">
        <f t="shared" si="17"/>
        <v>04.05.2022_ORB1</v>
      </c>
      <c r="D578" s="190">
        <f t="shared" si="18"/>
        <v>0</v>
      </c>
      <c r="E578" s="204">
        <v>2.2113000354233081E-2</v>
      </c>
      <c r="F578" s="205">
        <v>2.4712187220020419E-2</v>
      </c>
      <c r="G578" s="204">
        <v>0.40875235191072468</v>
      </c>
      <c r="H578" s="204">
        <v>1.6843760423119074E-2</v>
      </c>
      <c r="I578" s="209">
        <v>5.0570000000000004</v>
      </c>
      <c r="J578" s="207">
        <v>1.4647447865959773</v>
      </c>
      <c r="K578" s="209">
        <v>6.9619999999999997</v>
      </c>
      <c r="L578" s="209">
        <v>13.055999999999999</v>
      </c>
      <c r="M578" s="208"/>
      <c r="N578" s="221"/>
    </row>
    <row r="579" spans="1:14" ht="16.5" customHeight="1" x14ac:dyDescent="0.25">
      <c r="A579" s="203">
        <v>44685</v>
      </c>
      <c r="B579" s="128" t="s">
        <v>21</v>
      </c>
      <c r="C579" s="157" t="str">
        <f t="shared" si="17"/>
        <v>04.05.2022_ORB2</v>
      </c>
      <c r="D579" s="190">
        <f t="shared" si="18"/>
        <v>0</v>
      </c>
      <c r="E579" s="204">
        <v>3.2164364151611759E-2</v>
      </c>
      <c r="F579" s="205">
        <v>2.2603404776804878E-2</v>
      </c>
      <c r="G579" s="204">
        <v>0.13027963407513138</v>
      </c>
      <c r="H579" s="204">
        <v>2.8634392719302432E-2</v>
      </c>
      <c r="I579" s="209">
        <v>5.3789999999999996</v>
      </c>
      <c r="J579" s="207">
        <v>1.3248333039263902</v>
      </c>
      <c r="K579" s="209">
        <v>10.464</v>
      </c>
      <c r="L579" s="209">
        <v>10.246</v>
      </c>
      <c r="M579" s="208"/>
      <c r="N579" s="221"/>
    </row>
    <row r="580" spans="1:14" ht="16.5" customHeight="1" x14ac:dyDescent="0.25">
      <c r="A580" s="203">
        <v>44685</v>
      </c>
      <c r="B580" s="128" t="s">
        <v>10</v>
      </c>
      <c r="C580" s="157" t="str">
        <f t="shared" si="17"/>
        <v>04.05.2022_SAL1</v>
      </c>
      <c r="D580" s="190">
        <f t="shared" si="18"/>
        <v>0</v>
      </c>
      <c r="E580" s="204">
        <v>5.6287637265320573E-2</v>
      </c>
      <c r="F580" s="205">
        <v>6.1610992030199804E-2</v>
      </c>
      <c r="G580" s="204">
        <v>0.24753130474274965</v>
      </c>
      <c r="H580" s="204">
        <v>4.37937771001096E-2</v>
      </c>
      <c r="I580" s="209">
        <v>5.8159999999999998</v>
      </c>
      <c r="J580" s="207">
        <v>1.5191985182578258</v>
      </c>
      <c r="K580" s="209">
        <v>6.93</v>
      </c>
      <c r="L580" s="209">
        <v>3.8149999999999999</v>
      </c>
      <c r="M580" s="208"/>
      <c r="N580" s="221"/>
    </row>
    <row r="581" spans="1:14" ht="16.5" customHeight="1" x14ac:dyDescent="0.25">
      <c r="A581" s="203">
        <v>44685</v>
      </c>
      <c r="B581" s="128" t="s">
        <v>12</v>
      </c>
      <c r="C581" s="157" t="str">
        <f t="shared" ref="C581:C644" si="19">CONCATENATE(TEXT(A581,"TT.MM.JJJJ"),"_",B581)</f>
        <v>04.05.2022_SAL2</v>
      </c>
      <c r="D581" s="190">
        <f t="shared" ref="D581:D644" si="20">COUNTBLANK(E581:L581)</f>
        <v>0</v>
      </c>
      <c r="E581" s="204">
        <v>0.12463691108749556</v>
      </c>
      <c r="F581" s="205">
        <v>7.014929469567073E-2</v>
      </c>
      <c r="G581" s="204">
        <v>0.15796405631609678</v>
      </c>
      <c r="H581" s="204">
        <v>4.0425025015485783E-2</v>
      </c>
      <c r="I581" s="209">
        <v>5.7350000000000003</v>
      </c>
      <c r="J581" s="207">
        <v>1.4303293589548505</v>
      </c>
      <c r="K581" s="209">
        <v>7.2939999999999996</v>
      </c>
      <c r="L581" s="209">
        <v>5.6749999999999998</v>
      </c>
      <c r="M581" s="208"/>
      <c r="N581" s="221"/>
    </row>
    <row r="582" spans="1:14" ht="16.5" customHeight="1" x14ac:dyDescent="0.25">
      <c r="A582" s="203">
        <v>44685</v>
      </c>
      <c r="B582" s="128" t="s">
        <v>7</v>
      </c>
      <c r="C582" s="157" t="str">
        <f t="shared" si="19"/>
        <v>04.05.2022_STE1</v>
      </c>
      <c r="D582" s="190">
        <f t="shared" si="20"/>
        <v>0</v>
      </c>
      <c r="E582" s="204">
        <v>5.22670917463691E-2</v>
      </c>
      <c r="F582" s="205">
        <v>4.7140543478234646E-2</v>
      </c>
      <c r="G582" s="204">
        <v>0.19704794653863622</v>
      </c>
      <c r="H582" s="204">
        <v>3.2003144803926242E-2</v>
      </c>
      <c r="I582" s="209">
        <v>5.173</v>
      </c>
      <c r="J582" s="207">
        <v>1.3311746274433409</v>
      </c>
      <c r="K582" s="209">
        <v>7.2830000000000004</v>
      </c>
      <c r="L582" s="209">
        <v>4.9610000000000003</v>
      </c>
      <c r="M582" s="208"/>
      <c r="N582" s="221"/>
    </row>
    <row r="583" spans="1:14" ht="16.5" customHeight="1" x14ac:dyDescent="0.25">
      <c r="A583" s="203">
        <v>44685</v>
      </c>
      <c r="B583" s="128" t="s">
        <v>9</v>
      </c>
      <c r="C583" s="157" t="str">
        <f t="shared" si="19"/>
        <v>04.05.2022_STE2</v>
      </c>
      <c r="D583" s="190">
        <f t="shared" si="20"/>
        <v>0</v>
      </c>
      <c r="E583" s="204">
        <v>5.6287637265320573E-2</v>
      </c>
      <c r="F583" s="205">
        <v>4.414242386335774E-2</v>
      </c>
      <c r="G583" s="204">
        <v>0.42992279244793358</v>
      </c>
      <c r="H583" s="204">
        <v>3.8740648973173877E-2</v>
      </c>
      <c r="I583" s="209">
        <v>5.109</v>
      </c>
      <c r="J583" s="207">
        <v>1.4995951696877787</v>
      </c>
      <c r="K583" s="209">
        <v>7.8209999999999997</v>
      </c>
      <c r="L583" s="209">
        <v>5.0709999999999997</v>
      </c>
      <c r="M583" s="208"/>
      <c r="N583" s="221"/>
    </row>
    <row r="584" spans="1:14" ht="16.5" customHeight="1" x14ac:dyDescent="0.25">
      <c r="A584" s="203">
        <v>44699</v>
      </c>
      <c r="B584" s="128" t="s">
        <v>22</v>
      </c>
      <c r="C584" s="157" t="str">
        <f t="shared" si="19"/>
        <v>18.05.2022_BIE1</v>
      </c>
      <c r="D584" s="190">
        <f t="shared" si="20"/>
        <v>0</v>
      </c>
      <c r="E584" s="204">
        <v>2.7690162934564777E-2</v>
      </c>
      <c r="F584" s="205">
        <v>2.0498446220655345E-2</v>
      </c>
      <c r="G584" s="204">
        <v>4.996381816985726E-2</v>
      </c>
      <c r="H584" s="204">
        <v>2.1762455476891956E-2</v>
      </c>
      <c r="I584" s="209">
        <v>2.6469999999999998</v>
      </c>
      <c r="J584" s="207">
        <v>0.6432998747406522</v>
      </c>
      <c r="K584" s="209">
        <v>5.5419999999999998</v>
      </c>
      <c r="L584" s="209">
        <v>8.2729999999999997</v>
      </c>
      <c r="M584" s="208"/>
      <c r="N584" s="221"/>
    </row>
    <row r="585" spans="1:14" ht="16.5" customHeight="1" x14ac:dyDescent="0.25">
      <c r="A585" s="203">
        <v>44699</v>
      </c>
      <c r="B585" s="128" t="s">
        <v>25</v>
      </c>
      <c r="C585" s="157" t="str">
        <f t="shared" si="19"/>
        <v>18.05.2022_BIE2</v>
      </c>
      <c r="D585" s="190">
        <f t="shared" si="20"/>
        <v>0</v>
      </c>
      <c r="E585" s="204">
        <v>3.1645900496645459E-2</v>
      </c>
      <c r="F585" s="205">
        <v>2.5893816362198216E-2</v>
      </c>
      <c r="G585" s="204">
        <v>0.20699296098940867</v>
      </c>
      <c r="H585" s="204">
        <v>1.7099072160415112E-2</v>
      </c>
      <c r="I585" s="209">
        <v>2.7240000000000002</v>
      </c>
      <c r="J585" s="207">
        <v>0.78120365679790438</v>
      </c>
      <c r="K585" s="209">
        <v>5.8209999999999997</v>
      </c>
      <c r="L585" s="209">
        <v>7.7039999999999997</v>
      </c>
      <c r="M585" s="208"/>
      <c r="N585" s="221"/>
    </row>
    <row r="586" spans="1:14" ht="16.5" customHeight="1" x14ac:dyDescent="0.25">
      <c r="A586" s="203">
        <v>44699</v>
      </c>
      <c r="B586" s="128" t="s">
        <v>14</v>
      </c>
      <c r="C586" s="157" t="str">
        <f t="shared" si="19"/>
        <v>18.05.2022_BRA1</v>
      </c>
      <c r="D586" s="190">
        <f t="shared" si="20"/>
        <v>0</v>
      </c>
      <c r="E586" s="204">
        <v>4.7468850744968191E-2</v>
      </c>
      <c r="F586" s="205">
        <v>6.7300292264733358E-2</v>
      </c>
      <c r="G586" s="204">
        <v>4.996381816985726E-2</v>
      </c>
      <c r="H586" s="204">
        <v>3.730706653181478E-2</v>
      </c>
      <c r="I586" s="209">
        <v>4.4459999999999997</v>
      </c>
      <c r="J586" s="207">
        <v>1.0543725615763233</v>
      </c>
      <c r="K586" s="209">
        <v>5.8440000000000003</v>
      </c>
      <c r="L586" s="209">
        <v>2.355</v>
      </c>
      <c r="M586" s="208"/>
      <c r="N586" s="221"/>
    </row>
    <row r="587" spans="1:14" ht="16.5" customHeight="1" x14ac:dyDescent="0.25">
      <c r="A587" s="203">
        <v>44699</v>
      </c>
      <c r="B587" s="128" t="s">
        <v>17</v>
      </c>
      <c r="C587" s="157" t="str">
        <f t="shared" si="19"/>
        <v>18.05.2022_BRA2</v>
      </c>
      <c r="D587" s="190">
        <f t="shared" si="20"/>
        <v>0</v>
      </c>
      <c r="E587" s="204">
        <v>8.5048357584734668E-2</v>
      </c>
      <c r="F587" s="205">
        <v>8.1709025393159607E-2</v>
      </c>
      <c r="G587" s="204">
        <v>9.99276363397145E-3</v>
      </c>
      <c r="H587" s="204">
        <v>3.2643683215337928E-2</v>
      </c>
      <c r="I587" s="209">
        <v>7.6340000000000003</v>
      </c>
      <c r="J587" s="207">
        <v>1.7419892303890521</v>
      </c>
      <c r="K587" s="209">
        <v>8.6479999999999997</v>
      </c>
      <c r="L587" s="209">
        <v>3.2290000000000001</v>
      </c>
      <c r="M587" s="208"/>
      <c r="N587" s="221"/>
    </row>
    <row r="588" spans="1:14" ht="16.5" customHeight="1" x14ac:dyDescent="0.25">
      <c r="A588" s="203">
        <v>44699</v>
      </c>
      <c r="B588" s="128" t="s">
        <v>30</v>
      </c>
      <c r="C588" s="157" t="str">
        <f t="shared" si="19"/>
        <v>18.05.2022_FAL1</v>
      </c>
      <c r="D588" s="190">
        <f t="shared" si="20"/>
        <v>0</v>
      </c>
      <c r="E588" s="204">
        <v>0.1918532717609131</v>
      </c>
      <c r="F588" s="205">
        <v>0.2100786724183791</v>
      </c>
      <c r="G588" s="204">
        <v>0.20699296098940867</v>
      </c>
      <c r="H588" s="204">
        <v>0.16788179939316653</v>
      </c>
      <c r="I588" s="209">
        <v>8.4939999999999998</v>
      </c>
      <c r="J588" s="207">
        <v>2.1303793581039154</v>
      </c>
      <c r="K588" s="209">
        <v>32.146000000000001</v>
      </c>
      <c r="L588" s="209">
        <v>13.432</v>
      </c>
      <c r="M588" s="208"/>
      <c r="N588" s="221"/>
    </row>
    <row r="589" spans="1:14" ht="16.5" customHeight="1" x14ac:dyDescent="0.25">
      <c r="A589" s="203">
        <v>44699</v>
      </c>
      <c r="B589" s="128" t="s">
        <v>32</v>
      </c>
      <c r="C589" s="157" t="str">
        <f t="shared" si="19"/>
        <v>18.05.2022_FAL2</v>
      </c>
      <c r="D589" s="190">
        <f t="shared" si="20"/>
        <v>0</v>
      </c>
      <c r="E589" s="204">
        <v>0.12658360198658183</v>
      </c>
      <c r="F589" s="205">
        <v>0.16938328098213953</v>
      </c>
      <c r="G589" s="204">
        <v>0.15702914281955138</v>
      </c>
      <c r="H589" s="204">
        <v>0.31244668220394878</v>
      </c>
      <c r="I589" s="209">
        <v>8.8000000000000007</v>
      </c>
      <c r="J589" s="207">
        <v>2.2047119515049456</v>
      </c>
      <c r="K589" s="209">
        <v>44</v>
      </c>
      <c r="L589" s="209">
        <v>16.733000000000001</v>
      </c>
      <c r="M589" s="208"/>
      <c r="N589" s="221"/>
    </row>
    <row r="590" spans="1:14" ht="16.5" customHeight="1" x14ac:dyDescent="0.25">
      <c r="A590" s="203">
        <v>44699</v>
      </c>
      <c r="B590" s="128" t="s">
        <v>26</v>
      </c>
      <c r="C590" s="157" t="str">
        <f t="shared" si="19"/>
        <v>18.05.2022_GRU1</v>
      </c>
      <c r="D590" s="190">
        <f t="shared" si="20"/>
        <v>0</v>
      </c>
      <c r="E590" s="204">
        <v>3.3623769277685803E-2</v>
      </c>
      <c r="F590" s="205">
        <v>3.9320742467036554E-2</v>
      </c>
      <c r="G590" s="204">
        <v>1.2847838957963296E-2</v>
      </c>
      <c r="H590" s="204">
        <v>9.3267666329536949E-3</v>
      </c>
      <c r="I590" s="209">
        <v>2.4710000000000001</v>
      </c>
      <c r="J590" s="207">
        <v>0.57094052257387162</v>
      </c>
      <c r="K590" s="209">
        <v>6.19</v>
      </c>
      <c r="L590" s="209">
        <v>6.8159999999999998</v>
      </c>
      <c r="M590" s="208"/>
      <c r="N590" s="221"/>
    </row>
    <row r="591" spans="1:14" ht="16.5" customHeight="1" x14ac:dyDescent="0.25">
      <c r="A591" s="203">
        <v>44699</v>
      </c>
      <c r="B591" s="128" t="s">
        <v>28</v>
      </c>
      <c r="C591" s="157" t="str">
        <f t="shared" si="19"/>
        <v>18.05.2022_GRU2</v>
      </c>
      <c r="D591" s="190">
        <f t="shared" si="20"/>
        <v>0</v>
      </c>
      <c r="E591" s="204">
        <v>1.780081902936307E-2</v>
      </c>
      <c r="F591" s="205">
        <v>3.1555941057620732E-2</v>
      </c>
      <c r="G591" s="204">
        <v>1.99855272679429E-2</v>
      </c>
      <c r="H591" s="204">
        <v>2.3316916582384242E-2</v>
      </c>
      <c r="I591" s="209">
        <v>2.665</v>
      </c>
      <c r="J591" s="207">
        <v>0.62456094732179179</v>
      </c>
      <c r="K591" s="209">
        <v>6.923</v>
      </c>
      <c r="L591" s="209">
        <v>5.8680000000000003</v>
      </c>
      <c r="M591" s="208"/>
      <c r="N591" s="221"/>
    </row>
    <row r="592" spans="1:14" ht="16.5" customHeight="1" x14ac:dyDescent="0.25">
      <c r="A592" s="203">
        <v>44699</v>
      </c>
      <c r="B592" s="128" t="s">
        <v>0</v>
      </c>
      <c r="C592" s="157" t="str">
        <f t="shared" si="19"/>
        <v>18.05.2022_KIN1</v>
      </c>
      <c r="D592" s="190">
        <f t="shared" si="20"/>
        <v>0</v>
      </c>
      <c r="E592" s="204">
        <v>2.9668031715605118E-2</v>
      </c>
      <c r="F592" s="205">
        <v>2.7634021248706168E-2</v>
      </c>
      <c r="G592" s="204">
        <v>4.7108742845865414E-2</v>
      </c>
      <c r="H592" s="204">
        <v>1.5544611054922827E-2</v>
      </c>
      <c r="I592" s="209">
        <v>3.6859999999999999</v>
      </c>
      <c r="J592" s="207">
        <v>0.87386884456805736</v>
      </c>
      <c r="K592" s="209">
        <v>6.5289999999999999</v>
      </c>
      <c r="L592" s="209">
        <v>6.4790000000000001</v>
      </c>
      <c r="M592" s="208"/>
      <c r="N592" s="221"/>
    </row>
    <row r="593" spans="1:14" ht="16.5" customHeight="1" x14ac:dyDescent="0.25">
      <c r="A593" s="203">
        <v>44699</v>
      </c>
      <c r="B593" s="128" t="s">
        <v>2</v>
      </c>
      <c r="C593" s="157" t="str">
        <f t="shared" si="19"/>
        <v>18.05.2022_KIN2</v>
      </c>
      <c r="D593" s="190">
        <f t="shared" si="20"/>
        <v>0</v>
      </c>
      <c r="E593" s="204">
        <v>1.5822950248322729E-2</v>
      </c>
      <c r="F593" s="205">
        <v>3.1541313248429792E-2</v>
      </c>
      <c r="G593" s="204">
        <v>1.7130451943951054E-2</v>
      </c>
      <c r="H593" s="204">
        <v>1.2435688843938258E-2</v>
      </c>
      <c r="I593" s="209">
        <v>5.3650000000000002</v>
      </c>
      <c r="J593" s="207">
        <v>1.2288802200984956</v>
      </c>
      <c r="K593" s="209">
        <v>8.4390000000000001</v>
      </c>
      <c r="L593" s="209">
        <v>6.8650000000000002</v>
      </c>
      <c r="M593" s="208"/>
      <c r="N593" s="221"/>
    </row>
    <row r="594" spans="1:14" ht="16.5" customHeight="1" x14ac:dyDescent="0.25">
      <c r="A594" s="203">
        <v>44699</v>
      </c>
      <c r="B594" s="128" t="s">
        <v>4</v>
      </c>
      <c r="C594" s="157" t="str">
        <f t="shared" si="19"/>
        <v>18.05.2022_KIN3</v>
      </c>
      <c r="D594" s="190">
        <f t="shared" si="20"/>
        <v>0</v>
      </c>
      <c r="E594" s="204">
        <v>4.9446719526008535E-2</v>
      </c>
      <c r="F594" s="205">
        <v>6.2795056738636973E-2</v>
      </c>
      <c r="G594" s="204">
        <v>0.20984803631340052</v>
      </c>
      <c r="H594" s="204">
        <v>3.1089222109845646E-2</v>
      </c>
      <c r="I594" s="209">
        <v>5.9870000000000001</v>
      </c>
      <c r="J594" s="207">
        <v>1.5246937053883347</v>
      </c>
      <c r="K594" s="209">
        <v>10.443</v>
      </c>
      <c r="L594" s="209">
        <v>6.7489999999999997</v>
      </c>
      <c r="M594" s="208"/>
      <c r="N594" s="221"/>
    </row>
    <row r="595" spans="1:14" ht="16.5" customHeight="1" x14ac:dyDescent="0.25">
      <c r="A595" s="203">
        <v>44699</v>
      </c>
      <c r="B595" s="128" t="s">
        <v>6</v>
      </c>
      <c r="C595" s="157" t="str">
        <f t="shared" si="19"/>
        <v>18.05.2022_KIN4</v>
      </c>
      <c r="D595" s="190">
        <f t="shared" si="20"/>
        <v>0</v>
      </c>
      <c r="E595" s="204">
        <v>4.5490981963927847E-2</v>
      </c>
      <c r="F595" s="205">
        <v>4.2580322761990662E-2</v>
      </c>
      <c r="G595" s="204">
        <v>1.7130451943951054E-2</v>
      </c>
      <c r="H595" s="204">
        <v>3.1089222109845646E-2</v>
      </c>
      <c r="I595" s="209">
        <v>5.734</v>
      </c>
      <c r="J595" s="207">
        <v>1.317905318301301</v>
      </c>
      <c r="K595" s="209">
        <v>18.228000000000002</v>
      </c>
      <c r="L595" s="209">
        <v>7.8380000000000001</v>
      </c>
      <c r="M595" s="208"/>
      <c r="N595" s="221"/>
    </row>
    <row r="596" spans="1:14" ht="16.5" customHeight="1" x14ac:dyDescent="0.25">
      <c r="A596" s="203">
        <v>44699</v>
      </c>
      <c r="B596" s="128" t="s">
        <v>34</v>
      </c>
      <c r="C596" s="157" t="str">
        <f t="shared" si="19"/>
        <v>18.05.2022_KRE1</v>
      </c>
      <c r="D596" s="190">
        <f t="shared" si="20"/>
        <v>0</v>
      </c>
      <c r="E596" s="204">
        <v>4.9446719526008535E-2</v>
      </c>
      <c r="F596" s="205">
        <v>6.1967343716828258E-2</v>
      </c>
      <c r="G596" s="204">
        <v>0.12705085191763704</v>
      </c>
      <c r="H596" s="204">
        <v>0.24560485466778065</v>
      </c>
      <c r="I596" s="209">
        <v>6.4749999999999996</v>
      </c>
      <c r="J596" s="207">
        <v>1.6359363640091316</v>
      </c>
      <c r="K596" s="209">
        <v>52</v>
      </c>
      <c r="L596" s="209">
        <v>18.766999999999999</v>
      </c>
      <c r="M596" s="208"/>
      <c r="N596" s="221"/>
    </row>
    <row r="597" spans="1:14" ht="16.5" customHeight="1" x14ac:dyDescent="0.25">
      <c r="A597" s="203">
        <v>44699</v>
      </c>
      <c r="B597" s="128" t="s">
        <v>37</v>
      </c>
      <c r="C597" s="157" t="str">
        <f t="shared" si="19"/>
        <v>18.05.2022_KRE2</v>
      </c>
      <c r="D597" s="190">
        <f t="shared" si="20"/>
        <v>0</v>
      </c>
      <c r="E597" s="204">
        <v>5.9336063431210236E-2</v>
      </c>
      <c r="F597" s="205">
        <v>7.4697448069816971E-2</v>
      </c>
      <c r="G597" s="204">
        <v>0.13418854022761662</v>
      </c>
      <c r="H597" s="204">
        <v>0.18498087155358164</v>
      </c>
      <c r="I597" s="209">
        <v>6.0910000000000002</v>
      </c>
      <c r="J597" s="207">
        <v>1.5362876559458298</v>
      </c>
      <c r="K597" s="209">
        <v>53</v>
      </c>
      <c r="L597" s="209">
        <v>21.510999999999999</v>
      </c>
      <c r="M597" s="208"/>
      <c r="N597" s="221"/>
    </row>
    <row r="598" spans="1:14" ht="16.5" customHeight="1" x14ac:dyDescent="0.25">
      <c r="A598" s="203">
        <v>44699</v>
      </c>
      <c r="B598" s="128" t="s">
        <v>18</v>
      </c>
      <c r="C598" s="157" t="str">
        <f t="shared" si="19"/>
        <v>18.05.2022_ORB1</v>
      </c>
      <c r="D598" s="190">
        <f t="shared" si="20"/>
        <v>0</v>
      </c>
      <c r="E598" s="204">
        <v>2.5712294153524436E-2</v>
      </c>
      <c r="F598" s="205">
        <v>2.6722360454939618E-2</v>
      </c>
      <c r="G598" s="204">
        <v>0.36116702848496818</v>
      </c>
      <c r="H598" s="204">
        <v>2.0207994371399671E-2</v>
      </c>
      <c r="I598" s="209">
        <v>5.3140000000000001</v>
      </c>
      <c r="J598" s="207">
        <v>1.4868680898346653</v>
      </c>
      <c r="K598" s="209">
        <v>6.7549999999999999</v>
      </c>
      <c r="L598" s="209">
        <v>7.5869999999999997</v>
      </c>
      <c r="M598" s="208"/>
      <c r="N598" s="221"/>
    </row>
    <row r="599" spans="1:14" ht="16.5" customHeight="1" x14ac:dyDescent="0.25">
      <c r="A599" s="203">
        <v>44699</v>
      </c>
      <c r="B599" s="128" t="s">
        <v>21</v>
      </c>
      <c r="C599" s="157" t="str">
        <f t="shared" si="19"/>
        <v>18.05.2022_ORB2</v>
      </c>
      <c r="D599" s="190">
        <f t="shared" si="20"/>
        <v>0</v>
      </c>
      <c r="E599" s="204">
        <v>2.9668031715605118E-2</v>
      </c>
      <c r="F599" s="205">
        <v>2.4082393981025033E-2</v>
      </c>
      <c r="G599" s="204">
        <v>3.2833366225906185E-2</v>
      </c>
      <c r="H599" s="204">
        <v>1.865353326590739E-2</v>
      </c>
      <c r="I599" s="209">
        <v>5.359</v>
      </c>
      <c r="J599" s="207">
        <v>1.2416111787435595</v>
      </c>
      <c r="K599" s="209">
        <v>11.366</v>
      </c>
      <c r="L599" s="209">
        <v>10.115</v>
      </c>
      <c r="M599" s="208"/>
      <c r="N599" s="221"/>
    </row>
    <row r="600" spans="1:14" ht="16.5" customHeight="1" x14ac:dyDescent="0.25">
      <c r="A600" s="203">
        <v>44699</v>
      </c>
      <c r="B600" s="128" t="s">
        <v>10</v>
      </c>
      <c r="C600" s="157" t="str">
        <f t="shared" si="19"/>
        <v>18.05.2022_SAL1</v>
      </c>
      <c r="D600" s="190">
        <f t="shared" si="20"/>
        <v>0</v>
      </c>
      <c r="E600" s="204">
        <v>0.10087130783305739</v>
      </c>
      <c r="F600" s="205">
        <v>0.11755142855869462</v>
      </c>
      <c r="G600" s="204">
        <v>0.22555095059535557</v>
      </c>
      <c r="H600" s="204">
        <v>0.203634404819489</v>
      </c>
      <c r="I600" s="209">
        <v>7.5620000000000003</v>
      </c>
      <c r="J600" s="207">
        <v>1.9451634921750811</v>
      </c>
      <c r="K600" s="209">
        <v>7.7110000000000003</v>
      </c>
      <c r="L600" s="209">
        <v>3.661</v>
      </c>
      <c r="M600" s="208"/>
      <c r="N600" s="221"/>
    </row>
    <row r="601" spans="1:14" ht="16.5" customHeight="1" x14ac:dyDescent="0.25">
      <c r="A601" s="203">
        <v>44699</v>
      </c>
      <c r="B601" s="128" t="s">
        <v>12</v>
      </c>
      <c r="C601" s="157" t="str">
        <f t="shared" si="19"/>
        <v>18.05.2022_SAL2</v>
      </c>
      <c r="D601" s="190">
        <f t="shared" si="20"/>
        <v>0</v>
      </c>
      <c r="E601" s="204">
        <v>0.1147163893003398</v>
      </c>
      <c r="F601" s="205">
        <v>0.12886947614275293</v>
      </c>
      <c r="G601" s="204">
        <v>8.993487270574306E-2</v>
      </c>
      <c r="H601" s="204">
        <v>0.12902027175585945</v>
      </c>
      <c r="I601" s="209">
        <v>6.6680000000000001</v>
      </c>
      <c r="J601" s="207">
        <v>1.615214911043354</v>
      </c>
      <c r="K601" s="209">
        <v>8.5030000000000001</v>
      </c>
      <c r="L601" s="209">
        <v>3.4820000000000002</v>
      </c>
      <c r="M601" s="208"/>
      <c r="N601" s="221"/>
    </row>
    <row r="602" spans="1:14" ht="16.5" customHeight="1" x14ac:dyDescent="0.25">
      <c r="A602" s="203">
        <v>44699</v>
      </c>
      <c r="B602" s="128" t="s">
        <v>7</v>
      </c>
      <c r="C602" s="157" t="str">
        <f t="shared" si="19"/>
        <v>18.05.2022_STE1</v>
      </c>
      <c r="D602" s="190">
        <f t="shared" si="20"/>
        <v>0</v>
      </c>
      <c r="E602" s="204">
        <v>5.1424588307048873E-2</v>
      </c>
      <c r="F602" s="205">
        <v>6.048034164373111E-2</v>
      </c>
      <c r="G602" s="204">
        <v>7.137688309979605E-3</v>
      </c>
      <c r="H602" s="204">
        <v>2.1762455476891956E-2</v>
      </c>
      <c r="I602" s="209">
        <v>6.8929999999999998</v>
      </c>
      <c r="J602" s="207">
        <v>1.5690898331657555</v>
      </c>
      <c r="K602" s="209">
        <v>8.6199999999999992</v>
      </c>
      <c r="L602" s="209">
        <v>5.6029999999999998</v>
      </c>
      <c r="M602" s="208"/>
      <c r="N602" s="221"/>
    </row>
    <row r="603" spans="1:14" ht="16.5" customHeight="1" x14ac:dyDescent="0.25">
      <c r="A603" s="203">
        <v>44699</v>
      </c>
      <c r="B603" s="128" t="s">
        <v>9</v>
      </c>
      <c r="C603" s="157" t="str">
        <f t="shared" si="19"/>
        <v>18.05.2022_STE2</v>
      </c>
      <c r="D603" s="190">
        <f t="shared" si="20"/>
        <v>0</v>
      </c>
      <c r="E603" s="204">
        <v>5.5380325869129554E-2</v>
      </c>
      <c r="F603" s="205">
        <v>5.8934098144380213E-2</v>
      </c>
      <c r="G603" s="204">
        <v>5.8529044141832777E-2</v>
      </c>
      <c r="H603" s="204">
        <v>3.5752605426322498E-2</v>
      </c>
      <c r="I603" s="209">
        <v>6.6470000000000002</v>
      </c>
      <c r="J603" s="207">
        <v>1.5576899882077355</v>
      </c>
      <c r="K603" s="209">
        <v>9.9469999999999992</v>
      </c>
      <c r="L603" s="209">
        <v>5.2610000000000001</v>
      </c>
      <c r="M603" s="208"/>
      <c r="N603" s="221"/>
    </row>
    <row r="604" spans="1:14" ht="16.5" customHeight="1" x14ac:dyDescent="0.25">
      <c r="A604" s="203">
        <v>44712</v>
      </c>
      <c r="B604" s="128" t="s">
        <v>22</v>
      </c>
      <c r="C604" s="157" t="str">
        <f t="shared" si="19"/>
        <v>31.05.2022_BIE1</v>
      </c>
      <c r="D604" s="190">
        <f t="shared" si="20"/>
        <v>0</v>
      </c>
      <c r="E604" s="204">
        <v>3.7767240662174531E-2</v>
      </c>
      <c r="F604" s="205">
        <v>2.4843606093136478E-2</v>
      </c>
      <c r="G604" s="204">
        <v>4.5902476384988518E-2</v>
      </c>
      <c r="H604" s="204">
        <v>2.300318133616119E-2</v>
      </c>
      <c r="I604" s="209">
        <v>2.577</v>
      </c>
      <c r="J604" s="207">
        <v>0.62471312244597388</v>
      </c>
      <c r="K604" s="209">
        <v>5.4820000000000002</v>
      </c>
      <c r="L604" s="209">
        <v>11.6</v>
      </c>
      <c r="M604" s="208"/>
      <c r="N604" s="221"/>
    </row>
    <row r="605" spans="1:14" ht="16.5" customHeight="1" x14ac:dyDescent="0.25">
      <c r="A605" s="203">
        <v>44712</v>
      </c>
      <c r="B605" s="128" t="s">
        <v>25</v>
      </c>
      <c r="C605" s="157" t="str">
        <f t="shared" si="19"/>
        <v>31.05.2022_BIE2</v>
      </c>
      <c r="D605" s="190">
        <f t="shared" si="20"/>
        <v>0</v>
      </c>
      <c r="E605" s="204">
        <v>3.965560269528326E-2</v>
      </c>
      <c r="F605" s="205">
        <v>2.4532653030673365E-2</v>
      </c>
      <c r="G605" s="204">
        <v>6.489660454429412E-2</v>
      </c>
      <c r="H605" s="204">
        <v>3.5181336161187696E-2</v>
      </c>
      <c r="I605" s="209">
        <v>2.5409999999999999</v>
      </c>
      <c r="J605" s="207">
        <v>0.63503819225687241</v>
      </c>
      <c r="K605" s="209">
        <v>5.9409999999999998</v>
      </c>
      <c r="L605" s="209">
        <v>11.452</v>
      </c>
      <c r="M605" s="208"/>
      <c r="N605" s="221"/>
    </row>
    <row r="606" spans="1:14" ht="16.5" customHeight="1" x14ac:dyDescent="0.25">
      <c r="A606" s="203">
        <v>44712</v>
      </c>
      <c r="B606" s="128" t="s">
        <v>14</v>
      </c>
      <c r="C606" s="157" t="str">
        <f t="shared" si="19"/>
        <v>31.05.2022_BRA1</v>
      </c>
      <c r="D606" s="190">
        <f t="shared" si="20"/>
        <v>0</v>
      </c>
      <c r="E606" s="204">
        <v>5.4762498960153068E-2</v>
      </c>
      <c r="F606" s="205">
        <v>2.8736362407352466E-2</v>
      </c>
      <c r="G606" s="204">
        <v>4.9068164411539439E-2</v>
      </c>
      <c r="H606" s="204">
        <v>4.8712619300106043E-2</v>
      </c>
      <c r="I606" s="209">
        <v>5.7460000000000004</v>
      </c>
      <c r="J606" s="207">
        <v>1.3507805159298336</v>
      </c>
      <c r="K606" s="209">
        <v>4.5789999999999997</v>
      </c>
      <c r="L606" s="209">
        <v>3.444</v>
      </c>
      <c r="M606" s="208"/>
      <c r="N606" s="221"/>
    </row>
    <row r="607" spans="1:14" ht="16.5" customHeight="1" x14ac:dyDescent="0.25">
      <c r="A607" s="203">
        <v>44712</v>
      </c>
      <c r="B607" s="128" t="s">
        <v>17</v>
      </c>
      <c r="C607" s="157" t="str">
        <f t="shared" si="19"/>
        <v>31.05.2022_BRA2</v>
      </c>
      <c r="D607" s="190">
        <f t="shared" si="20"/>
        <v>0</v>
      </c>
      <c r="E607" s="204">
        <v>7.5534481324349062E-2</v>
      </c>
      <c r="F607" s="205">
        <v>6.3035944983351661E-2</v>
      </c>
      <c r="G607" s="204">
        <v>1.1079908092928267E-2</v>
      </c>
      <c r="H607" s="204">
        <v>2.4356309650053025E-2</v>
      </c>
      <c r="I607" s="209">
        <v>9.3819999999999997</v>
      </c>
      <c r="J607" s="207">
        <v>2.1351310563080363</v>
      </c>
      <c r="K607" s="209">
        <v>8.6880000000000006</v>
      </c>
      <c r="L607" s="209">
        <v>4.6879999999999997</v>
      </c>
      <c r="M607" s="208"/>
      <c r="N607" s="221"/>
    </row>
    <row r="608" spans="1:14" ht="16.5" customHeight="1" x14ac:dyDescent="0.25">
      <c r="A608" s="203">
        <v>44712</v>
      </c>
      <c r="B608" s="128" t="s">
        <v>30</v>
      </c>
      <c r="C608" s="157" t="str">
        <f t="shared" si="19"/>
        <v>31.05.2022_FAL1</v>
      </c>
      <c r="D608" s="190">
        <f t="shared" si="20"/>
        <v>0</v>
      </c>
      <c r="E608" s="204">
        <v>0.1567340487480243</v>
      </c>
      <c r="F608" s="205">
        <v>7.1352380901978305E-2</v>
      </c>
      <c r="G608" s="204">
        <v>9.3387796783252486E-2</v>
      </c>
      <c r="H608" s="204">
        <v>0.14072534464475081</v>
      </c>
      <c r="I608" s="209">
        <v>5.5720000000000001</v>
      </c>
      <c r="J608" s="207">
        <v>1.3739061615013222</v>
      </c>
      <c r="K608" s="209">
        <v>53</v>
      </c>
      <c r="L608" s="209">
        <v>28.872</v>
      </c>
      <c r="M608" s="208"/>
      <c r="N608" s="221"/>
    </row>
    <row r="609" spans="1:14" ht="16.5" customHeight="1" x14ac:dyDescent="0.25">
      <c r="A609" s="203">
        <v>44712</v>
      </c>
      <c r="B609" s="128" t="s">
        <v>32</v>
      </c>
      <c r="C609" s="157" t="str">
        <f t="shared" si="19"/>
        <v>31.05.2022_FAL2</v>
      </c>
      <c r="D609" s="190">
        <f t="shared" si="20"/>
        <v>0</v>
      </c>
      <c r="E609" s="204">
        <v>6.7981033191914148E-2</v>
      </c>
      <c r="F609" s="205">
        <v>0.15235766039378673</v>
      </c>
      <c r="G609" s="204">
        <v>8.547357671687518E-2</v>
      </c>
      <c r="H609" s="204">
        <v>0.12313467656415696</v>
      </c>
      <c r="I609" s="209">
        <v>13.83</v>
      </c>
      <c r="J609" s="207">
        <v>3.2276398298648434</v>
      </c>
      <c r="K609" s="209">
        <v>42</v>
      </c>
      <c r="L609" s="209">
        <v>30.474</v>
      </c>
      <c r="M609" s="208"/>
      <c r="N609" s="221"/>
    </row>
    <row r="610" spans="1:14" ht="16.5" customHeight="1" x14ac:dyDescent="0.25">
      <c r="A610" s="203">
        <v>44712</v>
      </c>
      <c r="B610" s="128" t="s">
        <v>26</v>
      </c>
      <c r="C610" s="157" t="str">
        <f t="shared" si="19"/>
        <v>31.05.2022_GRU1</v>
      </c>
      <c r="D610" s="190">
        <f t="shared" si="20"/>
        <v>0</v>
      </c>
      <c r="E610" s="204">
        <v>4.7209050827718167E-2</v>
      </c>
      <c r="F610" s="205">
        <v>7.1652853225739679E-2</v>
      </c>
      <c r="G610" s="204">
        <v>4.5902476384988518E-2</v>
      </c>
      <c r="H610" s="204">
        <v>1.6237539766702013E-2</v>
      </c>
      <c r="I610" s="209">
        <v>2.7559999999999998</v>
      </c>
      <c r="J610" s="207">
        <v>0.66308405287015204</v>
      </c>
      <c r="K610" s="209">
        <v>6.4379999999999997</v>
      </c>
      <c r="L610" s="209">
        <v>10.053000000000001</v>
      </c>
      <c r="M610" s="208"/>
      <c r="N610" s="221"/>
    </row>
    <row r="611" spans="1:14" ht="16.5" customHeight="1" x14ac:dyDescent="0.25">
      <c r="A611" s="203">
        <v>44712</v>
      </c>
      <c r="B611" s="128" t="s">
        <v>28</v>
      </c>
      <c r="C611" s="157" t="str">
        <f t="shared" si="19"/>
        <v>31.05.2022_GRU2</v>
      </c>
      <c r="D611" s="190">
        <f t="shared" si="20"/>
        <v>0</v>
      </c>
      <c r="E611" s="204">
        <v>3.3990516595957074E-2</v>
      </c>
      <c r="F611" s="205">
        <v>3.864526578448186E-2</v>
      </c>
      <c r="G611" s="204">
        <v>9.8136328823078892E-2</v>
      </c>
      <c r="H611" s="204">
        <v>3.5181336161187696E-2</v>
      </c>
      <c r="I611" s="209">
        <v>3.0619999999999998</v>
      </c>
      <c r="J611" s="207">
        <v>0.77852677576210594</v>
      </c>
      <c r="K611" s="209">
        <v>7.2510000000000003</v>
      </c>
      <c r="L611" s="209">
        <v>8.5950000000000006</v>
      </c>
      <c r="M611" s="208"/>
      <c r="N611" s="221"/>
    </row>
    <row r="612" spans="1:14" ht="16.5" customHeight="1" x14ac:dyDescent="0.25">
      <c r="A612" s="203">
        <v>44712</v>
      </c>
      <c r="B612" s="128" t="s">
        <v>0</v>
      </c>
      <c r="C612" s="157" t="str">
        <f t="shared" si="19"/>
        <v>31.05.2022_KIN1</v>
      </c>
      <c r="D612" s="190">
        <f t="shared" si="20"/>
        <v>0</v>
      </c>
      <c r="E612" s="204">
        <v>4.1543964728391981E-2</v>
      </c>
      <c r="F612" s="205">
        <v>3.0257551338303657E-2</v>
      </c>
      <c r="G612" s="204">
        <v>4.2736788358437583E-2</v>
      </c>
      <c r="H612" s="204">
        <v>1.3531283138918345E-2</v>
      </c>
      <c r="I612" s="209">
        <v>3.718</v>
      </c>
      <c r="J612" s="207">
        <v>0.87708894794408687</v>
      </c>
      <c r="K612" s="209">
        <v>6.8390000000000004</v>
      </c>
      <c r="L612" s="209">
        <v>9.2590000000000003</v>
      </c>
      <c r="M612" s="208"/>
      <c r="N612" s="221"/>
    </row>
    <row r="613" spans="1:14" ht="16.5" customHeight="1" x14ac:dyDescent="0.25">
      <c r="A613" s="203">
        <v>44712</v>
      </c>
      <c r="B613" s="128" t="s">
        <v>2</v>
      </c>
      <c r="C613" s="157" t="str">
        <f t="shared" si="19"/>
        <v>31.05.2022_KIN2</v>
      </c>
      <c r="D613" s="190">
        <f t="shared" si="20"/>
        <v>0</v>
      </c>
      <c r="E613" s="204">
        <v>3.3990516595957074E-2</v>
      </c>
      <c r="F613" s="205">
        <v>3.3414240966920042E-2</v>
      </c>
      <c r="G613" s="204">
        <v>1.8994128159305592E-2</v>
      </c>
      <c r="H613" s="204">
        <v>1.7590668080593848E-2</v>
      </c>
      <c r="I613" s="209">
        <v>5.2709999999999999</v>
      </c>
      <c r="J613" s="207">
        <v>1.2106649994715559</v>
      </c>
      <c r="K613" s="209">
        <v>8.609</v>
      </c>
      <c r="L613" s="209">
        <v>10.628</v>
      </c>
      <c r="M613" s="208"/>
      <c r="N613" s="221"/>
    </row>
    <row r="614" spans="1:14" ht="16.5" customHeight="1" x14ac:dyDescent="0.25">
      <c r="A614" s="203">
        <v>44712</v>
      </c>
      <c r="B614" s="128" t="s">
        <v>4</v>
      </c>
      <c r="C614" s="157" t="str">
        <f t="shared" si="19"/>
        <v>31.05.2022_KIN3</v>
      </c>
      <c r="D614" s="190">
        <f t="shared" si="20"/>
        <v>0</v>
      </c>
      <c r="E614" s="204">
        <v>4.1543964728391981E-2</v>
      </c>
      <c r="F614" s="205">
        <v>2.7721566826633657E-2</v>
      </c>
      <c r="G614" s="204">
        <v>4.2736788358437583E-2</v>
      </c>
      <c r="H614" s="204">
        <v>2.570943796394486E-2</v>
      </c>
      <c r="I614" s="209">
        <v>5.56</v>
      </c>
      <c r="J614" s="207">
        <v>1.296849127180566</v>
      </c>
      <c r="K614" s="209">
        <v>9.9629999999999992</v>
      </c>
      <c r="L614" s="209">
        <v>10.956</v>
      </c>
      <c r="M614" s="208"/>
      <c r="N614" s="221"/>
    </row>
    <row r="615" spans="1:14" ht="16.5" customHeight="1" x14ac:dyDescent="0.25">
      <c r="A615" s="203">
        <v>44712</v>
      </c>
      <c r="B615" s="128" t="s">
        <v>6</v>
      </c>
      <c r="C615" s="157" t="str">
        <f t="shared" si="19"/>
        <v>31.05.2022_KIN4</v>
      </c>
      <c r="D615" s="190">
        <f t="shared" si="20"/>
        <v>0</v>
      </c>
      <c r="E615" s="204">
        <v>4.9097412860826889E-2</v>
      </c>
      <c r="F615" s="205">
        <v>3.1943619656127104E-2</v>
      </c>
      <c r="G615" s="204">
        <v>6.3313760531018656E-2</v>
      </c>
      <c r="H615" s="204">
        <v>4.3300106044538704E-2</v>
      </c>
      <c r="I615" s="209">
        <v>8.9459999999999997</v>
      </c>
      <c r="J615" s="207">
        <v>2.0829782391999903</v>
      </c>
      <c r="K615" s="209">
        <v>18.721</v>
      </c>
      <c r="L615" s="209">
        <v>12</v>
      </c>
      <c r="M615" s="208"/>
      <c r="N615" s="221"/>
    </row>
    <row r="616" spans="1:14" ht="16.5" customHeight="1" x14ac:dyDescent="0.25">
      <c r="A616" s="203">
        <v>44712</v>
      </c>
      <c r="B616" s="128" t="s">
        <v>34</v>
      </c>
      <c r="C616" s="157" t="str">
        <f t="shared" si="19"/>
        <v>31.05.2022_KRE1</v>
      </c>
      <c r="D616" s="190">
        <f t="shared" si="20"/>
        <v>0</v>
      </c>
      <c r="E616" s="204">
        <v>6.0427585059479247E-2</v>
      </c>
      <c r="F616" s="205">
        <v>4.166045248010692E-2</v>
      </c>
      <c r="G616" s="204">
        <v>0.12029614500893542</v>
      </c>
      <c r="H616" s="204">
        <v>0.10148462354188761</v>
      </c>
      <c r="I616" s="209">
        <v>5.0410000000000004</v>
      </c>
      <c r="J616" s="207">
        <v>1.262916417275316</v>
      </c>
      <c r="K616" s="209">
        <v>61</v>
      </c>
      <c r="L616" s="209">
        <v>29.608000000000001</v>
      </c>
      <c r="M616" s="208"/>
      <c r="N616" s="221"/>
    </row>
    <row r="617" spans="1:14" ht="16.5" customHeight="1" x14ac:dyDescent="0.25">
      <c r="A617" s="203">
        <v>44712</v>
      </c>
      <c r="B617" s="128" t="s">
        <v>37</v>
      </c>
      <c r="C617" s="157" t="str">
        <f t="shared" si="19"/>
        <v>31.05.2022_KRE2</v>
      </c>
      <c r="D617" s="190">
        <f t="shared" si="20"/>
        <v>0</v>
      </c>
      <c r="E617" s="204">
        <v>9.6306463688545049E-2</v>
      </c>
      <c r="F617" s="205">
        <v>6.1889902559368631E-2</v>
      </c>
      <c r="G617" s="204">
        <v>0.44319632371713047</v>
      </c>
      <c r="H617" s="204">
        <v>0.26521314952279956</v>
      </c>
      <c r="I617" s="209">
        <v>6.4989999999999997</v>
      </c>
      <c r="J617" s="207">
        <v>1.8928107867753308</v>
      </c>
      <c r="K617" s="209">
        <v>57</v>
      </c>
      <c r="L617" s="209">
        <v>35</v>
      </c>
      <c r="M617" s="208"/>
      <c r="N617" s="221"/>
    </row>
    <row r="618" spans="1:14" ht="16.5" customHeight="1" x14ac:dyDescent="0.25">
      <c r="A618" s="203">
        <v>44712</v>
      </c>
      <c r="B618" s="128" t="s">
        <v>18</v>
      </c>
      <c r="C618" s="157" t="str">
        <f t="shared" si="19"/>
        <v>31.05.2022_ORB1</v>
      </c>
      <c r="D618" s="190">
        <f t="shared" si="20"/>
        <v>0</v>
      </c>
      <c r="E618" s="204">
        <v>5.0985774893935618E-2</v>
      </c>
      <c r="F618" s="205">
        <v>9.9365688983570261E-2</v>
      </c>
      <c r="G618" s="204">
        <v>2.0576972172581059E-2</v>
      </c>
      <c r="H618" s="204">
        <v>1.8943796394485686E-2</v>
      </c>
      <c r="I618" s="209">
        <v>5.6920000000000002</v>
      </c>
      <c r="J618" s="207">
        <v>1.3073972919345886</v>
      </c>
      <c r="K618" s="209">
        <v>6.2249999999999996</v>
      </c>
      <c r="L618" s="209">
        <v>11.425000000000001</v>
      </c>
      <c r="M618" s="208"/>
      <c r="N618" s="221"/>
    </row>
    <row r="619" spans="1:14" ht="16.5" customHeight="1" x14ac:dyDescent="0.25">
      <c r="A619" s="203">
        <v>44712</v>
      </c>
      <c r="B619" s="128" t="s">
        <v>21</v>
      </c>
      <c r="C619" s="157" t="str">
        <f t="shared" si="19"/>
        <v>31.05.2022_ORB2</v>
      </c>
      <c r="D619" s="190">
        <f t="shared" si="20"/>
        <v>0</v>
      </c>
      <c r="E619" s="204">
        <v>6.6092671158805433E-2</v>
      </c>
      <c r="F619" s="205">
        <v>4.4378877880224848E-2</v>
      </c>
      <c r="G619" s="204">
        <v>4.7485320398263989E-2</v>
      </c>
      <c r="H619" s="204">
        <v>2.570943796394486E-2</v>
      </c>
      <c r="I619" s="209">
        <v>5.835</v>
      </c>
      <c r="J619" s="207">
        <v>1.3626505648241711</v>
      </c>
      <c r="K619" s="209">
        <v>12.523</v>
      </c>
      <c r="L619" s="209">
        <v>13.662000000000001</v>
      </c>
      <c r="M619" s="208"/>
      <c r="N619" s="221"/>
    </row>
    <row r="620" spans="1:14" ht="16.5" customHeight="1" x14ac:dyDescent="0.25">
      <c r="A620" s="203">
        <v>44712</v>
      </c>
      <c r="B620" s="128" t="s">
        <v>10</v>
      </c>
      <c r="C620" s="157" t="str">
        <f t="shared" si="19"/>
        <v>31.05.2022_SAL1</v>
      </c>
      <c r="D620" s="190">
        <f t="shared" si="20"/>
        <v>0</v>
      </c>
      <c r="E620" s="204">
        <v>0.10763663588719741</v>
      </c>
      <c r="F620" s="205">
        <v>6.9126420615664708E-2</v>
      </c>
      <c r="G620" s="204">
        <v>1.7411284146030125E-2</v>
      </c>
      <c r="H620" s="204">
        <v>3.1121951219512195E-2</v>
      </c>
      <c r="I620" s="209">
        <v>6.9130000000000003</v>
      </c>
      <c r="J620" s="207">
        <v>1.5844340760753313</v>
      </c>
      <c r="K620" s="209">
        <v>6.9909999999999997</v>
      </c>
      <c r="L620" s="209">
        <v>4.673</v>
      </c>
      <c r="M620" s="208"/>
      <c r="N620" s="221"/>
    </row>
    <row r="621" spans="1:14" ht="16.5" customHeight="1" x14ac:dyDescent="0.25">
      <c r="A621" s="203">
        <v>44712</v>
      </c>
      <c r="B621" s="128" t="s">
        <v>12</v>
      </c>
      <c r="C621" s="157" t="str">
        <f t="shared" si="19"/>
        <v>31.05.2022_SAL2</v>
      </c>
      <c r="D621" s="190">
        <f t="shared" si="20"/>
        <v>0</v>
      </c>
      <c r="E621" s="204">
        <v>9.2529739622327606E-2</v>
      </c>
      <c r="F621" s="205">
        <v>0.11283860082155704</v>
      </c>
      <c r="G621" s="204">
        <v>1.2662752106203724E-2</v>
      </c>
      <c r="H621" s="204">
        <v>2.1650053022269352E-2</v>
      </c>
      <c r="I621" s="209">
        <v>5.3230000000000004</v>
      </c>
      <c r="J621" s="207">
        <v>1.2187298690255759</v>
      </c>
      <c r="K621" s="209">
        <v>7.54</v>
      </c>
      <c r="L621" s="209">
        <v>5.173</v>
      </c>
      <c r="M621" s="208"/>
      <c r="N621" s="221"/>
    </row>
    <row r="622" spans="1:14" ht="16.5" customHeight="1" x14ac:dyDescent="0.25">
      <c r="A622" s="203">
        <v>44712</v>
      </c>
      <c r="B622" s="128" t="s">
        <v>7</v>
      </c>
      <c r="C622" s="157" t="str">
        <f t="shared" si="19"/>
        <v>31.05.2022_STE1</v>
      </c>
      <c r="D622" s="190">
        <f t="shared" si="20"/>
        <v>0</v>
      </c>
      <c r="E622" s="204">
        <v>6.7981033191914148E-2</v>
      </c>
      <c r="F622" s="205">
        <v>9.7829098637338074E-2</v>
      </c>
      <c r="G622" s="204">
        <v>1.5828440132754657E-2</v>
      </c>
      <c r="H622" s="204">
        <v>1.2178154825026511E-2</v>
      </c>
      <c r="I622" s="209">
        <v>7.3470000000000004</v>
      </c>
      <c r="J622" s="207">
        <v>1.6754651547151622</v>
      </c>
      <c r="K622" s="209">
        <v>8.9659999999999993</v>
      </c>
      <c r="L622" s="209">
        <v>7.4279999999999999</v>
      </c>
      <c r="M622" s="208"/>
      <c r="N622" s="221"/>
    </row>
    <row r="623" spans="1:14" ht="16.5" customHeight="1" x14ac:dyDescent="0.25">
      <c r="A623" s="203">
        <v>44712</v>
      </c>
      <c r="B623" s="128" t="s">
        <v>9</v>
      </c>
      <c r="C623" s="157" t="str">
        <f t="shared" si="19"/>
        <v>31.05.2022_STE2</v>
      </c>
      <c r="D623" s="190">
        <f t="shared" si="20"/>
        <v>0</v>
      </c>
      <c r="E623" s="204">
        <v>6.2315947092587975E-2</v>
      </c>
      <c r="F623" s="205">
        <v>6.5624190622834935E-2</v>
      </c>
      <c r="G623" s="204">
        <v>9.4970640796527995E-3</v>
      </c>
      <c r="H623" s="204">
        <v>1.8943796394485686E-2</v>
      </c>
      <c r="I623" s="209">
        <v>6.3879999999999999</v>
      </c>
      <c r="J623" s="207">
        <v>1.4559993740995107</v>
      </c>
      <c r="K623" s="209">
        <v>9.9730000000000008</v>
      </c>
      <c r="L623" s="209">
        <v>7.5620000000000003</v>
      </c>
      <c r="M623" s="208"/>
      <c r="N623" s="221"/>
    </row>
    <row r="624" spans="1:14" ht="16.5" customHeight="1" x14ac:dyDescent="0.25">
      <c r="A624" s="203">
        <v>44727</v>
      </c>
      <c r="B624" s="128" t="s">
        <v>22</v>
      </c>
      <c r="C624" s="157" t="str">
        <f t="shared" si="19"/>
        <v>15.06.2022_BIE1</v>
      </c>
      <c r="D624" s="190">
        <f t="shared" si="20"/>
        <v>0</v>
      </c>
      <c r="E624" s="204">
        <v>2.1899666725135936E-2</v>
      </c>
      <c r="F624" s="205">
        <v>5.8057900832276563E-2</v>
      </c>
      <c r="G624" s="204">
        <v>4.5902476384988518E-2</v>
      </c>
      <c r="H624" s="204">
        <v>0.03</v>
      </c>
      <c r="I624" s="209">
        <v>3.073</v>
      </c>
      <c r="J624" s="207">
        <v>0.73887482388817971</v>
      </c>
      <c r="K624" s="209">
        <v>5.5949999999999998</v>
      </c>
      <c r="L624" s="209">
        <v>11.664999999999999</v>
      </c>
      <c r="M624" s="208"/>
      <c r="N624" s="221"/>
    </row>
    <row r="625" spans="1:14" ht="16.5" customHeight="1" x14ac:dyDescent="0.25">
      <c r="A625" s="203">
        <v>44727</v>
      </c>
      <c r="B625" s="128" t="s">
        <v>25</v>
      </c>
      <c r="C625" s="157" t="str">
        <f t="shared" si="19"/>
        <v>15.06.2022_BIE2</v>
      </c>
      <c r="D625" s="190">
        <f t="shared" si="20"/>
        <v>0</v>
      </c>
      <c r="E625" s="204">
        <v>2.9863181897912639E-2</v>
      </c>
      <c r="F625" s="205">
        <v>4.1054448910482065E-2</v>
      </c>
      <c r="G625" s="204">
        <v>6.489660454429412E-2</v>
      </c>
      <c r="H625" s="204">
        <v>2.3E-2</v>
      </c>
      <c r="I625" s="209">
        <v>2.98</v>
      </c>
      <c r="J625" s="207">
        <v>0.73048651446259893</v>
      </c>
      <c r="K625" s="209">
        <v>5.9749999999999996</v>
      </c>
      <c r="L625" s="209">
        <v>11.317</v>
      </c>
      <c r="M625" s="208"/>
      <c r="N625" s="221"/>
    </row>
    <row r="626" spans="1:14" ht="16.5" customHeight="1" x14ac:dyDescent="0.25">
      <c r="A626" s="203">
        <v>44727</v>
      </c>
      <c r="B626" s="128" t="s">
        <v>14</v>
      </c>
      <c r="C626" s="157" t="str">
        <f t="shared" si="19"/>
        <v>15.06.2022_BRA1</v>
      </c>
      <c r="D626" s="190">
        <f t="shared" si="20"/>
        <v>0</v>
      </c>
      <c r="E626" s="204">
        <v>3.7826697070689343E-2</v>
      </c>
      <c r="F626" s="205">
        <v>7.1041116787088757E-2</v>
      </c>
      <c r="G626" s="204">
        <v>4.9068164411539439E-2</v>
      </c>
      <c r="H626" s="204">
        <v>5.5E-2</v>
      </c>
      <c r="I626" s="209">
        <v>5.1619999999999999</v>
      </c>
      <c r="J626" s="207">
        <v>1.220786628983916</v>
      </c>
      <c r="K626" s="209">
        <v>4.2469999999999999</v>
      </c>
      <c r="L626" s="209">
        <v>2.6829999999999998</v>
      </c>
      <c r="M626" s="208"/>
      <c r="N626" s="221"/>
    </row>
    <row r="627" spans="1:14" ht="16.5" customHeight="1" x14ac:dyDescent="0.25">
      <c r="A627" s="203">
        <v>44727</v>
      </c>
      <c r="B627" s="128" t="s">
        <v>17</v>
      </c>
      <c r="C627" s="157" t="str">
        <f t="shared" si="19"/>
        <v>15.06.2022_BRA2</v>
      </c>
      <c r="D627" s="190">
        <f t="shared" si="20"/>
        <v>0</v>
      </c>
      <c r="E627" s="204">
        <v>6.5699000175407807E-2</v>
      </c>
      <c r="F627" s="205">
        <v>9.4333050811483646E-2</v>
      </c>
      <c r="G627" s="204">
        <v>1.1079908092928267E-2</v>
      </c>
      <c r="H627" s="204">
        <v>2.9346754527058583E-2</v>
      </c>
      <c r="I627" s="209">
        <v>8.7040000000000006</v>
      </c>
      <c r="J627" s="207">
        <v>1.9835105372508408</v>
      </c>
      <c r="K627" s="209">
        <v>8.4049999999999994</v>
      </c>
      <c r="L627" s="209">
        <v>3.9329999999999998</v>
      </c>
      <c r="M627" s="208"/>
      <c r="N627" s="221"/>
    </row>
    <row r="628" spans="1:14" ht="16.5" customHeight="1" x14ac:dyDescent="0.25">
      <c r="A628" s="203">
        <v>44727</v>
      </c>
      <c r="B628" s="128" t="s">
        <v>30</v>
      </c>
      <c r="C628" s="157" t="str">
        <f t="shared" si="19"/>
        <v>15.06.2022_FAL1</v>
      </c>
      <c r="D628" s="190">
        <f t="shared" si="20"/>
        <v>0</v>
      </c>
      <c r="E628" s="204">
        <v>0.20306963690580593</v>
      </c>
      <c r="F628" s="205">
        <v>0.2570615274356523</v>
      </c>
      <c r="G628" s="204">
        <v>9.3387796783252486E-2</v>
      </c>
      <c r="H628" s="204">
        <v>0.13206039537176362</v>
      </c>
      <c r="I628" s="209">
        <v>11.069000000000001</v>
      </c>
      <c r="J628" s="207">
        <v>2.6128755076951613</v>
      </c>
      <c r="K628" s="209">
        <v>51</v>
      </c>
      <c r="L628" s="209">
        <v>22.204999999999998</v>
      </c>
      <c r="M628" s="208"/>
      <c r="N628" s="221"/>
    </row>
    <row r="629" spans="1:14" ht="16.5" customHeight="1" x14ac:dyDescent="0.25">
      <c r="A629" s="203">
        <v>44727</v>
      </c>
      <c r="B629" s="128" t="s">
        <v>32</v>
      </c>
      <c r="C629" s="157" t="str">
        <f t="shared" si="19"/>
        <v>15.06.2022_FAL2</v>
      </c>
      <c r="D629" s="190">
        <f t="shared" si="20"/>
        <v>0</v>
      </c>
      <c r="E629" s="204">
        <v>0.11945272759165056</v>
      </c>
      <c r="F629" s="205">
        <v>0.1688512196255515</v>
      </c>
      <c r="G629" s="204">
        <v>8.547357671687518E-2</v>
      </c>
      <c r="H629" s="204">
        <v>7.5201058475587626E-2</v>
      </c>
      <c r="I629" s="209">
        <v>11.489000000000001</v>
      </c>
      <c r="J629" s="207">
        <v>2.6842847698377788</v>
      </c>
      <c r="K629" s="209">
        <v>49</v>
      </c>
      <c r="L629" s="209">
        <v>23.158999999999999</v>
      </c>
      <c r="M629" s="208"/>
      <c r="N629" s="221"/>
    </row>
    <row r="630" spans="1:14" ht="16.5" customHeight="1" x14ac:dyDescent="0.25">
      <c r="A630" s="203">
        <v>44727</v>
      </c>
      <c r="B630" s="128" t="s">
        <v>26</v>
      </c>
      <c r="C630" s="157" t="str">
        <f t="shared" si="19"/>
        <v>15.06.2022_GRU1</v>
      </c>
      <c r="D630" s="190">
        <f t="shared" si="20"/>
        <v>0</v>
      </c>
      <c r="E630" s="204">
        <v>4.579021224346605E-2</v>
      </c>
      <c r="F630" s="205">
        <v>4.8817639207144901E-2</v>
      </c>
      <c r="G630" s="204">
        <v>4.5902476384988518E-2</v>
      </c>
      <c r="H630" s="204">
        <v>2.2010065895293938E-2</v>
      </c>
      <c r="I630" s="209">
        <v>2.7730000000000001</v>
      </c>
      <c r="J630" s="207">
        <v>0.66868128845000196</v>
      </c>
      <c r="K630" s="209">
        <v>6.375</v>
      </c>
      <c r="L630" s="209">
        <v>9.9169999999999998</v>
      </c>
      <c r="M630" s="208"/>
      <c r="N630" s="221"/>
    </row>
    <row r="631" spans="1:14" ht="16.5" customHeight="1" x14ac:dyDescent="0.25">
      <c r="A631" s="203">
        <v>44727</v>
      </c>
      <c r="B631" s="128" t="s">
        <v>28</v>
      </c>
      <c r="C631" s="157" t="str">
        <f t="shared" si="19"/>
        <v>15.06.2022_GRU2</v>
      </c>
      <c r="D631" s="190">
        <f t="shared" si="20"/>
        <v>0</v>
      </c>
      <c r="E631" s="204">
        <v>2.1899666725135936E-2</v>
      </c>
      <c r="F631" s="205">
        <v>3.8798091889829855E-2</v>
      </c>
      <c r="G631" s="204">
        <v>9.8136328823078892E-2</v>
      </c>
      <c r="H631" s="204">
        <v>3.8517615316764391E-2</v>
      </c>
      <c r="I631" s="209">
        <v>2.9140000000000001</v>
      </c>
      <c r="J631" s="207">
        <v>0.74611374595102142</v>
      </c>
      <c r="K631" s="209">
        <v>7.085</v>
      </c>
      <c r="L631" s="209">
        <v>8.1219999999999999</v>
      </c>
      <c r="M631" s="208"/>
      <c r="N631" s="221"/>
    </row>
    <row r="632" spans="1:14" ht="16.5" customHeight="1" x14ac:dyDescent="0.25">
      <c r="A632" s="203">
        <v>44727</v>
      </c>
      <c r="B632" s="128" t="s">
        <v>0</v>
      </c>
      <c r="C632" s="157" t="str">
        <f t="shared" si="19"/>
        <v>15.06.2022_KIN1</v>
      </c>
      <c r="D632" s="190">
        <f t="shared" si="20"/>
        <v>0</v>
      </c>
      <c r="E632" s="204">
        <v>4.97719698298544E-2</v>
      </c>
      <c r="F632" s="205">
        <v>5.480310008415621E-2</v>
      </c>
      <c r="G632" s="204">
        <v>4.2736788358437583E-2</v>
      </c>
      <c r="H632" s="204">
        <v>2.0175893737352776E-2</v>
      </c>
      <c r="I632" s="209">
        <v>4.0919999999999996</v>
      </c>
      <c r="J632" s="207">
        <v>0.96358727964078006</v>
      </c>
      <c r="K632" s="209">
        <v>6.4470000000000001</v>
      </c>
      <c r="L632" s="209">
        <v>10.09</v>
      </c>
      <c r="M632" s="208"/>
      <c r="N632" s="221"/>
    </row>
    <row r="633" spans="1:14" ht="16.5" customHeight="1" x14ac:dyDescent="0.25">
      <c r="A633" s="203">
        <v>44727</v>
      </c>
      <c r="B633" s="128" t="s">
        <v>2</v>
      </c>
      <c r="C633" s="157" t="str">
        <f t="shared" si="19"/>
        <v>15.06.2022_KIN2</v>
      </c>
      <c r="D633" s="190">
        <f t="shared" si="20"/>
        <v>0</v>
      </c>
      <c r="E633" s="204">
        <v>3.7826697070689343E-2</v>
      </c>
      <c r="F633" s="205">
        <v>4.4973575558183397E-2</v>
      </c>
      <c r="G633" s="204">
        <v>1.8994128159305592E-2</v>
      </c>
      <c r="H633" s="204">
        <v>1.4673377263529292E-2</v>
      </c>
      <c r="I633" s="209">
        <v>6.0640000000000001</v>
      </c>
      <c r="J633" s="207">
        <v>1.3888917402823007</v>
      </c>
      <c r="K633" s="209">
        <v>9.4339999999999993</v>
      </c>
      <c r="L633" s="209">
        <v>12.185</v>
      </c>
      <c r="M633" s="208"/>
      <c r="N633" s="221"/>
    </row>
    <row r="634" spans="1:14" ht="16.5" customHeight="1" x14ac:dyDescent="0.25">
      <c r="A634" s="203">
        <v>44727</v>
      </c>
      <c r="B634" s="128" t="s">
        <v>4</v>
      </c>
      <c r="C634" s="157" t="str">
        <f t="shared" si="19"/>
        <v>15.06.2022_KIN3</v>
      </c>
      <c r="D634" s="190">
        <f t="shared" si="20"/>
        <v>0</v>
      </c>
      <c r="E634" s="204">
        <v>3.3844939484300993E-2</v>
      </c>
      <c r="F634" s="205">
        <v>4.0828914300455432E-2</v>
      </c>
      <c r="G634" s="204">
        <v>4.2736788358437583E-2</v>
      </c>
      <c r="H634" s="204">
        <v>2.7512582369117421E-2</v>
      </c>
      <c r="I634" s="209">
        <v>5.9589999999999996</v>
      </c>
      <c r="J634" s="207">
        <v>1.3875202244947209</v>
      </c>
      <c r="K634" s="209">
        <v>10.875</v>
      </c>
      <c r="L634" s="209">
        <v>12.521000000000001</v>
      </c>
      <c r="M634" s="208"/>
      <c r="N634" s="221"/>
    </row>
    <row r="635" spans="1:14" ht="16.5" customHeight="1" x14ac:dyDescent="0.25">
      <c r="A635" s="203">
        <v>44727</v>
      </c>
      <c r="B635" s="128" t="s">
        <v>6</v>
      </c>
      <c r="C635" s="157" t="str">
        <f t="shared" si="19"/>
        <v>15.06.2022_KIN4</v>
      </c>
      <c r="D635" s="190">
        <f t="shared" si="20"/>
        <v>0</v>
      </c>
      <c r="E635" s="204">
        <v>5.1762848623048571E-2</v>
      </c>
      <c r="F635" s="205">
        <v>5.8205508169136638E-2</v>
      </c>
      <c r="G635" s="204">
        <v>6.3313760531018656E-2</v>
      </c>
      <c r="H635" s="204">
        <v>2.5678410211176266E-2</v>
      </c>
      <c r="I635" s="209">
        <v>5.4640000000000004</v>
      </c>
      <c r="J635" s="207">
        <v>1.291133973903523</v>
      </c>
      <c r="K635" s="209">
        <v>21.603999999999999</v>
      </c>
      <c r="L635" s="209">
        <v>10.231999999999999</v>
      </c>
      <c r="M635" s="208"/>
      <c r="N635" s="221"/>
    </row>
    <row r="636" spans="1:14" ht="16.5" customHeight="1" x14ac:dyDescent="0.25">
      <c r="A636" s="203">
        <v>44727</v>
      </c>
      <c r="B636" s="128" t="s">
        <v>34</v>
      </c>
      <c r="C636" s="157" t="str">
        <f t="shared" si="19"/>
        <v>15.06.2022_KRE1</v>
      </c>
      <c r="D636" s="190">
        <f t="shared" si="20"/>
        <v>0</v>
      </c>
      <c r="E636" s="204">
        <v>9.1580424486932099E-2</v>
      </c>
      <c r="F636" s="205">
        <v>0.11274921213051094</v>
      </c>
      <c r="G636" s="204">
        <v>0.12029614500893542</v>
      </c>
      <c r="H636" s="204">
        <v>0.13572873968764596</v>
      </c>
      <c r="I636" s="209">
        <v>3.1779999999999999</v>
      </c>
      <c r="J636" s="207">
        <v>0.85254622843589201</v>
      </c>
      <c r="K636" s="209">
        <v>56</v>
      </c>
      <c r="L636" s="209">
        <v>22.350999999999999</v>
      </c>
      <c r="M636" s="208"/>
      <c r="N636" s="221"/>
    </row>
    <row r="637" spans="1:14" ht="16.5" customHeight="1" x14ac:dyDescent="0.25">
      <c r="A637" s="203">
        <v>44727</v>
      </c>
      <c r="B637" s="128" t="s">
        <v>37</v>
      </c>
      <c r="C637" s="157" t="str">
        <f t="shared" si="19"/>
        <v>15.06.2022_KRE2</v>
      </c>
      <c r="D637" s="190">
        <f t="shared" si="20"/>
        <v>0</v>
      </c>
      <c r="E637" s="204">
        <v>0.20107875811261178</v>
      </c>
      <c r="F637" s="205">
        <v>0.24174394078356953</v>
      </c>
      <c r="G637" s="204">
        <v>0.44319632371713047</v>
      </c>
      <c r="H637" s="204">
        <v>0.26045244642764498</v>
      </c>
      <c r="I637" s="209">
        <v>4.7640000000000002</v>
      </c>
      <c r="J637" s="207">
        <v>1.4994769407180113</v>
      </c>
      <c r="K637" s="209">
        <v>49</v>
      </c>
      <c r="L637" s="209">
        <v>26.741</v>
      </c>
      <c r="M637" s="208"/>
      <c r="N637" s="221"/>
    </row>
    <row r="638" spans="1:14" ht="16.5" customHeight="1" x14ac:dyDescent="0.25">
      <c r="A638" s="203">
        <v>44727</v>
      </c>
      <c r="B638" s="128" t="s">
        <v>18</v>
      </c>
      <c r="C638" s="157" t="str">
        <f t="shared" si="19"/>
        <v>15.06.2022_ORB1</v>
      </c>
      <c r="D638" s="190">
        <f t="shared" si="20"/>
        <v>0</v>
      </c>
      <c r="E638" s="204">
        <v>2.9863181897912639E-2</v>
      </c>
      <c r="F638" s="205">
        <v>5.2815418917007806E-2</v>
      </c>
      <c r="G638" s="204">
        <v>2.0576972172581059E-2</v>
      </c>
      <c r="H638" s="204">
        <v>3.3015098842940911E-2</v>
      </c>
      <c r="I638" s="209">
        <v>5.3029999999999999</v>
      </c>
      <c r="J638" s="207">
        <v>1.2238178699650206</v>
      </c>
      <c r="K638" s="209">
        <v>6.0030000000000001</v>
      </c>
      <c r="L638" s="209">
        <v>11.247</v>
      </c>
      <c r="M638" s="208"/>
      <c r="N638" s="221"/>
    </row>
    <row r="639" spans="1:14" ht="16.5" customHeight="1" x14ac:dyDescent="0.25">
      <c r="A639" s="203">
        <v>44727</v>
      </c>
      <c r="B639" s="128" t="s">
        <v>21</v>
      </c>
      <c r="C639" s="157" t="str">
        <f t="shared" si="19"/>
        <v>15.06.2022_ORB2</v>
      </c>
      <c r="D639" s="190">
        <f t="shared" si="20"/>
        <v>0</v>
      </c>
      <c r="E639" s="204">
        <v>2.9863181897912639E-2</v>
      </c>
      <c r="F639" s="205">
        <v>4.0558635662920985E-2</v>
      </c>
      <c r="G639" s="204">
        <v>4.7485320398263989E-2</v>
      </c>
      <c r="H639" s="204">
        <v>3.8517615316764391E-2</v>
      </c>
      <c r="I639" s="209">
        <v>5.702</v>
      </c>
      <c r="J639" s="207">
        <v>1.3365093044192369</v>
      </c>
      <c r="K639" s="209">
        <v>13.411</v>
      </c>
      <c r="L639" s="209">
        <v>11.698</v>
      </c>
      <c r="M639" s="208"/>
      <c r="N639" s="221"/>
    </row>
    <row r="640" spans="1:14" ht="16.5" customHeight="1" x14ac:dyDescent="0.25">
      <c r="A640" s="203">
        <v>44727</v>
      </c>
      <c r="B640" s="128" t="s">
        <v>10</v>
      </c>
      <c r="C640" s="157" t="str">
        <f t="shared" si="19"/>
        <v>15.06.2022_SAL1</v>
      </c>
      <c r="D640" s="190">
        <f t="shared" si="20"/>
        <v>0</v>
      </c>
      <c r="E640" s="204">
        <v>0.11148921241887386</v>
      </c>
      <c r="F640" s="205">
        <v>0.14361482776076456</v>
      </c>
      <c r="G640" s="204">
        <v>1.7411284146030125E-2</v>
      </c>
      <c r="H640" s="204">
        <v>2.7512582369117421E-2</v>
      </c>
      <c r="I640" s="209">
        <v>5.4779999999999998</v>
      </c>
      <c r="J640" s="207">
        <v>1.2592117537288285</v>
      </c>
      <c r="K640" s="209">
        <v>6.5620000000000003</v>
      </c>
      <c r="L640" s="209">
        <v>3.915</v>
      </c>
      <c r="M640" s="208"/>
      <c r="N640" s="221"/>
    </row>
    <row r="641" spans="1:14" ht="16.5" customHeight="1" x14ac:dyDescent="0.25">
      <c r="A641" s="203">
        <v>44727</v>
      </c>
      <c r="B641" s="128" t="s">
        <v>12</v>
      </c>
      <c r="C641" s="157" t="str">
        <f t="shared" si="19"/>
        <v>15.06.2022_SAL2</v>
      </c>
      <c r="D641" s="190">
        <f t="shared" si="20"/>
        <v>0</v>
      </c>
      <c r="E641" s="204">
        <v>0.10949833362567968</v>
      </c>
      <c r="F641" s="205">
        <v>0.13435960105778344</v>
      </c>
      <c r="G641" s="204">
        <v>1.2662752106203724E-2</v>
      </c>
      <c r="H641" s="204">
        <v>1.283920510558813E-2</v>
      </c>
      <c r="I641" s="209">
        <v>5.3540000000000001</v>
      </c>
      <c r="J641" s="207">
        <v>1.2230493763773422</v>
      </c>
      <c r="K641" s="209">
        <v>7.1890000000000001</v>
      </c>
      <c r="L641" s="209">
        <v>4.3819999999999997</v>
      </c>
      <c r="M641" s="208"/>
      <c r="N641" s="221"/>
    </row>
    <row r="642" spans="1:14" ht="16.5" customHeight="1" x14ac:dyDescent="0.25">
      <c r="A642" s="203">
        <v>44727</v>
      </c>
      <c r="B642" s="128" t="s">
        <v>7</v>
      </c>
      <c r="C642" s="157" t="str">
        <f t="shared" si="19"/>
        <v>15.06.2022_STE1</v>
      </c>
      <c r="D642" s="190">
        <f t="shared" si="20"/>
        <v>0</v>
      </c>
      <c r="E642" s="204">
        <v>7.1671636554990328E-2</v>
      </c>
      <c r="F642" s="205">
        <v>9.0643731424499802E-2</v>
      </c>
      <c r="G642" s="204">
        <v>1.5828440132754657E-2</v>
      </c>
      <c r="H642" s="204">
        <v>5.5025164738234829E-3</v>
      </c>
      <c r="I642" s="209">
        <v>6.99</v>
      </c>
      <c r="J642" s="207">
        <v>1.5927971666191383</v>
      </c>
      <c r="K642" s="209">
        <v>8.9730000000000008</v>
      </c>
      <c r="L642" s="209">
        <v>6.6680000000000001</v>
      </c>
      <c r="M642" s="208"/>
      <c r="N642" s="221"/>
    </row>
    <row r="643" spans="1:14" ht="16.5" customHeight="1" x14ac:dyDescent="0.25">
      <c r="A643" s="203">
        <v>44727</v>
      </c>
      <c r="B643" s="128" t="s">
        <v>9</v>
      </c>
      <c r="C643" s="157" t="str">
        <f t="shared" si="19"/>
        <v>15.06.2022_STE2</v>
      </c>
      <c r="D643" s="190">
        <f t="shared" si="20"/>
        <v>0</v>
      </c>
      <c r="E643" s="204">
        <v>5.5744606209436928E-2</v>
      </c>
      <c r="F643" s="205">
        <v>7.267156288282442E-2</v>
      </c>
      <c r="G643" s="204">
        <v>9.4970640796527995E-3</v>
      </c>
      <c r="H643" s="204">
        <v>1.4673377263529292E-2</v>
      </c>
      <c r="I643" s="209">
        <v>6.444</v>
      </c>
      <c r="J643" s="207">
        <v>1.4673479649950909</v>
      </c>
      <c r="K643" s="209">
        <v>9.73</v>
      </c>
      <c r="L643" s="209">
        <v>6.476</v>
      </c>
      <c r="M643" s="208"/>
      <c r="N643" s="221"/>
    </row>
    <row r="644" spans="1:14" ht="16.5" customHeight="1" x14ac:dyDescent="0.25">
      <c r="A644" s="203">
        <v>44741</v>
      </c>
      <c r="B644" s="128" t="s">
        <v>22</v>
      </c>
      <c r="C644" s="157" t="str">
        <f t="shared" si="19"/>
        <v>29.06.2022_BIE1</v>
      </c>
      <c r="D644" s="190">
        <f t="shared" si="20"/>
        <v>0</v>
      </c>
      <c r="E644" s="204">
        <v>2.3629424011103396E-2</v>
      </c>
      <c r="F644" s="205">
        <v>2.6804882365418819E-2</v>
      </c>
      <c r="G644" s="204">
        <v>3.6523298146759114E-2</v>
      </c>
      <c r="H644" s="204">
        <v>0.03</v>
      </c>
      <c r="I644" s="209">
        <v>2.8660000000000001</v>
      </c>
      <c r="J644" s="207">
        <v>0.68483689577797702</v>
      </c>
      <c r="K644" s="209">
        <v>5.9</v>
      </c>
      <c r="L644" s="209">
        <v>10.842000000000001</v>
      </c>
      <c r="M644" s="208"/>
      <c r="N644" s="221"/>
    </row>
    <row r="645" spans="1:14" ht="16.5" customHeight="1" x14ac:dyDescent="0.25">
      <c r="A645" s="203">
        <v>44741</v>
      </c>
      <c r="B645" s="128" t="s">
        <v>25</v>
      </c>
      <c r="C645" s="157" t="str">
        <f t="shared" ref="C645:C708" si="21">CONCATENATE(TEXT(A645,"TT.MM.JJJJ"),"_",B645)</f>
        <v>29.06.2022_BIE2</v>
      </c>
      <c r="D645" s="190">
        <f t="shared" ref="D645:D708" si="22">COUNTBLANK(E645:L645)</f>
        <v>0</v>
      </c>
      <c r="E645" s="204">
        <v>3.5444136016655088E-2</v>
      </c>
      <c r="F645" s="205">
        <v>3.4649356709350147E-2</v>
      </c>
      <c r="G645" s="204">
        <v>4.4463145569967624E-2</v>
      </c>
      <c r="H645" s="204">
        <v>2.3E-2</v>
      </c>
      <c r="I645" s="209">
        <v>2.9889999999999999</v>
      </c>
      <c r="J645" s="207">
        <v>0.71665296790362409</v>
      </c>
      <c r="K645" s="209">
        <v>6.15</v>
      </c>
      <c r="L645" s="209">
        <v>10.907999999999999</v>
      </c>
      <c r="M645" s="208"/>
      <c r="N645" s="221"/>
    </row>
    <row r="646" spans="1:14" ht="16.5" customHeight="1" x14ac:dyDescent="0.25">
      <c r="A646" s="203">
        <v>44741</v>
      </c>
      <c r="B646" s="128" t="s">
        <v>14</v>
      </c>
      <c r="C646" s="157" t="str">
        <f t="shared" si="21"/>
        <v>29.06.2022_BRA1</v>
      </c>
      <c r="D646" s="190">
        <f t="shared" si="22"/>
        <v>0</v>
      </c>
      <c r="E646" s="204">
        <v>5.7104441360166541E-2</v>
      </c>
      <c r="F646" s="205">
        <v>5.4197597654551719E-2</v>
      </c>
      <c r="G646" s="204">
        <v>6.5106748870309733E-2</v>
      </c>
      <c r="H646" s="204">
        <v>5.5E-2</v>
      </c>
      <c r="I646" s="209">
        <v>4.7039999999999997</v>
      </c>
      <c r="J646" s="207">
        <v>1.1297919694303067</v>
      </c>
      <c r="K646" s="209">
        <v>4.3010000000000002</v>
      </c>
      <c r="L646" s="209">
        <v>3.3420000000000001</v>
      </c>
      <c r="M646" s="208"/>
      <c r="N646" s="221"/>
    </row>
    <row r="647" spans="1:14" ht="16.5" customHeight="1" x14ac:dyDescent="0.25">
      <c r="A647" s="203">
        <v>44741</v>
      </c>
      <c r="B647" s="128" t="s">
        <v>17</v>
      </c>
      <c r="C647" s="157" t="str">
        <f t="shared" si="21"/>
        <v>29.06.2022_BRA2</v>
      </c>
      <c r="D647" s="190">
        <f t="shared" si="22"/>
        <v>0</v>
      </c>
      <c r="E647" s="204">
        <v>6.6950034698126298E-2</v>
      </c>
      <c r="F647" s="205">
        <v>8.6926387077928893E-2</v>
      </c>
      <c r="G647" s="204">
        <v>2.3819542269625509E-2</v>
      </c>
      <c r="H647" s="204">
        <v>1.65988647114475E-2</v>
      </c>
      <c r="I647" s="209">
        <v>8.4280000000000008</v>
      </c>
      <c r="J647" s="207">
        <v>1.9271815207383418</v>
      </c>
      <c r="K647" s="209">
        <v>8.5050000000000008</v>
      </c>
      <c r="L647" s="209">
        <v>4.6120000000000001</v>
      </c>
      <c r="M647" s="208"/>
      <c r="N647" s="221"/>
    </row>
    <row r="648" spans="1:14" ht="16.5" customHeight="1" x14ac:dyDescent="0.25">
      <c r="A648" s="203">
        <v>44741</v>
      </c>
      <c r="B648" s="128" t="s">
        <v>30</v>
      </c>
      <c r="C648" s="157" t="str">
        <f t="shared" si="21"/>
        <v>29.06.2022_FAL1</v>
      </c>
      <c r="D648" s="190">
        <f t="shared" si="22"/>
        <v>0</v>
      </c>
      <c r="E648" s="204">
        <v>0.24613983344899371</v>
      </c>
      <c r="F648" s="205">
        <v>0.30273104823659802</v>
      </c>
      <c r="G648" s="204">
        <v>0.12544958928669434</v>
      </c>
      <c r="H648" s="204">
        <v>9.9593188268684976E-2</v>
      </c>
      <c r="I648" s="209">
        <v>7.8860000000000001</v>
      </c>
      <c r="J648" s="207">
        <v>1.9089423177536264</v>
      </c>
      <c r="K648" s="209">
        <v>42</v>
      </c>
      <c r="L648" s="209">
        <v>20.600999999999999</v>
      </c>
      <c r="M648" s="208"/>
      <c r="N648" s="221"/>
    </row>
    <row r="649" spans="1:14" ht="16.5" customHeight="1" x14ac:dyDescent="0.25">
      <c r="A649" s="203">
        <v>44741</v>
      </c>
      <c r="B649" s="128" t="s">
        <v>32</v>
      </c>
      <c r="C649" s="157" t="str">
        <f t="shared" si="21"/>
        <v>29.06.2022_FAL2</v>
      </c>
      <c r="D649" s="190">
        <f t="shared" si="22"/>
        <v>0</v>
      </c>
      <c r="E649" s="204">
        <v>0.22841776544066617</v>
      </c>
      <c r="F649" s="205">
        <v>0.29927414549457571</v>
      </c>
      <c r="G649" s="204">
        <v>0.14450522310239475</v>
      </c>
      <c r="H649" s="204">
        <v>0.13882686849574269</v>
      </c>
      <c r="I649" s="209">
        <v>9.7579999999999991</v>
      </c>
      <c r="J649" s="207">
        <v>2.358512160800307</v>
      </c>
      <c r="K649" s="209">
        <v>47</v>
      </c>
      <c r="L649" s="209">
        <v>25.216999999999999</v>
      </c>
      <c r="M649" s="208"/>
      <c r="N649" s="221"/>
    </row>
    <row r="650" spans="1:14" ht="16.5" customHeight="1" x14ac:dyDescent="0.25">
      <c r="A650" s="203">
        <v>44741</v>
      </c>
      <c r="B650" s="128" t="s">
        <v>26</v>
      </c>
      <c r="C650" s="157" t="str">
        <f t="shared" si="21"/>
        <v>29.06.2022_GRU1</v>
      </c>
      <c r="D650" s="190">
        <f t="shared" si="22"/>
        <v>0</v>
      </c>
      <c r="E650" s="204">
        <v>2.3629424011103396E-2</v>
      </c>
      <c r="F650" s="205">
        <v>4.5497577931889938E-2</v>
      </c>
      <c r="G650" s="204">
        <v>2.8583450723550605E-2</v>
      </c>
      <c r="H650" s="204">
        <v>1.65988647114475E-2</v>
      </c>
      <c r="I650" s="209">
        <v>2.444</v>
      </c>
      <c r="J650" s="207">
        <v>0.57927456801373001</v>
      </c>
      <c r="K650" s="209">
        <v>6.4950000000000001</v>
      </c>
      <c r="L650" s="209">
        <v>9.7379999999999995</v>
      </c>
      <c r="M650" s="208"/>
      <c r="N650" s="221"/>
    </row>
    <row r="651" spans="1:14" ht="16.5" customHeight="1" x14ac:dyDescent="0.25">
      <c r="A651" s="203">
        <v>44741</v>
      </c>
      <c r="B651" s="128" t="s">
        <v>28</v>
      </c>
      <c r="C651" s="157" t="str">
        <f t="shared" si="21"/>
        <v>29.06.2022_GRU2</v>
      </c>
      <c r="D651" s="190">
        <f t="shared" si="22"/>
        <v>0</v>
      </c>
      <c r="E651" s="204">
        <v>1.5752949340735598E-2</v>
      </c>
      <c r="F651" s="205">
        <v>3.6300937089392867E-2</v>
      </c>
      <c r="G651" s="204">
        <v>9.8454108047785427E-2</v>
      </c>
      <c r="H651" s="204">
        <v>4.3760643330179767E-2</v>
      </c>
      <c r="I651" s="209">
        <v>2.758</v>
      </c>
      <c r="J651" s="207">
        <v>0.71272101821989819</v>
      </c>
      <c r="K651" s="209">
        <v>7.1079999999999997</v>
      </c>
      <c r="L651" s="209">
        <v>8.0890000000000004</v>
      </c>
      <c r="M651" s="208"/>
      <c r="N651" s="221"/>
    </row>
    <row r="652" spans="1:14" ht="16.5" customHeight="1" x14ac:dyDescent="0.25">
      <c r="A652" s="203">
        <v>44741</v>
      </c>
      <c r="B652" s="128" t="s">
        <v>0</v>
      </c>
      <c r="C652" s="157" t="str">
        <f t="shared" si="21"/>
        <v>29.06.2022_KIN1</v>
      </c>
      <c r="D652" s="190">
        <f t="shared" si="22"/>
        <v>0</v>
      </c>
      <c r="E652" s="204">
        <v>4.7258848022206791E-2</v>
      </c>
      <c r="F652" s="205">
        <v>5.0164059876166824E-2</v>
      </c>
      <c r="G652" s="204">
        <v>7.6222535262801622E-2</v>
      </c>
      <c r="H652" s="204">
        <v>2.2634815515610224E-2</v>
      </c>
      <c r="I652" s="209">
        <v>3.7759999999999998</v>
      </c>
      <c r="J652" s="207">
        <v>0.91896232598994021</v>
      </c>
      <c r="K652" s="209">
        <v>6.5750000000000002</v>
      </c>
      <c r="L652" s="209">
        <v>9.3740000000000006</v>
      </c>
      <c r="M652" s="208"/>
      <c r="N652" s="221"/>
    </row>
    <row r="653" spans="1:14" ht="16.5" customHeight="1" x14ac:dyDescent="0.25">
      <c r="A653" s="203">
        <v>44741</v>
      </c>
      <c r="B653" s="128" t="s">
        <v>2</v>
      </c>
      <c r="C653" s="157" t="str">
        <f t="shared" si="21"/>
        <v>29.06.2022_KIN2</v>
      </c>
      <c r="D653" s="190">
        <f t="shared" si="22"/>
        <v>0</v>
      </c>
      <c r="E653" s="204">
        <v>4.5289729354614838E-2</v>
      </c>
      <c r="F653" s="205">
        <v>4.4694583132536235E-2</v>
      </c>
      <c r="G653" s="204">
        <v>4.9227054023892707E-2</v>
      </c>
      <c r="H653" s="204">
        <v>2.2634815515610224E-2</v>
      </c>
      <c r="I653" s="209">
        <v>5.8710000000000004</v>
      </c>
      <c r="J653" s="207">
        <v>1.3711982547627399</v>
      </c>
      <c r="K653" s="209">
        <v>9.7289999999999992</v>
      </c>
      <c r="L653" s="209">
        <v>11.683999999999999</v>
      </c>
      <c r="M653" s="208"/>
      <c r="N653" s="221"/>
    </row>
    <row r="654" spans="1:14" ht="16.5" customHeight="1" x14ac:dyDescent="0.25">
      <c r="A654" s="203">
        <v>44741</v>
      </c>
      <c r="B654" s="128" t="s">
        <v>4</v>
      </c>
      <c r="C654" s="157" t="str">
        <f t="shared" si="21"/>
        <v>29.06.2022_KIN3</v>
      </c>
      <c r="D654" s="190">
        <f t="shared" si="22"/>
        <v>0</v>
      </c>
      <c r="E654" s="204">
        <v>3.3475017349063149E-2</v>
      </c>
      <c r="F654" s="205">
        <v>3.8565817810563847E-2</v>
      </c>
      <c r="G654" s="204">
        <v>6.1930809901026326E-2</v>
      </c>
      <c r="H654" s="204">
        <v>3.0179754020813635E-2</v>
      </c>
      <c r="I654" s="209">
        <v>5.899</v>
      </c>
      <c r="J654" s="207">
        <v>1.3896840106916846</v>
      </c>
      <c r="K654" s="209">
        <v>11.458</v>
      </c>
      <c r="L654" s="209">
        <v>12.036</v>
      </c>
      <c r="M654" s="208"/>
      <c r="N654" s="221"/>
    </row>
    <row r="655" spans="1:14" ht="16.5" customHeight="1" x14ac:dyDescent="0.25">
      <c r="A655" s="203">
        <v>44741</v>
      </c>
      <c r="B655" s="128" t="s">
        <v>6</v>
      </c>
      <c r="C655" s="157" t="str">
        <f t="shared" si="21"/>
        <v>29.06.2022_KIN4</v>
      </c>
      <c r="D655" s="190">
        <f t="shared" si="22"/>
        <v>0</v>
      </c>
      <c r="E655" s="204">
        <v>5.3166204024982643E-2</v>
      </c>
      <c r="F655" s="205">
        <v>5.7805537950470116E-2</v>
      </c>
      <c r="G655" s="204">
        <v>5.557893196245952E-2</v>
      </c>
      <c r="H655" s="204">
        <v>2.7161778618732271E-2</v>
      </c>
      <c r="I655" s="209">
        <v>4.96</v>
      </c>
      <c r="J655" s="207">
        <v>1.1717410883800032</v>
      </c>
      <c r="K655" s="209">
        <v>20.722999999999999</v>
      </c>
      <c r="L655" s="209">
        <v>12.026</v>
      </c>
      <c r="M655" s="208"/>
      <c r="N655" s="221"/>
    </row>
    <row r="656" spans="1:14" ht="16.5" customHeight="1" x14ac:dyDescent="0.25">
      <c r="A656" s="203">
        <v>44741</v>
      </c>
      <c r="B656" s="128" t="s">
        <v>34</v>
      </c>
      <c r="C656" s="157" t="str">
        <f t="shared" si="21"/>
        <v>29.06.2022_KRE1</v>
      </c>
      <c r="D656" s="190">
        <f t="shared" si="22"/>
        <v>0</v>
      </c>
      <c r="E656" s="204">
        <v>8.8610340041637731E-2</v>
      </c>
      <c r="F656" s="205">
        <v>0.10955880787500734</v>
      </c>
      <c r="G656" s="204">
        <v>0.11433380289420246</v>
      </c>
      <c r="H656" s="204">
        <v>0.14486281929990544</v>
      </c>
      <c r="I656" s="209">
        <v>3.2370000000000001</v>
      </c>
      <c r="J656" s="207">
        <v>0.8640237299451754</v>
      </c>
      <c r="K656" s="209">
        <v>49</v>
      </c>
      <c r="L656" s="209">
        <v>20.382999999999999</v>
      </c>
      <c r="M656" s="208"/>
      <c r="N656" s="221"/>
    </row>
    <row r="657" spans="1:17" ht="16.5" customHeight="1" x14ac:dyDescent="0.25">
      <c r="A657" s="203">
        <v>44741</v>
      </c>
      <c r="B657" s="128" t="s">
        <v>37</v>
      </c>
      <c r="C657" s="157" t="str">
        <f t="shared" si="21"/>
        <v>29.06.2022_KRE2</v>
      </c>
      <c r="D657" s="190">
        <f t="shared" si="22"/>
        <v>0</v>
      </c>
      <c r="E657" s="204">
        <v>0.15752949340735597</v>
      </c>
      <c r="F657" s="205">
        <v>0.21793120131318422</v>
      </c>
      <c r="G657" s="204">
        <v>0.20961197197270445</v>
      </c>
      <c r="H657" s="204">
        <v>0.15240775780510885</v>
      </c>
      <c r="I657" s="209">
        <v>4.5670000000000002</v>
      </c>
      <c r="J657" s="207">
        <v>1.2407104319808506</v>
      </c>
      <c r="K657" s="209">
        <v>46</v>
      </c>
      <c r="L657" s="209">
        <v>25.285</v>
      </c>
      <c r="M657" s="208"/>
      <c r="N657" s="221"/>
    </row>
    <row r="658" spans="1:17" ht="16.5" customHeight="1" x14ac:dyDescent="0.25">
      <c r="A658" s="203">
        <v>44741</v>
      </c>
      <c r="B658" s="128" t="s">
        <v>18</v>
      </c>
      <c r="C658" s="157" t="str">
        <f t="shared" si="21"/>
        <v>29.06.2022_ORB1</v>
      </c>
      <c r="D658" s="190">
        <f t="shared" si="22"/>
        <v>0</v>
      </c>
      <c r="E658" s="204">
        <v>3.5444136016655088E-2</v>
      </c>
      <c r="F658" s="205">
        <v>4.1787266826294474E-2</v>
      </c>
      <c r="G658" s="204">
        <v>1.5879694846416999E-2</v>
      </c>
      <c r="H658" s="204">
        <v>2.8670766319772951E-2</v>
      </c>
      <c r="I658" s="209">
        <v>5.1879999999999997</v>
      </c>
      <c r="J658" s="207">
        <v>1.1928727990573491</v>
      </c>
      <c r="K658" s="209">
        <v>6.0359999999999996</v>
      </c>
      <c r="L658" s="209">
        <v>10.513</v>
      </c>
      <c r="M658" s="208"/>
      <c r="N658" s="221"/>
    </row>
    <row r="659" spans="1:17" ht="16.5" customHeight="1" x14ac:dyDescent="0.25">
      <c r="A659" s="203">
        <v>44741</v>
      </c>
      <c r="B659" s="128" t="s">
        <v>21</v>
      </c>
      <c r="C659" s="157" t="str">
        <f t="shared" si="21"/>
        <v>29.06.2022_ORB2</v>
      </c>
      <c r="D659" s="190">
        <f t="shared" si="22"/>
        <v>0</v>
      </c>
      <c r="E659" s="204">
        <v>2.3629424011103396E-2</v>
      </c>
      <c r="F659" s="205">
        <v>4.1101206138416516E-2</v>
      </c>
      <c r="G659" s="204">
        <v>5.2402992993176113E-2</v>
      </c>
      <c r="H659" s="204">
        <v>2.5652790917691588E-2</v>
      </c>
      <c r="I659" s="209">
        <v>5.6369999999999996</v>
      </c>
      <c r="J659" s="207">
        <v>1.3217295822241626</v>
      </c>
      <c r="K659" s="209">
        <v>14.114000000000001</v>
      </c>
      <c r="L659" s="209">
        <v>12.868</v>
      </c>
      <c r="M659" s="208"/>
      <c r="N659" s="221"/>
    </row>
    <row r="660" spans="1:17" ht="16.5" customHeight="1" x14ac:dyDescent="0.25">
      <c r="A660" s="203">
        <v>44741</v>
      </c>
      <c r="B660" s="128" t="s">
        <v>10</v>
      </c>
      <c r="C660" s="157" t="str">
        <f t="shared" si="21"/>
        <v>29.06.2022_SAL1</v>
      </c>
      <c r="D660" s="190">
        <f t="shared" si="22"/>
        <v>0</v>
      </c>
      <c r="E660" s="204">
        <v>0.13586918806384454</v>
      </c>
      <c r="F660" s="205">
        <v>0.14866605563550314</v>
      </c>
      <c r="G660" s="204">
        <v>1.2703755877133606E-2</v>
      </c>
      <c r="H660" s="204">
        <v>1.5089877010406816E-2</v>
      </c>
      <c r="I660" s="209">
        <v>6.2430000000000003</v>
      </c>
      <c r="J660" s="207">
        <v>1.4245648624568537</v>
      </c>
      <c r="K660" s="209">
        <v>6.8460000000000001</v>
      </c>
      <c r="L660" s="209">
        <v>4.915</v>
      </c>
      <c r="M660" s="208"/>
      <c r="N660" s="221"/>
    </row>
    <row r="661" spans="1:17" ht="16.5" customHeight="1" x14ac:dyDescent="0.25">
      <c r="A661" s="203">
        <v>44741</v>
      </c>
      <c r="B661" s="128" t="s">
        <v>12</v>
      </c>
      <c r="C661" s="157" t="str">
        <f t="shared" si="21"/>
        <v>29.06.2022_SAL2</v>
      </c>
      <c r="D661" s="190">
        <f t="shared" si="22"/>
        <v>0</v>
      </c>
      <c r="E661" s="204">
        <v>0.11223976405274114</v>
      </c>
      <c r="F661" s="205">
        <v>0.12979892446039212</v>
      </c>
      <c r="G661" s="204">
        <v>4.4463145569967624E-2</v>
      </c>
      <c r="H661" s="204">
        <v>1.65988647114475E-2</v>
      </c>
      <c r="I661" s="209">
        <v>5.2969999999999997</v>
      </c>
      <c r="J661" s="207">
        <v>1.2360121022650243</v>
      </c>
      <c r="K661" s="209">
        <v>7.3780000000000001</v>
      </c>
      <c r="L661" s="209">
        <v>5.452</v>
      </c>
      <c r="M661" s="208"/>
      <c r="N661" s="221"/>
    </row>
    <row r="662" spans="1:17" ht="16.5" customHeight="1" x14ac:dyDescent="0.25">
      <c r="A662" s="203">
        <v>44741</v>
      </c>
      <c r="B662" s="128" t="s">
        <v>7</v>
      </c>
      <c r="C662" s="157" t="str">
        <f t="shared" si="21"/>
        <v>29.06.2022_STE1</v>
      </c>
      <c r="D662" s="190">
        <f t="shared" si="22"/>
        <v>0</v>
      </c>
      <c r="E662" s="204">
        <v>0.11420888272033308</v>
      </c>
      <c r="F662" s="205">
        <v>0.13826276466776713</v>
      </c>
      <c r="G662" s="204">
        <v>2.6995481238908912E-2</v>
      </c>
      <c r="H662" s="204">
        <v>1.3580889309366132E-2</v>
      </c>
      <c r="I662" s="209">
        <v>6.5810000000000004</v>
      </c>
      <c r="J662" s="207">
        <v>1.5115468929774369</v>
      </c>
      <c r="K662" s="209">
        <v>9.6639999999999997</v>
      </c>
      <c r="L662" s="209">
        <v>8.4309999999999992</v>
      </c>
      <c r="M662" s="208"/>
      <c r="N662" s="221"/>
    </row>
    <row r="663" spans="1:17" ht="16.5" customHeight="1" x14ac:dyDescent="0.25">
      <c r="A663" s="203">
        <v>44741</v>
      </c>
      <c r="B663" s="128" t="s">
        <v>9</v>
      </c>
      <c r="C663" s="157" t="str">
        <f t="shared" si="21"/>
        <v>29.06.2022_STE2</v>
      </c>
      <c r="D663" s="190">
        <f t="shared" si="22"/>
        <v>0</v>
      </c>
      <c r="E663" s="204">
        <v>6.6950034698126298E-2</v>
      </c>
      <c r="F663" s="205">
        <v>8.4627472037099069E-2</v>
      </c>
      <c r="G663" s="204">
        <v>2.2231572784983805E-2</v>
      </c>
      <c r="H663" s="204">
        <v>2.112582781456954E-2</v>
      </c>
      <c r="I663" s="209">
        <v>6.7370000000000001</v>
      </c>
      <c r="J663" s="207">
        <v>1.5453805422299576</v>
      </c>
      <c r="K663" s="209">
        <v>11.48</v>
      </c>
      <c r="L663" s="209">
        <v>8.1539999999999999</v>
      </c>
      <c r="M663" s="208"/>
      <c r="N663" s="221"/>
      <c r="P663" s="196"/>
      <c r="Q663" s="196"/>
    </row>
    <row r="664" spans="1:17" ht="16.5" customHeight="1" x14ac:dyDescent="0.25">
      <c r="A664" s="203">
        <v>44755</v>
      </c>
      <c r="B664" s="128" t="s">
        <v>22</v>
      </c>
      <c r="C664" s="157" t="str">
        <f t="shared" si="21"/>
        <v>13.07.2022_BIE1</v>
      </c>
      <c r="D664" s="190">
        <f t="shared" si="22"/>
        <v>0</v>
      </c>
      <c r="E664" s="204">
        <v>2.8809543954649283E-2</v>
      </c>
      <c r="F664" s="205">
        <v>2.4646507738884431E-2</v>
      </c>
      <c r="G664" s="204">
        <v>3.3909403776392892E-2</v>
      </c>
      <c r="H664" s="204">
        <v>0.03</v>
      </c>
      <c r="I664" s="209">
        <v>2.0819999999999999</v>
      </c>
      <c r="J664" s="207">
        <v>0.5057251529383312</v>
      </c>
      <c r="K664" s="209">
        <v>5.9550000000000001</v>
      </c>
      <c r="L664" s="209">
        <v>11.585000000000001</v>
      </c>
      <c r="M664" s="208"/>
      <c r="N664" s="221"/>
    </row>
    <row r="665" spans="1:17" ht="16.5" customHeight="1" x14ac:dyDescent="0.25">
      <c r="A665" s="203">
        <v>44755</v>
      </c>
      <c r="B665" s="128" t="s">
        <v>25</v>
      </c>
      <c r="C665" s="157" t="str">
        <f t="shared" si="21"/>
        <v>13.07.2022_BIE2</v>
      </c>
      <c r="D665" s="190">
        <f t="shared" si="22"/>
        <v>0</v>
      </c>
      <c r="E665" s="204">
        <v>3.0730180218292571E-2</v>
      </c>
      <c r="F665" s="205">
        <v>2.5555031283171121E-2</v>
      </c>
      <c r="G665" s="204">
        <v>3.3909403776392892E-2</v>
      </c>
      <c r="H665" s="204">
        <v>2.3E-2</v>
      </c>
      <c r="I665" s="209">
        <v>2.669</v>
      </c>
      <c r="J665" s="207">
        <v>0.63617969293833132</v>
      </c>
      <c r="K665" s="209">
        <v>6.2670000000000003</v>
      </c>
      <c r="L665" s="209">
        <v>11.558999999999999</v>
      </c>
      <c r="M665" s="208"/>
      <c r="N665" s="221"/>
    </row>
    <row r="666" spans="1:17" ht="16.5" customHeight="1" x14ac:dyDescent="0.25">
      <c r="A666" s="203">
        <v>44755</v>
      </c>
      <c r="B666" s="128" t="s">
        <v>14</v>
      </c>
      <c r="C666" s="157" t="str">
        <f t="shared" si="21"/>
        <v>13.07.2022_BRA1</v>
      </c>
      <c r="D666" s="190">
        <f t="shared" si="22"/>
        <v>0</v>
      </c>
      <c r="E666" s="204">
        <v>5.9539724172941857E-2</v>
      </c>
      <c r="F666" s="205">
        <v>6.369452336252969E-2</v>
      </c>
      <c r="G666" s="204">
        <v>3.713887080271603E-2</v>
      </c>
      <c r="H666" s="204">
        <v>5.5E-2</v>
      </c>
      <c r="I666" s="209">
        <v>1.6419999999999999</v>
      </c>
      <c r="J666" s="207">
        <v>0.41646125178960092</v>
      </c>
      <c r="K666" s="209">
        <v>4.2850000000000001</v>
      </c>
      <c r="L666" s="209">
        <v>3.1829999999999998</v>
      </c>
      <c r="M666" s="208"/>
      <c r="N666" s="221"/>
    </row>
    <row r="667" spans="1:17" ht="16.5" customHeight="1" x14ac:dyDescent="0.25">
      <c r="A667" s="203">
        <v>44755</v>
      </c>
      <c r="B667" s="128" t="s">
        <v>17</v>
      </c>
      <c r="C667" s="157" t="str">
        <f t="shared" si="21"/>
        <v>13.07.2022_BRA2</v>
      </c>
      <c r="D667" s="190">
        <f t="shared" si="22"/>
        <v>0</v>
      </c>
      <c r="E667" s="204">
        <v>6.9142905491158285E-2</v>
      </c>
      <c r="F667" s="205">
        <v>6.6882725631498316E-2</v>
      </c>
      <c r="G667" s="204">
        <v>3.2294670263231337E-2</v>
      </c>
      <c r="H667" s="204">
        <v>1.3353488372093023E-2</v>
      </c>
      <c r="I667" s="209">
        <v>7.181</v>
      </c>
      <c r="J667" s="207">
        <v>1.65111442804758</v>
      </c>
      <c r="K667" s="209">
        <v>8.6739999999999995</v>
      </c>
      <c r="L667" s="209">
        <v>4.944</v>
      </c>
      <c r="M667" s="208"/>
      <c r="N667" s="221"/>
    </row>
    <row r="668" spans="1:17" ht="16.5" customHeight="1" x14ac:dyDescent="0.25">
      <c r="A668" s="203">
        <v>44755</v>
      </c>
      <c r="B668" s="128" t="s">
        <v>30</v>
      </c>
      <c r="C668" s="157" t="str">
        <f t="shared" si="21"/>
        <v>13.07.2022_FAL1</v>
      </c>
      <c r="D668" s="190">
        <f t="shared" si="22"/>
        <v>0</v>
      </c>
      <c r="E668" s="204">
        <v>0.24968271427362715</v>
      </c>
      <c r="F668" s="205">
        <v>0.22194508098343185</v>
      </c>
      <c r="G668" s="204">
        <v>6.2974607013301084E-2</v>
      </c>
      <c r="H668" s="204">
        <v>5.0446511627906983E-2</v>
      </c>
      <c r="I668" s="209">
        <v>9.0549999999999997</v>
      </c>
      <c r="J668" s="207">
        <v>2.1095104430648743</v>
      </c>
      <c r="K668" s="209">
        <v>64</v>
      </c>
      <c r="L668" s="209">
        <v>29.975000000000001</v>
      </c>
      <c r="M668" s="208"/>
      <c r="N668" s="221"/>
    </row>
    <row r="669" spans="1:17" ht="16.5" customHeight="1" x14ac:dyDescent="0.25">
      <c r="A669" s="203">
        <v>44755</v>
      </c>
      <c r="B669" s="128" t="s">
        <v>32</v>
      </c>
      <c r="C669" s="157" t="str">
        <f t="shared" si="21"/>
        <v>13.07.2022_FAL2</v>
      </c>
      <c r="D669" s="190">
        <f t="shared" si="22"/>
        <v>0</v>
      </c>
      <c r="E669" s="204">
        <v>0.12292072087317028</v>
      </c>
      <c r="F669" s="205">
        <v>0.1197157569548498</v>
      </c>
      <c r="G669" s="204">
        <v>5.8130406473816384E-2</v>
      </c>
      <c r="H669" s="204">
        <v>4.5995348837209307E-2</v>
      </c>
      <c r="I669" s="209">
        <v>9.0139999999999993</v>
      </c>
      <c r="J669" s="207">
        <v>2.0951331432763416</v>
      </c>
      <c r="K669" s="209">
        <v>63</v>
      </c>
      <c r="L669" s="209">
        <v>33</v>
      </c>
      <c r="M669" s="208"/>
      <c r="N669" s="221"/>
    </row>
    <row r="670" spans="1:17" ht="16.5" customHeight="1" x14ac:dyDescent="0.25">
      <c r="A670" s="203">
        <v>44755</v>
      </c>
      <c r="B670" s="128" t="s">
        <v>26</v>
      </c>
      <c r="C670" s="157" t="str">
        <f t="shared" si="21"/>
        <v>13.07.2022_GRU1</v>
      </c>
      <c r="D670" s="190">
        <f t="shared" si="22"/>
        <v>0</v>
      </c>
      <c r="E670" s="204">
        <v>4.9936542854725423E-2</v>
      </c>
      <c r="F670" s="205">
        <v>3.4731506197722986E-2</v>
      </c>
      <c r="G670" s="204">
        <v>4.0368337829039161E-2</v>
      </c>
      <c r="H670" s="204">
        <v>8.9023255813953494E-3</v>
      </c>
      <c r="I670" s="209">
        <v>1.7969999999999999</v>
      </c>
      <c r="J670" s="207">
        <v>0.4399443136641264</v>
      </c>
      <c r="K670" s="209">
        <v>6.0119999999999996</v>
      </c>
      <c r="L670" s="209">
        <v>9.7989999999999995</v>
      </c>
      <c r="M670" s="208"/>
      <c r="N670" s="221"/>
    </row>
    <row r="671" spans="1:17" ht="16.5" customHeight="1" x14ac:dyDescent="0.25">
      <c r="A671" s="203">
        <v>44755</v>
      </c>
      <c r="B671" s="128" t="s">
        <v>28</v>
      </c>
      <c r="C671" s="157" t="str">
        <f t="shared" si="21"/>
        <v>13.07.2022_GRU2</v>
      </c>
      <c r="D671" s="190">
        <f t="shared" si="22"/>
        <v>0</v>
      </c>
      <c r="E671" s="204">
        <v>2.3047635163719427E-2</v>
      </c>
      <c r="F671" s="205">
        <v>2.6324365845758063E-2</v>
      </c>
      <c r="G671" s="204">
        <v>7.9121942144916746E-2</v>
      </c>
      <c r="H671" s="204">
        <v>3.5609302325581398E-2</v>
      </c>
      <c r="I671" s="209">
        <v>2.4089999999999998</v>
      </c>
      <c r="J671" s="207">
        <v>0.6163994789491295</v>
      </c>
      <c r="K671" s="209">
        <v>7.2</v>
      </c>
      <c r="L671" s="209">
        <v>7.5670000000000002</v>
      </c>
      <c r="M671" s="208"/>
      <c r="N671" s="221"/>
    </row>
    <row r="672" spans="1:17" ht="16.5" customHeight="1" x14ac:dyDescent="0.25">
      <c r="A672" s="203">
        <v>44755</v>
      </c>
      <c r="B672" s="128" t="s">
        <v>0</v>
      </c>
      <c r="C672" s="157" t="str">
        <f t="shared" si="21"/>
        <v>13.07.2022_KIN1</v>
      </c>
      <c r="D672" s="190">
        <f t="shared" si="22"/>
        <v>0</v>
      </c>
      <c r="E672" s="204">
        <v>2.6888907691005999E-2</v>
      </c>
      <c r="F672" s="205">
        <v>3.3173827670842281E-2</v>
      </c>
      <c r="G672" s="204">
        <v>2.0991535671100358E-2</v>
      </c>
      <c r="H672" s="204">
        <v>1.038604651162791E-2</v>
      </c>
      <c r="I672" s="209">
        <v>3.2189999999999999</v>
      </c>
      <c r="J672" s="207">
        <v>0.74653727939371783</v>
      </c>
      <c r="K672" s="209">
        <v>6.3479999999999999</v>
      </c>
      <c r="L672" s="209">
        <v>10.403</v>
      </c>
      <c r="M672" s="208"/>
      <c r="N672" s="221"/>
    </row>
    <row r="673" spans="1:15" ht="16.5" customHeight="1" x14ac:dyDescent="0.25">
      <c r="A673" s="203">
        <v>44755</v>
      </c>
      <c r="B673" s="128" t="s">
        <v>2</v>
      </c>
      <c r="C673" s="157" t="str">
        <f t="shared" si="21"/>
        <v>13.07.2022_KIN2</v>
      </c>
      <c r="D673" s="190">
        <f t="shared" si="22"/>
        <v>0</v>
      </c>
      <c r="E673" s="204">
        <v>2.6888907691005999E-2</v>
      </c>
      <c r="F673" s="205">
        <v>2.9631807300288894E-2</v>
      </c>
      <c r="G673" s="204">
        <v>1.9376802157938803E-2</v>
      </c>
      <c r="H673" s="204">
        <v>7.41860465116279E-3</v>
      </c>
      <c r="I673" s="209">
        <v>5.82</v>
      </c>
      <c r="J673" s="207">
        <v>1.3318678872936642</v>
      </c>
      <c r="K673" s="209">
        <v>9.8000000000000007</v>
      </c>
      <c r="L673" s="209">
        <v>13.082000000000001</v>
      </c>
      <c r="M673" s="208"/>
      <c r="N673" s="221"/>
    </row>
    <row r="674" spans="1:15" ht="16.5" customHeight="1" x14ac:dyDescent="0.25">
      <c r="A674" s="203">
        <v>44755</v>
      </c>
      <c r="B674" s="128" t="s">
        <v>4</v>
      </c>
      <c r="C674" s="157" t="str">
        <f t="shared" si="21"/>
        <v>13.07.2022_KIN3</v>
      </c>
      <c r="D674" s="190">
        <f t="shared" si="22"/>
        <v>0</v>
      </c>
      <c r="E674" s="204">
        <v>1.7285726372789571E-2</v>
      </c>
      <c r="F674" s="205">
        <v>2.2769423890075711E-2</v>
      </c>
      <c r="G674" s="204">
        <v>3.3909403776392892E-2</v>
      </c>
      <c r="H674" s="204">
        <v>1.7804651162790695E-2</v>
      </c>
      <c r="I674" s="209">
        <v>6.2249999999999996</v>
      </c>
      <c r="J674" s="207">
        <v>1.4377916889848428</v>
      </c>
      <c r="K674" s="209">
        <v>11.81</v>
      </c>
      <c r="L674" s="209">
        <v>13.391999999999999</v>
      </c>
      <c r="M674" s="208"/>
      <c r="N674" s="221"/>
    </row>
    <row r="675" spans="1:15" ht="16.5" customHeight="1" x14ac:dyDescent="0.25">
      <c r="A675" s="203">
        <v>44755</v>
      </c>
      <c r="B675" s="128" t="s">
        <v>6</v>
      </c>
      <c r="C675" s="157" t="str">
        <f t="shared" si="21"/>
        <v>13.07.2022_KIN4</v>
      </c>
      <c r="D675" s="190">
        <f t="shared" si="22"/>
        <v>0</v>
      </c>
      <c r="E675" s="204">
        <v>3.4571452745579143E-2</v>
      </c>
      <c r="F675" s="205">
        <v>3.922676127183148E-2</v>
      </c>
      <c r="G675" s="204">
        <v>3.5524137289554461E-2</v>
      </c>
      <c r="H675" s="204">
        <v>1.9288372093023257E-2</v>
      </c>
      <c r="I675" s="209">
        <v>5.4050000000000002</v>
      </c>
      <c r="J675" s="207">
        <v>1.2542838322476872</v>
      </c>
      <c r="K675" s="209">
        <v>26.056000000000001</v>
      </c>
      <c r="L675" s="209">
        <v>13.457000000000001</v>
      </c>
      <c r="M675" s="208"/>
      <c r="N675" s="221"/>
      <c r="O675" s="218"/>
    </row>
    <row r="676" spans="1:15" ht="16.5" customHeight="1" x14ac:dyDescent="0.25">
      <c r="A676" s="203">
        <v>44755</v>
      </c>
      <c r="B676" s="128" t="s">
        <v>34</v>
      </c>
      <c r="C676" s="157" t="str">
        <f t="shared" si="21"/>
        <v>13.07.2022_KRE1</v>
      </c>
      <c r="D676" s="190">
        <f t="shared" si="22"/>
        <v>0</v>
      </c>
      <c r="E676" s="204">
        <v>7.4904814282088145E-2</v>
      </c>
      <c r="F676" s="205">
        <v>6.9314150785315887E-2</v>
      </c>
      <c r="G676" s="204">
        <v>0.1162608129476328</v>
      </c>
      <c r="H676" s="204">
        <v>4.7479069767441866E-2</v>
      </c>
      <c r="I676" s="209">
        <v>4.4109999999999996</v>
      </c>
      <c r="J676" s="207">
        <v>1.101042931436405</v>
      </c>
      <c r="K676" s="209">
        <v>74</v>
      </c>
      <c r="L676" s="209">
        <v>31</v>
      </c>
      <c r="M676" s="208"/>
      <c r="N676" s="221"/>
    </row>
    <row r="677" spans="1:15" ht="16.5" customHeight="1" x14ac:dyDescent="0.25">
      <c r="A677" s="203">
        <v>44755</v>
      </c>
      <c r="B677" s="128" t="s">
        <v>37</v>
      </c>
      <c r="C677" s="157" t="str">
        <f t="shared" si="21"/>
        <v>13.07.2022_KRE2</v>
      </c>
      <c r="D677" s="190">
        <f t="shared" si="22"/>
        <v>0</v>
      </c>
      <c r="E677" s="204">
        <v>9.4111176918521E-2</v>
      </c>
      <c r="F677" s="205">
        <v>8.3237079217137314E-2</v>
      </c>
      <c r="G677" s="204">
        <v>0.27127523021114314</v>
      </c>
      <c r="H677" s="204">
        <v>0.23739534883720928</v>
      </c>
      <c r="I677" s="209">
        <v>9.0310000000000006</v>
      </c>
      <c r="J677" s="207">
        <v>2.3227494874601389</v>
      </c>
      <c r="K677" s="209">
        <v>68</v>
      </c>
      <c r="L677" s="209">
        <v>51</v>
      </c>
      <c r="M677" s="208"/>
      <c r="N677" s="221"/>
    </row>
    <row r="678" spans="1:15" ht="16.5" customHeight="1" x14ac:dyDescent="0.25">
      <c r="A678" s="203">
        <v>44755</v>
      </c>
      <c r="B678" s="128" t="s">
        <v>18</v>
      </c>
      <c r="C678" s="157" t="str">
        <f t="shared" si="21"/>
        <v>13.07.2022_ORB1</v>
      </c>
      <c r="D678" s="190">
        <f t="shared" si="22"/>
        <v>0</v>
      </c>
      <c r="E678" s="204">
        <v>2.1126998900076143E-2</v>
      </c>
      <c r="F678" s="205">
        <v>2.938443407056409E-2</v>
      </c>
      <c r="G678" s="204">
        <v>2.4221002697423496E-2</v>
      </c>
      <c r="H678" s="204">
        <v>2.0772093023255816E-2</v>
      </c>
      <c r="I678" s="209">
        <v>4.3099999999999996</v>
      </c>
      <c r="J678" s="207">
        <v>0.99863113010545246</v>
      </c>
      <c r="K678" s="209">
        <v>7.2590000000000003</v>
      </c>
      <c r="L678" s="209">
        <v>10.425000000000001</v>
      </c>
      <c r="M678" s="208"/>
      <c r="N678" s="221"/>
    </row>
    <row r="679" spans="1:15" ht="16.5" customHeight="1" x14ac:dyDescent="0.25">
      <c r="A679" s="203">
        <v>44755</v>
      </c>
      <c r="B679" s="128" t="s">
        <v>21</v>
      </c>
      <c r="C679" s="157" t="str">
        <f t="shared" si="21"/>
        <v>13.07.2022_ORB2</v>
      </c>
      <c r="D679" s="190">
        <f t="shared" si="22"/>
        <v>0</v>
      </c>
      <c r="E679" s="204">
        <v>4.0333361536509002E-2</v>
      </c>
      <c r="F679" s="205">
        <v>3.029909492587237E-2</v>
      </c>
      <c r="G679" s="204">
        <v>5.1671472421170137E-2</v>
      </c>
      <c r="H679" s="204">
        <v>2.3739534883720933E-2</v>
      </c>
      <c r="I679" s="209">
        <v>4.8369999999999997</v>
      </c>
      <c r="J679" s="207">
        <v>1.1398830730156633</v>
      </c>
      <c r="K679" s="209">
        <v>16.571000000000002</v>
      </c>
      <c r="L679" s="209">
        <v>13.538</v>
      </c>
      <c r="M679" s="208"/>
      <c r="N679" s="221"/>
    </row>
    <row r="680" spans="1:15" ht="16.5" customHeight="1" x14ac:dyDescent="0.25">
      <c r="A680" s="203">
        <v>44755</v>
      </c>
      <c r="B680" s="128" t="s">
        <v>10</v>
      </c>
      <c r="C680" s="157" t="str">
        <f t="shared" si="21"/>
        <v>13.07.2022_SAL1</v>
      </c>
      <c r="D680" s="190">
        <f t="shared" si="22"/>
        <v>0</v>
      </c>
      <c r="E680" s="204">
        <v>0.10563499450038072</v>
      </c>
      <c r="F680" s="205">
        <v>9.8421405365082038E-2</v>
      </c>
      <c r="G680" s="204">
        <v>2.745046972374663E-2</v>
      </c>
      <c r="H680" s="204">
        <v>1.1869767441860463E-2</v>
      </c>
      <c r="I680" s="209">
        <v>5.7729999999999997</v>
      </c>
      <c r="J680" s="207">
        <v>1.328876275933466</v>
      </c>
      <c r="K680" s="209">
        <v>6.5919999999999996</v>
      </c>
      <c r="L680" s="209">
        <v>4.9749999999999996</v>
      </c>
      <c r="M680" s="208"/>
      <c r="N680" s="221"/>
    </row>
    <row r="681" spans="1:15" ht="16.5" customHeight="1" x14ac:dyDescent="0.25">
      <c r="A681" s="203">
        <v>44755</v>
      </c>
      <c r="B681" s="128" t="s">
        <v>12</v>
      </c>
      <c r="C681" s="157" t="str">
        <f t="shared" si="21"/>
        <v>13.07.2022_SAL2</v>
      </c>
      <c r="D681" s="190">
        <f t="shared" si="22"/>
        <v>0</v>
      </c>
      <c r="E681" s="204">
        <v>9.4111176918521E-2</v>
      </c>
      <c r="F681" s="205">
        <v>9.7062164204354262E-2</v>
      </c>
      <c r="G681" s="204">
        <v>2.0991535671100358E-2</v>
      </c>
      <c r="H681" s="204">
        <v>4.4511627906976764E-3</v>
      </c>
      <c r="I681" s="209">
        <v>4.5190000000000001</v>
      </c>
      <c r="J681" s="207">
        <v>1.0383614040448805</v>
      </c>
      <c r="K681" s="209">
        <v>7.17</v>
      </c>
      <c r="L681" s="209">
        <v>5.4669999999999996</v>
      </c>
      <c r="M681" s="208"/>
      <c r="N681" s="221"/>
    </row>
    <row r="682" spans="1:15" ht="16.5" customHeight="1" x14ac:dyDescent="0.25">
      <c r="A682" s="203">
        <v>44755</v>
      </c>
      <c r="B682" s="128" t="s">
        <v>7</v>
      </c>
      <c r="C682" s="157" t="str">
        <f t="shared" si="21"/>
        <v>13.07.2022_STE1</v>
      </c>
      <c r="D682" s="190">
        <f t="shared" si="22"/>
        <v>0</v>
      </c>
      <c r="E682" s="204">
        <v>8.2587359336661281E-2</v>
      </c>
      <c r="F682" s="205">
        <v>6.7453195054525864E-2</v>
      </c>
      <c r="G682" s="204">
        <v>1.1303134592130963E-2</v>
      </c>
      <c r="H682" s="204">
        <v>1.3353488372093023E-2</v>
      </c>
      <c r="I682" s="209">
        <v>5.6909999999999998</v>
      </c>
      <c r="J682" s="207">
        <v>1.2982684105143272</v>
      </c>
      <c r="K682" s="209">
        <v>8.8800000000000008</v>
      </c>
      <c r="L682" s="209">
        <v>8.173</v>
      </c>
      <c r="M682" s="208"/>
      <c r="N682" s="221"/>
    </row>
    <row r="683" spans="1:15" ht="16.5" customHeight="1" x14ac:dyDescent="0.25">
      <c r="A683" s="203">
        <v>44755</v>
      </c>
      <c r="B683" s="128" t="s">
        <v>9</v>
      </c>
      <c r="C683" s="157" t="str">
        <f t="shared" si="21"/>
        <v>13.07.2022_STE2</v>
      </c>
      <c r="D683" s="190">
        <f t="shared" si="22"/>
        <v>0</v>
      </c>
      <c r="E683" s="204">
        <v>7.6825450545731436E-2</v>
      </c>
      <c r="F683" s="205">
        <v>6.3849218246384204E-2</v>
      </c>
      <c r="G683" s="204">
        <v>4.198307134220073E-2</v>
      </c>
      <c r="H683" s="204">
        <v>8.9023255813953494E-3</v>
      </c>
      <c r="I683" s="209">
        <v>5.7809999999999997</v>
      </c>
      <c r="J683" s="207">
        <v>1.3410642180897612</v>
      </c>
      <c r="K683" s="209">
        <v>10.164</v>
      </c>
      <c r="L683" s="209">
        <v>7.8470000000000004</v>
      </c>
      <c r="M683" s="208"/>
      <c r="N683" s="221"/>
    </row>
    <row r="684" spans="1:15" ht="16.5" customHeight="1" x14ac:dyDescent="0.25">
      <c r="A684" s="203">
        <v>44769</v>
      </c>
      <c r="B684" s="128" t="s">
        <v>22</v>
      </c>
      <c r="C684" s="157" t="str">
        <f t="shared" si="21"/>
        <v>27.07.2022_BIE1</v>
      </c>
      <c r="D684" s="190">
        <f t="shared" si="22"/>
        <v>0</v>
      </c>
      <c r="E684" s="204">
        <v>2.9812323534296623E-2</v>
      </c>
      <c r="F684" s="205">
        <v>3.1845658414819983E-2</v>
      </c>
      <c r="G684" s="204">
        <v>5.6362492644223945E-2</v>
      </c>
      <c r="H684" s="204">
        <v>0.03</v>
      </c>
      <c r="I684" s="209">
        <v>2.5750000000000002</v>
      </c>
      <c r="J684" s="207">
        <v>0.63451366191331349</v>
      </c>
      <c r="K684" s="209">
        <v>5.73</v>
      </c>
      <c r="L684" s="209">
        <v>11.167999999999999</v>
      </c>
      <c r="M684" s="208"/>
      <c r="N684" s="221"/>
    </row>
    <row r="685" spans="1:15" ht="16.5" customHeight="1" x14ac:dyDescent="0.25">
      <c r="A685" s="203">
        <v>44769</v>
      </c>
      <c r="B685" s="128" t="s">
        <v>25</v>
      </c>
      <c r="C685" s="157" t="str">
        <f t="shared" si="21"/>
        <v>27.07.2022_BIE2</v>
      </c>
      <c r="D685" s="190">
        <f t="shared" si="22"/>
        <v>0</v>
      </c>
      <c r="E685" s="204">
        <v>4.5712229419254825E-2</v>
      </c>
      <c r="F685" s="205">
        <v>2.6470151729742535E-2</v>
      </c>
      <c r="G685" s="204">
        <v>5.9885148434487945E-2</v>
      </c>
      <c r="H685" s="204">
        <v>2.3E-2</v>
      </c>
      <c r="I685" s="209">
        <v>2.3839999999999999</v>
      </c>
      <c r="J685" s="207">
        <v>0.59197664890789559</v>
      </c>
      <c r="K685" s="209">
        <v>6.2489999999999997</v>
      </c>
      <c r="L685" s="209">
        <v>11.744999999999999</v>
      </c>
      <c r="M685" s="208"/>
      <c r="N685" s="221"/>
    </row>
    <row r="686" spans="1:15" ht="16.5" customHeight="1" x14ac:dyDescent="0.25">
      <c r="A686" s="203">
        <v>44769</v>
      </c>
      <c r="B686" s="128" t="s">
        <v>14</v>
      </c>
      <c r="C686" s="157" t="str">
        <f t="shared" si="21"/>
        <v>27.07.2022_BRA1</v>
      </c>
      <c r="D686" s="190">
        <f t="shared" si="22"/>
        <v>0</v>
      </c>
      <c r="E686" s="204">
        <v>3.5774788241155944E-2</v>
      </c>
      <c r="F686" s="205">
        <v>5.2417292137352536E-2</v>
      </c>
      <c r="G686" s="204">
        <v>6.8691787910147947E-2</v>
      </c>
      <c r="H686" s="204">
        <v>5.5E-2</v>
      </c>
      <c r="I686" s="209">
        <v>3.2919999999999998</v>
      </c>
      <c r="J686" s="207">
        <v>0.81364727639435064</v>
      </c>
      <c r="K686" s="209">
        <v>3.7450000000000001</v>
      </c>
      <c r="L686" s="209">
        <v>2.9820000000000002</v>
      </c>
      <c r="M686" s="208"/>
      <c r="N686" s="221"/>
    </row>
    <row r="687" spans="1:15" ht="16.5" customHeight="1" x14ac:dyDescent="0.25">
      <c r="A687" s="203">
        <v>44769</v>
      </c>
      <c r="B687" s="128" t="s">
        <v>17</v>
      </c>
      <c r="C687" s="157" t="str">
        <f t="shared" si="21"/>
        <v>27.07.2022_BRA2</v>
      </c>
      <c r="D687" s="190">
        <f t="shared" si="22"/>
        <v>0</v>
      </c>
      <c r="E687" s="204">
        <v>5.56496705973537E-2</v>
      </c>
      <c r="F687" s="205">
        <v>6.3753563163255755E-2</v>
      </c>
      <c r="G687" s="204">
        <v>2.9942574217243972E-2</v>
      </c>
      <c r="H687" s="204">
        <v>8.5868102288021563E-3</v>
      </c>
      <c r="I687" s="209">
        <v>6.8440000000000003</v>
      </c>
      <c r="J687" s="207">
        <v>1.5717186438281063</v>
      </c>
      <c r="K687" s="209">
        <v>6.3410000000000002</v>
      </c>
      <c r="L687" s="209">
        <v>3.7949999999999999</v>
      </c>
      <c r="M687" s="208"/>
      <c r="N687" s="221"/>
    </row>
    <row r="688" spans="1:15" ht="16.5" customHeight="1" x14ac:dyDescent="0.25">
      <c r="A688" s="203">
        <v>44769</v>
      </c>
      <c r="B688" s="128" t="s">
        <v>30</v>
      </c>
      <c r="C688" s="157" t="str">
        <f t="shared" si="21"/>
        <v>27.07.2022_FAL1</v>
      </c>
      <c r="D688" s="190">
        <f t="shared" si="22"/>
        <v>0</v>
      </c>
      <c r="E688" s="204">
        <v>0.20073631179759729</v>
      </c>
      <c r="F688" s="205">
        <v>0.21584944781877982</v>
      </c>
      <c r="G688" s="204">
        <v>0.10039569002252392</v>
      </c>
      <c r="H688" s="204">
        <v>5.7245401525347683E-2</v>
      </c>
      <c r="I688" s="209">
        <v>9.9280000000000008</v>
      </c>
      <c r="J688" s="207">
        <v>2.3378219718399817</v>
      </c>
      <c r="K688" s="209">
        <v>80</v>
      </c>
      <c r="L688" s="209">
        <v>28.765999999999998</v>
      </c>
      <c r="M688" s="208"/>
      <c r="N688" s="221"/>
    </row>
    <row r="689" spans="1:14" ht="16.5" customHeight="1" x14ac:dyDescent="0.25">
      <c r="A689" s="203">
        <v>44769</v>
      </c>
      <c r="B689" s="128" t="s">
        <v>32</v>
      </c>
      <c r="C689" s="157" t="str">
        <f t="shared" si="21"/>
        <v>27.07.2022_FAL2</v>
      </c>
      <c r="D689" s="190">
        <f t="shared" si="22"/>
        <v>0</v>
      </c>
      <c r="E689" s="204">
        <v>0.12322427060842604</v>
      </c>
      <c r="F689" s="205">
        <v>9.592047940632592E-2</v>
      </c>
      <c r="G689" s="204">
        <v>6.8691787910147947E-2</v>
      </c>
      <c r="H689" s="204">
        <v>5.0089726334679237E-2</v>
      </c>
      <c r="I689" s="209">
        <v>8.4510000000000005</v>
      </c>
      <c r="J689" s="207">
        <v>1.9774156735769437</v>
      </c>
      <c r="K689" s="209">
        <v>66</v>
      </c>
      <c r="L689" s="209">
        <v>31.992999999999999</v>
      </c>
      <c r="M689" s="208"/>
      <c r="N689" s="221"/>
    </row>
    <row r="690" spans="1:14" ht="16.5" customHeight="1" x14ac:dyDescent="0.25">
      <c r="A690" s="203">
        <v>44769</v>
      </c>
      <c r="B690" s="128" t="s">
        <v>26</v>
      </c>
      <c r="C690" s="157" t="str">
        <f t="shared" si="21"/>
        <v>27.07.2022_GRU1</v>
      </c>
      <c r="D690" s="190">
        <f t="shared" si="22"/>
        <v>0</v>
      </c>
      <c r="E690" s="204">
        <v>4.173725294801528E-2</v>
      </c>
      <c r="F690" s="205">
        <v>3.6496729068401554E-2</v>
      </c>
      <c r="G690" s="204">
        <v>4.5794525273431974E-2</v>
      </c>
      <c r="H690" s="204">
        <v>1.1449080305069538E-2</v>
      </c>
      <c r="I690" s="209">
        <v>2.62</v>
      </c>
      <c r="J690" s="207">
        <v>0.63082406342844555</v>
      </c>
      <c r="K690" s="209">
        <v>5.8890000000000002</v>
      </c>
      <c r="L690" s="209">
        <v>9.5190000000000001</v>
      </c>
      <c r="M690" s="208"/>
      <c r="N690" s="221"/>
    </row>
    <row r="691" spans="1:14" ht="16.5" customHeight="1" x14ac:dyDescent="0.25">
      <c r="A691" s="203">
        <v>44769</v>
      </c>
      <c r="B691" s="128" t="s">
        <v>28</v>
      </c>
      <c r="C691" s="157" t="str">
        <f t="shared" si="21"/>
        <v>27.07.2022_GRU2</v>
      </c>
      <c r="D691" s="190">
        <f t="shared" si="22"/>
        <v>0</v>
      </c>
      <c r="E691" s="204">
        <v>2.1862370591817525E-2</v>
      </c>
      <c r="F691" s="205">
        <v>3.2180445902793446E-2</v>
      </c>
      <c r="G691" s="204">
        <v>8.4543738966335921E-2</v>
      </c>
      <c r="H691" s="204">
        <v>4.2934051144010769E-2</v>
      </c>
      <c r="I691" s="209">
        <v>2.6539999999999999</v>
      </c>
      <c r="J691" s="207">
        <v>0.67817761974076418</v>
      </c>
      <c r="K691" s="209">
        <v>7.0019999999999998</v>
      </c>
      <c r="L691" s="209">
        <v>7.1989999999999998</v>
      </c>
      <c r="M691" s="208"/>
      <c r="N691" s="221"/>
    </row>
    <row r="692" spans="1:14" ht="16.5" customHeight="1" x14ac:dyDescent="0.25">
      <c r="A692" s="203">
        <v>44769</v>
      </c>
      <c r="B692" s="128" t="s">
        <v>0</v>
      </c>
      <c r="C692" s="157" t="str">
        <f t="shared" si="21"/>
        <v>27.07.2022_KIN1</v>
      </c>
      <c r="D692" s="190">
        <f t="shared" si="22"/>
        <v>0</v>
      </c>
      <c r="E692" s="204">
        <v>4.3724741183635049E-2</v>
      </c>
      <c r="F692" s="205">
        <v>3.6919492930091675E-2</v>
      </c>
      <c r="G692" s="204">
        <v>3.6987885797771972E-2</v>
      </c>
      <c r="H692" s="204">
        <v>1.2880215343203232E-2</v>
      </c>
      <c r="I692" s="209">
        <v>4.194</v>
      </c>
      <c r="J692" s="207">
        <v>0.97994088500435006</v>
      </c>
      <c r="K692" s="209">
        <v>6.2519999999999998</v>
      </c>
      <c r="L692" s="209">
        <v>9.5719999999999992</v>
      </c>
      <c r="M692" s="208"/>
      <c r="N692" s="221"/>
    </row>
    <row r="693" spans="1:14" ht="16.5" customHeight="1" x14ac:dyDescent="0.25">
      <c r="A693" s="203">
        <v>44769</v>
      </c>
      <c r="B693" s="128" t="s">
        <v>2</v>
      </c>
      <c r="C693" s="157" t="str">
        <f t="shared" si="21"/>
        <v>27.07.2022_KIN2</v>
      </c>
      <c r="D693" s="190">
        <f t="shared" si="22"/>
        <v>0</v>
      </c>
      <c r="E693" s="204">
        <v>0.33787300005536175</v>
      </c>
      <c r="F693" s="205">
        <v>2.9280110389149395E-2</v>
      </c>
      <c r="G693" s="204">
        <v>4.0510541588035971E-2</v>
      </c>
      <c r="H693" s="204">
        <v>2.1467025572005385E-2</v>
      </c>
      <c r="I693" s="209">
        <v>6.4560000000000004</v>
      </c>
      <c r="J693" s="207">
        <v>1.4962083863730911</v>
      </c>
      <c r="K693" s="209">
        <v>10.94</v>
      </c>
      <c r="L693" s="209">
        <v>13.369</v>
      </c>
      <c r="M693" s="208"/>
      <c r="N693" s="221"/>
    </row>
    <row r="694" spans="1:14" ht="16.5" customHeight="1" x14ac:dyDescent="0.25">
      <c r="A694" s="203">
        <v>44769</v>
      </c>
      <c r="B694" s="128" t="s">
        <v>4</v>
      </c>
      <c r="C694" s="157" t="str">
        <f t="shared" si="21"/>
        <v>27.07.2022_KIN3</v>
      </c>
      <c r="D694" s="190">
        <f t="shared" si="22"/>
        <v>0</v>
      </c>
      <c r="E694" s="204">
        <v>2.9812323534296623E-2</v>
      </c>
      <c r="F694" s="205">
        <v>2.6452121610957932E-2</v>
      </c>
      <c r="G694" s="204">
        <v>3.5226557902639975E-2</v>
      </c>
      <c r="H694" s="204">
        <v>1.4311350381336926E-2</v>
      </c>
      <c r="I694" s="209">
        <v>6.0279999999999996</v>
      </c>
      <c r="J694" s="207">
        <v>1.3932545205694189</v>
      </c>
      <c r="K694" s="209">
        <v>12.662000000000001</v>
      </c>
      <c r="L694" s="209">
        <v>12.768000000000001</v>
      </c>
      <c r="M694" s="208"/>
      <c r="N694" s="221"/>
    </row>
    <row r="695" spans="1:14" ht="16.5" customHeight="1" x14ac:dyDescent="0.25">
      <c r="A695" s="203">
        <v>44769</v>
      </c>
      <c r="B695" s="128" t="s">
        <v>6</v>
      </c>
      <c r="C695" s="157" t="str">
        <f t="shared" si="21"/>
        <v>27.07.2022_KIN4</v>
      </c>
      <c r="D695" s="190">
        <f t="shared" si="22"/>
        <v>0</v>
      </c>
      <c r="E695" s="204">
        <v>4.5712229419254825E-2</v>
      </c>
      <c r="F695" s="205">
        <v>4.0719672783783946E-2</v>
      </c>
      <c r="G695" s="204">
        <v>5.2839836853959946E-2</v>
      </c>
      <c r="H695" s="204">
        <v>2.2898160610139075E-2</v>
      </c>
      <c r="I695" s="209">
        <v>5.016</v>
      </c>
      <c r="J695" s="207">
        <v>1.1809648699164881</v>
      </c>
      <c r="K695" s="209">
        <v>28.850999999999999</v>
      </c>
      <c r="L695" s="209">
        <v>14.098000000000001</v>
      </c>
      <c r="M695" s="208"/>
      <c r="N695" s="221"/>
    </row>
    <row r="696" spans="1:14" ht="16.5" customHeight="1" x14ac:dyDescent="0.25">
      <c r="A696" s="203">
        <v>44769</v>
      </c>
      <c r="B696" s="128" t="s">
        <v>34</v>
      </c>
      <c r="C696" s="157" t="str">
        <f t="shared" si="21"/>
        <v>27.07.2022_KRE1</v>
      </c>
      <c r="D696" s="190">
        <f t="shared" si="22"/>
        <v>0</v>
      </c>
      <c r="E696" s="204">
        <v>9.5399435309749203E-2</v>
      </c>
      <c r="F696" s="205">
        <v>0.11451319092677342</v>
      </c>
      <c r="G696" s="204">
        <v>0.12153162476410789</v>
      </c>
      <c r="H696" s="204">
        <v>3.148497083894123E-2</v>
      </c>
      <c r="I696" s="209">
        <v>1.0900000000000001</v>
      </c>
      <c r="J696" s="207">
        <v>0.3501519906849978</v>
      </c>
      <c r="K696" s="209">
        <v>61</v>
      </c>
      <c r="L696" s="209">
        <v>22.125</v>
      </c>
      <c r="M696" s="208"/>
      <c r="N696" s="221"/>
    </row>
    <row r="697" spans="1:14" ht="16.5" customHeight="1" x14ac:dyDescent="0.25">
      <c r="A697" s="203">
        <v>44769</v>
      </c>
      <c r="B697" s="128" t="s">
        <v>37</v>
      </c>
      <c r="C697" s="157" t="str">
        <f t="shared" si="21"/>
        <v>27.07.2022_KRE2</v>
      </c>
      <c r="D697" s="190">
        <f t="shared" si="22"/>
        <v>0</v>
      </c>
      <c r="E697" s="204">
        <v>0.1351492000221447</v>
      </c>
      <c r="F697" s="205">
        <v>0.14059482541456436</v>
      </c>
      <c r="G697" s="204">
        <v>0.29942574217243967</v>
      </c>
      <c r="H697" s="204">
        <v>0.2576043068640646</v>
      </c>
      <c r="I697" s="209">
        <v>6.9930000000000003</v>
      </c>
      <c r="J697" s="207">
        <v>1.8904376357642421</v>
      </c>
      <c r="K697" s="209">
        <v>56</v>
      </c>
      <c r="L697" s="209">
        <v>42.841999999999999</v>
      </c>
      <c r="M697" s="208"/>
      <c r="N697" s="221"/>
    </row>
    <row r="698" spans="1:14" ht="16.5" customHeight="1" x14ac:dyDescent="0.25">
      <c r="A698" s="203">
        <v>44769</v>
      </c>
      <c r="B698" s="128" t="s">
        <v>18</v>
      </c>
      <c r="C698" s="157" t="str">
        <f t="shared" si="21"/>
        <v>27.07.2022_ORB1</v>
      </c>
      <c r="D698" s="190">
        <f t="shared" si="22"/>
        <v>0</v>
      </c>
      <c r="E698" s="204">
        <v>3.776227647677572E-2</v>
      </c>
      <c r="F698" s="205">
        <v>3.8155581308885772E-2</v>
      </c>
      <c r="G698" s="204">
        <v>6.6930460015015944E-2</v>
      </c>
      <c r="H698" s="204">
        <v>1.7173620457604306E-2</v>
      </c>
      <c r="I698" s="209">
        <v>4.6710000000000003</v>
      </c>
      <c r="J698" s="207">
        <v>1.1122381116453774</v>
      </c>
      <c r="K698" s="209">
        <v>5.577</v>
      </c>
      <c r="L698" s="209">
        <v>9.7919999999999998</v>
      </c>
      <c r="M698" s="208"/>
      <c r="N698" s="221"/>
    </row>
    <row r="699" spans="1:14" ht="16.5" customHeight="1" x14ac:dyDescent="0.25">
      <c r="A699" s="203">
        <v>44769</v>
      </c>
      <c r="B699" s="128" t="s">
        <v>21</v>
      </c>
      <c r="C699" s="157" t="str">
        <f t="shared" si="21"/>
        <v>27.07.2022_ORB2</v>
      </c>
      <c r="D699" s="190">
        <f t="shared" si="22"/>
        <v>0</v>
      </c>
      <c r="E699" s="204">
        <v>2.1862370591817525E-2</v>
      </c>
      <c r="F699" s="205">
        <v>3.1636491360331497E-2</v>
      </c>
      <c r="G699" s="204">
        <v>5.1078508958827949E-2</v>
      </c>
      <c r="H699" s="204">
        <v>3.0053835800807539E-2</v>
      </c>
      <c r="I699" s="209">
        <v>5.141</v>
      </c>
      <c r="J699" s="207">
        <v>1.2100095117309961</v>
      </c>
      <c r="K699" s="209">
        <v>17.885000000000002</v>
      </c>
      <c r="L699" s="209">
        <v>13.28</v>
      </c>
      <c r="M699" s="208"/>
      <c r="N699" s="221"/>
    </row>
    <row r="700" spans="1:14" ht="16.5" customHeight="1" x14ac:dyDescent="0.25">
      <c r="A700" s="203">
        <v>44769</v>
      </c>
      <c r="B700" s="128" t="s">
        <v>10</v>
      </c>
      <c r="C700" s="157" t="str">
        <f t="shared" si="21"/>
        <v>27.07.2022_SAL1</v>
      </c>
      <c r="D700" s="190">
        <f t="shared" si="22"/>
        <v>0</v>
      </c>
      <c r="E700" s="204">
        <v>9.1424458838509651E-2</v>
      </c>
      <c r="F700" s="205">
        <v>0.10072623433780981</v>
      </c>
      <c r="G700" s="204">
        <v>2.8181246322111973E-2</v>
      </c>
      <c r="H700" s="204">
        <v>1.1449080305069538E-2</v>
      </c>
      <c r="I700" s="209">
        <v>4.4690000000000003</v>
      </c>
      <c r="J700" s="207">
        <v>1.0347811584555351</v>
      </c>
      <c r="K700" s="209">
        <v>5.5970000000000004</v>
      </c>
      <c r="L700" s="209">
        <v>4.0970000000000004</v>
      </c>
      <c r="M700" s="208"/>
      <c r="N700" s="221"/>
    </row>
    <row r="701" spans="1:14" ht="16.5" customHeight="1" x14ac:dyDescent="0.25">
      <c r="A701" s="203">
        <v>44769</v>
      </c>
      <c r="B701" s="128" t="s">
        <v>12</v>
      </c>
      <c r="C701" s="157" t="str">
        <f t="shared" si="21"/>
        <v>27.07.2022_SAL2</v>
      </c>
      <c r="D701" s="190">
        <f t="shared" si="22"/>
        <v>0</v>
      </c>
      <c r="E701" s="204">
        <v>0.10334938825222829</v>
      </c>
      <c r="F701" s="205">
        <v>0.12717097774133568</v>
      </c>
      <c r="G701" s="204">
        <v>2.4658590531847987E-2</v>
      </c>
      <c r="H701" s="204">
        <v>2.0035890533871694E-2</v>
      </c>
      <c r="I701" s="209">
        <v>4.3920000000000003</v>
      </c>
      <c r="J701" s="207">
        <v>1.017268115835112</v>
      </c>
      <c r="K701" s="209">
        <v>6.681</v>
      </c>
      <c r="L701" s="209">
        <v>4.8490000000000002</v>
      </c>
      <c r="M701" s="208"/>
      <c r="N701" s="221"/>
    </row>
    <row r="702" spans="1:14" ht="16.5" customHeight="1" x14ac:dyDescent="0.25">
      <c r="A702" s="203">
        <v>44769</v>
      </c>
      <c r="B702" s="128" t="s">
        <v>7</v>
      </c>
      <c r="C702" s="157" t="str">
        <f t="shared" si="21"/>
        <v>27.07.2022_STE1</v>
      </c>
      <c r="D702" s="190">
        <f t="shared" si="22"/>
        <v>0</v>
      </c>
      <c r="E702" s="204">
        <v>5.3662182361733923E-2</v>
      </c>
      <c r="F702" s="205">
        <v>5.8961352032764792E-2</v>
      </c>
      <c r="G702" s="204">
        <v>2.4658590531847987E-2</v>
      </c>
      <c r="H702" s="204">
        <v>1.4311350381336926E-2</v>
      </c>
      <c r="I702" s="209">
        <v>5.968</v>
      </c>
      <c r="J702" s="207">
        <v>1.3714963995856728</v>
      </c>
      <c r="K702" s="209">
        <v>8.5470000000000006</v>
      </c>
      <c r="L702" s="209">
        <v>7.181</v>
      </c>
      <c r="M702" s="208"/>
      <c r="N702" s="221"/>
    </row>
    <row r="703" spans="1:14" ht="16.5" customHeight="1" x14ac:dyDescent="0.25">
      <c r="A703" s="203">
        <v>44769</v>
      </c>
      <c r="B703" s="128" t="s">
        <v>9</v>
      </c>
      <c r="C703" s="157" t="str">
        <f t="shared" si="21"/>
        <v>27.07.2022_STE2</v>
      </c>
      <c r="D703" s="190">
        <f t="shared" si="22"/>
        <v>0</v>
      </c>
      <c r="E703" s="204">
        <v>4.3724741183635049E-2</v>
      </c>
      <c r="F703" s="205">
        <v>5.4021742913550969E-2</v>
      </c>
      <c r="G703" s="204">
        <v>4.2271869483167974E-2</v>
      </c>
      <c r="H703" s="204">
        <v>2.1467025572005385E-2</v>
      </c>
      <c r="I703" s="209">
        <v>5.617</v>
      </c>
      <c r="J703" s="207">
        <v>1.3080711098703821</v>
      </c>
      <c r="K703" s="209">
        <v>10.234999999999999</v>
      </c>
      <c r="L703" s="209">
        <v>7.1950000000000003</v>
      </c>
      <c r="M703" s="208"/>
      <c r="N703" s="221"/>
    </row>
    <row r="704" spans="1:14" ht="16.5" customHeight="1" x14ac:dyDescent="0.25">
      <c r="A704" s="203">
        <v>44783</v>
      </c>
      <c r="B704" s="128" t="s">
        <v>22</v>
      </c>
      <c r="C704" s="157" t="str">
        <f t="shared" si="21"/>
        <v>10.08.2022_BIE1</v>
      </c>
      <c r="D704" s="190">
        <f t="shared" si="22"/>
        <v>0</v>
      </c>
      <c r="E704" s="204">
        <v>1.198281349458943E-2</v>
      </c>
      <c r="F704" s="205">
        <v>6.2536332104484671E-2</v>
      </c>
      <c r="G704" s="204">
        <v>4.6093027829678425E-2</v>
      </c>
      <c r="H704" s="204">
        <v>0.03</v>
      </c>
      <c r="I704" s="209">
        <v>3.351</v>
      </c>
      <c r="J704" s="207">
        <v>0.80181464517946699</v>
      </c>
      <c r="K704" s="209">
        <v>7.4779999999999998</v>
      </c>
      <c r="L704" s="209">
        <v>15.169</v>
      </c>
      <c r="M704" s="208"/>
      <c r="N704" s="221"/>
    </row>
    <row r="705" spans="1:14" ht="16.5" customHeight="1" x14ac:dyDescent="0.25">
      <c r="A705" s="203">
        <v>44783</v>
      </c>
      <c r="B705" s="128" t="s">
        <v>25</v>
      </c>
      <c r="C705" s="157" t="str">
        <f t="shared" si="21"/>
        <v>10.08.2022_BIE2</v>
      </c>
      <c r="D705" s="190">
        <f t="shared" si="22"/>
        <v>0</v>
      </c>
      <c r="E705" s="204">
        <v>0</v>
      </c>
      <c r="F705" s="205">
        <v>5.0794795062908453E-2</v>
      </c>
      <c r="G705" s="204">
        <v>5.2921624545186348E-2</v>
      </c>
      <c r="H705" s="204">
        <v>2.3E-2</v>
      </c>
      <c r="I705" s="209">
        <v>3.08</v>
      </c>
      <c r="J705" s="207">
        <v>0.74377506224309176</v>
      </c>
      <c r="K705" s="209">
        <v>8.7319999999999993</v>
      </c>
      <c r="L705" s="209">
        <v>15.553000000000001</v>
      </c>
      <c r="M705" s="208"/>
      <c r="N705" s="221"/>
    </row>
    <row r="706" spans="1:14" ht="16.5" customHeight="1" x14ac:dyDescent="0.25">
      <c r="A706" s="203">
        <v>44783</v>
      </c>
      <c r="B706" s="128" t="s">
        <v>14</v>
      </c>
      <c r="C706" s="157" t="str">
        <f t="shared" si="21"/>
        <v>10.08.2022_BRA1</v>
      </c>
      <c r="D706" s="190">
        <f t="shared" si="22"/>
        <v>0</v>
      </c>
      <c r="E706" s="204">
        <v>2.9957033736473578E-2</v>
      </c>
      <c r="F706" s="205">
        <v>0.10139536029211038</v>
      </c>
      <c r="G706" s="204">
        <v>8.3650309764971967E-2</v>
      </c>
      <c r="H706" s="204">
        <v>5.5E-2</v>
      </c>
      <c r="I706" s="209">
        <v>3.3</v>
      </c>
      <c r="J706" s="207">
        <v>0.82706937902940292</v>
      </c>
      <c r="K706" s="209">
        <v>5.4</v>
      </c>
      <c r="L706" s="209">
        <v>4</v>
      </c>
      <c r="M706" s="208"/>
      <c r="N706" s="221"/>
    </row>
    <row r="707" spans="1:14" ht="16.5" customHeight="1" x14ac:dyDescent="0.25">
      <c r="A707" s="203">
        <v>44783</v>
      </c>
      <c r="B707" s="128" t="s">
        <v>17</v>
      </c>
      <c r="C707" s="157" t="str">
        <f t="shared" si="21"/>
        <v>10.08.2022_BRA2</v>
      </c>
      <c r="D707" s="190">
        <f t="shared" si="22"/>
        <v>0</v>
      </c>
      <c r="E707" s="204">
        <v>6.191120305537872E-2</v>
      </c>
      <c r="F707" s="205">
        <v>0.19832324294320647</v>
      </c>
      <c r="G707" s="204">
        <v>2.9021536040908638E-2</v>
      </c>
      <c r="H707" s="204">
        <v>4.1923119045011482E-3</v>
      </c>
      <c r="I707" s="209">
        <v>10.116</v>
      </c>
      <c r="J707" s="207">
        <v>2.3087122018797301</v>
      </c>
      <c r="K707" s="209">
        <v>10.458</v>
      </c>
      <c r="L707" s="209">
        <v>5.7119999999999997</v>
      </c>
      <c r="M707" s="208"/>
      <c r="N707" s="221"/>
    </row>
    <row r="708" spans="1:14" ht="16.5" customHeight="1" x14ac:dyDescent="0.25">
      <c r="A708" s="203">
        <v>44783</v>
      </c>
      <c r="B708" s="128" t="s">
        <v>30</v>
      </c>
      <c r="C708" s="157" t="str">
        <f t="shared" si="21"/>
        <v>10.08.2022_FAL1</v>
      </c>
      <c r="D708" s="190">
        <f t="shared" si="22"/>
        <v>0</v>
      </c>
      <c r="E708" s="204">
        <v>0.29158179503500947</v>
      </c>
      <c r="F708" s="205">
        <v>0.67658871564929468</v>
      </c>
      <c r="G708" s="204">
        <v>0.89796046808929086</v>
      </c>
      <c r="H708" s="204">
        <v>0.13135910634103604</v>
      </c>
      <c r="I708" s="209">
        <v>16.690000000000001</v>
      </c>
      <c r="J708" s="207">
        <v>4.5070199037921821</v>
      </c>
      <c r="K708" s="209">
        <v>100</v>
      </c>
      <c r="L708" s="209">
        <v>39</v>
      </c>
      <c r="M708" s="208"/>
      <c r="N708" s="221"/>
    </row>
    <row r="709" spans="1:14" ht="16.5" customHeight="1" x14ac:dyDescent="0.25">
      <c r="A709" s="203">
        <v>44783</v>
      </c>
      <c r="B709" s="128" t="s">
        <v>32</v>
      </c>
      <c r="C709" s="157" t="str">
        <f t="shared" ref="C709:C772" si="23">CONCATENATE(TEXT(A709,"TT.MM.JJJJ"),"_",B709)</f>
        <v>10.08.2022_FAL2</v>
      </c>
      <c r="D709" s="190">
        <f t="shared" ref="D709:D772" si="24">COUNTBLANK(E709:L709)</f>
        <v>0</v>
      </c>
      <c r="E709" s="204">
        <v>0.15977084659452576</v>
      </c>
      <c r="F709" s="205">
        <v>0.4033228936066735</v>
      </c>
      <c r="G709" s="204">
        <v>7.5114563870587084E-2</v>
      </c>
      <c r="H709" s="204">
        <v>2.5153871427006896E-2</v>
      </c>
      <c r="I709" s="209">
        <v>12.709</v>
      </c>
      <c r="J709" s="207">
        <v>2.9365656338558241</v>
      </c>
      <c r="K709" s="209">
        <v>83</v>
      </c>
      <c r="L709" s="209">
        <v>39</v>
      </c>
      <c r="M709" s="208"/>
      <c r="N709" s="221"/>
    </row>
    <row r="710" spans="1:14" ht="16.5" customHeight="1" x14ac:dyDescent="0.25">
      <c r="A710" s="203">
        <v>44783</v>
      </c>
      <c r="B710" s="128" t="s">
        <v>26</v>
      </c>
      <c r="C710" s="157" t="str">
        <f t="shared" si="23"/>
        <v>10.08.2022_GRU1</v>
      </c>
      <c r="D710" s="190">
        <f t="shared" si="24"/>
        <v>0</v>
      </c>
      <c r="E710" s="204">
        <v>3.9942711648631437E-3</v>
      </c>
      <c r="F710" s="205">
        <v>7.8393874824130919E-2</v>
      </c>
      <c r="G710" s="204">
        <v>2.2192939325400726E-2</v>
      </c>
      <c r="H710" s="204">
        <v>4.1923119045011482E-3</v>
      </c>
      <c r="I710" s="209">
        <v>3.48</v>
      </c>
      <c r="J710" s="207">
        <v>0.8045365448161057</v>
      </c>
      <c r="K710" s="209">
        <v>7.6619999999999999</v>
      </c>
      <c r="L710" s="209">
        <v>11.535</v>
      </c>
      <c r="M710" s="208"/>
      <c r="N710" s="221"/>
    </row>
    <row r="711" spans="1:14" ht="16.5" customHeight="1" x14ac:dyDescent="0.25">
      <c r="A711" s="203">
        <v>44783</v>
      </c>
      <c r="B711" s="128" t="s">
        <v>28</v>
      </c>
      <c r="C711" s="157" t="str">
        <f t="shared" si="23"/>
        <v>10.08.2022_GRU2</v>
      </c>
      <c r="D711" s="190">
        <f t="shared" si="24"/>
        <v>0</v>
      </c>
      <c r="E711" s="204">
        <v>1.198281349458943E-2</v>
      </c>
      <c r="F711" s="205">
        <v>5.2709894817854631E-2</v>
      </c>
      <c r="G711" s="204">
        <v>3.414298357753958E-2</v>
      </c>
      <c r="H711" s="204">
        <v>3.2141057934508818E-2</v>
      </c>
      <c r="I711" s="209">
        <v>4.0529999999999999</v>
      </c>
      <c r="J711" s="207">
        <v>0.95174814040628486</v>
      </c>
      <c r="K711" s="209">
        <v>9.4380000000000006</v>
      </c>
      <c r="L711" s="209">
        <v>8.6720000000000006</v>
      </c>
      <c r="M711" s="208"/>
      <c r="N711" s="221"/>
    </row>
    <row r="712" spans="1:14" ht="16.5" customHeight="1" x14ac:dyDescent="0.25">
      <c r="A712" s="203">
        <v>44783</v>
      </c>
      <c r="B712" s="128" t="s">
        <v>0</v>
      </c>
      <c r="C712" s="157" t="str">
        <f t="shared" si="23"/>
        <v>10.08.2022_KIN1</v>
      </c>
      <c r="D712" s="190">
        <f t="shared" si="24"/>
        <v>0</v>
      </c>
      <c r="E712" s="204">
        <v>3.9942711648631437E-3</v>
      </c>
      <c r="F712" s="205">
        <v>7.9469891532373438E-2</v>
      </c>
      <c r="G712" s="204">
        <v>2.0485790146523748E-2</v>
      </c>
      <c r="H712" s="204">
        <v>4.1923119045011482E-3</v>
      </c>
      <c r="I712" s="209">
        <v>5.3390000000000004</v>
      </c>
      <c r="J712" s="207">
        <v>1.2231032905501995</v>
      </c>
      <c r="K712" s="209">
        <v>8.34</v>
      </c>
      <c r="L712" s="209">
        <v>13.353999999999999</v>
      </c>
      <c r="M712" s="208"/>
      <c r="N712" s="221"/>
    </row>
    <row r="713" spans="1:14" ht="16.5" customHeight="1" x14ac:dyDescent="0.25">
      <c r="A713" s="203">
        <v>44783</v>
      </c>
      <c r="B713" s="128" t="s">
        <v>2</v>
      </c>
      <c r="C713" s="157" t="str">
        <f t="shared" si="23"/>
        <v>10.08.2022_KIN2</v>
      </c>
      <c r="D713" s="190">
        <f t="shared" si="24"/>
        <v>0</v>
      </c>
      <c r="E713" s="204">
        <v>0</v>
      </c>
      <c r="F713" s="205">
        <v>4.9049292200791503E-2</v>
      </c>
      <c r="G713" s="204">
        <v>1.5364342609892818E-2</v>
      </c>
      <c r="H713" s="204">
        <v>1.3974373015003835E-2</v>
      </c>
      <c r="I713" s="209">
        <v>8.4339999999999993</v>
      </c>
      <c r="J713" s="207">
        <v>1.9211723362575734</v>
      </c>
      <c r="K713" s="209">
        <v>14.628</v>
      </c>
      <c r="L713" s="209">
        <v>17.852</v>
      </c>
      <c r="M713" s="208"/>
      <c r="N713" s="221"/>
    </row>
    <row r="714" spans="1:14" ht="16.5" customHeight="1" x14ac:dyDescent="0.25">
      <c r="A714" s="203">
        <v>44783</v>
      </c>
      <c r="B714" s="128" t="s">
        <v>4</v>
      </c>
      <c r="C714" s="157" t="str">
        <f t="shared" si="23"/>
        <v>10.08.2022_KIN3</v>
      </c>
      <c r="D714" s="190">
        <f t="shared" si="24"/>
        <v>0</v>
      </c>
      <c r="E714" s="204">
        <v>5.991406747294716E-3</v>
      </c>
      <c r="F714" s="205">
        <v>5.5948980332997826E-2</v>
      </c>
      <c r="G714" s="204">
        <v>4.0971580293047496E-2</v>
      </c>
      <c r="H714" s="204">
        <v>8.3846238090023017E-3</v>
      </c>
      <c r="I714" s="209">
        <v>7.9050000000000002</v>
      </c>
      <c r="J714" s="207">
        <v>1.8198690711003993</v>
      </c>
      <c r="K714" s="209">
        <v>16.776</v>
      </c>
      <c r="L714" s="209">
        <v>17.795000000000002</v>
      </c>
      <c r="M714" s="208"/>
      <c r="N714" s="221"/>
    </row>
    <row r="715" spans="1:14" ht="16.5" customHeight="1" x14ac:dyDescent="0.25">
      <c r="A715" s="203">
        <v>44783</v>
      </c>
      <c r="B715" s="128" t="s">
        <v>6</v>
      </c>
      <c r="C715" s="157" t="str">
        <f t="shared" si="23"/>
        <v>10.08.2022_KIN4</v>
      </c>
      <c r="D715" s="190">
        <f t="shared" si="24"/>
        <v>0</v>
      </c>
      <c r="E715" s="204">
        <v>2.3965626989178864E-2</v>
      </c>
      <c r="F715" s="205">
        <v>9.0536254146277403E-2</v>
      </c>
      <c r="G715" s="204">
        <v>4.0971580293047496E-2</v>
      </c>
      <c r="H715" s="204">
        <v>9.7820611105026815E-3</v>
      </c>
      <c r="I715" s="209">
        <v>6.4539999999999997</v>
      </c>
      <c r="J715" s="207">
        <v>1.4925571508868409</v>
      </c>
      <c r="K715" s="209">
        <v>30</v>
      </c>
      <c r="L715" s="209">
        <v>18.081</v>
      </c>
      <c r="M715" s="208"/>
      <c r="N715" s="221"/>
    </row>
    <row r="716" spans="1:14" ht="16.5" customHeight="1" x14ac:dyDescent="0.25">
      <c r="A716" s="203">
        <v>44783</v>
      </c>
      <c r="B716" s="128" t="s">
        <v>34</v>
      </c>
      <c r="C716" s="157" t="str">
        <f t="shared" si="23"/>
        <v>10.08.2022_KRE1</v>
      </c>
      <c r="D716" s="190">
        <f t="shared" si="24"/>
        <v>0</v>
      </c>
      <c r="E716" s="204">
        <v>0.12382240611075747</v>
      </c>
      <c r="F716" s="205">
        <v>0.291491482959156</v>
      </c>
      <c r="G716" s="204">
        <v>0.12632903923689645</v>
      </c>
      <c r="H716" s="204">
        <v>3.0743620633008433E-2</v>
      </c>
      <c r="I716" s="209">
        <v>3.6970000000000001</v>
      </c>
      <c r="J716" s="207">
        <v>0.94249452097877717</v>
      </c>
      <c r="K716" s="209">
        <v>77</v>
      </c>
      <c r="L716" s="209">
        <v>34</v>
      </c>
      <c r="M716" s="208"/>
      <c r="N716" s="221"/>
    </row>
    <row r="717" spans="1:14" ht="16.5" customHeight="1" x14ac:dyDescent="0.25">
      <c r="A717" s="203">
        <v>44783</v>
      </c>
      <c r="B717" s="128" t="s">
        <v>37</v>
      </c>
      <c r="C717" s="157" t="str">
        <f t="shared" si="23"/>
        <v>10.08.2022_KRE2</v>
      </c>
      <c r="D717" s="190">
        <f t="shared" si="24"/>
        <v>0</v>
      </c>
      <c r="E717" s="204">
        <v>9.5862507956715456E-2</v>
      </c>
      <c r="F717" s="205">
        <v>0.27691672256722744</v>
      </c>
      <c r="G717" s="204">
        <v>0.32777264234437997</v>
      </c>
      <c r="H717" s="204">
        <v>0.24455152776256708</v>
      </c>
      <c r="I717" s="209">
        <v>11.606999999999999</v>
      </c>
      <c r="J717" s="207">
        <v>2.9506389816813012</v>
      </c>
      <c r="K717" s="209">
        <v>75</v>
      </c>
      <c r="L717" s="209">
        <v>65</v>
      </c>
      <c r="M717" s="208"/>
      <c r="N717" s="221"/>
    </row>
    <row r="718" spans="1:14" ht="16.5" customHeight="1" x14ac:dyDescent="0.25">
      <c r="A718" s="203">
        <v>44783</v>
      </c>
      <c r="B718" s="128" t="s">
        <v>18</v>
      </c>
      <c r="C718" s="157" t="str">
        <f t="shared" si="23"/>
        <v>10.08.2022_ORB1</v>
      </c>
      <c r="D718" s="190">
        <f t="shared" si="24"/>
        <v>0</v>
      </c>
      <c r="E718" s="204">
        <v>0</v>
      </c>
      <c r="F718" s="205">
        <v>6.1101846229911334E-2</v>
      </c>
      <c r="G718" s="204">
        <v>2.0485790146523748E-2</v>
      </c>
      <c r="H718" s="204">
        <v>1.67692476180046E-2</v>
      </c>
      <c r="I718" s="209">
        <v>5.649</v>
      </c>
      <c r="J718" s="207">
        <v>1.2969520386281754</v>
      </c>
      <c r="K718" s="209">
        <v>6.6429999999999998</v>
      </c>
      <c r="L718" s="209">
        <v>11.442</v>
      </c>
      <c r="M718" s="208"/>
      <c r="N718" s="221"/>
    </row>
    <row r="719" spans="1:14" ht="16.5" customHeight="1" x14ac:dyDescent="0.25">
      <c r="A719" s="203">
        <v>44783</v>
      </c>
      <c r="B719" s="128" t="s">
        <v>21</v>
      </c>
      <c r="C719" s="157" t="str">
        <f t="shared" si="23"/>
        <v>10.08.2022_ORB2</v>
      </c>
      <c r="D719" s="190">
        <f t="shared" si="24"/>
        <v>0</v>
      </c>
      <c r="E719" s="204">
        <v>0</v>
      </c>
      <c r="F719" s="205">
        <v>5.5650815920032931E-2</v>
      </c>
      <c r="G719" s="204">
        <v>4.4385878650801451E-2</v>
      </c>
      <c r="H719" s="204">
        <v>2.3756434125506511E-2</v>
      </c>
      <c r="I719" s="209">
        <v>6.7850000000000001</v>
      </c>
      <c r="J719" s="207">
        <v>1.5742257872830714</v>
      </c>
      <c r="K719" s="209">
        <v>23.242999999999999</v>
      </c>
      <c r="L719" s="209">
        <v>17.734999999999999</v>
      </c>
      <c r="M719" s="208"/>
      <c r="N719" s="221"/>
    </row>
    <row r="720" spans="1:14" ht="16.5" customHeight="1" x14ac:dyDescent="0.25">
      <c r="A720" s="203">
        <v>44783</v>
      </c>
      <c r="B720" s="128" t="s">
        <v>10</v>
      </c>
      <c r="C720" s="157" t="str">
        <f t="shared" si="23"/>
        <v>10.08.2022_SAL1</v>
      </c>
      <c r="D720" s="190">
        <f t="shared" si="24"/>
        <v>0</v>
      </c>
      <c r="E720" s="204">
        <v>7.9885423297262878E-2</v>
      </c>
      <c r="F720" s="205">
        <v>0.24547156904365355</v>
      </c>
      <c r="G720" s="204">
        <v>1.7071491788769787E-2</v>
      </c>
      <c r="H720" s="204">
        <v>1.3974373015003835E-2</v>
      </c>
      <c r="I720" s="209">
        <v>6.7590000000000003</v>
      </c>
      <c r="J720" s="207">
        <v>1.5441656705234799</v>
      </c>
      <c r="K720" s="209">
        <v>8.5510000000000002</v>
      </c>
      <c r="L720" s="209">
        <v>6.2939999999999996</v>
      </c>
      <c r="M720" s="208"/>
      <c r="N720" s="221"/>
    </row>
    <row r="721" spans="1:14" ht="16.5" customHeight="1" x14ac:dyDescent="0.25">
      <c r="A721" s="203">
        <v>44783</v>
      </c>
      <c r="B721" s="128" t="s">
        <v>12</v>
      </c>
      <c r="C721" s="157" t="str">
        <f t="shared" si="23"/>
        <v>10.08.2022_SAL2</v>
      </c>
      <c r="D721" s="190">
        <f t="shared" si="24"/>
        <v>0</v>
      </c>
      <c r="E721" s="204">
        <v>6.5905474220241872E-2</v>
      </c>
      <c r="F721" s="205">
        <v>0.21098992515194542</v>
      </c>
      <c r="G721" s="204">
        <v>2.0485790146523748E-2</v>
      </c>
      <c r="H721" s="204">
        <v>8.3846238090023017E-3</v>
      </c>
      <c r="I721" s="209">
        <v>5.8860000000000001</v>
      </c>
      <c r="J721" s="207">
        <v>1.347930529909525</v>
      </c>
      <c r="K721" s="209">
        <v>9.3529999999999998</v>
      </c>
      <c r="L721" s="209">
        <v>7.04</v>
      </c>
      <c r="M721" s="208"/>
      <c r="N721" s="221"/>
    </row>
    <row r="722" spans="1:14" ht="16.5" customHeight="1" x14ac:dyDescent="0.25">
      <c r="A722" s="203">
        <v>44783</v>
      </c>
      <c r="B722" s="128" t="s">
        <v>7</v>
      </c>
      <c r="C722" s="157" t="str">
        <f t="shared" si="23"/>
        <v>10.08.2022_STE1</v>
      </c>
      <c r="D722" s="190">
        <f t="shared" si="24"/>
        <v>0</v>
      </c>
      <c r="E722" s="204">
        <v>5.791693189051559E-2</v>
      </c>
      <c r="F722" s="205">
        <v>0.16754745721285272</v>
      </c>
      <c r="G722" s="204">
        <v>1.5364342609892818E-2</v>
      </c>
      <c r="H722" s="204">
        <v>2.7948746030007688E-3</v>
      </c>
      <c r="I722" s="209">
        <v>8.6509999999999998</v>
      </c>
      <c r="J722" s="207">
        <v>1.9667825279660391</v>
      </c>
      <c r="K722" s="209">
        <v>12.000999999999999</v>
      </c>
      <c r="L722" s="209">
        <v>10.791</v>
      </c>
      <c r="M722" s="208"/>
      <c r="N722" s="221"/>
    </row>
    <row r="723" spans="1:14" ht="16.5" customHeight="1" x14ac:dyDescent="0.25">
      <c r="A723" s="203">
        <v>44783</v>
      </c>
      <c r="B723" s="128" t="s">
        <v>9</v>
      </c>
      <c r="C723" s="157" t="str">
        <f t="shared" si="23"/>
        <v>10.08.2022_STE2</v>
      </c>
      <c r="D723" s="190">
        <f t="shared" si="24"/>
        <v>0</v>
      </c>
      <c r="E723" s="204">
        <v>3.5948440483768287E-2</v>
      </c>
      <c r="F723" s="205">
        <v>0.13235074090938606</v>
      </c>
      <c r="G723" s="204">
        <v>2.9021536040908638E-2</v>
      </c>
      <c r="H723" s="204">
        <v>6.9871865075019175E-3</v>
      </c>
      <c r="I723" s="209">
        <v>8.1270000000000007</v>
      </c>
      <c r="J723" s="207">
        <v>1.8603076714526143</v>
      </c>
      <c r="K723" s="209">
        <v>13.894</v>
      </c>
      <c r="L723" s="209">
        <v>10.879</v>
      </c>
      <c r="M723" s="208"/>
      <c r="N723" s="221"/>
    </row>
    <row r="724" spans="1:14" ht="16.5" customHeight="1" x14ac:dyDescent="0.25">
      <c r="A724" s="203">
        <v>44797</v>
      </c>
      <c r="B724" s="128" t="s">
        <v>22</v>
      </c>
      <c r="C724" s="157" t="str">
        <f t="shared" si="23"/>
        <v>24.08.2022_BIE1</v>
      </c>
      <c r="D724" s="190">
        <f t="shared" si="24"/>
        <v>0</v>
      </c>
      <c r="E724" s="204">
        <v>1.7908672903123504E-2</v>
      </c>
      <c r="F724" s="205">
        <v>2.9155191908214563E-2</v>
      </c>
      <c r="G724" s="204">
        <v>2.0616761015003357E-2</v>
      </c>
      <c r="H724" s="204">
        <v>0.03</v>
      </c>
      <c r="I724" s="209">
        <v>3.226</v>
      </c>
      <c r="J724" s="207">
        <v>0.75379882876053994</v>
      </c>
      <c r="K724" s="209">
        <v>8.1050000000000004</v>
      </c>
      <c r="L724" s="209">
        <v>15.596</v>
      </c>
      <c r="M724" s="208"/>
      <c r="N724" s="221"/>
    </row>
    <row r="725" spans="1:14" ht="16.5" customHeight="1" x14ac:dyDescent="0.25">
      <c r="A725" s="203">
        <v>44797</v>
      </c>
      <c r="B725" s="128" t="s">
        <v>25</v>
      </c>
      <c r="C725" s="157" t="str">
        <f t="shared" si="23"/>
        <v>24.08.2022_BIE2</v>
      </c>
      <c r="D725" s="190">
        <f t="shared" si="24"/>
        <v>0</v>
      </c>
      <c r="E725" s="204">
        <v>1.1939115268749002E-2</v>
      </c>
      <c r="F725" s="205">
        <v>2.4582202173371304E-2</v>
      </c>
      <c r="G725" s="204">
        <v>2.748901468667115E-2</v>
      </c>
      <c r="H725" s="204">
        <v>2.3E-2</v>
      </c>
      <c r="I725" s="209">
        <v>3.004</v>
      </c>
      <c r="J725" s="207">
        <v>0.70686077501405331</v>
      </c>
      <c r="K725" s="209">
        <v>8.7279999999999998</v>
      </c>
      <c r="L725" s="209">
        <v>15.532999999999999</v>
      </c>
      <c r="M725" s="208"/>
      <c r="N725" s="221"/>
    </row>
    <row r="726" spans="1:14" ht="16.5" customHeight="1" x14ac:dyDescent="0.25">
      <c r="A726" s="203">
        <v>44797</v>
      </c>
      <c r="B726" s="128" t="s">
        <v>14</v>
      </c>
      <c r="C726" s="157" t="str">
        <f t="shared" si="23"/>
        <v>24.08.2022_BRA1</v>
      </c>
      <c r="D726" s="190">
        <f t="shared" si="24"/>
        <v>0</v>
      </c>
      <c r="E726" s="204">
        <v>3.5817345806247014E-2</v>
      </c>
      <c r="F726" s="205">
        <v>4.6745176277365644E-2</v>
      </c>
      <c r="G726" s="204">
        <v>1.0308380507501679E-2</v>
      </c>
      <c r="H726" s="204">
        <v>5.5E-2</v>
      </c>
      <c r="I726" s="209">
        <v>5.0460000000000003</v>
      </c>
      <c r="J726" s="207">
        <v>1.16448912438027</v>
      </c>
      <c r="K726" s="209">
        <v>5.2759999999999998</v>
      </c>
      <c r="L726" s="209">
        <v>3.956</v>
      </c>
      <c r="M726" s="208"/>
      <c r="N726" s="221"/>
    </row>
    <row r="727" spans="1:14" ht="16.5" customHeight="1" x14ac:dyDescent="0.25">
      <c r="A727" s="203">
        <v>44797</v>
      </c>
      <c r="B727" s="128" t="s">
        <v>17</v>
      </c>
      <c r="C727" s="157" t="str">
        <f t="shared" si="23"/>
        <v>24.08.2022_BRA2</v>
      </c>
      <c r="D727" s="190">
        <f t="shared" si="24"/>
        <v>0</v>
      </c>
      <c r="E727" s="204">
        <v>6.1685428888536523E-2</v>
      </c>
      <c r="F727" s="205">
        <v>8.2174018946131383E-2</v>
      </c>
      <c r="G727" s="204">
        <v>8.5903170895847304E-3</v>
      </c>
      <c r="H727" s="204">
        <v>1.303370786516854E-2</v>
      </c>
      <c r="I727" s="209">
        <v>10.36</v>
      </c>
      <c r="J727" s="207">
        <v>2.3506516076764417</v>
      </c>
      <c r="K727" s="209">
        <v>11.271000000000001</v>
      </c>
      <c r="L727" s="209">
        <v>6.0519999999999996</v>
      </c>
      <c r="M727" s="208"/>
      <c r="N727" s="221"/>
    </row>
    <row r="728" spans="1:14" ht="16.5" customHeight="1" x14ac:dyDescent="0.25">
      <c r="A728" s="203">
        <v>44797</v>
      </c>
      <c r="B728" s="128" t="s">
        <v>30</v>
      </c>
      <c r="C728" s="157" t="str">
        <f t="shared" si="23"/>
        <v>24.08.2022_FAL1</v>
      </c>
      <c r="D728" s="190">
        <f t="shared" si="24"/>
        <v>0</v>
      </c>
      <c r="E728" s="204">
        <v>0.17709687648644357</v>
      </c>
      <c r="F728" s="205">
        <v>0.22602703297796373</v>
      </c>
      <c r="G728" s="204">
        <v>0.1168283124183524</v>
      </c>
      <c r="H728" s="204">
        <v>4.887640449438202E-2</v>
      </c>
      <c r="I728" s="209">
        <v>12.919</v>
      </c>
      <c r="J728" s="207">
        <v>3.0236109676580409</v>
      </c>
      <c r="K728" s="209">
        <v>142</v>
      </c>
      <c r="L728" s="209">
        <v>48</v>
      </c>
      <c r="M728" s="208"/>
      <c r="N728" s="221"/>
    </row>
    <row r="729" spans="1:14" ht="16.5" customHeight="1" x14ac:dyDescent="0.25">
      <c r="A729" s="203">
        <v>44797</v>
      </c>
      <c r="B729" s="128" t="s">
        <v>32</v>
      </c>
      <c r="C729" s="157" t="str">
        <f t="shared" si="23"/>
        <v>24.08.2022_FAL2</v>
      </c>
      <c r="D729" s="190">
        <f t="shared" si="24"/>
        <v>0</v>
      </c>
      <c r="E729" s="204">
        <v>0.11740130014269855</v>
      </c>
      <c r="F729" s="205">
        <v>0.15596685323658147</v>
      </c>
      <c r="G729" s="204">
        <v>4.1233522030006728E-2</v>
      </c>
      <c r="H729" s="204">
        <v>1.9550561797752809E-2</v>
      </c>
      <c r="I729" s="209">
        <v>13.584</v>
      </c>
      <c r="J729" s="207">
        <v>3.1061876660604057</v>
      </c>
      <c r="K729" s="209">
        <v>111</v>
      </c>
      <c r="L729" s="209">
        <v>48</v>
      </c>
      <c r="M729" s="208"/>
      <c r="N729" s="221"/>
    </row>
    <row r="730" spans="1:14" ht="16.5" customHeight="1" x14ac:dyDescent="0.25">
      <c r="A730" s="203">
        <v>44797</v>
      </c>
      <c r="B730" s="128" t="s">
        <v>26</v>
      </c>
      <c r="C730" s="157" t="str">
        <f t="shared" si="23"/>
        <v>24.08.2022_GRU1</v>
      </c>
      <c r="D730" s="190">
        <f t="shared" si="24"/>
        <v>0</v>
      </c>
      <c r="E730" s="204">
        <v>2.3878230537498012E-2</v>
      </c>
      <c r="F730" s="205">
        <v>3.6350780290930571E-2</v>
      </c>
      <c r="G730" s="204">
        <v>3.6079331776255878E-2</v>
      </c>
      <c r="H730" s="204">
        <v>1.4662921348314609E-2</v>
      </c>
      <c r="I730" s="209">
        <v>3.4260000000000002</v>
      </c>
      <c r="J730" s="207">
        <v>0.8063099867354393</v>
      </c>
      <c r="K730" s="209">
        <v>7.444</v>
      </c>
      <c r="L730" s="209">
        <v>11.673999999999999</v>
      </c>
      <c r="M730" s="208"/>
      <c r="N730" s="221"/>
    </row>
    <row r="731" spans="1:14" ht="16.5" customHeight="1" x14ac:dyDescent="0.25">
      <c r="A731" s="203">
        <v>44797</v>
      </c>
      <c r="B731" s="128" t="s">
        <v>28</v>
      </c>
      <c r="C731" s="157" t="str">
        <f t="shared" si="23"/>
        <v>24.08.2022_GRU2</v>
      </c>
      <c r="D731" s="190">
        <f t="shared" si="24"/>
        <v>0</v>
      </c>
      <c r="E731" s="204">
        <v>2.1888377992706508E-2</v>
      </c>
      <c r="F731" s="205">
        <v>2.6362779716356723E-2</v>
      </c>
      <c r="G731" s="204">
        <v>5.3259965955425342E-2</v>
      </c>
      <c r="H731" s="204">
        <v>3.9101123595505619E-2</v>
      </c>
      <c r="I731" s="209">
        <v>4.0890000000000004</v>
      </c>
      <c r="J731" s="207">
        <v>0.97684259804337992</v>
      </c>
      <c r="K731" s="209">
        <v>9.4540000000000006</v>
      </c>
      <c r="L731" s="209">
        <v>8.6690000000000005</v>
      </c>
      <c r="M731" s="208"/>
      <c r="N731" s="221"/>
    </row>
    <row r="732" spans="1:14" ht="16.5" customHeight="1" x14ac:dyDescent="0.25">
      <c r="A732" s="203">
        <v>44797</v>
      </c>
      <c r="B732" s="128" t="s">
        <v>0</v>
      </c>
      <c r="C732" s="157" t="str">
        <f t="shared" si="23"/>
        <v>24.08.2022_KIN1</v>
      </c>
      <c r="D732" s="190">
        <f t="shared" si="24"/>
        <v>0</v>
      </c>
      <c r="E732" s="204">
        <v>2.7857935627081016E-2</v>
      </c>
      <c r="F732" s="205">
        <v>5.1298633058748246E-2</v>
      </c>
      <c r="G732" s="204">
        <v>3.6079331776255878E-2</v>
      </c>
      <c r="H732" s="204">
        <v>3.2584269662921375E-3</v>
      </c>
      <c r="I732" s="209">
        <v>4.681</v>
      </c>
      <c r="J732" s="207">
        <v>1.0863047384208324</v>
      </c>
      <c r="K732" s="209">
        <v>8.3119999999999994</v>
      </c>
      <c r="L732" s="209">
        <v>13.646000000000001</v>
      </c>
      <c r="M732" s="208"/>
      <c r="N732" s="221"/>
    </row>
    <row r="733" spans="1:14" ht="16.5" customHeight="1" x14ac:dyDescent="0.25">
      <c r="A733" s="203">
        <v>44797</v>
      </c>
      <c r="B733" s="128" t="s">
        <v>2</v>
      </c>
      <c r="C733" s="157" t="str">
        <f t="shared" si="23"/>
        <v>24.08.2022_KIN2</v>
      </c>
      <c r="D733" s="190">
        <f t="shared" si="24"/>
        <v>0</v>
      </c>
      <c r="E733" s="204">
        <v>1.3928967813540504E-2</v>
      </c>
      <c r="F733" s="205">
        <v>2.6611963171032236E-2</v>
      </c>
      <c r="G733" s="204">
        <v>2.4052887850837253E-2</v>
      </c>
      <c r="H733" s="204">
        <v>1.4662921348314609E-2</v>
      </c>
      <c r="I733" s="209">
        <v>8.657</v>
      </c>
      <c r="J733" s="207">
        <v>1.9784975432917908</v>
      </c>
      <c r="K733" s="209">
        <v>15.037000000000001</v>
      </c>
      <c r="L733" s="209">
        <v>18.850000000000001</v>
      </c>
      <c r="M733" s="208"/>
      <c r="N733" s="221"/>
    </row>
    <row r="734" spans="1:14" ht="16.5" customHeight="1" x14ac:dyDescent="0.25">
      <c r="A734" s="203">
        <v>44797</v>
      </c>
      <c r="B734" s="128" t="s">
        <v>4</v>
      </c>
      <c r="C734" s="157" t="str">
        <f t="shared" si="23"/>
        <v>24.08.2022_KIN3</v>
      </c>
      <c r="D734" s="190">
        <f t="shared" si="24"/>
        <v>0</v>
      </c>
      <c r="E734" s="204">
        <v>1.3928967813540504E-2</v>
      </c>
      <c r="F734" s="205">
        <v>3.4006213412849449E-2</v>
      </c>
      <c r="G734" s="204">
        <v>6.3568346462927028E-2</v>
      </c>
      <c r="H734" s="204">
        <v>1.140449438202247E-2</v>
      </c>
      <c r="I734" s="209">
        <v>7.1189999999999998</v>
      </c>
      <c r="J734" s="207">
        <v>1.6608008136596051</v>
      </c>
      <c r="K734" s="209">
        <v>17.190999999999999</v>
      </c>
      <c r="L734" s="209">
        <v>18.010000000000002</v>
      </c>
      <c r="M734" s="208"/>
      <c r="N734" s="221"/>
    </row>
    <row r="735" spans="1:14" ht="16.5" customHeight="1" x14ac:dyDescent="0.25">
      <c r="A735" s="203">
        <v>44797</v>
      </c>
      <c r="B735" s="128" t="s">
        <v>6</v>
      </c>
      <c r="C735" s="157" t="str">
        <f t="shared" si="23"/>
        <v>24.08.2022_KIN4</v>
      </c>
      <c r="D735" s="190">
        <f t="shared" si="24"/>
        <v>0</v>
      </c>
      <c r="E735" s="204">
        <v>2.5868083082289516E-2</v>
      </c>
      <c r="F735" s="205">
        <v>4.3122758447103594E-2</v>
      </c>
      <c r="G735" s="204">
        <v>4.9823839119591443E-2</v>
      </c>
      <c r="H735" s="204">
        <v>4.8876404494382006E-3</v>
      </c>
      <c r="I735" s="209">
        <v>6.5380000000000003</v>
      </c>
      <c r="J735" s="207">
        <v>1.516913814972803</v>
      </c>
      <c r="K735" s="209">
        <v>29</v>
      </c>
      <c r="L735" s="209">
        <v>18.774999999999999</v>
      </c>
      <c r="M735" s="208"/>
      <c r="N735" s="221"/>
    </row>
    <row r="736" spans="1:14" ht="16.5" customHeight="1" x14ac:dyDescent="0.25">
      <c r="A736" s="203">
        <v>44797</v>
      </c>
      <c r="B736" s="128" t="s">
        <v>34</v>
      </c>
      <c r="C736" s="157" t="str">
        <f t="shared" si="23"/>
        <v>24.08.2022_KRE1</v>
      </c>
      <c r="D736" s="190">
        <f t="shared" si="24"/>
        <v>0</v>
      </c>
      <c r="E736" s="204">
        <v>0.12138100523228156</v>
      </c>
      <c r="F736" s="205">
        <v>0.16820665562435216</v>
      </c>
      <c r="G736" s="204">
        <v>0.17524246862752854</v>
      </c>
      <c r="H736" s="204">
        <v>3.2584269662921356E-2</v>
      </c>
      <c r="I736" s="209">
        <v>3.5350000000000001</v>
      </c>
      <c r="J736" s="207">
        <v>0.94444475536346606</v>
      </c>
      <c r="K736" s="209">
        <v>129</v>
      </c>
      <c r="L736" s="209">
        <v>44</v>
      </c>
      <c r="M736" s="208"/>
      <c r="N736" s="221"/>
    </row>
    <row r="737" spans="1:14" ht="16.5" customHeight="1" x14ac:dyDescent="0.25">
      <c r="A737" s="203">
        <v>44797</v>
      </c>
      <c r="B737" s="128" t="s">
        <v>37</v>
      </c>
      <c r="C737" s="157" t="str">
        <f t="shared" si="23"/>
        <v>24.08.2022_KRE2</v>
      </c>
      <c r="D737" s="190">
        <f t="shared" si="24"/>
        <v>0</v>
      </c>
      <c r="E737" s="204">
        <v>6.566513397811953E-2</v>
      </c>
      <c r="F737" s="205">
        <v>0.10771737282507328</v>
      </c>
      <c r="G737" s="204">
        <v>0.22163018091128617</v>
      </c>
      <c r="H737" s="204">
        <v>0.16455056179775282</v>
      </c>
      <c r="I737" s="209">
        <v>11.894</v>
      </c>
      <c r="J737" s="207">
        <v>2.9086888177151304</v>
      </c>
      <c r="K737" s="209">
        <v>97</v>
      </c>
      <c r="L737" s="209">
        <v>56</v>
      </c>
      <c r="M737" s="208"/>
      <c r="N737" s="221"/>
    </row>
    <row r="738" spans="1:14" ht="16.5" customHeight="1" x14ac:dyDescent="0.25">
      <c r="A738" s="203">
        <v>44797</v>
      </c>
      <c r="B738" s="128" t="s">
        <v>18</v>
      </c>
      <c r="C738" s="157" t="str">
        <f t="shared" si="23"/>
        <v>24.08.2022_ORB1</v>
      </c>
      <c r="D738" s="190">
        <f t="shared" si="24"/>
        <v>0</v>
      </c>
      <c r="E738" s="204">
        <v>2.9847788171872506E-2</v>
      </c>
      <c r="F738" s="205">
        <v>3.8936453358879568E-2</v>
      </c>
      <c r="G738" s="204">
        <v>1.0308380507501679E-2</v>
      </c>
      <c r="H738" s="204">
        <v>1.4662921348314609E-2</v>
      </c>
      <c r="I738" s="209">
        <v>5.4</v>
      </c>
      <c r="J738" s="207">
        <v>1.2321664807847643</v>
      </c>
      <c r="K738" s="209">
        <v>7.42</v>
      </c>
      <c r="L738" s="209">
        <v>11.545</v>
      </c>
      <c r="M738" s="208"/>
      <c r="N738" s="221"/>
    </row>
    <row r="739" spans="1:14" ht="16.5" customHeight="1" x14ac:dyDescent="0.25">
      <c r="A739" s="203">
        <v>44797</v>
      </c>
      <c r="B739" s="128" t="s">
        <v>21</v>
      </c>
      <c r="C739" s="157" t="str">
        <f t="shared" si="23"/>
        <v>24.08.2022_ORB2</v>
      </c>
      <c r="D739" s="190">
        <f t="shared" si="24"/>
        <v>0</v>
      </c>
      <c r="E739" s="204">
        <v>2.1888377992706508E-2</v>
      </c>
      <c r="F739" s="205">
        <v>3.8030406841468786E-2</v>
      </c>
      <c r="G739" s="204">
        <v>3.7797395194172828E-2</v>
      </c>
      <c r="H739" s="204">
        <v>2.443820224719101E-2</v>
      </c>
      <c r="I739" s="209">
        <v>6.3689999999999998</v>
      </c>
      <c r="J739" s="207">
        <v>1.4753555400684804</v>
      </c>
      <c r="K739" s="209">
        <v>26.564</v>
      </c>
      <c r="L739" s="209">
        <v>18.606000000000002</v>
      </c>
      <c r="M739" s="208"/>
      <c r="N739" s="221"/>
    </row>
    <row r="740" spans="1:14" ht="16.5" customHeight="1" x14ac:dyDescent="0.25">
      <c r="A740" s="203">
        <v>44797</v>
      </c>
      <c r="B740" s="128" t="s">
        <v>10</v>
      </c>
      <c r="C740" s="157" t="str">
        <f t="shared" si="23"/>
        <v>24.08.2022_SAL1</v>
      </c>
      <c r="D740" s="190">
        <f t="shared" si="24"/>
        <v>0</v>
      </c>
      <c r="E740" s="204">
        <v>0.10347233232915803</v>
      </c>
      <c r="F740" s="205">
        <v>0.12160347851843582</v>
      </c>
      <c r="G740" s="204">
        <v>2.2334824432920307E-2</v>
      </c>
      <c r="H740" s="204">
        <v>6.5168539325842698E-3</v>
      </c>
      <c r="I740" s="209">
        <v>6.593</v>
      </c>
      <c r="J740" s="207">
        <v>1.5084877340036933</v>
      </c>
      <c r="K740" s="209">
        <v>8.4079999999999995</v>
      </c>
      <c r="L740" s="209">
        <v>6.2279999999999998</v>
      </c>
      <c r="M740" s="208"/>
      <c r="N740" s="221"/>
    </row>
    <row r="741" spans="1:14" ht="16.5" customHeight="1" x14ac:dyDescent="0.25">
      <c r="A741" s="203">
        <v>44797</v>
      </c>
      <c r="B741" s="128" t="s">
        <v>12</v>
      </c>
      <c r="C741" s="157" t="str">
        <f t="shared" si="23"/>
        <v>24.08.2022_SAL2</v>
      </c>
      <c r="D741" s="190">
        <f t="shared" si="24"/>
        <v>0</v>
      </c>
      <c r="E741" s="204">
        <v>9.7502774694783551E-2</v>
      </c>
      <c r="F741" s="205">
        <v>0.11518527995090289</v>
      </c>
      <c r="G741" s="204">
        <v>1.8898697597086407E-2</v>
      </c>
      <c r="H741" s="204">
        <v>3.2584269662921375E-3</v>
      </c>
      <c r="I741" s="209">
        <v>5.63</v>
      </c>
      <c r="J741" s="207">
        <v>1.2873147777870493</v>
      </c>
      <c r="K741" s="209">
        <v>9.2279999999999998</v>
      </c>
      <c r="L741" s="209">
        <v>7.2</v>
      </c>
      <c r="M741" s="208"/>
      <c r="N741" s="221"/>
    </row>
    <row r="742" spans="1:14" ht="16.5" customHeight="1" x14ac:dyDescent="0.25">
      <c r="A742" s="203">
        <v>44797</v>
      </c>
      <c r="B742" s="128" t="s">
        <v>7</v>
      </c>
      <c r="C742" s="157" t="str">
        <f t="shared" si="23"/>
        <v>24.08.2022_STE1</v>
      </c>
      <c r="D742" s="190">
        <f t="shared" si="24"/>
        <v>0</v>
      </c>
      <c r="E742" s="204">
        <v>5.9695576343745019E-2</v>
      </c>
      <c r="F742" s="205">
        <v>7.2536824552076398E-2</v>
      </c>
      <c r="G742" s="204">
        <v>2.2334824432920307E-2</v>
      </c>
      <c r="H742" s="204">
        <v>6.5168539325842698E-3</v>
      </c>
      <c r="I742" s="209">
        <v>9.2270000000000003</v>
      </c>
      <c r="J742" s="207">
        <v>2.1034293140036935</v>
      </c>
      <c r="K742" s="209">
        <v>12.631</v>
      </c>
      <c r="L742" s="209">
        <v>10.909000000000001</v>
      </c>
      <c r="M742" s="208"/>
      <c r="N742" s="221"/>
    </row>
    <row r="743" spans="1:14" ht="16.5" customHeight="1" x14ac:dyDescent="0.25">
      <c r="A743" s="203">
        <v>44797</v>
      </c>
      <c r="B743" s="128" t="s">
        <v>9</v>
      </c>
      <c r="C743" s="157" t="str">
        <f t="shared" si="23"/>
        <v>24.08.2022_STE2</v>
      </c>
      <c r="D743" s="190">
        <f t="shared" si="24"/>
        <v>0</v>
      </c>
      <c r="E743" s="204">
        <v>5.3726018709370528E-2</v>
      </c>
      <c r="F743" s="205">
        <v>8.0362495567572259E-2</v>
      </c>
      <c r="G743" s="204">
        <v>3.9515458612089778E-2</v>
      </c>
      <c r="H743" s="204">
        <v>1.792134831460674E-2</v>
      </c>
      <c r="I743" s="209">
        <v>8.3409999999999993</v>
      </c>
      <c r="J743" s="207">
        <v>1.9201211829520834</v>
      </c>
      <c r="K743" s="209">
        <v>14.22</v>
      </c>
      <c r="L743" s="209">
        <v>10.52</v>
      </c>
      <c r="M743" s="208"/>
      <c r="N743" s="221"/>
    </row>
    <row r="744" spans="1:14" ht="16.5" customHeight="1" x14ac:dyDescent="0.25">
      <c r="A744" s="203">
        <v>44811</v>
      </c>
      <c r="B744" s="128" t="s">
        <v>22</v>
      </c>
      <c r="C744" s="157" t="str">
        <f t="shared" si="23"/>
        <v>07.09.2022_BIE1</v>
      </c>
      <c r="D744" s="190">
        <f t="shared" si="24"/>
        <v>0</v>
      </c>
      <c r="E744" s="204">
        <v>2.7335970839260312E-2</v>
      </c>
      <c r="F744" s="205">
        <v>2.6611116918665516E-2</v>
      </c>
      <c r="G744" s="204">
        <v>1.9888351941343113E-2</v>
      </c>
      <c r="H744" s="204">
        <v>0.03</v>
      </c>
      <c r="I744" s="209">
        <v>3.2010000000000001</v>
      </c>
      <c r="J744" s="207">
        <v>0.7475864763989335</v>
      </c>
      <c r="K744" s="209">
        <v>7.6269999999999998</v>
      </c>
      <c r="L744" s="209">
        <v>15.305999999999999</v>
      </c>
      <c r="M744" s="208"/>
      <c r="N744" s="221"/>
    </row>
    <row r="745" spans="1:14" ht="16.5" customHeight="1" x14ac:dyDescent="0.25">
      <c r="A745" s="203">
        <v>44811</v>
      </c>
      <c r="B745" s="128" t="s">
        <v>25</v>
      </c>
      <c r="C745" s="157" t="str">
        <f t="shared" si="23"/>
        <v>07.09.2022_BIE2</v>
      </c>
      <c r="D745" s="190">
        <f t="shared" si="24"/>
        <v>0</v>
      </c>
      <c r="E745" s="204">
        <v>3.5146248221906116E-2</v>
      </c>
      <c r="F745" s="205">
        <v>3.4956739218079937E-2</v>
      </c>
      <c r="G745" s="204">
        <v>2.1696383936010664E-2</v>
      </c>
      <c r="H745" s="204">
        <v>2.3E-2</v>
      </c>
      <c r="I745" s="209">
        <v>3.15</v>
      </c>
      <c r="J745" s="207">
        <v>0.7353398751624729</v>
      </c>
      <c r="K745" s="209">
        <v>8.1920000000000002</v>
      </c>
      <c r="L745" s="209">
        <v>15.166</v>
      </c>
      <c r="M745" s="208"/>
      <c r="N745" s="221"/>
    </row>
    <row r="746" spans="1:14" ht="16.5" customHeight="1" x14ac:dyDescent="0.25">
      <c r="A746" s="203">
        <v>44811</v>
      </c>
      <c r="B746" s="128" t="s">
        <v>14</v>
      </c>
      <c r="C746" s="157" t="str">
        <f t="shared" si="23"/>
        <v>07.09.2022_BRA1</v>
      </c>
      <c r="D746" s="190">
        <f t="shared" si="24"/>
        <v>0</v>
      </c>
      <c r="E746" s="204">
        <v>3.5146248221906116E-2</v>
      </c>
      <c r="F746" s="205">
        <v>4.2501984590357679E-2</v>
      </c>
      <c r="G746" s="204">
        <v>3.2544575904015993E-2</v>
      </c>
      <c r="H746" s="204">
        <v>5.5E-2</v>
      </c>
      <c r="I746" s="209">
        <v>5.3250000000000002</v>
      </c>
      <c r="J746" s="207">
        <v>1.2447730377437094</v>
      </c>
      <c r="K746" s="209">
        <v>5.3739999999999997</v>
      </c>
      <c r="L746" s="209">
        <v>3.919</v>
      </c>
      <c r="M746" s="208"/>
      <c r="N746" s="221"/>
    </row>
    <row r="747" spans="1:14" ht="16.5" customHeight="1" x14ac:dyDescent="0.25">
      <c r="A747" s="203">
        <v>44811</v>
      </c>
      <c r="B747" s="128" t="s">
        <v>17</v>
      </c>
      <c r="C747" s="157" t="str">
        <f t="shared" si="23"/>
        <v>07.09.2022_BRA2</v>
      </c>
      <c r="D747" s="190">
        <f t="shared" si="24"/>
        <v>0</v>
      </c>
      <c r="E747" s="204">
        <v>9.7628467283072534E-2</v>
      </c>
      <c r="F747" s="205">
        <v>0.11587505465723882</v>
      </c>
      <c r="G747" s="204">
        <v>9.0401599733377792E-3</v>
      </c>
      <c r="H747" s="204">
        <v>1.2771352313167261E-2</v>
      </c>
      <c r="I747" s="209">
        <v>10.484</v>
      </c>
      <c r="J747" s="207">
        <v>2.3789289120294401</v>
      </c>
      <c r="K747" s="209">
        <v>11.083</v>
      </c>
      <c r="L747" s="209">
        <v>5.9829999999999997</v>
      </c>
      <c r="M747" s="208"/>
      <c r="N747" s="221"/>
    </row>
    <row r="748" spans="1:14" ht="16.5" customHeight="1" x14ac:dyDescent="0.25">
      <c r="A748" s="203">
        <v>44811</v>
      </c>
      <c r="B748" s="128" t="s">
        <v>30</v>
      </c>
      <c r="C748" s="157" t="str">
        <f t="shared" si="23"/>
        <v>07.09.2022_FAL1</v>
      </c>
      <c r="D748" s="190">
        <f t="shared" si="24"/>
        <v>0</v>
      </c>
      <c r="E748" s="204">
        <v>0.35536762091038404</v>
      </c>
      <c r="F748" s="205">
        <v>0.45938291439032125</v>
      </c>
      <c r="G748" s="204">
        <v>6.8705215797367117E-2</v>
      </c>
      <c r="H748" s="204">
        <v>5.5342526690391462E-2</v>
      </c>
      <c r="I748" s="209">
        <v>14.853</v>
      </c>
      <c r="J748" s="207">
        <v>3.4250450552653868</v>
      </c>
      <c r="K748" s="209">
        <v>167</v>
      </c>
      <c r="L748" s="209">
        <v>52</v>
      </c>
      <c r="M748" s="208"/>
      <c r="N748" s="221"/>
    </row>
    <row r="749" spans="1:14" ht="16.5" customHeight="1" x14ac:dyDescent="0.25">
      <c r="A749" s="203">
        <v>44811</v>
      </c>
      <c r="B749" s="128" t="s">
        <v>32</v>
      </c>
      <c r="C749" s="157" t="str">
        <f t="shared" si="23"/>
        <v>07.09.2022_FAL2</v>
      </c>
      <c r="D749" s="190">
        <f t="shared" si="24"/>
        <v>0</v>
      </c>
      <c r="E749" s="204">
        <v>9.7628467283072534E-2</v>
      </c>
      <c r="F749" s="205">
        <v>0.15019917248543874</v>
      </c>
      <c r="G749" s="204">
        <v>5.7857023829361774E-2</v>
      </c>
      <c r="H749" s="204">
        <v>7.5209074733096085E-2</v>
      </c>
      <c r="I749" s="209">
        <v>11.044</v>
      </c>
      <c r="J749" s="207">
        <v>2.5623310832357524</v>
      </c>
      <c r="K749" s="209">
        <v>117</v>
      </c>
      <c r="L749" s="209">
        <v>49</v>
      </c>
      <c r="M749" s="208"/>
      <c r="N749" s="221"/>
    </row>
    <row r="750" spans="1:14" ht="16.5" customHeight="1" x14ac:dyDescent="0.25">
      <c r="A750" s="203">
        <v>44811</v>
      </c>
      <c r="B750" s="128" t="s">
        <v>26</v>
      </c>
      <c r="C750" s="157" t="str">
        <f t="shared" si="23"/>
        <v>07.09.2022_GRU1</v>
      </c>
      <c r="D750" s="190">
        <f t="shared" si="24"/>
        <v>0</v>
      </c>
      <c r="E750" s="204">
        <v>2.538340149359886E-2</v>
      </c>
      <c r="F750" s="205">
        <v>3.5750267098824479E-2</v>
      </c>
      <c r="G750" s="204">
        <v>3.9776703882686219E-2</v>
      </c>
      <c r="H750" s="204">
        <v>1.7028469750889678E-2</v>
      </c>
      <c r="I750" s="209">
        <v>3.3820000000000001</v>
      </c>
      <c r="J750" s="207">
        <v>0.79996287041352543</v>
      </c>
      <c r="K750" s="209">
        <v>7.444</v>
      </c>
      <c r="L750" s="209">
        <v>11.571</v>
      </c>
      <c r="M750" s="208"/>
      <c r="N750" s="221"/>
    </row>
    <row r="751" spans="1:14" ht="16.5" customHeight="1" x14ac:dyDescent="0.25">
      <c r="A751" s="203">
        <v>44811</v>
      </c>
      <c r="B751" s="128" t="s">
        <v>28</v>
      </c>
      <c r="C751" s="157" t="str">
        <f t="shared" si="23"/>
        <v>07.09.2022_GRU2</v>
      </c>
      <c r="D751" s="190">
        <f t="shared" si="24"/>
        <v>0</v>
      </c>
      <c r="E751" s="204">
        <v>1.5620554765291611E-2</v>
      </c>
      <c r="F751" s="205">
        <v>2.5272434580403645E-2</v>
      </c>
      <c r="G751" s="204">
        <v>7.2321279786702233E-2</v>
      </c>
      <c r="H751" s="204">
        <v>3.8314056939501781E-2</v>
      </c>
      <c r="I751" s="209">
        <v>3.9089999999999998</v>
      </c>
      <c r="J751" s="207">
        <v>0.95074729517680767</v>
      </c>
      <c r="K751" s="209">
        <v>10.329000000000001</v>
      </c>
      <c r="L751" s="209">
        <v>9.327</v>
      </c>
      <c r="M751" s="208"/>
      <c r="N751" s="221"/>
    </row>
    <row r="752" spans="1:14" ht="16.5" customHeight="1" x14ac:dyDescent="0.25">
      <c r="A752" s="203">
        <v>44811</v>
      </c>
      <c r="B752" s="128" t="s">
        <v>0</v>
      </c>
      <c r="C752" s="157" t="str">
        <f t="shared" si="23"/>
        <v>07.09.2022_KIN1</v>
      </c>
      <c r="D752" s="190">
        <f t="shared" si="24"/>
        <v>0</v>
      </c>
      <c r="E752" s="204">
        <v>3.9051386913229028E-2</v>
      </c>
      <c r="F752" s="205">
        <v>5.2905090061267375E-2</v>
      </c>
      <c r="G752" s="204">
        <v>4.881686385602399E-2</v>
      </c>
      <c r="H752" s="204">
        <v>1.5609430604982209E-2</v>
      </c>
      <c r="I752" s="209">
        <v>5.0030000000000001</v>
      </c>
      <c r="J752" s="207">
        <v>1.1726857077632509</v>
      </c>
      <c r="K752" s="209">
        <v>10.302</v>
      </c>
      <c r="L752" s="209">
        <v>14.398</v>
      </c>
      <c r="M752" s="208"/>
      <c r="N752" s="221"/>
    </row>
    <row r="753" spans="1:14" ht="16.5" customHeight="1" x14ac:dyDescent="0.25">
      <c r="A753" s="203">
        <v>44811</v>
      </c>
      <c r="B753" s="128" t="s">
        <v>2</v>
      </c>
      <c r="C753" s="157" t="str">
        <f t="shared" si="23"/>
        <v>07.09.2022_KIN2</v>
      </c>
      <c r="D753" s="190">
        <f t="shared" si="24"/>
        <v>0</v>
      </c>
      <c r="E753" s="204">
        <v>9.7628467283072569E-3</v>
      </c>
      <c r="F753" s="205">
        <v>2.4758821957208573E-2</v>
      </c>
      <c r="G753" s="204">
        <v>1.4464255957340444E-2</v>
      </c>
      <c r="H753" s="204">
        <v>1.9866548042704629E-2</v>
      </c>
      <c r="I753" s="209">
        <v>8.7469999999999999</v>
      </c>
      <c r="J753" s="207">
        <v>1.9929646106599166</v>
      </c>
      <c r="K753" s="209">
        <v>15.66</v>
      </c>
      <c r="L753" s="209">
        <v>19.931999999999999</v>
      </c>
      <c r="M753" s="208"/>
      <c r="N753" s="221"/>
    </row>
    <row r="754" spans="1:14" ht="16.5" customHeight="1" x14ac:dyDescent="0.25">
      <c r="A754" s="203">
        <v>44811</v>
      </c>
      <c r="B754" s="128" t="s">
        <v>4</v>
      </c>
      <c r="C754" s="157" t="str">
        <f t="shared" si="23"/>
        <v>07.09.2022_KIN3</v>
      </c>
      <c r="D754" s="190">
        <f t="shared" si="24"/>
        <v>0</v>
      </c>
      <c r="E754" s="204">
        <v>1.1715416073968705E-2</v>
      </c>
      <c r="F754" s="205">
        <v>2.4509569353506983E-2</v>
      </c>
      <c r="G754" s="204">
        <v>2.8928511914680891E-2</v>
      </c>
      <c r="H754" s="204">
        <v>1.4190391459074735E-2</v>
      </c>
      <c r="I754" s="209">
        <v>7.5</v>
      </c>
      <c r="J754" s="207">
        <v>1.7208079648963459</v>
      </c>
      <c r="K754" s="209">
        <v>17.045999999999999</v>
      </c>
      <c r="L754" s="209">
        <v>18.221</v>
      </c>
      <c r="M754" s="208"/>
      <c r="N754" s="221"/>
    </row>
    <row r="755" spans="1:14" ht="16.5" customHeight="1" x14ac:dyDescent="0.25">
      <c r="A755" s="203">
        <v>44811</v>
      </c>
      <c r="B755" s="128" t="s">
        <v>6</v>
      </c>
      <c r="C755" s="157" t="str">
        <f t="shared" si="23"/>
        <v>07.09.2022_KIN4</v>
      </c>
      <c r="D755" s="190">
        <f t="shared" si="24"/>
        <v>0</v>
      </c>
      <c r="E755" s="204">
        <v>2.3430832147937414E-2</v>
      </c>
      <c r="F755" s="205">
        <v>3.982073110431994E-2</v>
      </c>
      <c r="G755" s="204">
        <v>3.2544575904015993E-2</v>
      </c>
      <c r="H755" s="204">
        <v>1.2771352313167261E-2</v>
      </c>
      <c r="I755" s="209">
        <v>6.2919999999999998</v>
      </c>
      <c r="J755" s="207">
        <v>1.4503328159554532</v>
      </c>
      <c r="K755" s="209">
        <v>30</v>
      </c>
      <c r="L755" s="209">
        <v>18.855</v>
      </c>
      <c r="M755" s="208"/>
      <c r="N755" s="221"/>
    </row>
    <row r="756" spans="1:14" ht="16.5" customHeight="1" x14ac:dyDescent="0.25">
      <c r="A756" s="203">
        <v>44811</v>
      </c>
      <c r="B756" s="128" t="s">
        <v>34</v>
      </c>
      <c r="C756" s="157" t="str">
        <f t="shared" si="23"/>
        <v>07.09.2022_KRE1</v>
      </c>
      <c r="D756" s="190">
        <f t="shared" si="24"/>
        <v>0</v>
      </c>
      <c r="E756" s="204">
        <v>0.14449013157894738</v>
      </c>
      <c r="F756" s="205">
        <v>0.20627244042468496</v>
      </c>
      <c r="G756" s="204">
        <v>0.11390601566405599</v>
      </c>
      <c r="H756" s="204">
        <v>5.3923487544483992E-2</v>
      </c>
      <c r="I756" s="209">
        <v>1.6</v>
      </c>
      <c r="J756" s="207">
        <v>0.466255887885901</v>
      </c>
      <c r="K756" s="209">
        <v>151</v>
      </c>
      <c r="L756" s="209">
        <v>60</v>
      </c>
      <c r="M756" s="208"/>
      <c r="N756" s="221"/>
    </row>
    <row r="757" spans="1:14" ht="16.5" customHeight="1" x14ac:dyDescent="0.25">
      <c r="A757" s="203">
        <v>44811</v>
      </c>
      <c r="B757" s="128" t="s">
        <v>37</v>
      </c>
      <c r="C757" s="157" t="str">
        <f t="shared" si="23"/>
        <v>07.09.2022_KRE2</v>
      </c>
      <c r="D757" s="190">
        <f t="shared" si="24"/>
        <v>0</v>
      </c>
      <c r="E757" s="204">
        <v>7.4197635135135137E-2</v>
      </c>
      <c r="F757" s="205">
        <v>0.10054534450338407</v>
      </c>
      <c r="G757" s="204">
        <v>0.1862272954507582</v>
      </c>
      <c r="H757" s="204">
        <v>0.23556049822064057</v>
      </c>
      <c r="I757" s="209">
        <v>26.149000000000001</v>
      </c>
      <c r="J757" s="207">
        <v>6.1225946563278324</v>
      </c>
      <c r="K757" s="209">
        <v>76</v>
      </c>
      <c r="L757" s="209">
        <v>77</v>
      </c>
      <c r="M757" s="208"/>
      <c r="N757" s="221"/>
    </row>
    <row r="758" spans="1:14" ht="16.5" customHeight="1" x14ac:dyDescent="0.25">
      <c r="A758" s="203">
        <v>44811</v>
      </c>
      <c r="B758" s="128" t="s">
        <v>18</v>
      </c>
      <c r="C758" s="157" t="str">
        <f t="shared" si="23"/>
        <v>07.09.2022_ORB1</v>
      </c>
      <c r="D758" s="190">
        <f t="shared" si="24"/>
        <v>0</v>
      </c>
      <c r="E758" s="204">
        <v>2.1478262802275962E-2</v>
      </c>
      <c r="F758" s="205">
        <v>3.8163034673479632E-2</v>
      </c>
      <c r="G758" s="204">
        <v>2.3504415930678223E-2</v>
      </c>
      <c r="H758" s="204">
        <v>3.547597864768684E-2</v>
      </c>
      <c r="I758" s="209">
        <v>5.3049999999999997</v>
      </c>
      <c r="J758" s="207">
        <v>1.2272919556253004</v>
      </c>
      <c r="K758" s="209">
        <v>8.0329999999999995</v>
      </c>
      <c r="L758" s="209">
        <v>11.23</v>
      </c>
      <c r="M758" s="208"/>
      <c r="N758" s="221"/>
    </row>
    <row r="759" spans="1:14" ht="16.5" customHeight="1" x14ac:dyDescent="0.25">
      <c r="A759" s="203">
        <v>44811</v>
      </c>
      <c r="B759" s="128" t="s">
        <v>21</v>
      </c>
      <c r="C759" s="157" t="str">
        <f t="shared" si="23"/>
        <v>07.09.2022_ORB2</v>
      </c>
      <c r="D759" s="190">
        <f t="shared" si="24"/>
        <v>0</v>
      </c>
      <c r="E759" s="204">
        <v>1.952569345661451E-2</v>
      </c>
      <c r="F759" s="205">
        <v>3.4072573428205584E-2</v>
      </c>
      <c r="G759" s="204">
        <v>3.0736543909348449E-2</v>
      </c>
      <c r="H759" s="204">
        <v>3.547597864768684E-2</v>
      </c>
      <c r="I759" s="209">
        <v>6.3620000000000001</v>
      </c>
      <c r="J759" s="207">
        <v>1.471652220679458</v>
      </c>
      <c r="K759" s="209">
        <v>30.257000000000001</v>
      </c>
      <c r="L759" s="209">
        <v>19.190999999999999</v>
      </c>
      <c r="M759" s="208"/>
      <c r="N759" s="221"/>
    </row>
    <row r="760" spans="1:14" ht="16.5" customHeight="1" x14ac:dyDescent="0.25">
      <c r="A760" s="203">
        <v>44811</v>
      </c>
      <c r="B760" s="128" t="s">
        <v>10</v>
      </c>
      <c r="C760" s="157" t="str">
        <f t="shared" si="23"/>
        <v>07.09.2022_SAL1</v>
      </c>
      <c r="D760" s="190">
        <f t="shared" si="24"/>
        <v>0</v>
      </c>
      <c r="E760" s="204">
        <v>8.7865620554765281E-2</v>
      </c>
      <c r="F760" s="205">
        <v>0.11449858072982187</v>
      </c>
      <c r="G760" s="204">
        <v>1.9888351941343113E-2</v>
      </c>
      <c r="H760" s="204">
        <v>2.5542704626334525E-2</v>
      </c>
      <c r="I760" s="209">
        <v>6.3259999999999996</v>
      </c>
      <c r="J760" s="207">
        <v>1.452073202822421</v>
      </c>
      <c r="K760" s="209">
        <v>8.8870000000000005</v>
      </c>
      <c r="L760" s="209">
        <v>6.3860000000000001</v>
      </c>
      <c r="M760" s="208"/>
      <c r="N760" s="221"/>
    </row>
    <row r="761" spans="1:14" ht="16.5" customHeight="1" x14ac:dyDescent="0.25">
      <c r="A761" s="203">
        <v>44811</v>
      </c>
      <c r="B761" s="128" t="s">
        <v>12</v>
      </c>
      <c r="C761" s="157" t="str">
        <f t="shared" si="23"/>
        <v>07.09.2022_SAL2</v>
      </c>
      <c r="D761" s="190">
        <f t="shared" si="24"/>
        <v>0</v>
      </c>
      <c r="E761" s="204">
        <v>6.4434788406827884E-2</v>
      </c>
      <c r="F761" s="205">
        <v>9.2491712198596032E-2</v>
      </c>
      <c r="G761" s="204">
        <v>1.6272287952008E-2</v>
      </c>
      <c r="H761" s="204">
        <v>2.2704626334519577E-2</v>
      </c>
      <c r="I761" s="209">
        <v>6.0869999999999997</v>
      </c>
      <c r="J761" s="207">
        <v>1.394418382359399</v>
      </c>
      <c r="K761" s="209">
        <v>9.5</v>
      </c>
      <c r="L761" s="209">
        <v>7.1559999999999997</v>
      </c>
      <c r="M761" s="208"/>
      <c r="N761" s="221"/>
    </row>
    <row r="762" spans="1:14" ht="16.5" customHeight="1" x14ac:dyDescent="0.25">
      <c r="A762" s="203">
        <v>44811</v>
      </c>
      <c r="B762" s="128" t="s">
        <v>7</v>
      </c>
      <c r="C762" s="157" t="str">
        <f t="shared" si="23"/>
        <v>07.09.2022_STE1</v>
      </c>
      <c r="D762" s="190">
        <f t="shared" si="24"/>
        <v>0</v>
      </c>
      <c r="E762" s="204">
        <v>6.052964971550498E-2</v>
      </c>
      <c r="F762" s="205">
        <v>7.3727649808537202E-2</v>
      </c>
      <c r="G762" s="204">
        <v>1.4464255957340444E-2</v>
      </c>
      <c r="H762" s="204">
        <v>1.2771352313167261E-2</v>
      </c>
      <c r="I762" s="209">
        <v>8.5589999999999993</v>
      </c>
      <c r="J762" s="207">
        <v>1.9483409183200586</v>
      </c>
      <c r="K762" s="209">
        <v>12.926</v>
      </c>
      <c r="L762" s="209">
        <v>10.497</v>
      </c>
      <c r="M762" s="208"/>
      <c r="N762" s="221"/>
    </row>
    <row r="763" spans="1:14" ht="16.5" customHeight="1" x14ac:dyDescent="0.25">
      <c r="A763" s="203">
        <v>44811</v>
      </c>
      <c r="B763" s="128" t="s">
        <v>9</v>
      </c>
      <c r="C763" s="157" t="str">
        <f t="shared" si="23"/>
        <v>07.09.2022_STE2</v>
      </c>
      <c r="D763" s="190">
        <f t="shared" si="24"/>
        <v>0</v>
      </c>
      <c r="E763" s="204">
        <v>4.6861664295874822E-2</v>
      </c>
      <c r="F763" s="205">
        <v>6.0487280770333475E-2</v>
      </c>
      <c r="G763" s="204">
        <v>3.616063989335111E-2</v>
      </c>
      <c r="H763" s="204">
        <v>1.5609430604982209E-2</v>
      </c>
      <c r="I763" s="209">
        <v>7.234</v>
      </c>
      <c r="J763" s="207">
        <v>1.6667742464184752</v>
      </c>
      <c r="K763" s="209">
        <v>13.858000000000001</v>
      </c>
      <c r="L763" s="209">
        <v>10.436999999999999</v>
      </c>
      <c r="M763" s="208"/>
      <c r="N763" s="221"/>
    </row>
    <row r="764" spans="1:14" ht="16.5" customHeight="1" x14ac:dyDescent="0.25">
      <c r="A764" s="203">
        <v>44825</v>
      </c>
      <c r="B764" s="128" t="s">
        <v>22</v>
      </c>
      <c r="C764" s="157" t="str">
        <f t="shared" si="23"/>
        <v>21.09.2022_BIE1</v>
      </c>
      <c r="D764" s="190">
        <f t="shared" si="24"/>
        <v>0</v>
      </c>
      <c r="E764" s="204">
        <v>0</v>
      </c>
      <c r="F764" s="205">
        <v>2.7072050802320679E-2</v>
      </c>
      <c r="G764" s="204">
        <v>2.1039873954672154E-2</v>
      </c>
      <c r="H764" s="204">
        <v>0.03</v>
      </c>
      <c r="I764" s="209">
        <v>3.98</v>
      </c>
      <c r="J764" s="207">
        <v>0.92443335172706331</v>
      </c>
      <c r="K764" s="209">
        <v>10.741</v>
      </c>
      <c r="L764" s="209">
        <v>20.763999999999999</v>
      </c>
      <c r="M764" s="208"/>
      <c r="N764" s="221"/>
    </row>
    <row r="765" spans="1:14" ht="16.5" customHeight="1" x14ac:dyDescent="0.25">
      <c r="A765" s="203">
        <v>44825</v>
      </c>
      <c r="B765" s="128" t="s">
        <v>25</v>
      </c>
      <c r="C765" s="157" t="str">
        <f t="shared" si="23"/>
        <v>21.09.2022_BIE2</v>
      </c>
      <c r="D765" s="190">
        <f t="shared" si="24"/>
        <v>0</v>
      </c>
      <c r="E765" s="204">
        <v>3.800865307981327E-2</v>
      </c>
      <c r="F765" s="205">
        <v>5.6405764362932605E-2</v>
      </c>
      <c r="G765" s="204">
        <v>0.33313133761564256</v>
      </c>
      <c r="H765" s="204">
        <v>2.3E-2</v>
      </c>
      <c r="I765" s="209">
        <v>4.1269999999999998</v>
      </c>
      <c r="J765" s="207">
        <v>1.1978409923451703</v>
      </c>
      <c r="K765" s="209">
        <v>12.082000000000001</v>
      </c>
      <c r="L765" s="209">
        <v>20.731000000000002</v>
      </c>
      <c r="M765" s="208"/>
      <c r="N765" s="221"/>
    </row>
    <row r="766" spans="1:14" ht="16.5" customHeight="1" x14ac:dyDescent="0.25">
      <c r="A766" s="203">
        <v>44825</v>
      </c>
      <c r="B766" s="128" t="s">
        <v>14</v>
      </c>
      <c r="C766" s="157" t="str">
        <f t="shared" si="23"/>
        <v>21.09.2022_BRA1</v>
      </c>
      <c r="D766" s="190">
        <f t="shared" si="24"/>
        <v>0</v>
      </c>
      <c r="E766" s="204">
        <v>1.2002732551519979E-2</v>
      </c>
      <c r="F766" s="205">
        <v>4.72672501523368E-2</v>
      </c>
      <c r="G766" s="204">
        <v>4.0326425079788307E-2</v>
      </c>
      <c r="H766" s="204">
        <v>5.5E-2</v>
      </c>
      <c r="I766" s="209">
        <v>10.156000000000001</v>
      </c>
      <c r="J766" s="207">
        <v>2.3419935358102046</v>
      </c>
      <c r="K766" s="209">
        <v>11.967000000000001</v>
      </c>
      <c r="L766" s="209">
        <v>7.6710000000000003</v>
      </c>
      <c r="M766" s="208"/>
      <c r="N766" s="221"/>
    </row>
    <row r="767" spans="1:14" ht="16.5" customHeight="1" x14ac:dyDescent="0.25">
      <c r="A767" s="203">
        <v>44825</v>
      </c>
      <c r="B767" s="128" t="s">
        <v>17</v>
      </c>
      <c r="C767" s="157" t="str">
        <f t="shared" si="23"/>
        <v>21.09.2022_BRA2</v>
      </c>
      <c r="D767" s="190">
        <f t="shared" si="24"/>
        <v>0</v>
      </c>
      <c r="E767" s="204">
        <v>3.4007742229306609E-2</v>
      </c>
      <c r="F767" s="205">
        <v>6.5821116068334212E-2</v>
      </c>
      <c r="G767" s="204">
        <v>8.7666141477800684E-3</v>
      </c>
      <c r="H767" s="204">
        <v>4.6652296322364931E-3</v>
      </c>
      <c r="I767" s="209">
        <v>13.013</v>
      </c>
      <c r="J767" s="207">
        <v>2.9474738273811441</v>
      </c>
      <c r="K767" s="209">
        <v>15.964</v>
      </c>
      <c r="L767" s="209">
        <v>9.2050000000000001</v>
      </c>
      <c r="M767" s="208"/>
      <c r="N767" s="221"/>
    </row>
    <row r="768" spans="1:14" ht="16.5" customHeight="1" x14ac:dyDescent="0.25">
      <c r="A768" s="203">
        <v>44825</v>
      </c>
      <c r="B768" s="128" t="s">
        <v>30</v>
      </c>
      <c r="C768" s="157" t="str">
        <f t="shared" si="23"/>
        <v>21.09.2022_FAL1</v>
      </c>
      <c r="D768" s="190">
        <f t="shared" si="24"/>
        <v>0</v>
      </c>
      <c r="E768" s="204">
        <v>0.16603780029602638</v>
      </c>
      <c r="F768" s="205">
        <v>0.19525029906012653</v>
      </c>
      <c r="G768" s="204">
        <v>0.11221266109158487</v>
      </c>
      <c r="H768" s="204">
        <v>7.7753827203941583E-2</v>
      </c>
      <c r="I768" s="209">
        <v>14.271000000000001</v>
      </c>
      <c r="J768" s="207">
        <v>3.3341949319032449</v>
      </c>
      <c r="K768" s="209">
        <v>39</v>
      </c>
      <c r="L768" s="209">
        <v>34.561999999999998</v>
      </c>
      <c r="M768" s="208"/>
      <c r="N768" s="221"/>
    </row>
    <row r="769" spans="1:14" ht="16.5" customHeight="1" x14ac:dyDescent="0.25">
      <c r="A769" s="203">
        <v>44825</v>
      </c>
      <c r="B769" s="128" t="s">
        <v>32</v>
      </c>
      <c r="C769" s="157" t="str">
        <f t="shared" si="23"/>
        <v>21.09.2022_FAL2</v>
      </c>
      <c r="D769" s="190">
        <f t="shared" si="24"/>
        <v>0</v>
      </c>
      <c r="E769" s="204">
        <v>0.15603552316975977</v>
      </c>
      <c r="F769" s="205">
        <v>0.16484742317320025</v>
      </c>
      <c r="G769" s="204">
        <v>9.9939401284692767E-2</v>
      </c>
      <c r="H769" s="204">
        <v>5.5982755586837928E-2</v>
      </c>
      <c r="I769" s="209">
        <v>10.769</v>
      </c>
      <c r="J769" s="207">
        <v>2.5270399256419638</v>
      </c>
      <c r="K769" s="209">
        <v>33</v>
      </c>
      <c r="L769" s="209">
        <v>33.618000000000002</v>
      </c>
      <c r="M769" s="208"/>
      <c r="N769" s="221"/>
    </row>
    <row r="770" spans="1:14" ht="16.5" customHeight="1" x14ac:dyDescent="0.25">
      <c r="A770" s="203">
        <v>44825</v>
      </c>
      <c r="B770" s="128" t="s">
        <v>26</v>
      </c>
      <c r="C770" s="157" t="str">
        <f t="shared" si="23"/>
        <v>21.09.2022_GRU1</v>
      </c>
      <c r="D770" s="190">
        <f t="shared" si="24"/>
        <v>0</v>
      </c>
      <c r="E770" s="204">
        <v>4.0009108505066606E-3</v>
      </c>
      <c r="F770" s="205">
        <v>3.0777177064617599E-2</v>
      </c>
      <c r="G770" s="204">
        <v>2.8053165272896217E-2</v>
      </c>
      <c r="H770" s="204">
        <v>1.5550765440788313E-2</v>
      </c>
      <c r="I770" s="209">
        <v>10.909000000000001</v>
      </c>
      <c r="J770" s="207">
        <v>2.4905332628411991</v>
      </c>
      <c r="K770" s="209">
        <v>10.137</v>
      </c>
      <c r="L770" s="209">
        <v>25.381</v>
      </c>
      <c r="M770" s="208"/>
      <c r="N770" s="221"/>
    </row>
    <row r="771" spans="1:14" ht="16.5" customHeight="1" x14ac:dyDescent="0.25">
      <c r="A771" s="203">
        <v>44825</v>
      </c>
      <c r="B771" s="128" t="s">
        <v>28</v>
      </c>
      <c r="C771" s="157" t="str">
        <f t="shared" si="23"/>
        <v>21.09.2022_GRU2</v>
      </c>
      <c r="D771" s="190">
        <f t="shared" si="24"/>
        <v>0</v>
      </c>
      <c r="E771" s="204">
        <v>2.0004554252533303E-3</v>
      </c>
      <c r="F771" s="205">
        <v>2.9338087997632441E-2</v>
      </c>
      <c r="G771" s="204">
        <v>4.3833070738900339E-2</v>
      </c>
      <c r="H771" s="204">
        <v>2.0215995073024805E-2</v>
      </c>
      <c r="I771" s="209">
        <v>9.4830000000000005</v>
      </c>
      <c r="J771" s="207">
        <v>2.1821159107980312</v>
      </c>
      <c r="K771" s="209">
        <v>10.548</v>
      </c>
      <c r="L771" s="209">
        <v>21.977</v>
      </c>
      <c r="M771" s="208"/>
      <c r="N771" s="221"/>
    </row>
    <row r="772" spans="1:14" ht="16.5" customHeight="1" x14ac:dyDescent="0.25">
      <c r="A772" s="203">
        <v>44825</v>
      </c>
      <c r="B772" s="128" t="s">
        <v>0</v>
      </c>
      <c r="C772" s="157" t="str">
        <f t="shared" si="23"/>
        <v>21.09.2022_KIN1</v>
      </c>
      <c r="D772" s="190">
        <f t="shared" si="24"/>
        <v>0</v>
      </c>
      <c r="E772" s="204">
        <v>7.6017306159626541E-2</v>
      </c>
      <c r="F772" s="205">
        <v>0.10992355080205314</v>
      </c>
      <c r="G772" s="204">
        <v>9.9939401284692767E-2</v>
      </c>
      <c r="H772" s="204">
        <v>3.8876913601970792E-2</v>
      </c>
      <c r="I772" s="209">
        <v>12.859</v>
      </c>
      <c r="J772" s="207">
        <v>2.9939003520496708</v>
      </c>
      <c r="K772" s="209">
        <v>14.677</v>
      </c>
      <c r="L772" s="209">
        <v>18.523</v>
      </c>
      <c r="M772" s="208"/>
      <c r="N772" s="221"/>
    </row>
    <row r="773" spans="1:14" ht="16.5" customHeight="1" x14ac:dyDescent="0.25">
      <c r="A773" s="203">
        <v>44825</v>
      </c>
      <c r="B773" s="128" t="s">
        <v>2</v>
      </c>
      <c r="C773" s="157" t="str">
        <f t="shared" ref="C773:C836" si="25">CONCATENATE(TEXT(A773,"TT.MM.JJJJ"),"_",B773)</f>
        <v>21.09.2022_KIN2</v>
      </c>
      <c r="D773" s="190">
        <f t="shared" ref="D773:D836" si="26">COUNTBLANK(E773:L773)</f>
        <v>0</v>
      </c>
      <c r="E773" s="204">
        <v>3.4007742229306609E-2</v>
      </c>
      <c r="F773" s="205">
        <v>6.8334438130372238E-2</v>
      </c>
      <c r="G773" s="204">
        <v>2.6299842443340202E-2</v>
      </c>
      <c r="H773" s="204">
        <v>2.6436301249340138E-2</v>
      </c>
      <c r="I773" s="209">
        <v>11.122999999999999</v>
      </c>
      <c r="J773" s="207">
        <v>2.5408221065741907</v>
      </c>
      <c r="K773" s="209">
        <v>14.49</v>
      </c>
      <c r="L773" s="209">
        <v>18.661999999999999</v>
      </c>
      <c r="M773" s="208"/>
      <c r="N773" s="221"/>
    </row>
    <row r="774" spans="1:14" ht="16.5" customHeight="1" x14ac:dyDescent="0.25">
      <c r="A774" s="203">
        <v>44825</v>
      </c>
      <c r="B774" s="128" t="s">
        <v>4</v>
      </c>
      <c r="C774" s="157" t="str">
        <f t="shared" si="25"/>
        <v>21.09.2022_KIN3</v>
      </c>
      <c r="D774" s="190">
        <f t="shared" si="26"/>
        <v>0</v>
      </c>
      <c r="E774" s="204">
        <v>4.2009563930319932E-2</v>
      </c>
      <c r="F774" s="205">
        <v>7.5150091252547957E-2</v>
      </c>
      <c r="G774" s="204">
        <v>5.0846362057124388E-2</v>
      </c>
      <c r="H774" s="204">
        <v>2.4881224705261305E-2</v>
      </c>
      <c r="I774" s="209">
        <v>10.358000000000001</v>
      </c>
      <c r="J774" s="207">
        <v>2.3866182405352534</v>
      </c>
      <c r="K774" s="209">
        <v>18.128</v>
      </c>
      <c r="L774" s="209">
        <v>23.155999999999999</v>
      </c>
      <c r="M774" s="208"/>
      <c r="N774" s="221"/>
    </row>
    <row r="775" spans="1:14" ht="16.5" customHeight="1" x14ac:dyDescent="0.25">
      <c r="A775" s="203">
        <v>44825</v>
      </c>
      <c r="B775" s="128" t="s">
        <v>6</v>
      </c>
      <c r="C775" s="157" t="str">
        <f t="shared" si="25"/>
        <v>21.09.2022_KIN4</v>
      </c>
      <c r="D775" s="190">
        <f t="shared" si="26"/>
        <v>0</v>
      </c>
      <c r="E775" s="204">
        <v>3.600819765455994E-2</v>
      </c>
      <c r="F775" s="205">
        <v>7.6964493003682605E-2</v>
      </c>
      <c r="G775" s="204">
        <v>8.0652850159576628E-2</v>
      </c>
      <c r="H775" s="204">
        <v>3.1101530881576626E-2</v>
      </c>
      <c r="I775" s="209">
        <v>9.2110000000000003</v>
      </c>
      <c r="J775" s="207">
        <v>2.1525835626973056</v>
      </c>
      <c r="K775" s="209">
        <v>22.274000000000001</v>
      </c>
      <c r="L775" s="209">
        <v>20.812000000000001</v>
      </c>
      <c r="M775" s="208"/>
      <c r="N775" s="221"/>
    </row>
    <row r="776" spans="1:14" ht="16.5" customHeight="1" x14ac:dyDescent="0.25">
      <c r="A776" s="203">
        <v>44825</v>
      </c>
      <c r="B776" s="128" t="s">
        <v>34</v>
      </c>
      <c r="C776" s="157" t="str">
        <f t="shared" si="25"/>
        <v>21.09.2022_KRE1</v>
      </c>
      <c r="D776" s="190">
        <f t="shared" si="26"/>
        <v>0</v>
      </c>
      <c r="E776" s="204">
        <v>5.0011385631333255E-2</v>
      </c>
      <c r="F776" s="205">
        <v>8.1601961112671276E-2</v>
      </c>
      <c r="G776" s="204">
        <v>0.7241223286066335</v>
      </c>
      <c r="H776" s="204">
        <v>0.4929592644729896</v>
      </c>
      <c r="I776" s="209">
        <v>7.5540000000000003</v>
      </c>
      <c r="J776" s="207">
        <v>2.4185771750085667</v>
      </c>
      <c r="K776" s="209">
        <v>40</v>
      </c>
      <c r="L776" s="209">
        <v>36</v>
      </c>
      <c r="M776" s="208"/>
      <c r="N776" s="221"/>
    </row>
    <row r="777" spans="1:14" ht="16.5" customHeight="1" x14ac:dyDescent="0.25">
      <c r="A777" s="203">
        <v>44825</v>
      </c>
      <c r="B777" s="128" t="s">
        <v>37</v>
      </c>
      <c r="C777" s="157" t="str">
        <f t="shared" si="25"/>
        <v>21.09.2022_KRE2</v>
      </c>
      <c r="D777" s="190">
        <f t="shared" si="26"/>
        <v>0</v>
      </c>
      <c r="E777" s="204">
        <v>6.8015484458613232E-2</v>
      </c>
      <c r="F777" s="205">
        <v>9.6490959599171158E-2</v>
      </c>
      <c r="G777" s="204">
        <v>1.6323435543166485</v>
      </c>
      <c r="H777" s="204">
        <v>0.48984911138483195</v>
      </c>
      <c r="I777" s="209">
        <v>8.6929999999999996</v>
      </c>
      <c r="J777" s="207">
        <v>3.3801209184524463</v>
      </c>
      <c r="K777" s="209">
        <v>47</v>
      </c>
      <c r="L777" s="209">
        <v>44</v>
      </c>
      <c r="M777" s="208"/>
      <c r="N777" s="221"/>
    </row>
    <row r="778" spans="1:14" ht="16.5" customHeight="1" x14ac:dyDescent="0.25">
      <c r="A778" s="203">
        <v>44825</v>
      </c>
      <c r="B778" s="128" t="s">
        <v>18</v>
      </c>
      <c r="C778" s="157" t="str">
        <f t="shared" si="25"/>
        <v>21.09.2022_ORB1</v>
      </c>
      <c r="D778" s="190">
        <f t="shared" si="26"/>
        <v>0</v>
      </c>
      <c r="E778" s="204">
        <v>8.0018217010133195E-3</v>
      </c>
      <c r="F778" s="205">
        <v>4.8571703768801669E-2</v>
      </c>
      <c r="G778" s="204">
        <v>4.9093039227568372E-2</v>
      </c>
      <c r="H778" s="204">
        <v>2.4881224705261305E-2</v>
      </c>
      <c r="I778" s="209">
        <v>5.9130000000000003</v>
      </c>
      <c r="J778" s="207">
        <v>1.3812646528913313</v>
      </c>
      <c r="K778" s="209">
        <v>10.802</v>
      </c>
      <c r="L778" s="209">
        <v>14.615</v>
      </c>
      <c r="M778" s="208"/>
      <c r="N778" s="221"/>
    </row>
    <row r="779" spans="1:14" ht="16.5" customHeight="1" x14ac:dyDescent="0.25">
      <c r="A779" s="203">
        <v>44825</v>
      </c>
      <c r="B779" s="128" t="s">
        <v>21</v>
      </c>
      <c r="C779" s="157" t="str">
        <f t="shared" si="25"/>
        <v>21.09.2022_ORB2</v>
      </c>
      <c r="D779" s="190">
        <f t="shared" si="26"/>
        <v>0</v>
      </c>
      <c r="E779" s="204">
        <v>7.0015939883866563E-2</v>
      </c>
      <c r="F779" s="205">
        <v>2.1257828483102658E-2</v>
      </c>
      <c r="G779" s="204">
        <v>5.6106330545792435E-2</v>
      </c>
      <c r="H779" s="204">
        <v>2.7991377793418971E-2</v>
      </c>
      <c r="I779" s="209">
        <v>6.7220000000000004</v>
      </c>
      <c r="J779" s="207">
        <v>1.5703861195747089</v>
      </c>
      <c r="K779" s="209">
        <v>25.725999999999999</v>
      </c>
      <c r="L779" s="209">
        <v>20.28</v>
      </c>
      <c r="M779" s="208"/>
      <c r="N779" s="221"/>
    </row>
    <row r="780" spans="1:14" ht="16.5" customHeight="1" x14ac:dyDescent="0.25">
      <c r="A780" s="203">
        <v>44825</v>
      </c>
      <c r="B780" s="128" t="s">
        <v>10</v>
      </c>
      <c r="C780" s="157" t="str">
        <f t="shared" si="25"/>
        <v>21.09.2022_SAL1</v>
      </c>
      <c r="D780" s="190">
        <f t="shared" si="26"/>
        <v>0</v>
      </c>
      <c r="E780" s="204">
        <v>8.0018217010133216E-2</v>
      </c>
      <c r="F780" s="205">
        <v>0.11247495980423575</v>
      </c>
      <c r="G780" s="204">
        <v>1.5779905466004124E-2</v>
      </c>
      <c r="H780" s="204">
        <v>1.399568889670948E-2</v>
      </c>
      <c r="I780" s="209">
        <v>7.8259999999999996</v>
      </c>
      <c r="J780" s="207">
        <v>1.7841725462799005</v>
      </c>
      <c r="K780" s="209">
        <v>12.087999999999999</v>
      </c>
      <c r="L780" s="209">
        <v>11.4</v>
      </c>
      <c r="M780" s="208"/>
      <c r="N780" s="221"/>
    </row>
    <row r="781" spans="1:14" ht="16.5" customHeight="1" x14ac:dyDescent="0.25">
      <c r="A781" s="203">
        <v>44825</v>
      </c>
      <c r="B781" s="128" t="s">
        <v>12</v>
      </c>
      <c r="C781" s="157" t="str">
        <f t="shared" si="25"/>
        <v>21.09.2022_SAL2</v>
      </c>
      <c r="D781" s="190">
        <f t="shared" si="26"/>
        <v>0</v>
      </c>
      <c r="E781" s="204">
        <v>5.0011385631333255E-2</v>
      </c>
      <c r="F781" s="205">
        <v>8.930786690371971E-2</v>
      </c>
      <c r="G781" s="204">
        <v>2.6299842443340202E-2</v>
      </c>
      <c r="H781" s="204">
        <v>6.2203061763153262E-3</v>
      </c>
      <c r="I781" s="209">
        <v>8.3580000000000005</v>
      </c>
      <c r="J781" s="207">
        <v>1.9101367968742085</v>
      </c>
      <c r="K781" s="209">
        <v>13.407</v>
      </c>
      <c r="L781" s="209">
        <v>12.535</v>
      </c>
      <c r="M781" s="208"/>
      <c r="N781" s="221"/>
    </row>
    <row r="782" spans="1:14" ht="16.5" customHeight="1" x14ac:dyDescent="0.25">
      <c r="A782" s="203">
        <v>44825</v>
      </c>
      <c r="B782" s="128" t="s">
        <v>7</v>
      </c>
      <c r="C782" s="157" t="str">
        <f t="shared" si="25"/>
        <v>21.09.2022_STE1</v>
      </c>
      <c r="D782" s="190">
        <f t="shared" si="26"/>
        <v>0</v>
      </c>
      <c r="E782" s="204">
        <v>0.12202778094045316</v>
      </c>
      <c r="F782" s="205">
        <v>0.15644538199812036</v>
      </c>
      <c r="G782" s="204">
        <v>6.8379590352684524E-2</v>
      </c>
      <c r="H782" s="204">
        <v>5.5982755586837928E-2</v>
      </c>
      <c r="I782" s="209">
        <v>11.125</v>
      </c>
      <c r="J782" s="207">
        <v>2.5829437680513689</v>
      </c>
      <c r="K782" s="209">
        <v>15.115</v>
      </c>
      <c r="L782" s="209">
        <v>13.378</v>
      </c>
      <c r="M782" s="208"/>
      <c r="N782" s="221"/>
    </row>
    <row r="783" spans="1:14" ht="16.5" customHeight="1" x14ac:dyDescent="0.25">
      <c r="A783" s="203">
        <v>44825</v>
      </c>
      <c r="B783" s="128" t="s">
        <v>9</v>
      </c>
      <c r="C783" s="157" t="str">
        <f t="shared" si="25"/>
        <v>21.09.2022_STE2</v>
      </c>
      <c r="D783" s="190">
        <f t="shared" si="26"/>
        <v>0</v>
      </c>
      <c r="E783" s="204">
        <v>0.10002277126266652</v>
      </c>
      <c r="F783" s="205">
        <v>0.14368287660385937</v>
      </c>
      <c r="G783" s="204">
        <v>7.7146204500464596E-2</v>
      </c>
      <c r="H783" s="204">
        <v>5.5982755586837928E-2</v>
      </c>
      <c r="I783" s="209">
        <v>10.852</v>
      </c>
      <c r="J783" s="207">
        <v>2.5280884462709787</v>
      </c>
      <c r="K783" s="209">
        <v>16.248000000000001</v>
      </c>
      <c r="L783" s="209">
        <v>13.555999999999999</v>
      </c>
      <c r="M783" s="208"/>
      <c r="N783" s="221"/>
    </row>
    <row r="784" spans="1:14" ht="16.5" customHeight="1" x14ac:dyDescent="0.25">
      <c r="A784" s="203">
        <v>44841</v>
      </c>
      <c r="B784" s="128" t="s">
        <v>22</v>
      </c>
      <c r="C784" s="157" t="str">
        <f t="shared" si="25"/>
        <v>07.10.2022_BIE1</v>
      </c>
      <c r="D784" s="190">
        <f t="shared" si="26"/>
        <v>0</v>
      </c>
      <c r="E784" s="204">
        <v>2.0104815086049049E-3</v>
      </c>
      <c r="F784" s="205">
        <v>2.1537722391362226E-2</v>
      </c>
      <c r="G784" s="204">
        <v>6.2424710980060732E-3</v>
      </c>
      <c r="H784" s="204">
        <v>0.03</v>
      </c>
      <c r="I784" s="209">
        <v>3.8730000000000002</v>
      </c>
      <c r="J784" s="207">
        <v>0.88877522638289075</v>
      </c>
      <c r="K784" s="209">
        <v>9.9659999999999993</v>
      </c>
      <c r="L784" s="209">
        <v>17.288</v>
      </c>
      <c r="M784" s="208"/>
      <c r="N784" s="221"/>
    </row>
    <row r="785" spans="1:14" ht="16.5" customHeight="1" x14ac:dyDescent="0.25">
      <c r="A785" s="203">
        <v>44841</v>
      </c>
      <c r="B785" s="128" t="s">
        <v>25</v>
      </c>
      <c r="C785" s="157" t="str">
        <f t="shared" si="25"/>
        <v>07.10.2022_BIE2</v>
      </c>
      <c r="D785" s="190">
        <f t="shared" si="26"/>
        <v>0</v>
      </c>
      <c r="E785" s="204">
        <v>1.0052407543024533E-2</v>
      </c>
      <c r="F785" s="205">
        <v>3.4663857789121316E-2</v>
      </c>
      <c r="G785" s="204">
        <v>0.14825868857764435</v>
      </c>
      <c r="H785" s="204">
        <v>2.3E-2</v>
      </c>
      <c r="I785" s="209">
        <v>3.879</v>
      </c>
      <c r="J785" s="207">
        <v>0.99827346909365511</v>
      </c>
      <c r="K785" s="209">
        <v>11.204000000000001</v>
      </c>
      <c r="L785" s="209">
        <v>17.055</v>
      </c>
      <c r="M785" s="208"/>
      <c r="N785" s="221"/>
    </row>
    <row r="786" spans="1:14" ht="16.5" customHeight="1" x14ac:dyDescent="0.25">
      <c r="A786" s="203">
        <v>44841</v>
      </c>
      <c r="B786" s="128" t="s">
        <v>14</v>
      </c>
      <c r="C786" s="157" t="str">
        <f t="shared" si="25"/>
        <v>07.10.2022_BRA1</v>
      </c>
      <c r="D786" s="190">
        <f t="shared" si="26"/>
        <v>0</v>
      </c>
      <c r="E786" s="204">
        <v>1.8094333577444163E-2</v>
      </c>
      <c r="F786" s="205">
        <v>4.6267351934921833E-2</v>
      </c>
      <c r="G786" s="204">
        <v>0</v>
      </c>
      <c r="H786" s="204">
        <v>5.5E-2</v>
      </c>
      <c r="I786" s="209">
        <v>11.186</v>
      </c>
      <c r="J786" s="207">
        <v>2.5372675495213861</v>
      </c>
      <c r="K786" s="209">
        <v>9.7910000000000004</v>
      </c>
      <c r="L786" s="209">
        <v>8.0510000000000002</v>
      </c>
      <c r="M786" s="208"/>
      <c r="N786" s="221"/>
    </row>
    <row r="787" spans="1:14" ht="16.5" customHeight="1" x14ac:dyDescent="0.25">
      <c r="A787" s="203">
        <v>44841</v>
      </c>
      <c r="B787" s="128" t="s">
        <v>17</v>
      </c>
      <c r="C787" s="157" t="str">
        <f t="shared" si="25"/>
        <v>07.10.2022_BRA2</v>
      </c>
      <c r="D787" s="190">
        <f t="shared" si="26"/>
        <v>0</v>
      </c>
      <c r="E787" s="204">
        <v>3.01572226290736E-2</v>
      </c>
      <c r="F787" s="205">
        <v>6.8180115523851711E-2</v>
      </c>
      <c r="G787" s="204">
        <v>4.6818533235045518E-3</v>
      </c>
      <c r="H787" s="204">
        <v>1.6817637191468972E-2</v>
      </c>
      <c r="I787" s="209">
        <v>13.276</v>
      </c>
      <c r="J787" s="207">
        <v>3.0074056619301106</v>
      </c>
      <c r="K787" s="209">
        <v>13.188000000000001</v>
      </c>
      <c r="L787" s="209">
        <v>9.3040000000000003</v>
      </c>
      <c r="M787" s="208"/>
      <c r="N787" s="221"/>
    </row>
    <row r="788" spans="1:14" ht="16.5" customHeight="1" x14ac:dyDescent="0.25">
      <c r="A788" s="203">
        <v>44841</v>
      </c>
      <c r="B788" s="128" t="s">
        <v>30</v>
      </c>
      <c r="C788" s="157" t="str">
        <f t="shared" si="25"/>
        <v>07.10.2022_FAL1</v>
      </c>
      <c r="D788" s="190">
        <f t="shared" si="26"/>
        <v>0</v>
      </c>
      <c r="E788" s="204">
        <v>3.4178185646283415E-2</v>
      </c>
      <c r="F788" s="205">
        <v>6.0700371191934971E-2</v>
      </c>
      <c r="G788" s="204">
        <v>0.11236447976410942</v>
      </c>
      <c r="H788" s="204">
        <v>0.11925233644859815</v>
      </c>
      <c r="I788" s="209">
        <v>12</v>
      </c>
      <c r="J788" s="207">
        <v>2.8339962687238085</v>
      </c>
      <c r="K788" s="209">
        <v>40</v>
      </c>
      <c r="L788" s="209">
        <v>37</v>
      </c>
      <c r="M788" s="208"/>
      <c r="N788" s="221"/>
    </row>
    <row r="789" spans="1:14" ht="16.5" customHeight="1" x14ac:dyDescent="0.25">
      <c r="A789" s="203">
        <v>44841</v>
      </c>
      <c r="B789" s="128" t="s">
        <v>32</v>
      </c>
      <c r="C789" s="157" t="str">
        <f t="shared" si="25"/>
        <v>07.10.2022_FAL2</v>
      </c>
      <c r="D789" s="190">
        <f t="shared" si="26"/>
        <v>0</v>
      </c>
      <c r="E789" s="204">
        <v>4.8251556206517762E-2</v>
      </c>
      <c r="F789" s="205">
        <v>9.8402496622003607E-2</v>
      </c>
      <c r="G789" s="204">
        <v>7.4909653176072927E-2</v>
      </c>
      <c r="H789" s="204">
        <v>4.8924035466091552E-2</v>
      </c>
      <c r="I789" s="209">
        <v>10.212999999999999</v>
      </c>
      <c r="J789" s="207">
        <v>2.3798718291923397</v>
      </c>
      <c r="K789" s="209">
        <v>40</v>
      </c>
      <c r="L789" s="209">
        <v>33</v>
      </c>
      <c r="M789" s="208"/>
      <c r="N789" s="221"/>
    </row>
    <row r="790" spans="1:14" ht="16.5" customHeight="1" x14ac:dyDescent="0.25">
      <c r="A790" s="203">
        <v>44841</v>
      </c>
      <c r="B790" s="128" t="s">
        <v>26</v>
      </c>
      <c r="C790" s="157" t="str">
        <f t="shared" si="25"/>
        <v>07.10.2022_GRU1</v>
      </c>
      <c r="D790" s="190">
        <f t="shared" si="26"/>
        <v>0</v>
      </c>
      <c r="E790" s="204">
        <v>0</v>
      </c>
      <c r="F790" s="205">
        <v>3.0673701267588786E-2</v>
      </c>
      <c r="G790" s="204">
        <v>2.6530502166525832E-2</v>
      </c>
      <c r="H790" s="204">
        <v>1.5288761083153609E-2</v>
      </c>
      <c r="I790" s="209">
        <v>11.096</v>
      </c>
      <c r="J790" s="207">
        <v>2.5315088529390519</v>
      </c>
      <c r="K790" s="209">
        <v>8.4649999999999999</v>
      </c>
      <c r="L790" s="209">
        <v>18.07</v>
      </c>
      <c r="M790" s="208"/>
      <c r="N790" s="221"/>
    </row>
    <row r="791" spans="1:14" ht="16.5" customHeight="1" x14ac:dyDescent="0.25">
      <c r="A791" s="203">
        <v>44841</v>
      </c>
      <c r="B791" s="128" t="s">
        <v>28</v>
      </c>
      <c r="C791" s="157" t="str">
        <f t="shared" si="25"/>
        <v>07.10.2022_GRU2</v>
      </c>
      <c r="D791" s="190">
        <f t="shared" si="26"/>
        <v>0</v>
      </c>
      <c r="E791" s="204">
        <v>0</v>
      </c>
      <c r="F791" s="205">
        <v>2.7890258814237925E-2</v>
      </c>
      <c r="G791" s="204">
        <v>4.6818533235045518E-3</v>
      </c>
      <c r="H791" s="204">
        <v>1.987538940809969E-2</v>
      </c>
      <c r="I791" s="209">
        <v>10.047000000000001</v>
      </c>
      <c r="J791" s="207">
        <v>2.279002364592464</v>
      </c>
      <c r="K791" s="209">
        <v>9.0579999999999998</v>
      </c>
      <c r="L791" s="209">
        <v>16.986000000000001</v>
      </c>
      <c r="M791" s="208"/>
      <c r="N791" s="221"/>
    </row>
    <row r="792" spans="1:14" ht="16.5" customHeight="1" x14ac:dyDescent="0.25">
      <c r="A792" s="203">
        <v>44841</v>
      </c>
      <c r="B792" s="128" t="s">
        <v>0</v>
      </c>
      <c r="C792" s="157" t="str">
        <f t="shared" si="25"/>
        <v>07.10.2022_KIN1</v>
      </c>
      <c r="D792" s="190">
        <f t="shared" si="26"/>
        <v>0</v>
      </c>
      <c r="E792" s="204">
        <v>0</v>
      </c>
      <c r="F792" s="205">
        <v>4.6959415020225471E-2</v>
      </c>
      <c r="G792" s="204">
        <v>4.5257915460544071E-2</v>
      </c>
      <c r="H792" s="204">
        <v>1.5288761083153609E-2</v>
      </c>
      <c r="I792" s="209">
        <v>15.733000000000001</v>
      </c>
      <c r="J792" s="207">
        <v>3.5934096920877243</v>
      </c>
      <c r="K792" s="209">
        <v>14.285</v>
      </c>
      <c r="L792" s="209">
        <v>16.233000000000001</v>
      </c>
      <c r="M792" s="208"/>
      <c r="N792" s="221"/>
    </row>
    <row r="793" spans="1:14" ht="16.5" customHeight="1" x14ac:dyDescent="0.25">
      <c r="A793" s="203">
        <v>44841</v>
      </c>
      <c r="B793" s="128" t="s">
        <v>2</v>
      </c>
      <c r="C793" s="157" t="str">
        <f t="shared" si="25"/>
        <v>07.10.2022_KIN2</v>
      </c>
      <c r="D793" s="190">
        <f t="shared" si="26"/>
        <v>0</v>
      </c>
      <c r="E793" s="204">
        <v>0</v>
      </c>
      <c r="F793" s="205">
        <v>3.7098707092556096E-2</v>
      </c>
      <c r="G793" s="204">
        <v>0</v>
      </c>
      <c r="H793" s="204">
        <v>1.0702132758207528E-2</v>
      </c>
      <c r="I793" s="209">
        <v>13.59</v>
      </c>
      <c r="J793" s="207">
        <v>3.0679843479353455</v>
      </c>
      <c r="K793" s="209">
        <v>15.327</v>
      </c>
      <c r="L793" s="209">
        <v>17.859000000000002</v>
      </c>
      <c r="M793" s="208"/>
      <c r="N793" s="221"/>
    </row>
    <row r="794" spans="1:14" ht="16.5" customHeight="1" x14ac:dyDescent="0.25">
      <c r="A794" s="203">
        <v>44841</v>
      </c>
      <c r="B794" s="128" t="s">
        <v>4</v>
      </c>
      <c r="C794" s="157" t="str">
        <f t="shared" si="25"/>
        <v>07.10.2022_KIN3</v>
      </c>
      <c r="D794" s="190">
        <f t="shared" si="26"/>
        <v>0</v>
      </c>
      <c r="E794" s="204">
        <v>0</v>
      </c>
      <c r="F794" s="205">
        <v>3.4725410803332905E-2</v>
      </c>
      <c r="G794" s="204">
        <v>3.4333591039033426E-2</v>
      </c>
      <c r="H794" s="204">
        <v>1.0702132758207528E-2</v>
      </c>
      <c r="I794" s="209">
        <v>11.105</v>
      </c>
      <c r="J794" s="207">
        <v>2.5382043044241356</v>
      </c>
      <c r="K794" s="209">
        <v>16.925999999999998</v>
      </c>
      <c r="L794" s="209">
        <v>20.922000000000001</v>
      </c>
      <c r="M794" s="208"/>
      <c r="N794" s="221"/>
    </row>
    <row r="795" spans="1:14" ht="16.5" customHeight="1" x14ac:dyDescent="0.25">
      <c r="A795" s="203">
        <v>44841</v>
      </c>
      <c r="B795" s="128" t="s">
        <v>6</v>
      </c>
      <c r="C795" s="157" t="str">
        <f t="shared" si="25"/>
        <v>07.10.2022_KIN4</v>
      </c>
      <c r="D795" s="190">
        <f t="shared" si="26"/>
        <v>0</v>
      </c>
      <c r="E795" s="204">
        <v>0</v>
      </c>
      <c r="F795" s="205">
        <v>4.0459837961565097E-2</v>
      </c>
      <c r="G795" s="204">
        <v>3.9015444362537989E-2</v>
      </c>
      <c r="H795" s="204">
        <v>1.987538940809969E-2</v>
      </c>
      <c r="I795" s="209">
        <v>10.941000000000001</v>
      </c>
      <c r="J795" s="207">
        <v>2.5075898346983632</v>
      </c>
      <c r="K795" s="209">
        <v>24.32</v>
      </c>
      <c r="L795" s="209">
        <v>21.306999999999999</v>
      </c>
      <c r="M795" s="208"/>
      <c r="N795" s="221"/>
    </row>
    <row r="796" spans="1:14" ht="16.5" customHeight="1" x14ac:dyDescent="0.25">
      <c r="A796" s="203">
        <v>44841</v>
      </c>
      <c r="B796" s="128" t="s">
        <v>34</v>
      </c>
      <c r="C796" s="157" t="str">
        <f t="shared" si="25"/>
        <v>07.10.2022_KRE1</v>
      </c>
      <c r="D796" s="190">
        <f t="shared" si="26"/>
        <v>0</v>
      </c>
      <c r="E796" s="204">
        <v>0</v>
      </c>
      <c r="F796" s="205">
        <v>6.3665442547361839E-2</v>
      </c>
      <c r="G796" s="204">
        <v>8.739459537208509E-2</v>
      </c>
      <c r="H796" s="204">
        <v>0.14830098250659002</v>
      </c>
      <c r="I796" s="209">
        <v>10.021000000000001</v>
      </c>
      <c r="J796" s="207">
        <v>2.3764545334846017</v>
      </c>
      <c r="K796" s="209">
        <v>43</v>
      </c>
      <c r="L796" s="209">
        <v>39</v>
      </c>
      <c r="M796" s="208"/>
      <c r="N796" s="221"/>
    </row>
    <row r="797" spans="1:14" ht="16.5" customHeight="1" x14ac:dyDescent="0.25">
      <c r="A797" s="203">
        <v>44841</v>
      </c>
      <c r="B797" s="128" t="s">
        <v>37</v>
      </c>
      <c r="C797" s="157" t="str">
        <f t="shared" si="25"/>
        <v>07.10.2022_KRE2</v>
      </c>
      <c r="D797" s="190">
        <f t="shared" si="26"/>
        <v>0</v>
      </c>
      <c r="E797" s="204">
        <v>6.0314445258147185E-3</v>
      </c>
      <c r="F797" s="205">
        <v>8.441416362843529E-2</v>
      </c>
      <c r="G797" s="204">
        <v>0.17010733742066561</v>
      </c>
      <c r="H797" s="204">
        <v>0.11772346034028279</v>
      </c>
      <c r="I797" s="209">
        <v>10.234</v>
      </c>
      <c r="J797" s="207">
        <v>2.4794811339343714</v>
      </c>
      <c r="K797" s="209">
        <v>40</v>
      </c>
      <c r="L797" s="209">
        <v>39</v>
      </c>
      <c r="M797" s="208"/>
      <c r="N797" s="221"/>
    </row>
    <row r="798" spans="1:14" ht="16.5" customHeight="1" x14ac:dyDescent="0.25">
      <c r="A798" s="203">
        <v>44841</v>
      </c>
      <c r="B798" s="128" t="s">
        <v>18</v>
      </c>
      <c r="C798" s="157" t="str">
        <f t="shared" si="25"/>
        <v>07.10.2022_ORB1</v>
      </c>
      <c r="D798" s="190">
        <f t="shared" si="26"/>
        <v>0</v>
      </c>
      <c r="E798" s="204">
        <v>0</v>
      </c>
      <c r="F798" s="205">
        <v>4.039287273097978E-2</v>
      </c>
      <c r="G798" s="204">
        <v>0</v>
      </c>
      <c r="H798" s="204">
        <v>2.9048646057991862E-2</v>
      </c>
      <c r="I798" s="209">
        <v>6.3650000000000002</v>
      </c>
      <c r="J798" s="207">
        <v>1.4380237816222969</v>
      </c>
      <c r="K798" s="209">
        <v>10.638</v>
      </c>
      <c r="L798" s="209">
        <v>14.256</v>
      </c>
      <c r="M798" s="208"/>
      <c r="N798" s="221"/>
    </row>
    <row r="799" spans="1:14" ht="16.5" customHeight="1" x14ac:dyDescent="0.25">
      <c r="A799" s="203">
        <v>44841</v>
      </c>
      <c r="B799" s="128" t="s">
        <v>21</v>
      </c>
      <c r="C799" s="157" t="str">
        <f t="shared" si="25"/>
        <v>07.10.2022_ORB2</v>
      </c>
      <c r="D799" s="190">
        <f t="shared" si="26"/>
        <v>0</v>
      </c>
      <c r="E799" s="204">
        <v>0</v>
      </c>
      <c r="F799" s="205">
        <v>3.9519531048867039E-2</v>
      </c>
      <c r="G799" s="204">
        <v>4.0576062137039508E-2</v>
      </c>
      <c r="H799" s="204">
        <v>2.9048646057991862E-2</v>
      </c>
      <c r="I799" s="209">
        <v>6.7779999999999996</v>
      </c>
      <c r="J799" s="207">
        <v>1.5712976267811454</v>
      </c>
      <c r="K799" s="209">
        <v>25.032</v>
      </c>
      <c r="L799" s="209">
        <v>18.984000000000002</v>
      </c>
      <c r="M799" s="208"/>
      <c r="N799" s="221"/>
    </row>
    <row r="800" spans="1:14" ht="16.5" customHeight="1" x14ac:dyDescent="0.25">
      <c r="A800" s="203">
        <v>44841</v>
      </c>
      <c r="B800" s="128" t="s">
        <v>10</v>
      </c>
      <c r="C800" s="157" t="str">
        <f t="shared" si="25"/>
        <v>07.10.2022_SAL1</v>
      </c>
      <c r="D800" s="190">
        <f t="shared" si="26"/>
        <v>0</v>
      </c>
      <c r="E800" s="204">
        <v>1.4073370560234345E-2</v>
      </c>
      <c r="F800" s="205">
        <v>8.8055604393208309E-2</v>
      </c>
      <c r="G800" s="204">
        <v>0</v>
      </c>
      <c r="H800" s="204">
        <v>1.5288761083153609E-2</v>
      </c>
      <c r="I800" s="209">
        <v>10.731999999999999</v>
      </c>
      <c r="J800" s="207">
        <v>2.4177852664502621</v>
      </c>
      <c r="K800" s="209">
        <v>11.247999999999999</v>
      </c>
      <c r="L800" s="209">
        <v>10.832000000000001</v>
      </c>
      <c r="M800" s="208"/>
      <c r="N800" s="221"/>
    </row>
    <row r="801" spans="1:14" ht="16.5" customHeight="1" x14ac:dyDescent="0.25">
      <c r="A801" s="203">
        <v>44841</v>
      </c>
      <c r="B801" s="128" t="s">
        <v>12</v>
      </c>
      <c r="C801" s="157" t="str">
        <f t="shared" si="25"/>
        <v>07.10.2022_SAL2</v>
      </c>
      <c r="D801" s="190">
        <f t="shared" si="26"/>
        <v>0</v>
      </c>
      <c r="E801" s="204">
        <v>4.0209630172098132E-3</v>
      </c>
      <c r="F801" s="205">
        <v>7.9249862670911872E-2</v>
      </c>
      <c r="G801" s="204">
        <v>0</v>
      </c>
      <c r="H801" s="204">
        <v>2.2933141624730414E-2</v>
      </c>
      <c r="I801" s="209">
        <v>10.042999999999999</v>
      </c>
      <c r="J801" s="207">
        <v>2.2693353844890356</v>
      </c>
      <c r="K801" s="209">
        <v>12.26</v>
      </c>
      <c r="L801" s="209">
        <v>11.558999999999999</v>
      </c>
      <c r="M801" s="208"/>
      <c r="N801" s="221"/>
    </row>
    <row r="802" spans="1:14" ht="16.5" customHeight="1" x14ac:dyDescent="0.25">
      <c r="A802" s="203">
        <v>44841</v>
      </c>
      <c r="B802" s="128" t="s">
        <v>7</v>
      </c>
      <c r="C802" s="157" t="str">
        <f t="shared" si="25"/>
        <v>07.10.2022_STE1</v>
      </c>
      <c r="D802" s="190">
        <f t="shared" si="26"/>
        <v>0</v>
      </c>
      <c r="E802" s="204">
        <v>6.0314445258147185E-3</v>
      </c>
      <c r="F802" s="205">
        <v>7.9444715596813653E-2</v>
      </c>
      <c r="G802" s="204">
        <v>1.5606177745015209E-3</v>
      </c>
      <c r="H802" s="204">
        <v>1.5288761083153609E-2</v>
      </c>
      <c r="I802" s="209">
        <v>12.699</v>
      </c>
      <c r="J802" s="207">
        <v>2.8741895974074887</v>
      </c>
      <c r="K802" s="209">
        <v>14.528</v>
      </c>
      <c r="L802" s="209">
        <v>12.398999999999999</v>
      </c>
      <c r="M802" s="208"/>
      <c r="N802" s="221"/>
    </row>
    <row r="803" spans="1:14" ht="16.5" customHeight="1" x14ac:dyDescent="0.25">
      <c r="A803" s="203">
        <v>44841</v>
      </c>
      <c r="B803" s="128" t="s">
        <v>9</v>
      </c>
      <c r="C803" s="157" t="str">
        <f t="shared" si="25"/>
        <v>07.10.2022_STE2</v>
      </c>
      <c r="D803" s="190">
        <f t="shared" si="26"/>
        <v>0</v>
      </c>
      <c r="E803" s="204">
        <v>0</v>
      </c>
      <c r="F803" s="205">
        <v>7.2819238825226507E-2</v>
      </c>
      <c r="G803" s="204">
        <v>0</v>
      </c>
      <c r="H803" s="204">
        <v>1.3759884974838247E-2</v>
      </c>
      <c r="I803" s="209">
        <v>12.289</v>
      </c>
      <c r="J803" s="207">
        <v>2.7762702146934211</v>
      </c>
      <c r="K803" s="209">
        <v>15.175000000000001</v>
      </c>
      <c r="L803" s="209">
        <v>12.768000000000001</v>
      </c>
      <c r="M803" s="208"/>
      <c r="N803" s="221"/>
    </row>
    <row r="804" spans="1:14" ht="16.5" customHeight="1" x14ac:dyDescent="0.25">
      <c r="A804" s="203">
        <v>44853</v>
      </c>
      <c r="B804" s="128" t="s">
        <v>22</v>
      </c>
      <c r="C804" s="157" t="str">
        <f t="shared" si="25"/>
        <v>19.10.2022_BIE1</v>
      </c>
      <c r="D804" s="190">
        <f t="shared" si="26"/>
        <v>0</v>
      </c>
      <c r="E804" s="204">
        <v>3.843966045331233E-3</v>
      </c>
      <c r="F804" s="205">
        <v>1.900719401122837E-2</v>
      </c>
      <c r="G804" s="204">
        <v>2.1297253719833858E-2</v>
      </c>
      <c r="H804" s="204">
        <v>0.03</v>
      </c>
      <c r="I804" s="209">
        <v>2.5409999999999999</v>
      </c>
      <c r="J804" s="207">
        <v>0.59960627454091375</v>
      </c>
      <c r="K804" s="209">
        <v>8.9090000000000007</v>
      </c>
      <c r="L804" s="209">
        <v>15.247999999999999</v>
      </c>
      <c r="M804" s="208"/>
      <c r="N804" s="221"/>
    </row>
    <row r="805" spans="1:14" ht="16.5" customHeight="1" x14ac:dyDescent="0.25">
      <c r="A805" s="203">
        <v>44853</v>
      </c>
      <c r="B805" s="128" t="s">
        <v>25</v>
      </c>
      <c r="C805" s="157" t="str">
        <f t="shared" si="25"/>
        <v>19.10.2022_BIE2</v>
      </c>
      <c r="D805" s="190">
        <f t="shared" si="26"/>
        <v>0</v>
      </c>
      <c r="E805" s="204">
        <v>1.1531898135993699E-2</v>
      </c>
      <c r="F805" s="205">
        <v>1.665696961783376E-2</v>
      </c>
      <c r="G805" s="204">
        <v>1.5212324085595606E-2</v>
      </c>
      <c r="H805" s="204">
        <v>2.3E-2</v>
      </c>
      <c r="I805" s="209">
        <v>2.2170000000000001</v>
      </c>
      <c r="J805" s="207">
        <v>0.51956835752922415</v>
      </c>
      <c r="K805" s="209">
        <v>9.8650000000000002</v>
      </c>
      <c r="L805" s="209">
        <v>15.178000000000001</v>
      </c>
      <c r="M805" s="208"/>
      <c r="N805" s="221"/>
    </row>
    <row r="806" spans="1:14" ht="16.5" customHeight="1" x14ac:dyDescent="0.25">
      <c r="A806" s="203">
        <v>44853</v>
      </c>
      <c r="B806" s="128" t="s">
        <v>14</v>
      </c>
      <c r="C806" s="157" t="str">
        <f t="shared" si="25"/>
        <v>19.10.2022_BRA1</v>
      </c>
      <c r="D806" s="190">
        <f t="shared" si="26"/>
        <v>0</v>
      </c>
      <c r="E806" s="204">
        <v>3.2673711385315482E-2</v>
      </c>
      <c r="F806" s="205">
        <v>4.312398493180758E-2</v>
      </c>
      <c r="G806" s="204">
        <v>2.4339718536952982E-2</v>
      </c>
      <c r="H806" s="204">
        <v>5.5E-2</v>
      </c>
      <c r="I806" s="209">
        <v>8.2880000000000003</v>
      </c>
      <c r="J806" s="207">
        <v>1.9076548580467585</v>
      </c>
      <c r="K806" s="209">
        <v>10.535</v>
      </c>
      <c r="L806" s="209">
        <v>7.0739999999999998</v>
      </c>
      <c r="M806" s="208"/>
      <c r="N806" s="221"/>
    </row>
    <row r="807" spans="1:14" ht="16.5" customHeight="1" x14ac:dyDescent="0.25">
      <c r="A807" s="203">
        <v>44853</v>
      </c>
      <c r="B807" s="128" t="s">
        <v>17</v>
      </c>
      <c r="C807" s="157" t="str">
        <f t="shared" si="25"/>
        <v>19.10.2022_BRA2</v>
      </c>
      <c r="D807" s="190">
        <f t="shared" si="26"/>
        <v>0</v>
      </c>
      <c r="E807" s="204">
        <v>6.1503456725299728E-2</v>
      </c>
      <c r="F807" s="205">
        <v>7.1794455680817867E-2</v>
      </c>
      <c r="G807" s="204">
        <v>3.803081021398904E-2</v>
      </c>
      <c r="H807" s="204">
        <v>3.3374244712990941E-2</v>
      </c>
      <c r="I807" s="209">
        <v>8.7550000000000008</v>
      </c>
      <c r="J807" s="207">
        <v>2.0171831826259305</v>
      </c>
      <c r="K807" s="209">
        <v>13.574999999999999</v>
      </c>
      <c r="L807" s="209">
        <v>7.9710000000000001</v>
      </c>
      <c r="M807" s="208"/>
      <c r="N807" s="221"/>
    </row>
    <row r="808" spans="1:14" ht="16.5" customHeight="1" x14ac:dyDescent="0.25">
      <c r="A808" s="203">
        <v>44853</v>
      </c>
      <c r="B808" s="128" t="s">
        <v>30</v>
      </c>
      <c r="C808" s="157" t="str">
        <f t="shared" si="25"/>
        <v>19.10.2022_FAL1</v>
      </c>
      <c r="D808" s="190">
        <f t="shared" si="26"/>
        <v>0</v>
      </c>
      <c r="E808" s="204">
        <v>5.9581473702634113E-2</v>
      </c>
      <c r="F808" s="205">
        <v>9.3395902953632884E-2</v>
      </c>
      <c r="G808" s="204">
        <v>1.8072241013687591</v>
      </c>
      <c r="H808" s="204">
        <v>0.31705532477341386</v>
      </c>
      <c r="I808" s="209">
        <v>8.6110000000000007</v>
      </c>
      <c r="J808" s="207">
        <v>3.4447855060990937</v>
      </c>
      <c r="K808" s="209">
        <v>72</v>
      </c>
      <c r="L808" s="209">
        <v>35</v>
      </c>
      <c r="M808" s="208"/>
      <c r="N808" s="221"/>
    </row>
    <row r="809" spans="1:14" ht="16.5" customHeight="1" x14ac:dyDescent="0.25">
      <c r="A809" s="203">
        <v>44853</v>
      </c>
      <c r="B809" s="128" t="s">
        <v>32</v>
      </c>
      <c r="C809" s="157" t="str">
        <f t="shared" si="25"/>
        <v>19.10.2022_FAL2</v>
      </c>
      <c r="D809" s="190">
        <f t="shared" si="26"/>
        <v>0</v>
      </c>
      <c r="E809" s="204">
        <v>7.3035354861293422E-2</v>
      </c>
      <c r="F809" s="205">
        <v>8.9384651026304329E-2</v>
      </c>
      <c r="G809" s="204">
        <v>8.6710247287895004E-2</v>
      </c>
      <c r="H809" s="204">
        <v>6.0073640483383671E-2</v>
      </c>
      <c r="I809" s="209">
        <v>7.64</v>
      </c>
      <c r="J809" s="207">
        <v>1.8112658597617437</v>
      </c>
      <c r="K809" s="209">
        <v>42</v>
      </c>
      <c r="L809" s="209">
        <v>28.216999999999999</v>
      </c>
      <c r="M809" s="208"/>
      <c r="N809" s="221"/>
    </row>
    <row r="810" spans="1:14" ht="16.5" customHeight="1" x14ac:dyDescent="0.25">
      <c r="A810" s="203">
        <v>44853</v>
      </c>
      <c r="B810" s="128" t="s">
        <v>26</v>
      </c>
      <c r="C810" s="157" t="str">
        <f t="shared" si="25"/>
        <v>19.10.2022_GRU1</v>
      </c>
      <c r="D810" s="190">
        <f t="shared" si="26"/>
        <v>0</v>
      </c>
      <c r="E810" s="204">
        <v>1.9219830226656166E-2</v>
      </c>
      <c r="F810" s="205">
        <v>3.7169794141014914E-2</v>
      </c>
      <c r="G810" s="204">
        <v>2.5860950945512547E-2</v>
      </c>
      <c r="H810" s="204">
        <v>1.0012273413897283E-2</v>
      </c>
      <c r="I810" s="209">
        <v>3.9420000000000002</v>
      </c>
      <c r="J810" s="207">
        <v>0.91350854644054202</v>
      </c>
      <c r="K810" s="209">
        <v>9.1460000000000008</v>
      </c>
      <c r="L810" s="209">
        <v>18.681999999999999</v>
      </c>
      <c r="M810" s="208"/>
      <c r="N810" s="221"/>
    </row>
    <row r="811" spans="1:14" ht="16.5" customHeight="1" x14ac:dyDescent="0.25">
      <c r="A811" s="203">
        <v>44853</v>
      </c>
      <c r="B811" s="128" t="s">
        <v>28</v>
      </c>
      <c r="C811" s="157" t="str">
        <f t="shared" si="25"/>
        <v>19.10.2022_GRU2</v>
      </c>
      <c r="D811" s="190">
        <f t="shared" si="26"/>
        <v>0</v>
      </c>
      <c r="E811" s="204">
        <v>1.3453881158659317E-2</v>
      </c>
      <c r="F811" s="205">
        <v>2.4631563914948071E-2</v>
      </c>
      <c r="G811" s="204">
        <v>3.0424648171191223E-2</v>
      </c>
      <c r="H811" s="204">
        <v>1.3349697885196373E-2</v>
      </c>
      <c r="I811" s="209">
        <v>3.64</v>
      </c>
      <c r="J811" s="207">
        <v>0.84985555057959628</v>
      </c>
      <c r="K811" s="209">
        <v>10.372</v>
      </c>
      <c r="L811" s="209">
        <v>15.826000000000001</v>
      </c>
      <c r="M811" s="208"/>
      <c r="N811" s="221"/>
    </row>
    <row r="812" spans="1:14" ht="16.5" customHeight="1" x14ac:dyDescent="0.25">
      <c r="A812" s="203">
        <v>44853</v>
      </c>
      <c r="B812" s="128" t="s">
        <v>0</v>
      </c>
      <c r="C812" s="157" t="str">
        <f t="shared" si="25"/>
        <v>19.10.2022_KIN1</v>
      </c>
      <c r="D812" s="190">
        <f t="shared" si="26"/>
        <v>0</v>
      </c>
      <c r="E812" s="204">
        <v>1.3453881158659317E-2</v>
      </c>
      <c r="F812" s="205">
        <v>2.5398998017348674E-2</v>
      </c>
      <c r="G812" s="204">
        <v>2.4339718536952982E-2</v>
      </c>
      <c r="H812" s="204">
        <v>1.6687122356495482E-3</v>
      </c>
      <c r="I812" s="209">
        <v>2.5830000000000002</v>
      </c>
      <c r="J812" s="207">
        <v>0.60282979748690224</v>
      </c>
      <c r="K812" s="209">
        <v>12.047000000000001</v>
      </c>
      <c r="L812" s="209">
        <v>15.058</v>
      </c>
      <c r="M812" s="208"/>
      <c r="N812" s="221"/>
    </row>
    <row r="813" spans="1:14" ht="16.5" customHeight="1" x14ac:dyDescent="0.25">
      <c r="A813" s="203">
        <v>44853</v>
      </c>
      <c r="B813" s="128" t="s">
        <v>2</v>
      </c>
      <c r="C813" s="157" t="str">
        <f t="shared" si="25"/>
        <v>19.10.2022_KIN2</v>
      </c>
      <c r="D813" s="190">
        <f t="shared" si="26"/>
        <v>0</v>
      </c>
      <c r="E813" s="204">
        <v>1.3453881158659317E-2</v>
      </c>
      <c r="F813" s="205">
        <v>3.0740512766572674E-2</v>
      </c>
      <c r="G813" s="204">
        <v>1.9776021311274296E-2</v>
      </c>
      <c r="H813" s="204">
        <v>8.3435611782477354E-3</v>
      </c>
      <c r="I813" s="209">
        <v>5.3929999999999998</v>
      </c>
      <c r="J813" s="207">
        <v>1.2360129899887087</v>
      </c>
      <c r="K813" s="209">
        <v>14.311999999999999</v>
      </c>
      <c r="L813" s="209">
        <v>17.184000000000001</v>
      </c>
      <c r="M813" s="208"/>
      <c r="N813" s="221"/>
    </row>
    <row r="814" spans="1:14" ht="16.5" customHeight="1" x14ac:dyDescent="0.25">
      <c r="A814" s="203">
        <v>44853</v>
      </c>
      <c r="B814" s="128" t="s">
        <v>4</v>
      </c>
      <c r="C814" s="157" t="str">
        <f t="shared" si="25"/>
        <v>19.10.2022_KIN3</v>
      </c>
      <c r="D814" s="190">
        <f t="shared" si="26"/>
        <v>0</v>
      </c>
      <c r="E814" s="204">
        <v>1.1531898135993699E-2</v>
      </c>
      <c r="F814" s="205">
        <v>8.5311895956199174E-2</v>
      </c>
      <c r="G814" s="204">
        <v>5.1721901891025081E-2</v>
      </c>
      <c r="H814" s="204">
        <v>1.0012273413897283E-2</v>
      </c>
      <c r="I814" s="209">
        <v>4.4960000000000004</v>
      </c>
      <c r="J814" s="207">
        <v>1.058721296240223</v>
      </c>
      <c r="K814" s="209">
        <v>17.559000000000001</v>
      </c>
      <c r="L814" s="209">
        <v>19.841000000000001</v>
      </c>
      <c r="M814" s="208"/>
      <c r="N814" s="221"/>
    </row>
    <row r="815" spans="1:14" ht="16.5" customHeight="1" x14ac:dyDescent="0.25">
      <c r="A815" s="203">
        <v>44853</v>
      </c>
      <c r="B815" s="128" t="s">
        <v>6</v>
      </c>
      <c r="C815" s="157" t="str">
        <f t="shared" si="25"/>
        <v>19.10.2022_KIN4</v>
      </c>
      <c r="D815" s="190">
        <f t="shared" si="26"/>
        <v>0</v>
      </c>
      <c r="E815" s="204">
        <v>1.3453881158659317E-2</v>
      </c>
      <c r="F815" s="205">
        <v>3.9912904469290543E-2</v>
      </c>
      <c r="G815" s="204">
        <v>3.9552042622548599E-2</v>
      </c>
      <c r="H815" s="204">
        <v>8.3435611782477354E-3</v>
      </c>
      <c r="I815" s="209">
        <v>4.516</v>
      </c>
      <c r="J815" s="207">
        <v>1.0532808827767002</v>
      </c>
      <c r="K815" s="209">
        <v>25.899000000000001</v>
      </c>
      <c r="L815" s="209">
        <v>20.25</v>
      </c>
      <c r="M815" s="208"/>
      <c r="N815" s="221"/>
    </row>
    <row r="816" spans="1:14" ht="16.5" customHeight="1" x14ac:dyDescent="0.25">
      <c r="A816" s="203">
        <v>44853</v>
      </c>
      <c r="B816" s="128" t="s">
        <v>34</v>
      </c>
      <c r="C816" s="157" t="str">
        <f t="shared" si="25"/>
        <v>19.10.2022_KRE1</v>
      </c>
      <c r="D816" s="190">
        <f t="shared" si="26"/>
        <v>0</v>
      </c>
      <c r="E816" s="204">
        <v>5.5737507657302877E-2</v>
      </c>
      <c r="F816" s="205">
        <v>8.3213426431820725E-2</v>
      </c>
      <c r="G816" s="204">
        <v>0.11257119823340755</v>
      </c>
      <c r="H816" s="204">
        <v>0.14684667673716009</v>
      </c>
      <c r="I816" s="209">
        <v>8.3970000000000002</v>
      </c>
      <c r="J816" s="207">
        <v>2.0287482704488871</v>
      </c>
      <c r="K816" s="209">
        <v>55</v>
      </c>
      <c r="L816" s="209">
        <v>34</v>
      </c>
      <c r="M816" s="208"/>
      <c r="N816" s="221"/>
    </row>
    <row r="817" spans="1:14" ht="16.5" customHeight="1" x14ac:dyDescent="0.25">
      <c r="A817" s="203">
        <v>44853</v>
      </c>
      <c r="B817" s="128" t="s">
        <v>37</v>
      </c>
      <c r="C817" s="157" t="str">
        <f t="shared" si="25"/>
        <v>19.10.2022_KRE2</v>
      </c>
      <c r="D817" s="190">
        <f t="shared" si="26"/>
        <v>0</v>
      </c>
      <c r="E817" s="204">
        <v>4.6127592543974798E-2</v>
      </c>
      <c r="F817" s="205">
        <v>8.7860402940473772E-2</v>
      </c>
      <c r="G817" s="204">
        <v>9.5837641739252369E-2</v>
      </c>
      <c r="H817" s="204">
        <v>0.14017182779456192</v>
      </c>
      <c r="I817" s="209">
        <v>11.462999999999999</v>
      </c>
      <c r="J817" s="207">
        <v>2.7062400934061661</v>
      </c>
      <c r="K817" s="209">
        <v>62</v>
      </c>
      <c r="L817" s="209">
        <v>44</v>
      </c>
      <c r="M817" s="208"/>
      <c r="N817" s="221"/>
    </row>
    <row r="818" spans="1:14" ht="16.5" customHeight="1" x14ac:dyDescent="0.25">
      <c r="A818" s="203">
        <v>44853</v>
      </c>
      <c r="B818" s="128" t="s">
        <v>18</v>
      </c>
      <c r="C818" s="157" t="str">
        <f t="shared" si="25"/>
        <v>19.10.2022_ORB1</v>
      </c>
      <c r="D818" s="190">
        <f t="shared" si="26"/>
        <v>0</v>
      </c>
      <c r="E818" s="204">
        <v>4.036164347597794E-2</v>
      </c>
      <c r="F818" s="205">
        <v>5.124482198398065E-2</v>
      </c>
      <c r="G818" s="204">
        <v>5.4764366708144205E-2</v>
      </c>
      <c r="H818" s="204">
        <v>2.3361971299093655E-2</v>
      </c>
      <c r="I818" s="209">
        <v>4.8179999999999996</v>
      </c>
      <c r="J818" s="207">
        <v>1.1378781952672157</v>
      </c>
      <c r="K818" s="209">
        <v>9.5730000000000004</v>
      </c>
      <c r="L818" s="209">
        <v>11.356</v>
      </c>
      <c r="M818" s="208"/>
      <c r="N818" s="221"/>
    </row>
    <row r="819" spans="1:14" ht="16.5" customHeight="1" x14ac:dyDescent="0.25">
      <c r="A819" s="203">
        <v>44853</v>
      </c>
      <c r="B819" s="128" t="s">
        <v>21</v>
      </c>
      <c r="C819" s="157" t="str">
        <f t="shared" si="25"/>
        <v>19.10.2022_ORB2</v>
      </c>
      <c r="D819" s="190">
        <f t="shared" si="26"/>
        <v>0</v>
      </c>
      <c r="E819" s="204">
        <v>5.1893541611971641E-2</v>
      </c>
      <c r="F819" s="205">
        <v>6.5900331414270152E-2</v>
      </c>
      <c r="G819" s="204">
        <v>3.803081021398904E-2</v>
      </c>
      <c r="H819" s="204">
        <v>3.3374244712990941E-2</v>
      </c>
      <c r="I819" s="209">
        <v>4.194</v>
      </c>
      <c r="J819" s="207">
        <v>0.98699011262593028</v>
      </c>
      <c r="K819" s="209">
        <v>14.778</v>
      </c>
      <c r="L819" s="209">
        <v>11.528</v>
      </c>
      <c r="M819" s="208"/>
      <c r="N819" s="221"/>
    </row>
    <row r="820" spans="1:14" ht="16.5" customHeight="1" x14ac:dyDescent="0.25">
      <c r="A820" s="203">
        <v>44853</v>
      </c>
      <c r="B820" s="128" t="s">
        <v>10</v>
      </c>
      <c r="C820" s="157" t="str">
        <f t="shared" si="25"/>
        <v>19.10.2022_SAL1</v>
      </c>
      <c r="D820" s="190">
        <f t="shared" si="26"/>
        <v>0</v>
      </c>
      <c r="E820" s="204">
        <v>4.4205609521309176E-2</v>
      </c>
      <c r="F820" s="205">
        <v>6.9585621278721144E-2</v>
      </c>
      <c r="G820" s="204">
        <v>1.5212324085595606E-2</v>
      </c>
      <c r="H820" s="204">
        <v>1.6687122356495471E-2</v>
      </c>
      <c r="I820" s="209">
        <v>4.5359999999999996</v>
      </c>
      <c r="J820" s="207">
        <v>1.041438931930659</v>
      </c>
      <c r="K820" s="209">
        <v>10.731999999999999</v>
      </c>
      <c r="L820" s="209">
        <v>8.77</v>
      </c>
      <c r="M820" s="208"/>
      <c r="N820" s="221"/>
    </row>
    <row r="821" spans="1:14" ht="16.5" customHeight="1" x14ac:dyDescent="0.25">
      <c r="A821" s="203">
        <v>44853</v>
      </c>
      <c r="B821" s="128" t="s">
        <v>12</v>
      </c>
      <c r="C821" s="157" t="str">
        <f t="shared" si="25"/>
        <v>19.10.2022_SAL2</v>
      </c>
      <c r="D821" s="190">
        <f t="shared" si="26"/>
        <v>0</v>
      </c>
      <c r="E821" s="204">
        <v>3.843966045331234E-2</v>
      </c>
      <c r="F821" s="205">
        <v>6.4195979808687922E-2</v>
      </c>
      <c r="G821" s="204">
        <v>9.1273944513573652E-3</v>
      </c>
      <c r="H821" s="204">
        <v>1.0012273413897283E-2</v>
      </c>
      <c r="I821" s="209">
        <v>4.99</v>
      </c>
      <c r="J821" s="207">
        <v>1.1372268671583956</v>
      </c>
      <c r="K821" s="209">
        <v>11.769</v>
      </c>
      <c r="L821" s="209">
        <v>9.2970000000000006</v>
      </c>
      <c r="M821" s="208"/>
      <c r="N821" s="221"/>
    </row>
    <row r="822" spans="1:14" ht="16.5" customHeight="1" x14ac:dyDescent="0.25">
      <c r="A822" s="203">
        <v>44853</v>
      </c>
      <c r="B822" s="128" t="s">
        <v>7</v>
      </c>
      <c r="C822" s="157" t="str">
        <f t="shared" si="25"/>
        <v>19.10.2022_STE1</v>
      </c>
      <c r="D822" s="190">
        <f t="shared" si="26"/>
        <v>0</v>
      </c>
      <c r="E822" s="204">
        <v>5.3815524634637256E-2</v>
      </c>
      <c r="F822" s="205">
        <v>8.0765570445309326E-2</v>
      </c>
      <c r="G822" s="204">
        <v>1.5212324085595627E-3</v>
      </c>
      <c r="H822" s="204">
        <v>1.0012273413897283E-2</v>
      </c>
      <c r="I822" s="209">
        <v>5.9930000000000003</v>
      </c>
      <c r="J822" s="207">
        <v>1.3578683683937833</v>
      </c>
      <c r="K822" s="209">
        <v>12.816000000000001</v>
      </c>
      <c r="L822" s="209">
        <v>10.930999999999999</v>
      </c>
      <c r="M822" s="208"/>
      <c r="N822" s="221"/>
    </row>
    <row r="823" spans="1:14" ht="16.5" customHeight="1" x14ac:dyDescent="0.25">
      <c r="A823" s="203">
        <v>44853</v>
      </c>
      <c r="B823" s="128" t="s">
        <v>9</v>
      </c>
      <c r="C823" s="157" t="str">
        <f t="shared" si="25"/>
        <v>19.10.2022_STE2</v>
      </c>
      <c r="D823" s="190">
        <f t="shared" si="26"/>
        <v>0</v>
      </c>
      <c r="E823" s="204">
        <v>4.8049575566640412E-2</v>
      </c>
      <c r="F823" s="205">
        <v>3.5173211774531504E-2</v>
      </c>
      <c r="G823" s="204">
        <v>1.6733556494155168E-2</v>
      </c>
      <c r="H823" s="204">
        <v>2.0024546827794559E-2</v>
      </c>
      <c r="I823" s="209">
        <v>4.9450000000000003</v>
      </c>
      <c r="J823" s="207">
        <v>1.1360170625638686</v>
      </c>
      <c r="K823" s="209">
        <v>13.895</v>
      </c>
      <c r="L823" s="209">
        <v>11.173</v>
      </c>
      <c r="M823" s="208"/>
      <c r="N823" s="221"/>
    </row>
    <row r="824" spans="1:14" ht="16.5" customHeight="1" x14ac:dyDescent="0.25">
      <c r="A824" s="203">
        <v>44867</v>
      </c>
      <c r="B824" s="128" t="s">
        <v>22</v>
      </c>
      <c r="C824" s="157" t="str">
        <f t="shared" si="25"/>
        <v>02.11.2022_BIE1</v>
      </c>
      <c r="D824" s="190">
        <f t="shared" si="26"/>
        <v>0</v>
      </c>
      <c r="E824" s="204">
        <v>1.1760112447290333E-2</v>
      </c>
      <c r="F824" s="205">
        <v>2.1649060318974858E-2</v>
      </c>
      <c r="G824" s="204">
        <v>0</v>
      </c>
      <c r="H824" s="204">
        <v>0.03</v>
      </c>
      <c r="I824" s="209">
        <v>3.2440000000000002</v>
      </c>
      <c r="J824" s="207">
        <v>0.74185578000000008</v>
      </c>
      <c r="K824" s="209">
        <v>8.8390000000000004</v>
      </c>
      <c r="L824" s="209">
        <v>14.164999999999999</v>
      </c>
      <c r="M824" s="208"/>
      <c r="N824" s="221"/>
    </row>
    <row r="825" spans="1:14" ht="16.5" customHeight="1" x14ac:dyDescent="0.25">
      <c r="A825" s="203">
        <v>44867</v>
      </c>
      <c r="B825" s="128" t="s">
        <v>25</v>
      </c>
      <c r="C825" s="157" t="str">
        <f t="shared" si="25"/>
        <v>02.11.2022_BIE2</v>
      </c>
      <c r="D825" s="190">
        <f t="shared" si="26"/>
        <v>0</v>
      </c>
      <c r="E825" s="204">
        <v>1.372013118850539E-2</v>
      </c>
      <c r="F825" s="205">
        <v>2.5771157388937774E-2</v>
      </c>
      <c r="G825" s="204">
        <v>3.2511798636601918E-3</v>
      </c>
      <c r="H825" s="204">
        <v>2.3E-2</v>
      </c>
      <c r="I825" s="209">
        <v>3.097</v>
      </c>
      <c r="J825" s="207">
        <v>0.70904624865233357</v>
      </c>
      <c r="K825" s="209">
        <v>9.7439999999999998</v>
      </c>
      <c r="L825" s="209">
        <v>14.106999999999999</v>
      </c>
      <c r="M825" s="208"/>
      <c r="N825" s="221"/>
    </row>
    <row r="826" spans="1:14" ht="16.5" customHeight="1" x14ac:dyDescent="0.25">
      <c r="A826" s="203">
        <v>44867</v>
      </c>
      <c r="B826" s="128" t="s">
        <v>14</v>
      </c>
      <c r="C826" s="157" t="str">
        <f t="shared" si="25"/>
        <v>02.11.2022_BRA1</v>
      </c>
      <c r="D826" s="190">
        <f t="shared" si="26"/>
        <v>0</v>
      </c>
      <c r="E826" s="204">
        <v>1.9600187412150555E-2</v>
      </c>
      <c r="F826" s="205">
        <v>4.0049688093610605E-2</v>
      </c>
      <c r="G826" s="204">
        <v>9.7535395909805981E-3</v>
      </c>
      <c r="H826" s="204">
        <v>5.5E-2</v>
      </c>
      <c r="I826" s="209">
        <v>7.8449999999999998</v>
      </c>
      <c r="J826" s="207">
        <v>1.7962684259570003</v>
      </c>
      <c r="K826" s="209">
        <v>7.8730000000000002</v>
      </c>
      <c r="L826" s="209">
        <v>6.9349999999999996</v>
      </c>
      <c r="M826" s="208"/>
      <c r="N826" s="221"/>
    </row>
    <row r="827" spans="1:14" ht="16.5" customHeight="1" x14ac:dyDescent="0.25">
      <c r="A827" s="203">
        <v>44867</v>
      </c>
      <c r="B827" s="128" t="s">
        <v>17</v>
      </c>
      <c r="C827" s="157" t="str">
        <f t="shared" si="25"/>
        <v>02.11.2022_BRA2</v>
      </c>
      <c r="D827" s="190">
        <f t="shared" si="26"/>
        <v>0</v>
      </c>
      <c r="E827" s="204">
        <v>4.5080431047946276E-2</v>
      </c>
      <c r="F827" s="205">
        <v>6.2442616124364192E-2</v>
      </c>
      <c r="G827" s="204">
        <v>6.502359727320395E-3</v>
      </c>
      <c r="H827" s="204">
        <v>9.696443265977869E-3</v>
      </c>
      <c r="I827" s="209">
        <v>10.539</v>
      </c>
      <c r="J827" s="207">
        <v>2.3884450294569937</v>
      </c>
      <c r="K827" s="209">
        <v>10.647</v>
      </c>
      <c r="L827" s="209">
        <v>8.0640000000000001</v>
      </c>
      <c r="M827" s="208"/>
      <c r="N827" s="221"/>
    </row>
    <row r="828" spans="1:14" ht="16.5" customHeight="1" x14ac:dyDescent="0.25">
      <c r="A828" s="203">
        <v>44867</v>
      </c>
      <c r="B828" s="128" t="s">
        <v>30</v>
      </c>
      <c r="C828" s="157" t="str">
        <f t="shared" si="25"/>
        <v>02.11.2022_FAL1</v>
      </c>
      <c r="D828" s="190">
        <f t="shared" si="26"/>
        <v>0</v>
      </c>
      <c r="E828" s="204">
        <v>0.19992191160393569</v>
      </c>
      <c r="F828" s="205">
        <v>0.24723832828249598</v>
      </c>
      <c r="G828" s="204">
        <v>0.20157315154693239</v>
      </c>
      <c r="H828" s="204">
        <v>0.24241108164944686</v>
      </c>
      <c r="I828" s="209">
        <v>12.336</v>
      </c>
      <c r="J828" s="207">
        <v>3.0166539102528516</v>
      </c>
      <c r="K828" s="209">
        <v>67</v>
      </c>
      <c r="L828" s="209">
        <v>40</v>
      </c>
      <c r="M828" s="208"/>
      <c r="N828" s="221"/>
    </row>
    <row r="829" spans="1:14" ht="16.5" customHeight="1" x14ac:dyDescent="0.25">
      <c r="A829" s="203">
        <v>44867</v>
      </c>
      <c r="B829" s="128" t="s">
        <v>32</v>
      </c>
      <c r="C829" s="157" t="str">
        <f t="shared" si="25"/>
        <v>02.11.2022_FAL2</v>
      </c>
      <c r="D829" s="190">
        <f t="shared" si="26"/>
        <v>0</v>
      </c>
      <c r="E829" s="204">
        <v>0.10780103076682805</v>
      </c>
      <c r="F829" s="205">
        <v>0.14291898774206874</v>
      </c>
      <c r="G829" s="204">
        <v>1.9507079181961196E-2</v>
      </c>
      <c r="H829" s="204">
        <v>4.6866142452226381E-2</v>
      </c>
      <c r="I829" s="209">
        <v>12.26</v>
      </c>
      <c r="J829" s="207">
        <v>2.7985816489835811</v>
      </c>
      <c r="K829" s="209">
        <v>58</v>
      </c>
      <c r="L829" s="209">
        <v>38</v>
      </c>
      <c r="M829" s="208"/>
      <c r="N829" s="221"/>
    </row>
    <row r="830" spans="1:14" ht="16.5" customHeight="1" x14ac:dyDescent="0.25">
      <c r="A830" s="203">
        <v>44867</v>
      </c>
      <c r="B830" s="128" t="s">
        <v>26</v>
      </c>
      <c r="C830" s="157" t="str">
        <f t="shared" si="25"/>
        <v>02.11.2022_GRU1</v>
      </c>
      <c r="D830" s="190">
        <f t="shared" si="26"/>
        <v>0</v>
      </c>
      <c r="E830" s="204">
        <v>1.5680149929720447E-2</v>
      </c>
      <c r="F830" s="205">
        <v>3.1986687465985153E-2</v>
      </c>
      <c r="G830" s="204">
        <v>3.2511798636601918E-3</v>
      </c>
      <c r="H830" s="204">
        <v>9.696443265977869E-3</v>
      </c>
      <c r="I830" s="209">
        <v>4.8929999999999998</v>
      </c>
      <c r="J830" s="207">
        <v>1.1106585008046606</v>
      </c>
      <c r="K830" s="209">
        <v>8.8610000000000007</v>
      </c>
      <c r="L830" s="209">
        <v>14.718</v>
      </c>
      <c r="M830" s="208"/>
      <c r="N830" s="221"/>
    </row>
    <row r="831" spans="1:14" ht="16.5" customHeight="1" x14ac:dyDescent="0.25">
      <c r="A831" s="203">
        <v>44867</v>
      </c>
      <c r="B831" s="128" t="s">
        <v>28</v>
      </c>
      <c r="C831" s="157" t="str">
        <f t="shared" si="25"/>
        <v>02.11.2022_GRU2</v>
      </c>
      <c r="D831" s="190">
        <f t="shared" si="26"/>
        <v>0</v>
      </c>
      <c r="E831" s="204">
        <v>9.8000937060752791E-3</v>
      </c>
      <c r="F831" s="205">
        <v>2.6803021177922735E-2</v>
      </c>
      <c r="G831" s="204">
        <v>3.2511798636601918E-3</v>
      </c>
      <c r="H831" s="204">
        <v>2.2625034287281701E-2</v>
      </c>
      <c r="I831" s="209">
        <v>4.4589999999999996</v>
      </c>
      <c r="J831" s="207">
        <v>1.0165670303410963</v>
      </c>
      <c r="K831" s="209">
        <v>9.5370000000000008</v>
      </c>
      <c r="L831" s="209">
        <v>13.231</v>
      </c>
      <c r="M831" s="208"/>
      <c r="N831" s="221"/>
    </row>
    <row r="832" spans="1:14" ht="16.5" customHeight="1" x14ac:dyDescent="0.25">
      <c r="A832" s="203">
        <v>44867</v>
      </c>
      <c r="B832" s="128" t="s">
        <v>0</v>
      </c>
      <c r="C832" s="157" t="str">
        <f t="shared" si="25"/>
        <v>02.11.2022_KIN1</v>
      </c>
      <c r="D832" s="190">
        <f t="shared" si="26"/>
        <v>0</v>
      </c>
      <c r="E832" s="204">
        <v>3.3320318600655943E-2</v>
      </c>
      <c r="F832" s="205">
        <v>3.2285324543245342E-2</v>
      </c>
      <c r="G832" s="204">
        <v>0</v>
      </c>
      <c r="H832" s="204">
        <v>8.0803693883148894E-3</v>
      </c>
      <c r="I832" s="209">
        <v>5.6689999999999996</v>
      </c>
      <c r="J832" s="207">
        <v>1.2766058268294385</v>
      </c>
      <c r="K832" s="209">
        <v>12.41</v>
      </c>
      <c r="L832" s="209">
        <v>13.353</v>
      </c>
      <c r="M832" s="208"/>
      <c r="N832" s="221"/>
    </row>
    <row r="833" spans="1:14" ht="16.5" customHeight="1" x14ac:dyDescent="0.25">
      <c r="A833" s="203">
        <v>44867</v>
      </c>
      <c r="B833" s="128" t="s">
        <v>2</v>
      </c>
      <c r="C833" s="157" t="str">
        <f t="shared" si="25"/>
        <v>02.11.2022_KIN2</v>
      </c>
      <c r="D833" s="190">
        <f t="shared" si="26"/>
        <v>0</v>
      </c>
      <c r="E833" s="204">
        <v>1.7640168670935499E-2</v>
      </c>
      <c r="F833" s="205">
        <v>2.3928631478887137E-2</v>
      </c>
      <c r="G833" s="204">
        <v>0</v>
      </c>
      <c r="H833" s="204">
        <v>0</v>
      </c>
      <c r="I833" s="209">
        <v>6.944</v>
      </c>
      <c r="J833" s="207">
        <v>1.5684412799999998</v>
      </c>
      <c r="K833" s="209">
        <v>14.182</v>
      </c>
      <c r="L833" s="209">
        <v>15.98</v>
      </c>
      <c r="M833" s="208"/>
      <c r="N833" s="221"/>
    </row>
    <row r="834" spans="1:14" ht="16.5" customHeight="1" x14ac:dyDescent="0.25">
      <c r="A834" s="203">
        <v>44867</v>
      </c>
      <c r="B834" s="128" t="s">
        <v>4</v>
      </c>
      <c r="C834" s="157" t="str">
        <f t="shared" si="25"/>
        <v>02.11.2022_KIN3</v>
      </c>
      <c r="D834" s="190">
        <f t="shared" si="26"/>
        <v>0</v>
      </c>
      <c r="E834" s="204">
        <v>2.5480243635795721E-2</v>
      </c>
      <c r="F834" s="205">
        <v>3.3163908652096612E-2</v>
      </c>
      <c r="G834" s="204">
        <v>0</v>
      </c>
      <c r="H834" s="204">
        <v>6.464295510651915E-3</v>
      </c>
      <c r="I834" s="209">
        <v>5.617</v>
      </c>
      <c r="J834" s="207">
        <v>1.2694175904420513</v>
      </c>
      <c r="K834" s="209">
        <v>16.003</v>
      </c>
      <c r="L834" s="209">
        <v>17.728000000000002</v>
      </c>
      <c r="M834" s="208"/>
      <c r="N834" s="221"/>
    </row>
    <row r="835" spans="1:14" ht="16.5" customHeight="1" x14ac:dyDescent="0.25">
      <c r="A835" s="203">
        <v>44867</v>
      </c>
      <c r="B835" s="128" t="s">
        <v>6</v>
      </c>
      <c r="C835" s="157" t="str">
        <f t="shared" si="25"/>
        <v>02.11.2022_KIN4</v>
      </c>
      <c r="D835" s="190">
        <f t="shared" si="26"/>
        <v>0</v>
      </c>
      <c r="E835" s="204">
        <v>1.5680149929720447E-2</v>
      </c>
      <c r="F835" s="205">
        <v>3.1480346253056228E-2</v>
      </c>
      <c r="G835" s="204">
        <v>4.876769795490293E-3</v>
      </c>
      <c r="H835" s="204">
        <v>9.696443265977869E-3</v>
      </c>
      <c r="I835" s="209">
        <v>6.2480000000000002</v>
      </c>
      <c r="J835" s="207">
        <v>1.4179746051308273</v>
      </c>
      <c r="K835" s="209">
        <v>25.581</v>
      </c>
      <c r="L835" s="209">
        <v>17.923999999999999</v>
      </c>
      <c r="M835" s="208"/>
      <c r="N835" s="221"/>
    </row>
    <row r="836" spans="1:14" ht="16.5" customHeight="1" x14ac:dyDescent="0.25">
      <c r="A836" s="203">
        <v>44867</v>
      </c>
      <c r="B836" s="128" t="s">
        <v>34</v>
      </c>
      <c r="C836" s="157" t="str">
        <f t="shared" si="25"/>
        <v>02.11.2022_KRE1</v>
      </c>
      <c r="D836" s="190">
        <f t="shared" si="26"/>
        <v>0</v>
      </c>
      <c r="E836" s="204">
        <v>3.9200374824301117E-2</v>
      </c>
      <c r="F836" s="205">
        <v>6.3154042985114983E-2</v>
      </c>
      <c r="G836" s="204">
        <v>0.11541688515993709</v>
      </c>
      <c r="H836" s="204">
        <v>0.13736627960135317</v>
      </c>
      <c r="I836" s="209">
        <v>10.098000000000001</v>
      </c>
      <c r="J836" s="207">
        <v>2.4122764809824715</v>
      </c>
      <c r="K836" s="209">
        <v>65</v>
      </c>
      <c r="L836" s="209">
        <v>49</v>
      </c>
      <c r="M836" s="208"/>
      <c r="N836" s="221"/>
    </row>
    <row r="837" spans="1:14" ht="16.5" customHeight="1" x14ac:dyDescent="0.25">
      <c r="A837" s="203">
        <v>44867</v>
      </c>
      <c r="B837" s="128" t="s">
        <v>37</v>
      </c>
      <c r="C837" s="157" t="str">
        <f t="shared" ref="C837:C900" si="27">CONCATENATE(TEXT(A837,"TT.MM.JJJJ"),"_",B837)</f>
        <v>02.11.2022_KRE2</v>
      </c>
      <c r="D837" s="190">
        <f t="shared" ref="D837:D900" si="28">COUNTBLANK(E837:L837)</f>
        <v>0</v>
      </c>
      <c r="E837" s="204">
        <v>7.4480712166172108E-2</v>
      </c>
      <c r="F837" s="205">
        <v>0.10559934677101601</v>
      </c>
      <c r="G837" s="204">
        <v>0.1170424750917672</v>
      </c>
      <c r="H837" s="204">
        <v>0.1212055408247234</v>
      </c>
      <c r="I837" s="209">
        <v>11.944000000000001</v>
      </c>
      <c r="J837" s="207">
        <v>2.8255746183880937</v>
      </c>
      <c r="K837" s="209">
        <v>63</v>
      </c>
      <c r="L837" s="209">
        <v>53</v>
      </c>
      <c r="M837" s="208"/>
      <c r="N837" s="221"/>
    </row>
    <row r="838" spans="1:14" ht="16.5" customHeight="1" x14ac:dyDescent="0.25">
      <c r="A838" s="203">
        <v>44867</v>
      </c>
      <c r="B838" s="128" t="s">
        <v>18</v>
      </c>
      <c r="C838" s="157" t="str">
        <f t="shared" si="27"/>
        <v>02.11.2022_ORB1</v>
      </c>
      <c r="D838" s="190">
        <f t="shared" si="28"/>
        <v>0</v>
      </c>
      <c r="E838" s="204">
        <v>1.5680149929720447E-2</v>
      </c>
      <c r="F838" s="205">
        <v>3.5087423931867236E-2</v>
      </c>
      <c r="G838" s="204">
        <v>0</v>
      </c>
      <c r="H838" s="204">
        <v>1.9392886531955745E-2</v>
      </c>
      <c r="I838" s="209">
        <v>7.2610000000000001</v>
      </c>
      <c r="J838" s="207">
        <v>1.6383727083476536</v>
      </c>
      <c r="K838" s="209">
        <v>10.028</v>
      </c>
      <c r="L838" s="209">
        <v>13.698</v>
      </c>
      <c r="M838" s="208"/>
      <c r="N838" s="221"/>
    </row>
    <row r="839" spans="1:14" ht="16.5" customHeight="1" x14ac:dyDescent="0.25">
      <c r="A839" s="203">
        <v>44867</v>
      </c>
      <c r="B839" s="128" t="s">
        <v>21</v>
      </c>
      <c r="C839" s="157" t="str">
        <f t="shared" si="27"/>
        <v>02.11.2022_ORB2</v>
      </c>
      <c r="D839" s="190">
        <f t="shared" si="28"/>
        <v>0</v>
      </c>
      <c r="E839" s="204">
        <v>3.5280337341871006E-2</v>
      </c>
      <c r="F839" s="205">
        <v>3.3134863065214612E-2</v>
      </c>
      <c r="G839" s="204">
        <v>1.6255899318300903E-3</v>
      </c>
      <c r="H839" s="204">
        <v>1.9392886531955745E-2</v>
      </c>
      <c r="I839" s="209">
        <v>7.4630000000000001</v>
      </c>
      <c r="J839" s="207">
        <v>1.6928342286308207</v>
      </c>
      <c r="K839" s="209">
        <v>22.667999999999999</v>
      </c>
      <c r="L839" s="209">
        <v>18.120999999999999</v>
      </c>
      <c r="M839" s="208"/>
      <c r="N839" s="221"/>
    </row>
    <row r="840" spans="1:14" ht="16.5" customHeight="1" x14ac:dyDescent="0.25">
      <c r="A840" s="203">
        <v>44867</v>
      </c>
      <c r="B840" s="128" t="s">
        <v>10</v>
      </c>
      <c r="C840" s="157" t="str">
        <f t="shared" si="27"/>
        <v>02.11.2022_SAL1</v>
      </c>
      <c r="D840" s="190">
        <f t="shared" si="28"/>
        <v>0</v>
      </c>
      <c r="E840" s="204">
        <v>4.9000468530376387E-2</v>
      </c>
      <c r="F840" s="205">
        <v>6.2600197307659422E-2</v>
      </c>
      <c r="G840" s="204">
        <v>0</v>
      </c>
      <c r="H840" s="204">
        <v>4.8482216329889345E-3</v>
      </c>
      <c r="I840" s="209">
        <v>7.3890000000000002</v>
      </c>
      <c r="J840" s="207">
        <v>1.6603314364668293</v>
      </c>
      <c r="K840" s="209">
        <v>9.1029999999999998</v>
      </c>
      <c r="L840" s="209">
        <v>8.3469999999999995</v>
      </c>
      <c r="M840" s="208"/>
      <c r="N840" s="221"/>
    </row>
    <row r="841" spans="1:14" ht="16.5" customHeight="1" x14ac:dyDescent="0.25">
      <c r="A841" s="203">
        <v>44867</v>
      </c>
      <c r="B841" s="128" t="s">
        <v>12</v>
      </c>
      <c r="C841" s="157" t="str">
        <f t="shared" si="27"/>
        <v>02.11.2022_SAL2</v>
      </c>
      <c r="D841" s="190">
        <f t="shared" si="28"/>
        <v>0</v>
      </c>
      <c r="E841" s="204">
        <v>4.7040449789161332E-2</v>
      </c>
      <c r="F841" s="205">
        <v>7.0003961254155117E-2</v>
      </c>
      <c r="G841" s="204">
        <v>0</v>
      </c>
      <c r="H841" s="204">
        <v>1.131251714364085E-2</v>
      </c>
      <c r="I841" s="209">
        <v>7.3860000000000001</v>
      </c>
      <c r="J841" s="207">
        <v>1.6666708985397143</v>
      </c>
      <c r="K841" s="209">
        <v>9.7720000000000002</v>
      </c>
      <c r="L841" s="209">
        <v>8.8469999999999995</v>
      </c>
      <c r="M841" s="208"/>
      <c r="N841" s="221"/>
    </row>
    <row r="842" spans="1:14" ht="16.5" customHeight="1" x14ac:dyDescent="0.25">
      <c r="A842" s="203">
        <v>44867</v>
      </c>
      <c r="B842" s="128" t="s">
        <v>7</v>
      </c>
      <c r="C842" s="157" t="str">
        <f t="shared" si="27"/>
        <v>02.11.2022_STE1</v>
      </c>
      <c r="D842" s="190">
        <f t="shared" si="28"/>
        <v>0</v>
      </c>
      <c r="E842" s="204">
        <v>7.0560674683741997E-2</v>
      </c>
      <c r="F842" s="205">
        <v>8.4568491804469889E-2</v>
      </c>
      <c r="G842" s="204">
        <v>1.6255899318300903E-3</v>
      </c>
      <c r="H842" s="204">
        <v>4.5250068574563401E-2</v>
      </c>
      <c r="I842" s="209">
        <v>10.039999999999999</v>
      </c>
      <c r="J842" s="207">
        <v>2.2827734377036921</v>
      </c>
      <c r="K842" s="209">
        <v>10.834</v>
      </c>
      <c r="L842" s="209">
        <v>9.8230000000000004</v>
      </c>
      <c r="M842" s="208"/>
      <c r="N842" s="221"/>
    </row>
    <row r="843" spans="1:14" ht="16.5" customHeight="1" x14ac:dyDescent="0.25">
      <c r="A843" s="203">
        <v>44867</v>
      </c>
      <c r="B843" s="128" t="s">
        <v>9</v>
      </c>
      <c r="C843" s="157" t="str">
        <f t="shared" si="27"/>
        <v>02.11.2022_STE2</v>
      </c>
      <c r="D843" s="190">
        <f t="shared" si="28"/>
        <v>0</v>
      </c>
      <c r="E843" s="204">
        <v>6.076058097766672E-2</v>
      </c>
      <c r="F843" s="205">
        <v>7.7797984295251643E-2</v>
      </c>
      <c r="G843" s="204">
        <v>0</v>
      </c>
      <c r="H843" s="204">
        <v>2.9089329797933619E-2</v>
      </c>
      <c r="I843" s="209">
        <v>8.81</v>
      </c>
      <c r="J843" s="207">
        <v>1.9937219291523136</v>
      </c>
      <c r="K843" s="209">
        <v>11.644</v>
      </c>
      <c r="L843" s="209">
        <v>10.117000000000001</v>
      </c>
      <c r="M843" s="208"/>
      <c r="N843" s="221"/>
    </row>
    <row r="844" spans="1:14" ht="16.5" customHeight="1" x14ac:dyDescent="0.25">
      <c r="A844" s="203">
        <v>44881</v>
      </c>
      <c r="B844" s="128" t="s">
        <v>22</v>
      </c>
      <c r="C844" s="157" t="str">
        <f t="shared" si="27"/>
        <v>16.11.2022_BIE1</v>
      </c>
      <c r="D844" s="190">
        <f t="shared" si="28"/>
        <v>0</v>
      </c>
      <c r="E844" s="204">
        <v>0</v>
      </c>
      <c r="F844" s="205">
        <v>1.4205197872355947E-2</v>
      </c>
      <c r="G844" s="204">
        <v>2.2413737451986698E-2</v>
      </c>
      <c r="H844" s="204">
        <v>0</v>
      </c>
      <c r="I844" s="209">
        <v>3.391</v>
      </c>
      <c r="J844" s="207">
        <v>0.78217467695110465</v>
      </c>
      <c r="K844" s="209">
        <v>8.8230000000000004</v>
      </c>
      <c r="L844" s="209">
        <v>14.567</v>
      </c>
      <c r="M844" s="208"/>
      <c r="N844" s="221"/>
    </row>
    <row r="845" spans="1:14" ht="16.5" customHeight="1" x14ac:dyDescent="0.25">
      <c r="A845" s="203">
        <v>44881</v>
      </c>
      <c r="B845" s="128" t="s">
        <v>25</v>
      </c>
      <c r="C845" s="157" t="str">
        <f t="shared" si="27"/>
        <v>16.11.2022_BIE2</v>
      </c>
      <c r="D845" s="190">
        <f t="shared" si="28"/>
        <v>0</v>
      </c>
      <c r="E845" s="204">
        <v>0</v>
      </c>
      <c r="F845" s="205">
        <v>1.6724801879109893E-2</v>
      </c>
      <c r="G845" s="204">
        <v>1.1206868725993359E-2</v>
      </c>
      <c r="H845" s="204">
        <v>0</v>
      </c>
      <c r="I845" s="209">
        <v>3.45</v>
      </c>
      <c r="J845" s="207">
        <v>0.77987176919612766</v>
      </c>
      <c r="K845" s="209">
        <v>10.164999999999999</v>
      </c>
      <c r="L845" s="209">
        <v>14.891999999999999</v>
      </c>
      <c r="M845" s="208"/>
      <c r="N845" s="221"/>
    </row>
    <row r="846" spans="1:14" ht="16.5" customHeight="1" x14ac:dyDescent="0.25">
      <c r="A846" s="203">
        <v>44881</v>
      </c>
      <c r="B846" s="128" t="s">
        <v>14</v>
      </c>
      <c r="C846" s="157" t="str">
        <f t="shared" si="27"/>
        <v>16.11.2022_BRA1</v>
      </c>
      <c r="D846" s="190">
        <f t="shared" si="28"/>
        <v>0</v>
      </c>
      <c r="E846" s="204">
        <v>0</v>
      </c>
      <c r="F846" s="205">
        <v>2.8629832005892187E-2</v>
      </c>
      <c r="G846" s="204">
        <v>0</v>
      </c>
      <c r="H846" s="204">
        <v>0</v>
      </c>
      <c r="I846" s="209">
        <v>7.6909999999999998</v>
      </c>
      <c r="J846" s="207">
        <v>1.7337025618710347</v>
      </c>
      <c r="K846" s="209">
        <v>7.3179999999999996</v>
      </c>
      <c r="L846" s="209">
        <v>5.7439999999999998</v>
      </c>
      <c r="M846" s="208"/>
      <c r="N846" s="221"/>
    </row>
    <row r="847" spans="1:14" ht="16.5" customHeight="1" x14ac:dyDescent="0.25">
      <c r="A847" s="203">
        <v>44881</v>
      </c>
      <c r="B847" s="128" t="s">
        <v>17</v>
      </c>
      <c r="C847" s="157" t="str">
        <f t="shared" si="27"/>
        <v>16.11.2022_BRA2</v>
      </c>
      <c r="D847" s="190">
        <f t="shared" si="28"/>
        <v>0</v>
      </c>
      <c r="E847" s="204">
        <v>2.4238940494803636E-2</v>
      </c>
      <c r="F847" s="205">
        <v>4.7530840400674443E-2</v>
      </c>
      <c r="G847" s="204">
        <v>8.4051515444950198E-3</v>
      </c>
      <c r="H847" s="204">
        <v>0</v>
      </c>
      <c r="I847" s="209">
        <v>10.568</v>
      </c>
      <c r="J847" s="207">
        <v>2.3854389238218663</v>
      </c>
      <c r="K847" s="209">
        <v>10.638999999999999</v>
      </c>
      <c r="L847" s="209">
        <v>6.9249999999999998</v>
      </c>
      <c r="M847" s="208"/>
      <c r="N847" s="221"/>
    </row>
    <row r="848" spans="1:14" ht="16.5" customHeight="1" x14ac:dyDescent="0.25">
      <c r="A848" s="203">
        <v>44881</v>
      </c>
      <c r="B848" s="128" t="s">
        <v>30</v>
      </c>
      <c r="C848" s="157" t="str">
        <f t="shared" si="27"/>
        <v>16.11.2022_FAL1</v>
      </c>
      <c r="D848" s="190">
        <f t="shared" si="28"/>
        <v>0</v>
      </c>
      <c r="E848" s="204">
        <v>4.1744841963272911E-2</v>
      </c>
      <c r="F848" s="205">
        <v>7.2878295409266797E-2</v>
      </c>
      <c r="G848" s="204">
        <v>0.1372841418934185</v>
      </c>
      <c r="H848" s="204">
        <v>0.14031149151115471</v>
      </c>
      <c r="I848" s="209">
        <v>15.359</v>
      </c>
      <c r="J848" s="207">
        <v>3.6184549269293913</v>
      </c>
      <c r="K848" s="209">
        <v>51</v>
      </c>
      <c r="L848" s="209">
        <v>36</v>
      </c>
      <c r="M848" s="208"/>
      <c r="N848" s="221"/>
    </row>
    <row r="849" spans="1:14" ht="16.5" customHeight="1" x14ac:dyDescent="0.25">
      <c r="A849" s="203">
        <v>44881</v>
      </c>
      <c r="B849" s="128" t="s">
        <v>32</v>
      </c>
      <c r="C849" s="157" t="str">
        <f t="shared" si="27"/>
        <v>16.11.2022_FAL2</v>
      </c>
      <c r="D849" s="190">
        <f t="shared" si="28"/>
        <v>0</v>
      </c>
      <c r="E849" s="204">
        <v>0.11580827125295071</v>
      </c>
      <c r="F849" s="205">
        <v>0.12444755502503482</v>
      </c>
      <c r="G849" s="204">
        <v>1.5829702075465604</v>
      </c>
      <c r="H849" s="204">
        <v>8.3428454412037931E-2</v>
      </c>
      <c r="I849" s="209">
        <v>13.500999999999999</v>
      </c>
      <c r="J849" s="207">
        <v>4.3040311994035729</v>
      </c>
      <c r="K849" s="209">
        <v>55</v>
      </c>
      <c r="L849" s="209">
        <v>36</v>
      </c>
      <c r="M849" s="208"/>
      <c r="N849" s="221"/>
    </row>
    <row r="850" spans="1:14" ht="16.5" customHeight="1" x14ac:dyDescent="0.25">
      <c r="A850" s="203">
        <v>44881</v>
      </c>
      <c r="B850" s="128" t="s">
        <v>26</v>
      </c>
      <c r="C850" s="157" t="str">
        <f t="shared" si="27"/>
        <v>16.11.2022_GRU1</v>
      </c>
      <c r="D850" s="190">
        <f t="shared" si="28"/>
        <v>0</v>
      </c>
      <c r="E850" s="204">
        <v>0</v>
      </c>
      <c r="F850" s="205">
        <v>2.4448043410340257E-2</v>
      </c>
      <c r="G850" s="204">
        <v>5.6034343629966796E-3</v>
      </c>
      <c r="H850" s="204">
        <v>0</v>
      </c>
      <c r="I850" s="209">
        <v>4.4989999999999997</v>
      </c>
      <c r="J850" s="207">
        <v>1.005531172189674</v>
      </c>
      <c r="K850" s="209">
        <v>8.7390000000000008</v>
      </c>
      <c r="L850" s="209">
        <v>15.032</v>
      </c>
      <c r="M850" s="208"/>
      <c r="N850" s="221"/>
    </row>
    <row r="851" spans="1:14" ht="16.5" customHeight="1" x14ac:dyDescent="0.25">
      <c r="A851" s="203">
        <v>44881</v>
      </c>
      <c r="B851" s="128" t="s">
        <v>28</v>
      </c>
      <c r="C851" s="157" t="str">
        <f t="shared" si="27"/>
        <v>16.11.2022_GRU2</v>
      </c>
      <c r="D851" s="190">
        <f t="shared" si="28"/>
        <v>0</v>
      </c>
      <c r="E851" s="204">
        <v>0</v>
      </c>
      <c r="F851" s="205">
        <v>1.8035457157784811E-2</v>
      </c>
      <c r="G851" s="204">
        <v>3.3620606177980059E-2</v>
      </c>
      <c r="H851" s="204">
        <v>0</v>
      </c>
      <c r="I851" s="209">
        <v>4.2859999999999996</v>
      </c>
      <c r="J851" s="207">
        <v>0.97917591593229036</v>
      </c>
      <c r="K851" s="209">
        <v>9.4619999999999997</v>
      </c>
      <c r="L851" s="209">
        <v>12.807</v>
      </c>
      <c r="M851" s="208"/>
      <c r="N851" s="221"/>
    </row>
    <row r="852" spans="1:14" ht="16.5" customHeight="1" x14ac:dyDescent="0.25">
      <c r="A852" s="203">
        <v>44881</v>
      </c>
      <c r="B852" s="128" t="s">
        <v>0</v>
      </c>
      <c r="C852" s="157" t="str">
        <f t="shared" si="27"/>
        <v>16.11.2022_KIN1</v>
      </c>
      <c r="D852" s="190">
        <f t="shared" si="28"/>
        <v>0</v>
      </c>
      <c r="E852" s="204">
        <v>0</v>
      </c>
      <c r="F852" s="205">
        <v>1.7819902526715933E-2</v>
      </c>
      <c r="G852" s="204">
        <v>8.4051515444950198E-3</v>
      </c>
      <c r="H852" s="204">
        <v>0</v>
      </c>
      <c r="I852" s="209">
        <v>4.6970000000000001</v>
      </c>
      <c r="J852" s="207">
        <v>1.0524289375639357</v>
      </c>
      <c r="K852" s="209">
        <v>11.250999999999999</v>
      </c>
      <c r="L852" s="209">
        <v>14.063000000000001</v>
      </c>
      <c r="M852" s="208"/>
      <c r="N852" s="221"/>
    </row>
    <row r="853" spans="1:14" ht="16.5" customHeight="1" x14ac:dyDescent="0.25">
      <c r="A853" s="203">
        <v>44881</v>
      </c>
      <c r="B853" s="128" t="s">
        <v>2</v>
      </c>
      <c r="C853" s="157" t="str">
        <f t="shared" si="27"/>
        <v>16.11.2022_KIN2</v>
      </c>
      <c r="D853" s="190">
        <f t="shared" si="28"/>
        <v>0</v>
      </c>
      <c r="E853" s="204">
        <v>0</v>
      </c>
      <c r="F853" s="205">
        <v>1.9773781816290012E-2</v>
      </c>
      <c r="G853" s="204">
        <v>2.8017171814983376E-2</v>
      </c>
      <c r="H853" s="204">
        <v>0</v>
      </c>
      <c r="I853" s="209">
        <v>7.0309999999999997</v>
      </c>
      <c r="J853" s="207">
        <v>1.5983016633127323</v>
      </c>
      <c r="K853" s="209">
        <v>13.878</v>
      </c>
      <c r="L853" s="209">
        <v>16.88</v>
      </c>
      <c r="M853" s="208"/>
      <c r="N853" s="221"/>
    </row>
    <row r="854" spans="1:14" ht="16.5" customHeight="1" x14ac:dyDescent="0.25">
      <c r="A854" s="203">
        <v>44881</v>
      </c>
      <c r="B854" s="128" t="s">
        <v>4</v>
      </c>
      <c r="C854" s="157" t="str">
        <f t="shared" si="27"/>
        <v>16.11.2022_KIN3</v>
      </c>
      <c r="D854" s="190">
        <f t="shared" si="28"/>
        <v>0</v>
      </c>
      <c r="E854" s="204">
        <v>2.9625371715871134E-2</v>
      </c>
      <c r="F854" s="205">
        <v>4.6183684729490623E-2</v>
      </c>
      <c r="G854" s="204">
        <v>4.2025757722475077E-2</v>
      </c>
      <c r="H854" s="204">
        <v>0</v>
      </c>
      <c r="I854" s="209">
        <v>6.5490000000000004</v>
      </c>
      <c r="J854" s="207">
        <v>1.5037734583130058</v>
      </c>
      <c r="K854" s="209">
        <v>16.437000000000001</v>
      </c>
      <c r="L854" s="209">
        <v>18.219000000000001</v>
      </c>
      <c r="M854" s="208"/>
      <c r="N854" s="221"/>
    </row>
    <row r="855" spans="1:14" ht="16.5" customHeight="1" x14ac:dyDescent="0.25">
      <c r="A855" s="203">
        <v>44881</v>
      </c>
      <c r="B855" s="128" t="s">
        <v>6</v>
      </c>
      <c r="C855" s="157" t="str">
        <f t="shared" si="27"/>
        <v>16.11.2022_KIN4</v>
      </c>
      <c r="D855" s="190">
        <f t="shared" si="28"/>
        <v>0</v>
      </c>
      <c r="E855" s="204">
        <v>2.9625371715871134E-2</v>
      </c>
      <c r="F855" s="205">
        <v>1.9487150224958897E-2</v>
      </c>
      <c r="G855" s="204">
        <v>3.0818888996481719E-2</v>
      </c>
      <c r="H855" s="204">
        <v>0</v>
      </c>
      <c r="I855" s="209">
        <v>6.8639999999999999</v>
      </c>
      <c r="J855" s="207">
        <v>1.5731477030738896</v>
      </c>
      <c r="K855" s="209">
        <v>27.94</v>
      </c>
      <c r="L855" s="209">
        <v>19.155999999999999</v>
      </c>
      <c r="M855" s="208"/>
      <c r="N855" s="221"/>
    </row>
    <row r="856" spans="1:14" ht="16.5" customHeight="1" x14ac:dyDescent="0.25">
      <c r="A856" s="203">
        <v>44881</v>
      </c>
      <c r="B856" s="128" t="s">
        <v>34</v>
      </c>
      <c r="C856" s="157" t="str">
        <f t="shared" si="27"/>
        <v>16.11.2022_KRE1</v>
      </c>
      <c r="D856" s="190">
        <f t="shared" si="28"/>
        <v>0</v>
      </c>
      <c r="E856" s="204">
        <v>0</v>
      </c>
      <c r="F856" s="205">
        <v>4.3872423624864564E-2</v>
      </c>
      <c r="G856" s="204">
        <v>1.0142216197023981</v>
      </c>
      <c r="H856" s="204">
        <v>0.16306470635080145</v>
      </c>
      <c r="I856" s="209">
        <v>14.167</v>
      </c>
      <c r="J856" s="207">
        <v>4.0370782853312166</v>
      </c>
      <c r="K856" s="209">
        <v>66</v>
      </c>
      <c r="L856" s="209">
        <v>47</v>
      </c>
      <c r="M856" s="208"/>
      <c r="N856" s="221"/>
    </row>
    <row r="857" spans="1:14" ht="16.5" customHeight="1" x14ac:dyDescent="0.25">
      <c r="A857" s="203">
        <v>44881</v>
      </c>
      <c r="B857" s="128" t="s">
        <v>37</v>
      </c>
      <c r="C857" s="157" t="str">
        <f t="shared" si="27"/>
        <v>16.11.2022_KRE2</v>
      </c>
      <c r="D857" s="190">
        <f t="shared" si="28"/>
        <v>0</v>
      </c>
      <c r="E857" s="204">
        <v>0</v>
      </c>
      <c r="F857" s="205">
        <v>5.9355352188095241E-2</v>
      </c>
      <c r="G857" s="204">
        <v>0.72564475000806938</v>
      </c>
      <c r="H857" s="204">
        <v>0.18202571871717374</v>
      </c>
      <c r="I857" s="209">
        <v>16.024000000000001</v>
      </c>
      <c r="J857" s="207">
        <v>4.2382145019972093</v>
      </c>
      <c r="K857" s="209">
        <v>64</v>
      </c>
      <c r="L857" s="209">
        <v>51</v>
      </c>
      <c r="M857" s="208"/>
      <c r="N857" s="221"/>
    </row>
    <row r="858" spans="1:14" ht="16.5" customHeight="1" x14ac:dyDescent="0.25">
      <c r="A858" s="203">
        <v>44881</v>
      </c>
      <c r="B858" s="128" t="s">
        <v>18</v>
      </c>
      <c r="C858" s="157" t="str">
        <f t="shared" si="27"/>
        <v>16.11.2022_ORB1</v>
      </c>
      <c r="D858" s="190">
        <f t="shared" si="28"/>
        <v>0</v>
      </c>
      <c r="E858" s="204">
        <v>0</v>
      </c>
      <c r="F858" s="205">
        <v>2.6793810507626716E-2</v>
      </c>
      <c r="G858" s="204">
        <v>1.6810303088990019E-2</v>
      </c>
      <c r="H858" s="204">
        <v>0</v>
      </c>
      <c r="I858" s="209">
        <v>7.5919999999999996</v>
      </c>
      <c r="J858" s="207">
        <v>1.7186217839016624</v>
      </c>
      <c r="K858" s="209">
        <v>9.4260000000000002</v>
      </c>
      <c r="L858" s="209">
        <v>13.14</v>
      </c>
      <c r="M858" s="208"/>
      <c r="N858" s="221"/>
    </row>
    <row r="859" spans="1:14" ht="16.5" customHeight="1" x14ac:dyDescent="0.25">
      <c r="A859" s="203">
        <v>44881</v>
      </c>
      <c r="B859" s="128" t="s">
        <v>21</v>
      </c>
      <c r="C859" s="157" t="str">
        <f t="shared" si="27"/>
        <v>16.11.2022_ORB2</v>
      </c>
      <c r="D859" s="190">
        <f t="shared" si="28"/>
        <v>0</v>
      </c>
      <c r="E859" s="204">
        <v>2.69321561053375E-3</v>
      </c>
      <c r="F859" s="205">
        <v>2.5003691572584447E-2</v>
      </c>
      <c r="G859" s="204">
        <v>4.7629192085471755E-2</v>
      </c>
      <c r="H859" s="204">
        <v>0</v>
      </c>
      <c r="I859" s="209">
        <v>7.6139999999999999</v>
      </c>
      <c r="J859" s="207">
        <v>1.7498305551045175</v>
      </c>
      <c r="K859" s="209">
        <v>22.047999999999998</v>
      </c>
      <c r="L859" s="209">
        <v>17.501999999999999</v>
      </c>
      <c r="M859" s="208"/>
      <c r="N859" s="221"/>
    </row>
    <row r="860" spans="1:14" ht="16.5" customHeight="1" x14ac:dyDescent="0.25">
      <c r="A860" s="203">
        <v>44881</v>
      </c>
      <c r="B860" s="128" t="s">
        <v>10</v>
      </c>
      <c r="C860" s="157" t="str">
        <f t="shared" si="27"/>
        <v>16.11.2022_SAL1</v>
      </c>
      <c r="D860" s="190">
        <f t="shared" si="28"/>
        <v>0</v>
      </c>
      <c r="E860" s="204">
        <v>5.1171096600141019E-2</v>
      </c>
      <c r="F860" s="205">
        <v>5.7687061546812232E-2</v>
      </c>
      <c r="G860" s="204">
        <v>2.2413737451986698E-2</v>
      </c>
      <c r="H860" s="204">
        <v>0</v>
      </c>
      <c r="I860" s="209">
        <v>8.1820000000000004</v>
      </c>
      <c r="J860" s="207">
        <v>1.8585451667361628</v>
      </c>
      <c r="K860" s="209">
        <v>9.1419999999999995</v>
      </c>
      <c r="L860" s="209">
        <v>7.6539999999999999</v>
      </c>
      <c r="M860" s="208"/>
      <c r="N860" s="221"/>
    </row>
    <row r="861" spans="1:14" ht="16.5" customHeight="1" x14ac:dyDescent="0.25">
      <c r="A861" s="203">
        <v>44881</v>
      </c>
      <c r="B861" s="128" t="s">
        <v>12</v>
      </c>
      <c r="C861" s="157" t="str">
        <f t="shared" si="27"/>
        <v>16.11.2022_SAL2</v>
      </c>
      <c r="D861" s="190">
        <f t="shared" si="28"/>
        <v>0</v>
      </c>
      <c r="E861" s="204">
        <v>6.4637174652809715E-2</v>
      </c>
      <c r="F861" s="205">
        <v>5.3190178686337859E-2</v>
      </c>
      <c r="G861" s="204">
        <v>4.4827474903973416E-2</v>
      </c>
      <c r="H861" s="204">
        <v>0</v>
      </c>
      <c r="I861" s="209">
        <v>7.4139999999999997</v>
      </c>
      <c r="J861" s="207">
        <v>1.7070991939022093</v>
      </c>
      <c r="K861" s="209">
        <v>9.6289999999999996</v>
      </c>
      <c r="L861" s="209">
        <v>8.0289999999999999</v>
      </c>
      <c r="M861" s="208"/>
      <c r="N861" s="221"/>
    </row>
    <row r="862" spans="1:14" ht="16.5" customHeight="1" x14ac:dyDescent="0.25">
      <c r="A862" s="203">
        <v>44881</v>
      </c>
      <c r="B862" s="128" t="s">
        <v>7</v>
      </c>
      <c r="C862" s="157" t="str">
        <f t="shared" si="27"/>
        <v>16.11.2022_STE1</v>
      </c>
      <c r="D862" s="190">
        <f t="shared" si="28"/>
        <v>0</v>
      </c>
      <c r="E862" s="204">
        <v>2.0199117079003025E-2</v>
      </c>
      <c r="F862" s="205">
        <v>5.295047691791599E-2</v>
      </c>
      <c r="G862" s="204">
        <v>1.9612020270488358E-2</v>
      </c>
      <c r="H862" s="204">
        <v>7.5844049465488865E-3</v>
      </c>
      <c r="I862" s="209">
        <v>10.009</v>
      </c>
      <c r="J862" s="207">
        <v>2.2782704397058078</v>
      </c>
      <c r="K862" s="209">
        <v>11.685</v>
      </c>
      <c r="L862" s="209">
        <v>10.173</v>
      </c>
      <c r="M862" s="208"/>
      <c r="N862" s="221"/>
    </row>
    <row r="863" spans="1:14" ht="16.5" customHeight="1" x14ac:dyDescent="0.25">
      <c r="A863" s="203">
        <v>44881</v>
      </c>
      <c r="B863" s="128" t="s">
        <v>9</v>
      </c>
      <c r="C863" s="157" t="str">
        <f t="shared" si="27"/>
        <v>16.11.2022_STE2</v>
      </c>
      <c r="D863" s="190">
        <f t="shared" si="28"/>
        <v>0</v>
      </c>
      <c r="E863" s="204">
        <v>3.5011802936938577E-2</v>
      </c>
      <c r="F863" s="205">
        <v>4.6838867297803725E-2</v>
      </c>
      <c r="G863" s="204">
        <v>2.2413737451986698E-2</v>
      </c>
      <c r="H863" s="204">
        <v>0</v>
      </c>
      <c r="I863" s="209">
        <v>9.3979999999999997</v>
      </c>
      <c r="J863" s="207">
        <v>2.1262758704782323</v>
      </c>
      <c r="K863" s="209">
        <v>12.419</v>
      </c>
      <c r="L863" s="209">
        <v>10.233000000000001</v>
      </c>
      <c r="M863" s="208"/>
      <c r="N863" s="221"/>
    </row>
    <row r="864" spans="1:14" ht="16.5" customHeight="1" x14ac:dyDescent="0.25">
      <c r="A864" s="203">
        <v>44893</v>
      </c>
      <c r="B864" s="128" t="s">
        <v>22</v>
      </c>
      <c r="C864" s="157" t="str">
        <f t="shared" si="27"/>
        <v>28.11.2022_BIE1</v>
      </c>
      <c r="D864" s="190">
        <f t="shared" si="28"/>
        <v>0</v>
      </c>
      <c r="E864" s="204">
        <v>1.7631907586637525E-2</v>
      </c>
      <c r="F864" s="205">
        <v>8.181805014259547E-3</v>
      </c>
      <c r="G864" s="204">
        <v>2.1220099292914095E-2</v>
      </c>
      <c r="H864" s="204">
        <v>0.03</v>
      </c>
      <c r="I864" s="209">
        <v>3.468</v>
      </c>
      <c r="J864" s="207">
        <v>0.80892785489995489</v>
      </c>
      <c r="K864" s="209">
        <v>9.2859999999999996</v>
      </c>
      <c r="L864" s="209">
        <v>13.688000000000001</v>
      </c>
      <c r="M864" s="208"/>
      <c r="N864" s="221"/>
    </row>
    <row r="865" spans="1:14" ht="16.5" customHeight="1" x14ac:dyDescent="0.25">
      <c r="A865" s="203">
        <v>44893</v>
      </c>
      <c r="B865" s="128" t="s">
        <v>25</v>
      </c>
      <c r="C865" s="157" t="str">
        <f t="shared" si="27"/>
        <v>28.11.2022_BIE2</v>
      </c>
      <c r="D865" s="190">
        <f t="shared" si="28"/>
        <v>0</v>
      </c>
      <c r="E865" s="204">
        <v>1.5672806743677808E-2</v>
      </c>
      <c r="F865" s="205">
        <v>2.3740478465093983E-2</v>
      </c>
      <c r="G865" s="204">
        <v>2.6117045283586583E-2</v>
      </c>
      <c r="H865" s="204">
        <v>2.3E-2</v>
      </c>
      <c r="I865" s="209">
        <v>3.2040000000000002</v>
      </c>
      <c r="J865" s="207">
        <v>0.75096945449225228</v>
      </c>
      <c r="K865" s="209">
        <v>10.106999999999999</v>
      </c>
      <c r="L865" s="209">
        <v>13.654</v>
      </c>
      <c r="M865" s="208"/>
      <c r="N865" s="221"/>
    </row>
    <row r="866" spans="1:14" ht="16.5" customHeight="1" x14ac:dyDescent="0.25">
      <c r="A866" s="203">
        <v>44893</v>
      </c>
      <c r="B866" s="128" t="s">
        <v>14</v>
      </c>
      <c r="C866" s="157" t="str">
        <f t="shared" si="27"/>
        <v>28.11.2022_BRA1</v>
      </c>
      <c r="D866" s="190">
        <f t="shared" si="28"/>
        <v>0</v>
      </c>
      <c r="E866" s="204">
        <v>9.7955042147986286E-3</v>
      </c>
      <c r="F866" s="205">
        <v>3.2378864376488591E-2</v>
      </c>
      <c r="G866" s="204">
        <v>1.9587783962689943E-2</v>
      </c>
      <c r="H866" s="204">
        <v>5.5E-2</v>
      </c>
      <c r="I866" s="209">
        <v>14.481999999999999</v>
      </c>
      <c r="J866" s="207">
        <v>3.3030038083691888</v>
      </c>
      <c r="K866" s="209">
        <v>8.7059999999999995</v>
      </c>
      <c r="L866" s="209">
        <v>8.3059999999999992</v>
      </c>
      <c r="M866" s="208"/>
      <c r="N866" s="221"/>
    </row>
    <row r="867" spans="1:14" ht="16.5" customHeight="1" x14ac:dyDescent="0.25">
      <c r="A867" s="203">
        <v>44893</v>
      </c>
      <c r="B867" s="128" t="s">
        <v>17</v>
      </c>
      <c r="C867" s="157" t="str">
        <f t="shared" si="27"/>
        <v>28.11.2022_BRA2</v>
      </c>
      <c r="D867" s="190">
        <f t="shared" si="28"/>
        <v>0</v>
      </c>
      <c r="E867" s="204">
        <v>2.9386512644395884E-2</v>
      </c>
      <c r="F867" s="205">
        <v>3.9173379463185949E-2</v>
      </c>
      <c r="G867" s="204">
        <v>1.1426207311569129E-2</v>
      </c>
      <c r="H867" s="204">
        <v>1.9362789848457181E-2</v>
      </c>
      <c r="I867" s="209">
        <v>15.574</v>
      </c>
      <c r="J867" s="207">
        <v>3.5324667170847226</v>
      </c>
      <c r="K867" s="209">
        <v>10.176</v>
      </c>
      <c r="L867" s="209">
        <v>9.1760000000000002</v>
      </c>
      <c r="M867" s="208"/>
      <c r="N867" s="221"/>
    </row>
    <row r="868" spans="1:14" ht="16.5" customHeight="1" x14ac:dyDescent="0.25">
      <c r="A868" s="203">
        <v>44893</v>
      </c>
      <c r="B868" s="128" t="s">
        <v>30</v>
      </c>
      <c r="C868" s="157" t="str">
        <f t="shared" si="27"/>
        <v>28.11.2022_FAL1</v>
      </c>
      <c r="D868" s="190">
        <f t="shared" si="28"/>
        <v>0</v>
      </c>
      <c r="E868" s="204">
        <v>3.9182016859194514E-2</v>
      </c>
      <c r="F868" s="205">
        <v>6.4096765597446093E-2</v>
      </c>
      <c r="G868" s="204">
        <v>0.10936512712501882</v>
      </c>
      <c r="H868" s="204">
        <v>0.10004108088369543</v>
      </c>
      <c r="I868" s="209">
        <v>13.201000000000001</v>
      </c>
      <c r="J868" s="207">
        <v>3.0970883046363471</v>
      </c>
      <c r="K868" s="209">
        <v>47</v>
      </c>
      <c r="L868" s="209">
        <v>37</v>
      </c>
      <c r="M868" s="208"/>
      <c r="N868" s="221"/>
    </row>
    <row r="869" spans="1:14" ht="16.5" customHeight="1" x14ac:dyDescent="0.25">
      <c r="A869" s="203">
        <v>44893</v>
      </c>
      <c r="B869" s="128" t="s">
        <v>32</v>
      </c>
      <c r="C869" s="157" t="str">
        <f t="shared" si="27"/>
        <v>28.11.2022_FAL2</v>
      </c>
      <c r="D869" s="190">
        <f t="shared" si="28"/>
        <v>0</v>
      </c>
      <c r="E869" s="204">
        <v>3.330471433031533E-2</v>
      </c>
      <c r="F869" s="205">
        <v>5.5996984688756316E-2</v>
      </c>
      <c r="G869" s="204">
        <v>3.1013991274259071E-2</v>
      </c>
      <c r="H869" s="204">
        <v>2.904418477268577E-2</v>
      </c>
      <c r="I869" s="209">
        <v>12.773999999999999</v>
      </c>
      <c r="J869" s="207">
        <v>2.918187936138593</v>
      </c>
      <c r="K869" s="209">
        <v>51</v>
      </c>
      <c r="L869" s="209">
        <v>37</v>
      </c>
      <c r="M869" s="208"/>
      <c r="N869" s="221"/>
    </row>
    <row r="870" spans="1:14" ht="16.5" customHeight="1" x14ac:dyDescent="0.25">
      <c r="A870" s="203">
        <v>44893</v>
      </c>
      <c r="B870" s="128" t="s">
        <v>26</v>
      </c>
      <c r="C870" s="157" t="str">
        <f t="shared" si="27"/>
        <v>28.11.2022_GRU1</v>
      </c>
      <c r="D870" s="190">
        <f t="shared" si="28"/>
        <v>0</v>
      </c>
      <c r="E870" s="204">
        <v>0</v>
      </c>
      <c r="F870" s="205">
        <v>2.24919838745044E-2</v>
      </c>
      <c r="G870" s="204">
        <v>3.2646306604483255E-3</v>
      </c>
      <c r="H870" s="204">
        <v>2.2589921489866716E-2</v>
      </c>
      <c r="I870" s="209">
        <v>8.6560000000000006</v>
      </c>
      <c r="J870" s="207">
        <v>1.9645431746591215</v>
      </c>
      <c r="K870" s="209">
        <v>8.891</v>
      </c>
      <c r="L870" s="209">
        <v>13.227</v>
      </c>
      <c r="M870" s="208"/>
      <c r="N870" s="221"/>
    </row>
    <row r="871" spans="1:14" ht="16.5" customHeight="1" x14ac:dyDescent="0.25">
      <c r="A871" s="203">
        <v>44893</v>
      </c>
      <c r="B871" s="128" t="s">
        <v>28</v>
      </c>
      <c r="C871" s="157" t="str">
        <f t="shared" si="27"/>
        <v>28.11.2022_GRU2</v>
      </c>
      <c r="D871" s="190">
        <f t="shared" si="28"/>
        <v>0</v>
      </c>
      <c r="E871" s="204">
        <v>1.1754605057758351E-2</v>
      </c>
      <c r="F871" s="205">
        <v>2.2386998197460279E-2</v>
      </c>
      <c r="G871" s="204">
        <v>3.2646306604483234E-2</v>
      </c>
      <c r="H871" s="204">
        <v>2.0976355669161947E-2</v>
      </c>
      <c r="I871" s="209">
        <v>7.67</v>
      </c>
      <c r="J871" s="207">
        <v>1.7641586820987913</v>
      </c>
      <c r="K871" s="209">
        <v>9.4420000000000002</v>
      </c>
      <c r="L871" s="209">
        <v>12.441000000000001</v>
      </c>
      <c r="M871" s="208"/>
      <c r="N871" s="221"/>
    </row>
    <row r="872" spans="1:14" ht="16.5" customHeight="1" x14ac:dyDescent="0.25">
      <c r="A872" s="203">
        <v>44893</v>
      </c>
      <c r="B872" s="128" t="s">
        <v>0</v>
      </c>
      <c r="C872" s="157" t="str">
        <f t="shared" si="27"/>
        <v>28.11.2022_KIN1</v>
      </c>
      <c r="D872" s="190">
        <f t="shared" si="28"/>
        <v>0</v>
      </c>
      <c r="E872" s="204">
        <v>1.9591008429597273E-3</v>
      </c>
      <c r="F872" s="205">
        <v>2.4032396253474274E-2</v>
      </c>
      <c r="G872" s="204">
        <v>1.9587783962689943E-2</v>
      </c>
      <c r="H872" s="204">
        <v>1.6135658207047665E-3</v>
      </c>
      <c r="I872" s="209">
        <v>11.212</v>
      </c>
      <c r="J872" s="207">
        <v>2.5481554084833027</v>
      </c>
      <c r="K872" s="209">
        <v>11.823</v>
      </c>
      <c r="L872" s="209">
        <v>12.146000000000001</v>
      </c>
      <c r="M872" s="208"/>
      <c r="N872" s="221"/>
    </row>
    <row r="873" spans="1:14" ht="16.5" customHeight="1" x14ac:dyDescent="0.25">
      <c r="A873" s="203">
        <v>44893</v>
      </c>
      <c r="B873" s="128" t="s">
        <v>2</v>
      </c>
      <c r="C873" s="157" t="str">
        <f t="shared" si="27"/>
        <v>28.11.2022_KIN2</v>
      </c>
      <c r="D873" s="190">
        <f t="shared" si="28"/>
        <v>0</v>
      </c>
      <c r="E873" s="204">
        <v>1.371370590071808E-2</v>
      </c>
      <c r="F873" s="205">
        <v>2.2700871067007869E-2</v>
      </c>
      <c r="G873" s="204">
        <v>1.9587783962689943E-2</v>
      </c>
      <c r="H873" s="204">
        <v>9.6813949242285941E-3</v>
      </c>
      <c r="I873" s="209">
        <v>10.395</v>
      </c>
      <c r="J873" s="207">
        <v>2.3660758690538701</v>
      </c>
      <c r="K873" s="209">
        <v>13.026999999999999</v>
      </c>
      <c r="L873" s="209">
        <v>14.205</v>
      </c>
      <c r="M873" s="208"/>
      <c r="N873" s="221"/>
    </row>
    <row r="874" spans="1:14" ht="16.5" customHeight="1" x14ac:dyDescent="0.25">
      <c r="A874" s="203">
        <v>44893</v>
      </c>
      <c r="B874" s="128" t="s">
        <v>4</v>
      </c>
      <c r="C874" s="157" t="str">
        <f t="shared" si="27"/>
        <v>28.11.2022_KIN3</v>
      </c>
      <c r="D874" s="190">
        <f t="shared" si="28"/>
        <v>0</v>
      </c>
      <c r="E874" s="204">
        <v>9.7955042147986286E-3</v>
      </c>
      <c r="F874" s="205">
        <v>2.3676037195016843E-2</v>
      </c>
      <c r="G874" s="204">
        <v>1.4690837972017454E-2</v>
      </c>
      <c r="H874" s="204">
        <v>6.4542632828190607E-3</v>
      </c>
      <c r="I874" s="209">
        <v>8.2919999999999998</v>
      </c>
      <c r="J874" s="207">
        <v>1.886286329233346</v>
      </c>
      <c r="K874" s="209">
        <v>13.944000000000001</v>
      </c>
      <c r="L874" s="209">
        <v>16.314</v>
      </c>
      <c r="M874" s="208"/>
      <c r="N874" s="221"/>
    </row>
    <row r="875" spans="1:14" ht="16.5" customHeight="1" x14ac:dyDescent="0.25">
      <c r="A875" s="203">
        <v>44893</v>
      </c>
      <c r="B875" s="128" t="s">
        <v>6</v>
      </c>
      <c r="C875" s="157" t="str">
        <f t="shared" si="27"/>
        <v>28.11.2022_KIN4</v>
      </c>
      <c r="D875" s="190">
        <f t="shared" si="28"/>
        <v>0</v>
      </c>
      <c r="E875" s="204">
        <v>2.7427411801436156E-2</v>
      </c>
      <c r="F875" s="205">
        <v>3.721714419006171E-2</v>
      </c>
      <c r="G875" s="204">
        <v>0.15996690236196781</v>
      </c>
      <c r="H875" s="204">
        <v>1.9362789848457181E-2</v>
      </c>
      <c r="I875" s="209">
        <v>9.0299999999999994</v>
      </c>
      <c r="J875" s="207">
        <v>2.1697138013844071</v>
      </c>
      <c r="K875" s="209">
        <v>21.204999999999998</v>
      </c>
      <c r="L875" s="209">
        <v>17.239999999999998</v>
      </c>
      <c r="M875" s="208"/>
      <c r="N875" s="221"/>
    </row>
    <row r="876" spans="1:14" ht="16.5" customHeight="1" x14ac:dyDescent="0.25">
      <c r="A876" s="203">
        <v>44893</v>
      </c>
      <c r="B876" s="128" t="s">
        <v>34</v>
      </c>
      <c r="C876" s="157" t="str">
        <f t="shared" si="27"/>
        <v>28.11.2022_KRE1</v>
      </c>
      <c r="D876" s="190">
        <f t="shared" si="28"/>
        <v>0</v>
      </c>
      <c r="E876" s="204">
        <v>1.371370590071808E-2</v>
      </c>
      <c r="F876" s="205">
        <v>4.6968883141429121E-2</v>
      </c>
      <c r="G876" s="204">
        <v>8.9777343162328882E-2</v>
      </c>
      <c r="H876" s="204">
        <v>4.8406974621142955E-2</v>
      </c>
      <c r="I876" s="209">
        <v>9.8970000000000002</v>
      </c>
      <c r="J876" s="207">
        <v>2.3198841026155241</v>
      </c>
      <c r="K876" s="209">
        <v>55</v>
      </c>
      <c r="L876" s="209">
        <v>50</v>
      </c>
      <c r="M876" s="208"/>
      <c r="N876" s="221"/>
    </row>
    <row r="877" spans="1:14" ht="16.5" customHeight="1" x14ac:dyDescent="0.25">
      <c r="A877" s="203">
        <v>44893</v>
      </c>
      <c r="B877" s="128" t="s">
        <v>37</v>
      </c>
      <c r="C877" s="157" t="str">
        <f t="shared" si="27"/>
        <v>28.11.2022_KRE2</v>
      </c>
      <c r="D877" s="190">
        <f t="shared" si="28"/>
        <v>0</v>
      </c>
      <c r="E877" s="204">
        <v>3.1345613487355609E-2</v>
      </c>
      <c r="F877" s="205">
        <v>5.1305762494322671E-2</v>
      </c>
      <c r="G877" s="204">
        <v>0.10446818113434633</v>
      </c>
      <c r="H877" s="204">
        <v>4.3566277159028659E-2</v>
      </c>
      <c r="I877" s="209">
        <v>10.298999999999999</v>
      </c>
      <c r="J877" s="207">
        <v>2.4206173810500746</v>
      </c>
      <c r="K877" s="209">
        <v>55</v>
      </c>
      <c r="L877" s="209">
        <v>55</v>
      </c>
      <c r="M877" s="208"/>
      <c r="N877" s="221"/>
    </row>
    <row r="878" spans="1:14" ht="16.5" customHeight="1" x14ac:dyDescent="0.25">
      <c r="A878" s="203">
        <v>44893</v>
      </c>
      <c r="B878" s="128" t="s">
        <v>18</v>
      </c>
      <c r="C878" s="157" t="str">
        <f t="shared" si="27"/>
        <v>28.11.2022_ORB1</v>
      </c>
      <c r="D878" s="190">
        <f t="shared" si="28"/>
        <v>0</v>
      </c>
      <c r="E878" s="204">
        <v>1.9591008429597273E-3</v>
      </c>
      <c r="F878" s="205">
        <v>2.4672679431313873E-2</v>
      </c>
      <c r="G878" s="204">
        <v>2.9381675944034909E-2</v>
      </c>
      <c r="H878" s="204">
        <v>2.5817053131276246E-2</v>
      </c>
      <c r="I878" s="209">
        <v>7.7480000000000002</v>
      </c>
      <c r="J878" s="207">
        <v>1.7807153393796005</v>
      </c>
      <c r="K878" s="209">
        <v>10.231</v>
      </c>
      <c r="L878" s="209">
        <v>13.125</v>
      </c>
      <c r="M878" s="208"/>
      <c r="N878" s="221"/>
    </row>
    <row r="879" spans="1:14" ht="16.5" customHeight="1" x14ac:dyDescent="0.25">
      <c r="A879" s="203">
        <v>44893</v>
      </c>
      <c r="B879" s="128" t="s">
        <v>21</v>
      </c>
      <c r="C879" s="157" t="str">
        <f t="shared" si="27"/>
        <v>28.11.2022_ORB2</v>
      </c>
      <c r="D879" s="190">
        <f t="shared" si="28"/>
        <v>0</v>
      </c>
      <c r="E879" s="204">
        <v>9.7955042147986286E-3</v>
      </c>
      <c r="F879" s="205">
        <v>2.5851884769575638E-2</v>
      </c>
      <c r="G879" s="204">
        <v>4.8969459906724848E-2</v>
      </c>
      <c r="H879" s="204">
        <v>2.4203487310571481E-2</v>
      </c>
      <c r="I879" s="209">
        <v>7.73</v>
      </c>
      <c r="J879" s="207">
        <v>1.7913681476346763</v>
      </c>
      <c r="K879" s="209">
        <v>21.474</v>
      </c>
      <c r="L879" s="209">
        <v>17.026</v>
      </c>
      <c r="M879" s="208"/>
      <c r="N879" s="221"/>
    </row>
    <row r="880" spans="1:14" ht="16.5" customHeight="1" x14ac:dyDescent="0.25">
      <c r="A880" s="203">
        <v>44893</v>
      </c>
      <c r="B880" s="128" t="s">
        <v>10</v>
      </c>
      <c r="C880" s="157" t="str">
        <f t="shared" si="27"/>
        <v>28.11.2022_SAL1</v>
      </c>
      <c r="D880" s="190">
        <f t="shared" si="28"/>
        <v>0</v>
      </c>
      <c r="E880" s="204">
        <v>1.1754605057758351E-2</v>
      </c>
      <c r="F880" s="205">
        <v>4.7853811426250017E-2</v>
      </c>
      <c r="G880" s="204">
        <v>1.9587783962689943E-2</v>
      </c>
      <c r="H880" s="204">
        <v>3.5498448055504832E-2</v>
      </c>
      <c r="I880" s="209">
        <v>12.337999999999999</v>
      </c>
      <c r="J880" s="207">
        <v>2.8128012808796869</v>
      </c>
      <c r="K880" s="209">
        <v>8.5</v>
      </c>
      <c r="L880" s="209">
        <v>8.7240000000000002</v>
      </c>
      <c r="M880" s="208"/>
      <c r="N880" s="221"/>
    </row>
    <row r="881" spans="1:14" ht="16.5" customHeight="1" x14ac:dyDescent="0.25">
      <c r="A881" s="203">
        <v>44893</v>
      </c>
      <c r="B881" s="128" t="s">
        <v>12</v>
      </c>
      <c r="C881" s="157" t="str">
        <f t="shared" si="27"/>
        <v>28.11.2022_SAL2</v>
      </c>
      <c r="D881" s="190">
        <f t="shared" si="28"/>
        <v>0</v>
      </c>
      <c r="E881" s="204">
        <v>1.9591008429597254E-2</v>
      </c>
      <c r="F881" s="205">
        <v>5.6613895284610319E-2</v>
      </c>
      <c r="G881" s="204">
        <v>1.1426207311569129E-2</v>
      </c>
      <c r="H881" s="204">
        <v>3.5498448055504832E-2</v>
      </c>
      <c r="I881" s="209">
        <v>12.074</v>
      </c>
      <c r="J881" s="207">
        <v>2.7468342182258585</v>
      </c>
      <c r="K881" s="209">
        <v>8.8070000000000004</v>
      </c>
      <c r="L881" s="209">
        <v>9.1679999999999993</v>
      </c>
      <c r="M881" s="208"/>
      <c r="N881" s="221"/>
    </row>
    <row r="882" spans="1:14" ht="16.5" customHeight="1" x14ac:dyDescent="0.25">
      <c r="A882" s="203">
        <v>44893</v>
      </c>
      <c r="B882" s="128" t="s">
        <v>7</v>
      </c>
      <c r="C882" s="157" t="str">
        <f t="shared" si="27"/>
        <v>28.11.2022_STE1</v>
      </c>
      <c r="D882" s="190">
        <f t="shared" si="28"/>
        <v>0</v>
      </c>
      <c r="E882" s="204">
        <v>4.8977521073993134E-2</v>
      </c>
      <c r="F882" s="205">
        <v>6.7030493900607502E-2</v>
      </c>
      <c r="G882" s="204">
        <v>2.7749360613810746E-2</v>
      </c>
      <c r="H882" s="204">
        <v>2.5817053131276246E-2</v>
      </c>
      <c r="I882" s="209">
        <v>13.459</v>
      </c>
      <c r="J882" s="207">
        <v>3.069391432848835</v>
      </c>
      <c r="K882" s="209">
        <v>8.3320000000000007</v>
      </c>
      <c r="L882" s="209">
        <v>8.7070000000000007</v>
      </c>
      <c r="M882" s="208"/>
      <c r="N882" s="221"/>
    </row>
    <row r="883" spans="1:14" ht="16.5" customHeight="1" x14ac:dyDescent="0.25">
      <c r="A883" s="203">
        <v>44893</v>
      </c>
      <c r="B883" s="128" t="s">
        <v>9</v>
      </c>
      <c r="C883" s="157" t="str">
        <f t="shared" si="27"/>
        <v>28.11.2022_STE2</v>
      </c>
      <c r="D883" s="190">
        <f t="shared" si="28"/>
        <v>0</v>
      </c>
      <c r="E883" s="204">
        <v>2.5468310958476428E-2</v>
      </c>
      <c r="F883" s="205">
        <v>6.07570657071871E-2</v>
      </c>
      <c r="G883" s="204">
        <v>1.6323153302241617E-2</v>
      </c>
      <c r="H883" s="204">
        <v>3.0657750593390536E-2</v>
      </c>
      <c r="I883" s="209">
        <v>13.476000000000001</v>
      </c>
      <c r="J883" s="207">
        <v>3.0658326374758156</v>
      </c>
      <c r="K883" s="209">
        <v>8.4390000000000001</v>
      </c>
      <c r="L883" s="209">
        <v>8.4979999999999993</v>
      </c>
      <c r="M883" s="208"/>
      <c r="N883" s="221"/>
    </row>
    <row r="884" spans="1:14" ht="16.5" customHeight="1" x14ac:dyDescent="0.25">
      <c r="A884" s="203">
        <v>44909</v>
      </c>
      <c r="B884" s="128" t="s">
        <v>22</v>
      </c>
      <c r="C884" s="157" t="str">
        <f t="shared" si="27"/>
        <v>14.12.2022_BIE1</v>
      </c>
      <c r="D884" s="190">
        <f t="shared" si="28"/>
        <v>0</v>
      </c>
      <c r="E884" s="204">
        <v>5.3800437910541121E-2</v>
      </c>
      <c r="F884" s="205">
        <v>1.6254491645274979E-2</v>
      </c>
      <c r="G884" s="204">
        <v>4.3564221556617884E-2</v>
      </c>
      <c r="H884" s="204">
        <v>3.715846994535521E-2</v>
      </c>
      <c r="I884" s="209">
        <v>4.0970000000000004</v>
      </c>
      <c r="J884" s="207">
        <v>0.97052946857136169</v>
      </c>
      <c r="K884" s="209">
        <v>9.5090000000000003</v>
      </c>
      <c r="L884" s="209">
        <v>14.282999999999999</v>
      </c>
      <c r="M884" s="208"/>
      <c r="N884" s="221"/>
    </row>
    <row r="885" spans="1:14" ht="16.5" customHeight="1" x14ac:dyDescent="0.25">
      <c r="A885" s="203">
        <v>44909</v>
      </c>
      <c r="B885" s="128" t="s">
        <v>25</v>
      </c>
      <c r="C885" s="157" t="str">
        <f t="shared" si="27"/>
        <v>14.12.2022_BIE2</v>
      </c>
      <c r="D885" s="190">
        <f t="shared" si="28"/>
        <v>0</v>
      </c>
      <c r="E885" s="204">
        <v>5.7835470753831712E-2</v>
      </c>
      <c r="F885" s="205">
        <v>4.8245548953619918E-2</v>
      </c>
      <c r="G885" s="204">
        <v>0.39083330196508637</v>
      </c>
      <c r="H885" s="204">
        <v>2.1857923497267773E-2</v>
      </c>
      <c r="I885" s="209">
        <v>4.0330000000000004</v>
      </c>
      <c r="J885" s="207">
        <v>1.2210665054516132</v>
      </c>
      <c r="K885" s="209">
        <v>10.955</v>
      </c>
      <c r="L885" s="209">
        <v>14.396000000000001</v>
      </c>
      <c r="M885" s="208"/>
      <c r="N885" s="221"/>
    </row>
    <row r="886" spans="1:14" ht="16.5" customHeight="1" x14ac:dyDescent="0.25">
      <c r="A886" s="203">
        <v>44909</v>
      </c>
      <c r="B886" s="128" t="s">
        <v>14</v>
      </c>
      <c r="C886" s="157" t="str">
        <f t="shared" si="27"/>
        <v>14.12.2022_BRA1</v>
      </c>
      <c r="D886" s="190">
        <f t="shared" si="28"/>
        <v>0</v>
      </c>
      <c r="E886" s="204">
        <v>2.4210197059743505E-2</v>
      </c>
      <c r="F886" s="205">
        <v>3.1285378535487969E-2</v>
      </c>
      <c r="G886" s="204">
        <v>2.3026802822783764E-2</v>
      </c>
      <c r="H886" s="204">
        <v>1.7486338797814222E-2</v>
      </c>
      <c r="I886" s="209">
        <v>13.523</v>
      </c>
      <c r="J886" s="207">
        <v>3.0776438079708575</v>
      </c>
      <c r="K886" s="209">
        <v>11.202</v>
      </c>
      <c r="L886" s="209">
        <v>7.2119999999999997</v>
      </c>
      <c r="M886" s="208"/>
      <c r="N886" s="221"/>
    </row>
    <row r="887" spans="1:14" ht="16.5" customHeight="1" x14ac:dyDescent="0.25">
      <c r="A887" s="203">
        <v>44909</v>
      </c>
      <c r="B887" s="128" t="s">
        <v>17</v>
      </c>
      <c r="C887" s="157" t="str">
        <f t="shared" si="27"/>
        <v>14.12.2022_BRA2</v>
      </c>
      <c r="D887" s="190">
        <f t="shared" si="28"/>
        <v>0</v>
      </c>
      <c r="E887" s="204">
        <v>3.3625273694088229E-2</v>
      </c>
      <c r="F887" s="205">
        <v>4.2789604104400317E-2</v>
      </c>
      <c r="G887" s="204">
        <v>3.9830145423193485E-2</v>
      </c>
      <c r="H887" s="204">
        <v>1.7486338797814222E-2</v>
      </c>
      <c r="I887" s="209">
        <v>15.881</v>
      </c>
      <c r="J887" s="207">
        <v>3.6232928954666503</v>
      </c>
      <c r="K887" s="209">
        <v>13.41</v>
      </c>
      <c r="L887" s="209">
        <v>8.1489999999999991</v>
      </c>
      <c r="M887" s="208"/>
      <c r="N887" s="221"/>
    </row>
    <row r="888" spans="1:14" ht="16.5" customHeight="1" x14ac:dyDescent="0.25">
      <c r="A888" s="203">
        <v>44909</v>
      </c>
      <c r="B888" s="128" t="s">
        <v>30</v>
      </c>
      <c r="C888" s="157" t="str">
        <f t="shared" si="27"/>
        <v>14.12.2022_FAL1</v>
      </c>
      <c r="D888" s="190">
        <f t="shared" si="28"/>
        <v>0</v>
      </c>
      <c r="E888" s="204">
        <v>8.0700656865811723E-2</v>
      </c>
      <c r="F888" s="205">
        <v>7.2625717888641389E-2</v>
      </c>
      <c r="G888" s="204">
        <v>0.10393178571364557</v>
      </c>
      <c r="H888" s="204">
        <v>8.4153005464480901E-2</v>
      </c>
      <c r="I888" s="209">
        <v>14.819000000000001</v>
      </c>
      <c r="J888" s="207">
        <v>3.4534899048024501</v>
      </c>
      <c r="K888" s="209">
        <v>66</v>
      </c>
      <c r="L888" s="209">
        <v>41</v>
      </c>
      <c r="M888" s="208"/>
      <c r="N888" s="221"/>
    </row>
    <row r="889" spans="1:14" ht="16.5" customHeight="1" x14ac:dyDescent="0.25">
      <c r="A889" s="203">
        <v>44909</v>
      </c>
      <c r="B889" s="128" t="s">
        <v>32</v>
      </c>
      <c r="C889" s="157" t="str">
        <f t="shared" si="27"/>
        <v>14.12.2022_FAL2</v>
      </c>
      <c r="D889" s="190">
        <f t="shared" si="28"/>
        <v>0</v>
      </c>
      <c r="E889" s="204">
        <v>6.4560525492649373E-2</v>
      </c>
      <c r="F889" s="205">
        <v>4.1134092187995831E-2</v>
      </c>
      <c r="G889" s="204">
        <v>6.9702754490588645E-2</v>
      </c>
      <c r="H889" s="204">
        <v>5.136612021857926E-2</v>
      </c>
      <c r="I889" s="209">
        <v>16.911999999999999</v>
      </c>
      <c r="J889" s="207">
        <v>3.8896753471349435</v>
      </c>
      <c r="K889" s="209">
        <v>63</v>
      </c>
      <c r="L889" s="209">
        <v>40</v>
      </c>
      <c r="M889" s="208"/>
      <c r="N889" s="221"/>
    </row>
    <row r="890" spans="1:14" ht="16.5" customHeight="1" x14ac:dyDescent="0.25">
      <c r="A890" s="203">
        <v>44909</v>
      </c>
      <c r="B890" s="128" t="s">
        <v>26</v>
      </c>
      <c r="C890" s="157" t="str">
        <f t="shared" si="27"/>
        <v>14.12.2022_GRU1</v>
      </c>
      <c r="D890" s="190">
        <f t="shared" si="28"/>
        <v>0</v>
      </c>
      <c r="E890" s="204">
        <v>0</v>
      </c>
      <c r="F890" s="205">
        <v>2.0456996812485025E-2</v>
      </c>
      <c r="G890" s="204">
        <v>4.4186567578855286E-2</v>
      </c>
      <c r="H890" s="204">
        <v>0</v>
      </c>
      <c r="I890" s="209">
        <v>8.4350000000000005</v>
      </c>
      <c r="J890" s="207">
        <v>1.9391911456188682</v>
      </c>
      <c r="K890" s="209">
        <v>9.1229999999999993</v>
      </c>
      <c r="L890" s="209">
        <v>16.401</v>
      </c>
      <c r="M890" s="208"/>
      <c r="N890" s="221"/>
    </row>
    <row r="891" spans="1:14" ht="16.5" customHeight="1" x14ac:dyDescent="0.25">
      <c r="A891" s="203">
        <v>44909</v>
      </c>
      <c r="B891" s="128" t="s">
        <v>28</v>
      </c>
      <c r="C891" s="157" t="str">
        <f t="shared" si="27"/>
        <v>14.12.2022_GRU2</v>
      </c>
      <c r="D891" s="190">
        <f t="shared" si="28"/>
        <v>0</v>
      </c>
      <c r="E891" s="204">
        <v>0</v>
      </c>
      <c r="F891" s="205">
        <v>1.7992330664444913E-2</v>
      </c>
      <c r="G891" s="204">
        <v>7.1569792557300838E-2</v>
      </c>
      <c r="H891" s="204">
        <v>0</v>
      </c>
      <c r="I891" s="209">
        <v>7.3630000000000004</v>
      </c>
      <c r="J891" s="207">
        <v>1.7179885737419442</v>
      </c>
      <c r="K891" s="209">
        <v>9.5980000000000008</v>
      </c>
      <c r="L891" s="209">
        <v>14.311999999999999</v>
      </c>
      <c r="M891" s="208"/>
      <c r="N891" s="221"/>
    </row>
    <row r="892" spans="1:14" ht="16.5" customHeight="1" x14ac:dyDescent="0.25">
      <c r="A892" s="203">
        <v>44909</v>
      </c>
      <c r="B892" s="128" t="s">
        <v>0</v>
      </c>
      <c r="C892" s="157" t="str">
        <f t="shared" si="27"/>
        <v>14.12.2022_KIN1</v>
      </c>
      <c r="D892" s="190">
        <f t="shared" si="28"/>
        <v>0</v>
      </c>
      <c r="E892" s="204">
        <v>2.421019705974356E-2</v>
      </c>
      <c r="F892" s="205">
        <v>2.1434735527884149E-2</v>
      </c>
      <c r="G892" s="204">
        <v>3.5473723267531711E-2</v>
      </c>
      <c r="H892" s="204">
        <v>4.3715846994535502E-3</v>
      </c>
      <c r="I892" s="209">
        <v>10.311999999999999</v>
      </c>
      <c r="J892" s="207">
        <v>2.3580473603417542</v>
      </c>
      <c r="K892" s="209">
        <v>11.525</v>
      </c>
      <c r="L892" s="209">
        <v>13.268000000000001</v>
      </c>
      <c r="M892" s="208"/>
      <c r="N892" s="221"/>
    </row>
    <row r="893" spans="1:14" ht="16.5" customHeight="1" x14ac:dyDescent="0.25">
      <c r="A893" s="203">
        <v>44909</v>
      </c>
      <c r="B893" s="128" t="s">
        <v>2</v>
      </c>
      <c r="C893" s="157" t="str">
        <f t="shared" si="27"/>
        <v>14.12.2022_KIN2</v>
      </c>
      <c r="D893" s="190">
        <f t="shared" si="28"/>
        <v>0</v>
      </c>
      <c r="E893" s="204">
        <v>1.6140131373162385E-2</v>
      </c>
      <c r="F893" s="205">
        <v>1.5854810976238559E-2</v>
      </c>
      <c r="G893" s="204">
        <v>1.7425688622647172E-2</v>
      </c>
      <c r="H893" s="204">
        <v>1.7486338797814222E-2</v>
      </c>
      <c r="I893" s="209">
        <v>10.766999999999999</v>
      </c>
      <c r="J893" s="207">
        <v>2.450796878805594</v>
      </c>
      <c r="K893" s="209">
        <v>14.079000000000001</v>
      </c>
      <c r="L893" s="209">
        <v>15.688000000000001</v>
      </c>
      <c r="M893" s="208"/>
      <c r="N893" s="221"/>
    </row>
    <row r="894" spans="1:14" ht="16.5" customHeight="1" x14ac:dyDescent="0.25">
      <c r="A894" s="203">
        <v>44909</v>
      </c>
      <c r="B894" s="128" t="s">
        <v>4</v>
      </c>
      <c r="C894" s="157" t="str">
        <f t="shared" si="27"/>
        <v>14.12.2022_KIN3</v>
      </c>
      <c r="D894" s="190">
        <f t="shared" si="28"/>
        <v>0</v>
      </c>
      <c r="E894" s="204">
        <v>1.7485142320925903E-2</v>
      </c>
      <c r="F894" s="205">
        <v>1.6737519261656168E-2</v>
      </c>
      <c r="G894" s="204">
        <v>0.24147025662811067</v>
      </c>
      <c r="H894" s="204">
        <v>1.4207650273224055E-2</v>
      </c>
      <c r="I894" s="209">
        <v>9.2680000000000007</v>
      </c>
      <c r="J894" s="207">
        <v>2.2851879186948447</v>
      </c>
      <c r="K894" s="209">
        <v>15.441000000000001</v>
      </c>
      <c r="L894" s="209">
        <v>16.844999999999999</v>
      </c>
      <c r="M894" s="208"/>
      <c r="N894" s="221"/>
    </row>
    <row r="895" spans="1:14" ht="16.5" customHeight="1" x14ac:dyDescent="0.25">
      <c r="A895" s="203">
        <v>44909</v>
      </c>
      <c r="B895" s="128" t="s">
        <v>6</v>
      </c>
      <c r="C895" s="157" t="str">
        <f t="shared" si="27"/>
        <v>14.12.2022_KIN4</v>
      </c>
      <c r="D895" s="190">
        <f t="shared" si="28"/>
        <v>0</v>
      </c>
      <c r="E895" s="204">
        <v>6.4560525492649373E-2</v>
      </c>
      <c r="F895" s="205">
        <v>3.0329420360461164E-2</v>
      </c>
      <c r="G895" s="204">
        <v>0.18670380667121958</v>
      </c>
      <c r="H895" s="204">
        <v>5.683060109289622E-2</v>
      </c>
      <c r="I895" s="209">
        <v>9.4879999999999995</v>
      </c>
      <c r="J895" s="207">
        <v>2.3053302753448675</v>
      </c>
      <c r="K895" s="209">
        <v>23.885999999999999</v>
      </c>
      <c r="L895" s="209">
        <v>18.079000000000001</v>
      </c>
      <c r="M895" s="208"/>
      <c r="N895" s="221"/>
    </row>
    <row r="896" spans="1:14" ht="16.5" customHeight="1" x14ac:dyDescent="0.25">
      <c r="A896" s="203">
        <v>44909</v>
      </c>
      <c r="B896" s="128" t="s">
        <v>34</v>
      </c>
      <c r="C896" s="157" t="str">
        <f t="shared" si="27"/>
        <v>14.12.2022_KRE1</v>
      </c>
      <c r="D896" s="190">
        <f t="shared" si="28"/>
        <v>0</v>
      </c>
      <c r="E896" s="204">
        <v>0</v>
      </c>
      <c r="F896" s="205">
        <v>3.1635557976405486E-2</v>
      </c>
      <c r="G896" s="204">
        <v>0.54828684559114804</v>
      </c>
      <c r="H896" s="204">
        <v>2.6229508196721346E-2</v>
      </c>
      <c r="I896" s="209">
        <v>11.856</v>
      </c>
      <c r="J896" s="207">
        <v>3.1116395465035622</v>
      </c>
      <c r="K896" s="209">
        <v>67</v>
      </c>
      <c r="L896" s="209">
        <v>48</v>
      </c>
      <c r="M896" s="208"/>
      <c r="N896" s="221"/>
    </row>
    <row r="897" spans="1:14" ht="16.5" customHeight="1" x14ac:dyDescent="0.25">
      <c r="A897" s="203">
        <v>44909</v>
      </c>
      <c r="B897" s="128" t="s">
        <v>37</v>
      </c>
      <c r="C897" s="157" t="str">
        <f t="shared" si="27"/>
        <v>14.12.2022_KRE2</v>
      </c>
      <c r="D897" s="190">
        <f t="shared" si="28"/>
        <v>0</v>
      </c>
      <c r="E897" s="204">
        <v>2.6900218955270686E-3</v>
      </c>
      <c r="F897" s="205">
        <v>3.47487916008608E-2</v>
      </c>
      <c r="G897" s="204">
        <v>0.3615830389199286</v>
      </c>
      <c r="H897" s="204">
        <v>2.6229508196721346E-2</v>
      </c>
      <c r="I897" s="209">
        <v>14.587</v>
      </c>
      <c r="J897" s="207">
        <v>3.5835168776614266</v>
      </c>
      <c r="K897" s="209">
        <v>64</v>
      </c>
      <c r="L897" s="209">
        <v>52</v>
      </c>
      <c r="M897" s="208"/>
      <c r="N897" s="221"/>
    </row>
    <row r="898" spans="1:14" ht="16.5" customHeight="1" x14ac:dyDescent="0.25">
      <c r="A898" s="203">
        <v>44909</v>
      </c>
      <c r="B898" s="128" t="s">
        <v>18</v>
      </c>
      <c r="C898" s="157" t="str">
        <f t="shared" si="27"/>
        <v>14.12.2022_ORB1</v>
      </c>
      <c r="D898" s="190">
        <f t="shared" si="28"/>
        <v>0</v>
      </c>
      <c r="E898" s="204">
        <v>2.0175164216452917E-2</v>
      </c>
      <c r="F898" s="205">
        <v>2.5781760425187844E-2</v>
      </c>
      <c r="G898" s="204">
        <v>3.8585453378718694E-2</v>
      </c>
      <c r="H898" s="204">
        <v>4.3715846994535502E-3</v>
      </c>
      <c r="I898" s="209">
        <v>8.2029999999999994</v>
      </c>
      <c r="J898" s="207">
        <v>1.8841037576557897</v>
      </c>
      <c r="K898" s="209">
        <v>10.132999999999999</v>
      </c>
      <c r="L898" s="209">
        <v>13.542</v>
      </c>
      <c r="M898" s="208"/>
      <c r="N898" s="221"/>
    </row>
    <row r="899" spans="1:14" ht="16.5" customHeight="1" x14ac:dyDescent="0.25">
      <c r="A899" s="203">
        <v>44909</v>
      </c>
      <c r="B899" s="128" t="s">
        <v>21</v>
      </c>
      <c r="C899" s="157" t="str">
        <f t="shared" si="27"/>
        <v>14.12.2022_ORB2</v>
      </c>
      <c r="D899" s="190">
        <f t="shared" si="28"/>
        <v>0</v>
      </c>
      <c r="E899" s="204">
        <v>1.7485142320925903E-2</v>
      </c>
      <c r="F899" s="205">
        <v>2.4239603339173955E-2</v>
      </c>
      <c r="G899" s="204">
        <v>4.5431259623330077E-2</v>
      </c>
      <c r="H899" s="204">
        <v>3.6065573770491806E-2</v>
      </c>
      <c r="I899" s="209">
        <v>8.8320000000000007</v>
      </c>
      <c r="J899" s="207">
        <v>2.0411409227193458</v>
      </c>
      <c r="K899" s="209">
        <v>23.315999999999999</v>
      </c>
      <c r="L899" s="209">
        <v>18.247</v>
      </c>
      <c r="M899" s="208"/>
      <c r="N899" s="221"/>
    </row>
    <row r="900" spans="1:14" ht="16.5" customHeight="1" x14ac:dyDescent="0.25">
      <c r="A900" s="203">
        <v>44909</v>
      </c>
      <c r="B900" s="128" t="s">
        <v>10</v>
      </c>
      <c r="C900" s="157" t="str">
        <f t="shared" si="27"/>
        <v>14.12.2022_SAL1</v>
      </c>
      <c r="D900" s="190">
        <f t="shared" si="28"/>
        <v>0</v>
      </c>
      <c r="E900" s="204">
        <v>0.17350641226149521</v>
      </c>
      <c r="F900" s="205">
        <v>4.1881790346721681E-2</v>
      </c>
      <c r="G900" s="204">
        <v>2.5516186911733341E-2</v>
      </c>
      <c r="H900" s="204">
        <v>3.3879781420765039E-2</v>
      </c>
      <c r="I900" s="209">
        <v>13.907</v>
      </c>
      <c r="J900" s="207">
        <v>3.1713018534286439</v>
      </c>
      <c r="K900" s="209">
        <v>9.8160000000000007</v>
      </c>
      <c r="L900" s="209">
        <v>8.1649999999999991</v>
      </c>
      <c r="M900" s="208"/>
      <c r="N900" s="221"/>
    </row>
    <row r="901" spans="1:14" ht="16.5" customHeight="1" x14ac:dyDescent="0.25">
      <c r="A901" s="203">
        <v>44909</v>
      </c>
      <c r="B901" s="128" t="s">
        <v>12</v>
      </c>
      <c r="C901" s="157" t="str">
        <f t="shared" ref="C901:C964" si="29">CONCATENATE(TEXT(A901,"TT.MM.JJJJ"),"_",B901)</f>
        <v>14.12.2022_SAL2</v>
      </c>
      <c r="D901" s="190">
        <f t="shared" ref="D901:D964" si="30">COUNTBLANK(E901:L901)</f>
        <v>0</v>
      </c>
      <c r="E901" s="204">
        <v>7.5320613074757584E-2</v>
      </c>
      <c r="F901" s="205">
        <v>4.2203309769359029E-2</v>
      </c>
      <c r="G901" s="204">
        <v>3.422903122305692E-2</v>
      </c>
      <c r="H901" s="204">
        <v>3.715846994535521E-2</v>
      </c>
      <c r="I901" s="209">
        <v>13.879</v>
      </c>
      <c r="J901" s="207">
        <v>3.1727411266292544</v>
      </c>
      <c r="K901" s="209">
        <v>10.316000000000001</v>
      </c>
      <c r="L901" s="209">
        <v>8.6340000000000003</v>
      </c>
      <c r="M901" s="208"/>
      <c r="N901" s="221"/>
    </row>
    <row r="902" spans="1:14" ht="16.5" customHeight="1" x14ac:dyDescent="0.25">
      <c r="A902" s="203">
        <v>44909</v>
      </c>
      <c r="B902" s="128" t="s">
        <v>7</v>
      </c>
      <c r="C902" s="157" t="str">
        <f t="shared" si="29"/>
        <v>14.12.2022_STE1</v>
      </c>
      <c r="D902" s="190">
        <f t="shared" si="30"/>
        <v>0</v>
      </c>
      <c r="E902" s="204">
        <v>4.3040350328432904E-2</v>
      </c>
      <c r="F902" s="205">
        <v>5.3559168825992591E-2</v>
      </c>
      <c r="G902" s="204">
        <v>3.3606685200819511E-2</v>
      </c>
      <c r="H902" s="204">
        <v>5.4644808743169321E-3</v>
      </c>
      <c r="I902" s="209">
        <v>15.752000000000001</v>
      </c>
      <c r="J902" s="207">
        <v>3.5856631561937702</v>
      </c>
      <c r="K902" s="209">
        <v>10.632</v>
      </c>
      <c r="L902" s="209">
        <v>8.7910000000000004</v>
      </c>
      <c r="M902" s="208"/>
      <c r="N902" s="221"/>
    </row>
    <row r="903" spans="1:14" ht="16.5" customHeight="1" x14ac:dyDescent="0.25">
      <c r="A903" s="203">
        <v>44909</v>
      </c>
      <c r="B903" s="128" t="s">
        <v>9</v>
      </c>
      <c r="C903" s="157" t="str">
        <f t="shared" si="29"/>
        <v>14.12.2022_STE2</v>
      </c>
      <c r="D903" s="190">
        <f t="shared" si="30"/>
        <v>0</v>
      </c>
      <c r="E903" s="204">
        <v>6.3215514544885845E-2</v>
      </c>
      <c r="F903" s="205">
        <v>5.0482935878555305E-2</v>
      </c>
      <c r="G903" s="204">
        <v>3.4851377245294302E-2</v>
      </c>
      <c r="H903" s="204">
        <v>2.2950819672131178E-2</v>
      </c>
      <c r="I903" s="209">
        <v>14.192</v>
      </c>
      <c r="J903" s="207">
        <v>3.2395961629663788</v>
      </c>
      <c r="K903" s="209">
        <v>11.532</v>
      </c>
      <c r="L903" s="209">
        <v>8.8770000000000007</v>
      </c>
      <c r="M903" s="208"/>
      <c r="N903" s="221"/>
    </row>
    <row r="904" spans="1:14" ht="16.5" customHeight="1" x14ac:dyDescent="0.25">
      <c r="A904" s="203">
        <v>44923</v>
      </c>
      <c r="B904" s="128" t="s">
        <v>22</v>
      </c>
      <c r="C904" s="157" t="str">
        <f t="shared" si="29"/>
        <v>28.12.2022_BIE1</v>
      </c>
      <c r="D904" s="190">
        <f t="shared" si="30"/>
        <v>0</v>
      </c>
      <c r="E904" s="204">
        <v>3.2573229514275139E-2</v>
      </c>
      <c r="F904" s="205">
        <v>2.6100491676241379E-2</v>
      </c>
      <c r="G904" s="204">
        <v>2.4321735146331007E-2</v>
      </c>
      <c r="H904" s="204">
        <v>1.6432880844645583E-2</v>
      </c>
      <c r="I904" s="209">
        <v>6.8129999999999997</v>
      </c>
      <c r="J904" s="207">
        <v>1.5627408846969266</v>
      </c>
      <c r="K904" s="209">
        <v>10.728</v>
      </c>
      <c r="L904" s="209">
        <v>12.01</v>
      </c>
      <c r="M904" s="208"/>
      <c r="N904" s="221"/>
    </row>
    <row r="905" spans="1:14" ht="16.5" customHeight="1" x14ac:dyDescent="0.25">
      <c r="A905" s="203">
        <v>44923</v>
      </c>
      <c r="B905" s="128" t="s">
        <v>25</v>
      </c>
      <c r="C905" s="157" t="str">
        <f t="shared" si="29"/>
        <v>28.12.2022_BIE2</v>
      </c>
      <c r="D905" s="190">
        <f t="shared" si="30"/>
        <v>0</v>
      </c>
      <c r="E905" s="204">
        <v>7.2227595879479606E-2</v>
      </c>
      <c r="F905" s="205">
        <v>3.6433953560107826E-2</v>
      </c>
      <c r="G905" s="204">
        <v>0.11437788960707024</v>
      </c>
      <c r="H905" s="204">
        <v>6.3203387864021491E-3</v>
      </c>
      <c r="I905" s="209">
        <v>6.9930000000000003</v>
      </c>
      <c r="J905" s="207">
        <v>1.6702464246445139</v>
      </c>
      <c r="K905" s="209">
        <v>12.409000000000001</v>
      </c>
      <c r="L905" s="209">
        <v>12.034000000000001</v>
      </c>
      <c r="M905" s="208"/>
      <c r="N905" s="221"/>
    </row>
    <row r="906" spans="1:14" ht="16.5" customHeight="1" x14ac:dyDescent="0.25">
      <c r="A906" s="203">
        <v>44923</v>
      </c>
      <c r="B906" s="128" t="s">
        <v>14</v>
      </c>
      <c r="C906" s="157" t="str">
        <f t="shared" si="29"/>
        <v>28.12.2022_BRA1</v>
      </c>
      <c r="D906" s="190">
        <f t="shared" si="30"/>
        <v>0</v>
      </c>
      <c r="E906" s="204">
        <v>3.2573229514275139E-2</v>
      </c>
      <c r="F906" s="205">
        <v>3.7111359974904827E-2</v>
      </c>
      <c r="G906" s="204">
        <v>1.1174851283449392E-2</v>
      </c>
      <c r="H906" s="204">
        <v>5.3090845805777949E-2</v>
      </c>
      <c r="I906" s="209">
        <v>18.501999999999999</v>
      </c>
      <c r="J906" s="207">
        <v>4.2038874082786544</v>
      </c>
      <c r="K906" s="209">
        <v>8.1140000000000008</v>
      </c>
      <c r="L906" s="209">
        <v>8.7870000000000008</v>
      </c>
      <c r="M906" s="208"/>
      <c r="N906" s="221"/>
    </row>
    <row r="907" spans="1:14" ht="16.5" customHeight="1" x14ac:dyDescent="0.25">
      <c r="A907" s="203">
        <v>44923</v>
      </c>
      <c r="B907" s="128" t="s">
        <v>17</v>
      </c>
      <c r="C907" s="157" t="str">
        <f t="shared" si="29"/>
        <v>28.12.2022_BRA2</v>
      </c>
      <c r="D907" s="190">
        <f t="shared" si="30"/>
        <v>0</v>
      </c>
      <c r="E907" s="204">
        <v>4.2486821105576292E-2</v>
      </c>
      <c r="F907" s="205">
        <v>4.1393553173381226E-2</v>
      </c>
      <c r="G907" s="204">
        <v>2.8923144498339593E-2</v>
      </c>
      <c r="H907" s="204">
        <v>7.0787794407703927E-2</v>
      </c>
      <c r="I907" s="209">
        <v>20.100999999999999</v>
      </c>
      <c r="J907" s="207">
        <v>4.5842227464789413</v>
      </c>
      <c r="K907" s="209">
        <v>9.6180000000000003</v>
      </c>
      <c r="L907" s="209">
        <v>9.484</v>
      </c>
      <c r="M907" s="208"/>
      <c r="N907" s="221"/>
    </row>
    <row r="908" spans="1:14" ht="16.5" customHeight="1" x14ac:dyDescent="0.25">
      <c r="A908" s="203">
        <v>44923</v>
      </c>
      <c r="B908" s="128" t="s">
        <v>30</v>
      </c>
      <c r="C908" s="157" t="str">
        <f t="shared" si="29"/>
        <v>28.12.2022_FAL1</v>
      </c>
      <c r="D908" s="190">
        <f t="shared" si="30"/>
        <v>0</v>
      </c>
      <c r="E908" s="204">
        <v>0.13029291805710053</v>
      </c>
      <c r="F908" s="205">
        <v>0.12405907436507789</v>
      </c>
      <c r="G908" s="204">
        <v>9.0713498653883298E-2</v>
      </c>
      <c r="H908" s="204">
        <v>9.1012878524190766E-2</v>
      </c>
      <c r="I908" s="209">
        <v>16.835000000000001</v>
      </c>
      <c r="J908" s="207">
        <v>3.9006684454364438</v>
      </c>
      <c r="K908" s="209">
        <v>28</v>
      </c>
      <c r="L908" s="209">
        <v>29.556000000000001</v>
      </c>
      <c r="M908" s="208"/>
      <c r="N908" s="221"/>
    </row>
    <row r="909" spans="1:14" ht="16.5" customHeight="1" x14ac:dyDescent="0.25">
      <c r="A909" s="203">
        <v>44923</v>
      </c>
      <c r="B909" s="128" t="s">
        <v>32</v>
      </c>
      <c r="C909" s="157" t="str">
        <f t="shared" si="29"/>
        <v>28.12.2022_FAL2</v>
      </c>
      <c r="D909" s="190">
        <f t="shared" si="30"/>
        <v>0</v>
      </c>
      <c r="E909" s="204">
        <v>0.20393674130676606</v>
      </c>
      <c r="F909" s="205">
        <v>0.16595675579882641</v>
      </c>
      <c r="G909" s="204">
        <v>0.13804228056025722</v>
      </c>
      <c r="H909" s="204">
        <v>0.1731772827474185</v>
      </c>
      <c r="I909" s="209">
        <v>12.185</v>
      </c>
      <c r="J909" s="207">
        <v>2.9121382241646856</v>
      </c>
      <c r="K909" s="209">
        <v>28</v>
      </c>
      <c r="L909" s="209">
        <v>25.693999999999999</v>
      </c>
      <c r="M909" s="208"/>
      <c r="N909" s="221"/>
    </row>
    <row r="910" spans="1:14" ht="16.5" customHeight="1" x14ac:dyDescent="0.25">
      <c r="A910" s="203">
        <v>44923</v>
      </c>
      <c r="B910" s="128" t="s">
        <v>26</v>
      </c>
      <c r="C910" s="157" t="str">
        <f t="shared" si="29"/>
        <v>28.12.2022_GRU1</v>
      </c>
      <c r="D910" s="190">
        <f t="shared" si="30"/>
        <v>0</v>
      </c>
      <c r="E910" s="204">
        <v>0</v>
      </c>
      <c r="F910" s="205">
        <v>2.8911857269222213E-2</v>
      </c>
      <c r="G910" s="204">
        <v>5.1930191258382469E-2</v>
      </c>
      <c r="H910" s="204">
        <v>1.5168813087365162E-2</v>
      </c>
      <c r="I910" s="209">
        <v>14.551</v>
      </c>
      <c r="J910" s="207">
        <v>3.3315757893546696</v>
      </c>
      <c r="K910" s="209">
        <v>8.4350000000000005</v>
      </c>
      <c r="L910" s="209">
        <v>10.262</v>
      </c>
      <c r="M910" s="208"/>
      <c r="N910" s="221"/>
    </row>
    <row r="911" spans="1:14" ht="16.5" customHeight="1" x14ac:dyDescent="0.25">
      <c r="A911" s="203">
        <v>44923</v>
      </c>
      <c r="B911" s="128" t="s">
        <v>28</v>
      </c>
      <c r="C911" s="157" t="str">
        <f t="shared" si="29"/>
        <v>28.12.2022_GRU2</v>
      </c>
      <c r="D911" s="190">
        <f t="shared" si="30"/>
        <v>0</v>
      </c>
      <c r="E911" s="204">
        <v>1.5578501072044622E-2</v>
      </c>
      <c r="F911" s="205">
        <v>2.9536088629813419E-2</v>
      </c>
      <c r="G911" s="204">
        <v>7.7566614791001659E-2</v>
      </c>
      <c r="H911" s="204">
        <v>8.8484743009630135E-3</v>
      </c>
      <c r="I911" s="209">
        <v>13.842000000000001</v>
      </c>
      <c r="J911" s="207">
        <v>3.1894161587199932</v>
      </c>
      <c r="K911" s="209">
        <v>8.923</v>
      </c>
      <c r="L911" s="209">
        <v>10.526</v>
      </c>
      <c r="M911" s="208"/>
      <c r="N911" s="221"/>
    </row>
    <row r="912" spans="1:14" ht="16.5" customHeight="1" x14ac:dyDescent="0.25">
      <c r="A912" s="203">
        <v>44923</v>
      </c>
      <c r="B912" s="128" t="s">
        <v>0</v>
      </c>
      <c r="C912" s="157" t="str">
        <f t="shared" si="29"/>
        <v>28.12.2022_KIN1</v>
      </c>
      <c r="D912" s="190">
        <f t="shared" si="30"/>
        <v>0</v>
      </c>
      <c r="E912" s="204">
        <v>7.6476277990037242E-2</v>
      </c>
      <c r="F912" s="205">
        <v>7.2848208017025684E-2</v>
      </c>
      <c r="G912" s="204">
        <v>3.878330739550083E-2</v>
      </c>
      <c r="H912" s="204">
        <v>1.1376609815523879E-2</v>
      </c>
      <c r="I912" s="209">
        <v>15.459</v>
      </c>
      <c r="J912" s="207">
        <v>3.5253027892178683</v>
      </c>
      <c r="K912" s="209">
        <v>15.558999999999999</v>
      </c>
      <c r="L912" s="209">
        <v>8.93</v>
      </c>
      <c r="M912" s="208"/>
      <c r="N912" s="221"/>
    </row>
    <row r="913" spans="1:14" ht="16.5" customHeight="1" x14ac:dyDescent="0.25">
      <c r="A913" s="203">
        <v>44923</v>
      </c>
      <c r="B913" s="128" t="s">
        <v>2</v>
      </c>
      <c r="C913" s="157" t="str">
        <f t="shared" si="29"/>
        <v>28.12.2022_KIN2</v>
      </c>
      <c r="D913" s="190">
        <f t="shared" si="30"/>
        <v>0</v>
      </c>
      <c r="E913" s="204">
        <v>6.3730231658364347E-2</v>
      </c>
      <c r="F913" s="205">
        <v>6.4085652697504103E-2</v>
      </c>
      <c r="G913" s="204">
        <v>3.3524553850348179E-2</v>
      </c>
      <c r="H913" s="204">
        <v>3.9186100475693257E-2</v>
      </c>
      <c r="I913" s="209">
        <v>15.516</v>
      </c>
      <c r="J913" s="207">
        <v>3.5425606091090818</v>
      </c>
      <c r="K913" s="209">
        <v>15.263999999999999</v>
      </c>
      <c r="L913" s="209">
        <v>9.9480000000000004</v>
      </c>
      <c r="M913" s="208"/>
      <c r="N913" s="221"/>
    </row>
    <row r="914" spans="1:14" ht="16.5" customHeight="1" x14ac:dyDescent="0.25">
      <c r="A914" s="203">
        <v>44923</v>
      </c>
      <c r="B914" s="128" t="s">
        <v>4</v>
      </c>
      <c r="C914" s="157" t="str">
        <f t="shared" si="29"/>
        <v>28.12.2022_KIN3</v>
      </c>
      <c r="D914" s="190">
        <f t="shared" si="30"/>
        <v>0</v>
      </c>
      <c r="E914" s="204">
        <v>6.9395141139107844E-2</v>
      </c>
      <c r="F914" s="205">
        <v>5.6417259403515295E-2</v>
      </c>
      <c r="G914" s="204">
        <v>0.10911913606191759</v>
      </c>
      <c r="H914" s="204">
        <v>1.5168813087365162E-2</v>
      </c>
      <c r="I914" s="209">
        <v>13.74</v>
      </c>
      <c r="J914" s="207">
        <v>3.1928018631051667</v>
      </c>
      <c r="K914" s="209">
        <v>14.35</v>
      </c>
      <c r="L914" s="209">
        <v>11.891999999999999</v>
      </c>
      <c r="M914" s="208"/>
      <c r="N914" s="221"/>
    </row>
    <row r="915" spans="1:14" ht="16.5" customHeight="1" x14ac:dyDescent="0.25">
      <c r="A915" s="203">
        <v>44923</v>
      </c>
      <c r="B915" s="128" t="s">
        <v>6</v>
      </c>
      <c r="C915" s="157" t="str">
        <f t="shared" si="29"/>
        <v>28.12.2022_KIN4</v>
      </c>
      <c r="D915" s="190">
        <f t="shared" si="30"/>
        <v>0</v>
      </c>
      <c r="E915" s="204">
        <v>8.2141187470780738E-2</v>
      </c>
      <c r="F915" s="205">
        <v>5.3066688264241699E-2</v>
      </c>
      <c r="G915" s="204">
        <v>5.8503633189823302E-2</v>
      </c>
      <c r="H915" s="204">
        <v>5.3090845805777921E-2</v>
      </c>
      <c r="I915" s="209">
        <v>12.678000000000001</v>
      </c>
      <c r="J915" s="207">
        <v>2.9251708541411348</v>
      </c>
      <c r="K915" s="209">
        <v>14.146000000000001</v>
      </c>
      <c r="L915" s="209">
        <v>10.523</v>
      </c>
      <c r="M915" s="208"/>
      <c r="N915" s="221"/>
    </row>
    <row r="916" spans="1:14" ht="16.5" customHeight="1" x14ac:dyDescent="0.25">
      <c r="A916" s="203">
        <v>44923</v>
      </c>
      <c r="B916" s="128" t="s">
        <v>34</v>
      </c>
      <c r="C916" s="157" t="str">
        <f t="shared" si="29"/>
        <v>28.12.2022_KRE1</v>
      </c>
      <c r="D916" s="190">
        <f t="shared" si="30"/>
        <v>0</v>
      </c>
      <c r="E916" s="204">
        <v>3.6821911624832768E-2</v>
      </c>
      <c r="F916" s="205">
        <v>6.3659447123400367E-2</v>
      </c>
      <c r="G916" s="204">
        <v>0.3602246178429569</v>
      </c>
      <c r="H916" s="204">
        <v>6.1939320106740914E-2</v>
      </c>
      <c r="I916" s="209">
        <v>15.098000000000001</v>
      </c>
      <c r="J916" s="207">
        <v>3.708753499515375</v>
      </c>
      <c r="K916" s="209">
        <v>37</v>
      </c>
      <c r="L916" s="209">
        <v>37</v>
      </c>
      <c r="M916" s="208"/>
      <c r="N916" s="221"/>
    </row>
    <row r="917" spans="1:14" ht="16.5" customHeight="1" x14ac:dyDescent="0.25">
      <c r="A917" s="203">
        <v>44923</v>
      </c>
      <c r="B917" s="128" t="s">
        <v>37</v>
      </c>
      <c r="C917" s="157" t="str">
        <f t="shared" si="29"/>
        <v>28.12.2022_KRE2</v>
      </c>
      <c r="D917" s="190">
        <f t="shared" si="30"/>
        <v>0</v>
      </c>
      <c r="E917" s="204">
        <v>4.5319275845947998E-2</v>
      </c>
      <c r="F917" s="205">
        <v>5.9244268577382374E-2</v>
      </c>
      <c r="G917" s="204">
        <v>0.37271415751269443</v>
      </c>
      <c r="H917" s="204">
        <v>8.3428471980508193E-2</v>
      </c>
      <c r="I917" s="209">
        <v>16.402999999999999</v>
      </c>
      <c r="J917" s="207">
        <v>4.0197542244614972</v>
      </c>
      <c r="K917" s="209">
        <v>42</v>
      </c>
      <c r="L917" s="209">
        <v>40</v>
      </c>
      <c r="M917" s="208"/>
      <c r="N917" s="221"/>
    </row>
    <row r="918" spans="1:14" ht="16.5" customHeight="1" x14ac:dyDescent="0.25">
      <c r="A918" s="203">
        <v>44923</v>
      </c>
      <c r="B918" s="128" t="s">
        <v>18</v>
      </c>
      <c r="C918" s="157" t="str">
        <f t="shared" si="29"/>
        <v>28.12.2022_ORB1</v>
      </c>
      <c r="D918" s="190">
        <f t="shared" si="30"/>
        <v>0</v>
      </c>
      <c r="E918" s="204">
        <v>2.5492092663345775E-2</v>
      </c>
      <c r="F918" s="205">
        <v>2.2819624826562933E-2</v>
      </c>
      <c r="G918" s="204">
        <v>1.7748293214890198E-2</v>
      </c>
      <c r="H918" s="204">
        <v>0</v>
      </c>
      <c r="I918" s="209">
        <v>10.416</v>
      </c>
      <c r="J918" s="207">
        <v>2.3649039104836143</v>
      </c>
      <c r="K918" s="209">
        <v>12.628</v>
      </c>
      <c r="L918" s="209">
        <v>13.801</v>
      </c>
      <c r="M918" s="208"/>
      <c r="N918" s="221"/>
    </row>
    <row r="919" spans="1:14" ht="16.5" customHeight="1" x14ac:dyDescent="0.25">
      <c r="A919" s="203">
        <v>44923</v>
      </c>
      <c r="B919" s="128" t="s">
        <v>21</v>
      </c>
      <c r="C919" s="157" t="str">
        <f t="shared" si="29"/>
        <v>28.12.2022_ORB2</v>
      </c>
      <c r="D919" s="190">
        <f t="shared" si="30"/>
        <v>0</v>
      </c>
      <c r="E919" s="204">
        <v>3.5405684254646901E-2</v>
      </c>
      <c r="F919" s="205">
        <v>2.7115272816682252E-2</v>
      </c>
      <c r="G919" s="204">
        <v>2.0377669987466537E-2</v>
      </c>
      <c r="H919" s="204">
        <v>0</v>
      </c>
      <c r="I919" s="209">
        <v>10.787000000000001</v>
      </c>
      <c r="J919" s="207">
        <v>2.4515130561111595</v>
      </c>
      <c r="K919" s="209">
        <v>18.288</v>
      </c>
      <c r="L919" s="209">
        <v>15.632999999999999</v>
      </c>
      <c r="M919" s="208"/>
      <c r="N919" s="221"/>
    </row>
    <row r="920" spans="1:14" ht="16.5" customHeight="1" x14ac:dyDescent="0.25">
      <c r="A920" s="203">
        <v>44923</v>
      </c>
      <c r="B920" s="128" t="s">
        <v>10</v>
      </c>
      <c r="C920" s="157" t="str">
        <f t="shared" si="29"/>
        <v>28.12.2022_SAL1</v>
      </c>
      <c r="D920" s="190">
        <f t="shared" si="30"/>
        <v>0</v>
      </c>
      <c r="E920" s="204">
        <v>9.4887233802453647E-2</v>
      </c>
      <c r="F920" s="205">
        <v>3.689978695472193E-2</v>
      </c>
      <c r="G920" s="204">
        <v>1.5118916442313888E-2</v>
      </c>
      <c r="H920" s="204">
        <v>3.7922032718412817E-2</v>
      </c>
      <c r="I920" s="209">
        <v>16.619</v>
      </c>
      <c r="J920" s="207">
        <v>3.777018580289413</v>
      </c>
      <c r="K920" s="209">
        <v>7.7949999999999999</v>
      </c>
      <c r="L920" s="209">
        <v>8.1910000000000007</v>
      </c>
      <c r="M920" s="208"/>
      <c r="N920" s="221"/>
    </row>
    <row r="921" spans="1:14" ht="16.5" customHeight="1" x14ac:dyDescent="0.25">
      <c r="A921" s="203">
        <v>44923</v>
      </c>
      <c r="B921" s="128" t="s">
        <v>12</v>
      </c>
      <c r="C921" s="157" t="str">
        <f t="shared" si="29"/>
        <v>28.12.2022_SAL2</v>
      </c>
      <c r="D921" s="190">
        <f t="shared" si="30"/>
        <v>0</v>
      </c>
      <c r="E921" s="204">
        <v>8.2141187470780738E-2</v>
      </c>
      <c r="F921" s="205">
        <v>3.7013633815392022E-2</v>
      </c>
      <c r="G921" s="204">
        <v>1.7090949021746106E-2</v>
      </c>
      <c r="H921" s="204">
        <v>2.1489151873767286E-2</v>
      </c>
      <c r="I921" s="209">
        <v>17</v>
      </c>
      <c r="J921" s="207">
        <v>3.859603323293864</v>
      </c>
      <c r="K921" s="209">
        <v>8.0389999999999997</v>
      </c>
      <c r="L921" s="209">
        <v>8.3309999999999995</v>
      </c>
      <c r="M921" s="208"/>
      <c r="N921" s="221"/>
    </row>
    <row r="922" spans="1:14" ht="16.5" customHeight="1" x14ac:dyDescent="0.25">
      <c r="A922" s="203">
        <v>44923</v>
      </c>
      <c r="B922" s="128" t="s">
        <v>7</v>
      </c>
      <c r="C922" s="157" t="str">
        <f t="shared" si="29"/>
        <v>28.12.2022_STE1</v>
      </c>
      <c r="D922" s="190">
        <f t="shared" si="30"/>
        <v>0</v>
      </c>
      <c r="E922" s="204">
        <v>4.5319275845947998E-2</v>
      </c>
      <c r="F922" s="205">
        <v>3.9658353225710402E-2</v>
      </c>
      <c r="G922" s="204">
        <v>2.1692358373754692E-2</v>
      </c>
      <c r="H922" s="204">
        <v>0</v>
      </c>
      <c r="I922" s="209">
        <v>16</v>
      </c>
      <c r="J922" s="207">
        <v>3.6273002904953002</v>
      </c>
      <c r="K922" s="209">
        <v>7.58</v>
      </c>
      <c r="L922" s="209">
        <v>7.0739999999999998</v>
      </c>
      <c r="M922" s="208"/>
      <c r="N922" s="221"/>
    </row>
    <row r="923" spans="1:14" ht="16.5" customHeight="1" x14ac:dyDescent="0.25">
      <c r="A923" s="203">
        <v>44923</v>
      </c>
      <c r="B923" s="128" t="s">
        <v>9</v>
      </c>
      <c r="C923" s="157" t="str">
        <f t="shared" si="29"/>
        <v>28.12.2022_STE2</v>
      </c>
      <c r="D923" s="190">
        <f t="shared" si="30"/>
        <v>0</v>
      </c>
      <c r="E923" s="204">
        <v>5.3816640067063257E-2</v>
      </c>
      <c r="F923" s="205">
        <v>4.1673813620581639E-2</v>
      </c>
      <c r="G923" s="204">
        <v>1.8405637408034262E-2</v>
      </c>
      <c r="H923" s="204">
        <v>0</v>
      </c>
      <c r="I923" s="209">
        <v>15.464</v>
      </c>
      <c r="J923" s="207">
        <v>3.5067606279622607</v>
      </c>
      <c r="K923" s="209">
        <v>8.7970000000000006</v>
      </c>
      <c r="L923" s="209">
        <v>7.5049999999999999</v>
      </c>
      <c r="M923" s="208"/>
      <c r="N923" s="221"/>
    </row>
    <row r="924" spans="1:14" ht="16.5" customHeight="1" x14ac:dyDescent="0.25">
      <c r="A924" s="203">
        <v>44937</v>
      </c>
      <c r="B924" s="128" t="s">
        <v>22</v>
      </c>
      <c r="C924" s="157" t="str">
        <f t="shared" si="29"/>
        <v>11.01.2023_BIE1</v>
      </c>
      <c r="D924" s="190">
        <f t="shared" si="30"/>
        <v>0</v>
      </c>
      <c r="E924" s="204">
        <v>1.5675743192605514E-2</v>
      </c>
      <c r="F924" s="205">
        <v>1.4933180191616378E-2</v>
      </c>
      <c r="G924" s="204">
        <v>3.1911409186617806E-2</v>
      </c>
      <c r="H924" s="204">
        <v>2.604251439634939E-17</v>
      </c>
      <c r="I924" s="209">
        <v>5.5270000000000001</v>
      </c>
      <c r="J924" s="207">
        <v>1.2731623801193168</v>
      </c>
      <c r="K924" s="209">
        <v>9.157</v>
      </c>
      <c r="L924" s="209">
        <v>11.84</v>
      </c>
      <c r="M924" s="208"/>
      <c r="N924" s="221"/>
    </row>
    <row r="925" spans="1:14" ht="16.5" customHeight="1" x14ac:dyDescent="0.25">
      <c r="A925" s="203">
        <v>44937</v>
      </c>
      <c r="B925" s="128" t="s">
        <v>25</v>
      </c>
      <c r="C925" s="157" t="str">
        <f t="shared" si="29"/>
        <v>11.01.2023_BIE2</v>
      </c>
      <c r="D925" s="190">
        <f t="shared" si="30"/>
        <v>0</v>
      </c>
      <c r="E925" s="204">
        <v>0</v>
      </c>
      <c r="F925" s="205">
        <v>2.4990009528729453E-2</v>
      </c>
      <c r="G925" s="204">
        <v>8.9932153162286546E-2</v>
      </c>
      <c r="H925" s="204">
        <v>2.3769771781254445E-2</v>
      </c>
      <c r="I925" s="209">
        <v>5.6280000000000001</v>
      </c>
      <c r="J925" s="207">
        <v>1.3482644846277867</v>
      </c>
      <c r="K925" s="209">
        <v>10.236000000000001</v>
      </c>
      <c r="L925" s="209">
        <v>11.894</v>
      </c>
      <c r="M925" s="208"/>
      <c r="N925" s="221"/>
    </row>
    <row r="926" spans="1:14" ht="16.5" customHeight="1" x14ac:dyDescent="0.25">
      <c r="A926" s="203">
        <v>44937</v>
      </c>
      <c r="B926" s="128" t="s">
        <v>14</v>
      </c>
      <c r="C926" s="157" t="str">
        <f t="shared" si="29"/>
        <v>11.01.2023_BRA1</v>
      </c>
      <c r="D926" s="190">
        <f t="shared" si="30"/>
        <v>0</v>
      </c>
      <c r="E926" s="204">
        <v>5.1729952535598311E-2</v>
      </c>
      <c r="F926" s="205">
        <v>3.0655493801783784E-2</v>
      </c>
      <c r="G926" s="204">
        <v>3.4812446385401249E-2</v>
      </c>
      <c r="H926" s="204">
        <v>0</v>
      </c>
      <c r="I926" s="209">
        <v>16.478000000000002</v>
      </c>
      <c r="J926" s="207">
        <v>3.7489173764938002</v>
      </c>
      <c r="K926" s="209">
        <v>7.6760000000000002</v>
      </c>
      <c r="L926" s="209">
        <v>8.593</v>
      </c>
      <c r="M926" s="208"/>
      <c r="N926" s="221"/>
    </row>
    <row r="927" spans="1:14" ht="16.5" customHeight="1" x14ac:dyDescent="0.25">
      <c r="A927" s="203">
        <v>44937</v>
      </c>
      <c r="B927" s="128" t="s">
        <v>17</v>
      </c>
      <c r="C927" s="157" t="str">
        <f t="shared" si="29"/>
        <v>11.01.2023_BRA2</v>
      </c>
      <c r="D927" s="190">
        <f t="shared" si="30"/>
        <v>0</v>
      </c>
      <c r="E927" s="204">
        <v>0</v>
      </c>
      <c r="F927" s="205">
        <v>5.0068722200239509E-2</v>
      </c>
      <c r="G927" s="204">
        <v>9.7668252359042362E-2</v>
      </c>
      <c r="H927" s="204">
        <v>7.5062437203961552E-2</v>
      </c>
      <c r="I927" s="209">
        <v>16.568999999999999</v>
      </c>
      <c r="J927" s="207">
        <v>3.8411312102810187</v>
      </c>
      <c r="K927" s="209">
        <v>8.3680000000000003</v>
      </c>
      <c r="L927" s="209">
        <v>8.7319999999999993</v>
      </c>
      <c r="M927" s="208"/>
      <c r="N927" s="221"/>
    </row>
    <row r="928" spans="1:14" ht="16.5" customHeight="1" x14ac:dyDescent="0.25">
      <c r="A928" s="203">
        <v>44937</v>
      </c>
      <c r="B928" s="128" t="s">
        <v>30</v>
      </c>
      <c r="C928" s="157" t="str">
        <f t="shared" si="29"/>
        <v>11.01.2023_FAL1</v>
      </c>
      <c r="D928" s="190">
        <f t="shared" si="30"/>
        <v>0</v>
      </c>
      <c r="E928" s="204">
        <v>1.8810891831126636E-2</v>
      </c>
      <c r="F928" s="205">
        <v>6.0676244634102379E-2</v>
      </c>
      <c r="G928" s="204">
        <v>0.29783981907509943</v>
      </c>
      <c r="H928" s="204">
        <v>0.11509573704607433</v>
      </c>
      <c r="I928" s="209">
        <v>14.35</v>
      </c>
      <c r="J928" s="207">
        <v>3.5075450382573012</v>
      </c>
      <c r="K928" s="209">
        <v>28</v>
      </c>
      <c r="L928" s="209">
        <v>26</v>
      </c>
      <c r="M928" s="208"/>
      <c r="N928" s="221"/>
    </row>
    <row r="929" spans="1:14" ht="16.5" customHeight="1" x14ac:dyDescent="0.25">
      <c r="A929" s="203">
        <v>44937</v>
      </c>
      <c r="B929" s="128" t="s">
        <v>32</v>
      </c>
      <c r="C929" s="157" t="str">
        <f t="shared" si="29"/>
        <v>11.01.2023_FAL2</v>
      </c>
      <c r="D929" s="190">
        <f t="shared" si="30"/>
        <v>0</v>
      </c>
      <c r="E929" s="204">
        <v>5.8000249812640556E-2</v>
      </c>
      <c r="F929" s="205">
        <v>6.8177379643378486E-2</v>
      </c>
      <c r="G929" s="204">
        <v>0.11410746315214851</v>
      </c>
      <c r="H929" s="204">
        <v>0.13636342758719677</v>
      </c>
      <c r="I929" s="209">
        <v>14.118</v>
      </c>
      <c r="J929" s="207">
        <v>3.3189518095919337</v>
      </c>
      <c r="K929" s="209">
        <v>35</v>
      </c>
      <c r="L929" s="209">
        <v>29</v>
      </c>
      <c r="M929" s="208"/>
      <c r="N929" s="221"/>
    </row>
    <row r="930" spans="1:14" ht="16.5" customHeight="1" x14ac:dyDescent="0.25">
      <c r="A930" s="203">
        <v>44937</v>
      </c>
      <c r="B930" s="128" t="s">
        <v>26</v>
      </c>
      <c r="C930" s="157" t="str">
        <f t="shared" si="29"/>
        <v>11.01.2023_GRU1</v>
      </c>
      <c r="D930" s="190">
        <f t="shared" si="30"/>
        <v>0</v>
      </c>
      <c r="E930" s="204">
        <v>0</v>
      </c>
      <c r="F930" s="205">
        <v>2.0474985009354605E-2</v>
      </c>
      <c r="G930" s="204">
        <v>3.6746471184590193E-2</v>
      </c>
      <c r="H930" s="204">
        <v>0</v>
      </c>
      <c r="I930" s="209">
        <v>11.811</v>
      </c>
      <c r="J930" s="207">
        <v>2.6932368028758895</v>
      </c>
      <c r="K930" s="209">
        <v>8.1069999999999993</v>
      </c>
      <c r="L930" s="209">
        <v>11.061</v>
      </c>
      <c r="M930" s="208"/>
      <c r="N930" s="221"/>
    </row>
    <row r="931" spans="1:14" ht="16.5" customHeight="1" x14ac:dyDescent="0.25">
      <c r="A931" s="203">
        <v>44937</v>
      </c>
      <c r="B931" s="128" t="s">
        <v>28</v>
      </c>
      <c r="C931" s="157" t="str">
        <f t="shared" si="29"/>
        <v>11.01.2023_GRU2</v>
      </c>
      <c r="D931" s="190">
        <f t="shared" si="30"/>
        <v>0</v>
      </c>
      <c r="E931" s="204">
        <v>0</v>
      </c>
      <c r="F931" s="205">
        <v>1.968880305673687E-2</v>
      </c>
      <c r="G931" s="204">
        <v>5.221866957810184E-2</v>
      </c>
      <c r="H931" s="204">
        <v>0</v>
      </c>
      <c r="I931" s="209">
        <v>11.189</v>
      </c>
      <c r="J931" s="207">
        <v>2.5624743943057933</v>
      </c>
      <c r="K931" s="209">
        <v>8.4779999999999998</v>
      </c>
      <c r="L931" s="209">
        <v>11.247</v>
      </c>
      <c r="M931" s="208"/>
      <c r="N931" s="221"/>
    </row>
    <row r="932" spans="1:14" ht="16.5" customHeight="1" x14ac:dyDescent="0.25">
      <c r="A932" s="203">
        <v>44937</v>
      </c>
      <c r="B932" s="128" t="s">
        <v>0</v>
      </c>
      <c r="C932" s="157" t="str">
        <f t="shared" si="29"/>
        <v>11.01.2023_KIN1</v>
      </c>
      <c r="D932" s="190">
        <f t="shared" si="30"/>
        <v>0</v>
      </c>
      <c r="E932" s="204">
        <v>2.3513614788908305E-2</v>
      </c>
      <c r="F932" s="205">
        <v>6.3187863729228438E-2</v>
      </c>
      <c r="G932" s="204">
        <v>5.8020743975668719E-2</v>
      </c>
      <c r="H932" s="204">
        <v>0</v>
      </c>
      <c r="I932" s="209">
        <v>11.311999999999999</v>
      </c>
      <c r="J932" s="207">
        <v>2.5985704502225504</v>
      </c>
      <c r="K932" s="209">
        <v>12.988</v>
      </c>
      <c r="L932" s="209">
        <v>9.3019999999999996</v>
      </c>
      <c r="M932" s="208"/>
      <c r="N932" s="221"/>
    </row>
    <row r="933" spans="1:14" ht="16.5" customHeight="1" x14ac:dyDescent="0.25">
      <c r="A933" s="203">
        <v>44937</v>
      </c>
      <c r="B933" s="128" t="s">
        <v>2</v>
      </c>
      <c r="C933" s="157" t="str">
        <f t="shared" si="29"/>
        <v>11.01.2023_KIN2</v>
      </c>
      <c r="D933" s="190">
        <f t="shared" si="30"/>
        <v>0</v>
      </c>
      <c r="E933" s="204">
        <v>0</v>
      </c>
      <c r="F933" s="205">
        <v>3.9751485453659897E-2</v>
      </c>
      <c r="G933" s="204">
        <v>6.4789830772830043E-2</v>
      </c>
      <c r="H933" s="204">
        <v>6.2552031003301157E-3</v>
      </c>
      <c r="I933" s="209">
        <v>11.598000000000001</v>
      </c>
      <c r="J933" s="207">
        <v>2.6718533122806907</v>
      </c>
      <c r="K933" s="209">
        <v>13.221</v>
      </c>
      <c r="L933" s="209">
        <v>10.236000000000001</v>
      </c>
      <c r="M933" s="208"/>
      <c r="N933" s="221"/>
    </row>
    <row r="934" spans="1:14" ht="16.5" customHeight="1" x14ac:dyDescent="0.25">
      <c r="A934" s="203">
        <v>44937</v>
      </c>
      <c r="B934" s="128" t="s">
        <v>4</v>
      </c>
      <c r="C934" s="157" t="str">
        <f t="shared" si="29"/>
        <v>11.01.2023_KIN3</v>
      </c>
      <c r="D934" s="190">
        <f t="shared" si="30"/>
        <v>0</v>
      </c>
      <c r="E934" s="204">
        <v>0</v>
      </c>
      <c r="F934" s="205">
        <v>3.4641068629353511E-2</v>
      </c>
      <c r="G934" s="204">
        <v>7.6393979567963802E-2</v>
      </c>
      <c r="H934" s="204">
        <v>7.5062437203961335E-3</v>
      </c>
      <c r="I934" s="209">
        <v>10.544</v>
      </c>
      <c r="J934" s="207">
        <v>2.4431777170954025</v>
      </c>
      <c r="K934" s="209">
        <v>12.704000000000001</v>
      </c>
      <c r="L934" s="209">
        <v>12.481999999999999</v>
      </c>
      <c r="M934" s="208"/>
      <c r="N934" s="221"/>
    </row>
    <row r="935" spans="1:14" ht="16.5" customHeight="1" x14ac:dyDescent="0.25">
      <c r="A935" s="203">
        <v>44937</v>
      </c>
      <c r="B935" s="128" t="s">
        <v>6</v>
      </c>
      <c r="C935" s="157" t="str">
        <f t="shared" si="29"/>
        <v>11.01.2023_KIN4</v>
      </c>
      <c r="D935" s="190">
        <f t="shared" si="30"/>
        <v>0</v>
      </c>
      <c r="E935" s="204">
        <v>2.1946040469647758E-2</v>
      </c>
      <c r="F935" s="205">
        <v>3.9348120311669538E-2</v>
      </c>
      <c r="G935" s="204">
        <v>0.10540435155579819</v>
      </c>
      <c r="H935" s="204">
        <v>3.1276015501650607E-2</v>
      </c>
      <c r="I935" s="209">
        <v>11.298</v>
      </c>
      <c r="J935" s="207">
        <v>2.6432466678590392</v>
      </c>
      <c r="K935" s="209">
        <v>15.565</v>
      </c>
      <c r="L935" s="209">
        <v>12.492000000000001</v>
      </c>
      <c r="M935" s="208"/>
      <c r="N935" s="221"/>
    </row>
    <row r="936" spans="1:14" ht="16.5" customHeight="1" x14ac:dyDescent="0.25">
      <c r="A936" s="203">
        <v>44937</v>
      </c>
      <c r="B936" s="128" t="s">
        <v>34</v>
      </c>
      <c r="C936" s="157" t="str">
        <f t="shared" si="29"/>
        <v>11.01.2023_KRE1</v>
      </c>
      <c r="D936" s="190">
        <f t="shared" si="30"/>
        <v>0</v>
      </c>
      <c r="E936" s="204">
        <v>0</v>
      </c>
      <c r="F936" s="205">
        <v>3.3333248202529656E-2</v>
      </c>
      <c r="G936" s="204">
        <v>0.50284644778912901</v>
      </c>
      <c r="H936" s="204">
        <v>0.11384469642600828</v>
      </c>
      <c r="I936" s="209">
        <v>13.564</v>
      </c>
      <c r="J936" s="207">
        <v>3.488815936070679</v>
      </c>
      <c r="K936" s="209">
        <v>36</v>
      </c>
      <c r="L936" s="209">
        <v>37</v>
      </c>
      <c r="M936" s="208"/>
      <c r="N936" s="221"/>
    </row>
    <row r="937" spans="1:14" ht="16.5" customHeight="1" x14ac:dyDescent="0.25">
      <c r="A937" s="203">
        <v>44937</v>
      </c>
      <c r="B937" s="128" t="s">
        <v>37</v>
      </c>
      <c r="C937" s="157" t="str">
        <f t="shared" si="29"/>
        <v>11.01.2023_KRE2</v>
      </c>
      <c r="D937" s="190">
        <f t="shared" si="30"/>
        <v>0</v>
      </c>
      <c r="E937" s="204">
        <v>3.1351486385210901E-3</v>
      </c>
      <c r="F937" s="205">
        <v>3.8268566004321242E-2</v>
      </c>
      <c r="G937" s="204">
        <v>0.18663339312173438</v>
      </c>
      <c r="H937" s="204">
        <v>6.7556193483565383E-2</v>
      </c>
      <c r="I937" s="209">
        <v>15.499000000000001</v>
      </c>
      <c r="J937" s="207">
        <v>3.6662455765311668</v>
      </c>
      <c r="K937" s="209">
        <v>35</v>
      </c>
      <c r="L937" s="209">
        <v>40</v>
      </c>
      <c r="M937" s="208"/>
      <c r="N937" s="221"/>
    </row>
    <row r="938" spans="1:14" ht="16.5" customHeight="1" x14ac:dyDescent="0.25">
      <c r="A938" s="203">
        <v>44937</v>
      </c>
      <c r="B938" s="128" t="s">
        <v>18</v>
      </c>
      <c r="C938" s="157" t="str">
        <f t="shared" si="29"/>
        <v>11.01.2023_ORB1</v>
      </c>
      <c r="D938" s="190">
        <f t="shared" si="30"/>
        <v>0</v>
      </c>
      <c r="E938" s="204">
        <v>0</v>
      </c>
      <c r="F938" s="205">
        <v>2.5600815125237087E-2</v>
      </c>
      <c r="G938" s="204">
        <v>5.221866957810184E-2</v>
      </c>
      <c r="H938" s="204">
        <v>0</v>
      </c>
      <c r="I938" s="209">
        <v>6.4089999999999998</v>
      </c>
      <c r="J938" s="207">
        <v>1.4801496390883391</v>
      </c>
      <c r="K938" s="209">
        <v>7.7439999999999998</v>
      </c>
      <c r="L938" s="209">
        <v>10.241</v>
      </c>
      <c r="M938" s="208"/>
      <c r="N938" s="221"/>
    </row>
    <row r="939" spans="1:14" ht="16.5" customHeight="1" x14ac:dyDescent="0.25">
      <c r="A939" s="203">
        <v>44937</v>
      </c>
      <c r="B939" s="128" t="s">
        <v>21</v>
      </c>
      <c r="C939" s="157" t="str">
        <f t="shared" si="29"/>
        <v>11.01.2023_ORB2</v>
      </c>
      <c r="D939" s="190">
        <f t="shared" si="30"/>
        <v>0</v>
      </c>
      <c r="E939" s="204">
        <v>3.7621783662253307E-2</v>
      </c>
      <c r="F939" s="205">
        <v>0.10183095311838483</v>
      </c>
      <c r="G939" s="204">
        <v>0.49511034859237318</v>
      </c>
      <c r="H939" s="204">
        <v>0</v>
      </c>
      <c r="I939" s="209">
        <v>6.0179999999999998</v>
      </c>
      <c r="J939" s="207">
        <v>1.7433530152617125</v>
      </c>
      <c r="K939" s="209">
        <v>18.018999999999998</v>
      </c>
      <c r="L939" s="209">
        <v>12.162000000000001</v>
      </c>
      <c r="M939" s="208"/>
      <c r="N939" s="221"/>
    </row>
    <row r="940" spans="1:14" ht="16.5" customHeight="1" x14ac:dyDescent="0.25">
      <c r="A940" s="203">
        <v>44937</v>
      </c>
      <c r="B940" s="128" t="s">
        <v>10</v>
      </c>
      <c r="C940" s="157" t="str">
        <f t="shared" si="29"/>
        <v>11.01.2023_SAL1</v>
      </c>
      <c r="D940" s="190">
        <f t="shared" si="30"/>
        <v>0</v>
      </c>
      <c r="E940" s="204">
        <v>0</v>
      </c>
      <c r="F940" s="205">
        <v>3.4512719487649772E-2</v>
      </c>
      <c r="G940" s="204">
        <v>7.3492942369180358E-2</v>
      </c>
      <c r="H940" s="204">
        <v>7.5062437203961335E-3</v>
      </c>
      <c r="I940" s="209">
        <v>14.802</v>
      </c>
      <c r="J940" s="207">
        <v>3.4026795507209191</v>
      </c>
      <c r="K940" s="209">
        <v>7.3789999999999996</v>
      </c>
      <c r="L940" s="209">
        <v>8.4260000000000002</v>
      </c>
      <c r="M940" s="208"/>
      <c r="N940" s="221"/>
    </row>
    <row r="941" spans="1:14" ht="16.5" customHeight="1" x14ac:dyDescent="0.25">
      <c r="A941" s="203">
        <v>44937</v>
      </c>
      <c r="B941" s="128" t="s">
        <v>12</v>
      </c>
      <c r="C941" s="157" t="str">
        <f t="shared" si="29"/>
        <v>11.01.2023_SAL2</v>
      </c>
      <c r="D941" s="190">
        <f t="shared" si="30"/>
        <v>0</v>
      </c>
      <c r="E941" s="204">
        <v>2.5081189108168849E-2</v>
      </c>
      <c r="F941" s="205">
        <v>3.3565023524622303E-2</v>
      </c>
      <c r="G941" s="204">
        <v>5.221866957810184E-2</v>
      </c>
      <c r="H941" s="204">
        <v>3.1276015501650607E-2</v>
      </c>
      <c r="I941" s="209">
        <v>14.984999999999999</v>
      </c>
      <c r="J941" s="207">
        <v>3.4347312076601773</v>
      </c>
      <c r="K941" s="209">
        <v>7.7329999999999997</v>
      </c>
      <c r="L941" s="209">
        <v>8.5280000000000005</v>
      </c>
      <c r="M941" s="208"/>
      <c r="N941" s="221"/>
    </row>
    <row r="942" spans="1:14" ht="16.5" customHeight="1" x14ac:dyDescent="0.25">
      <c r="A942" s="203">
        <v>44937</v>
      </c>
      <c r="B942" s="128" t="s">
        <v>7</v>
      </c>
      <c r="C942" s="157" t="str">
        <f t="shared" si="29"/>
        <v>11.01.2023_STE1</v>
      </c>
      <c r="D942" s="190">
        <f t="shared" si="30"/>
        <v>0</v>
      </c>
      <c r="E942" s="204">
        <v>1.8810891831126636E-2</v>
      </c>
      <c r="F942" s="205">
        <v>3.6802516892166577E-2</v>
      </c>
      <c r="G942" s="204">
        <v>8.4130078764719674E-2</v>
      </c>
      <c r="H942" s="204">
        <v>0</v>
      </c>
      <c r="I942" s="209">
        <v>14.489000000000001</v>
      </c>
      <c r="J942" s="207">
        <v>3.3295772498908769</v>
      </c>
      <c r="K942" s="209">
        <v>7.1669999999999998</v>
      </c>
      <c r="L942" s="209">
        <v>7.0720000000000001</v>
      </c>
      <c r="M942" s="208"/>
      <c r="N942" s="221"/>
    </row>
    <row r="943" spans="1:14" ht="16.5" customHeight="1" x14ac:dyDescent="0.25">
      <c r="A943" s="203">
        <v>44937</v>
      </c>
      <c r="B943" s="128" t="s">
        <v>9</v>
      </c>
      <c r="C943" s="157" t="str">
        <f t="shared" si="29"/>
        <v>11.01.2023_STE2</v>
      </c>
      <c r="D943" s="190">
        <f t="shared" si="30"/>
        <v>0</v>
      </c>
      <c r="E943" s="204">
        <v>3.1351486385210901E-3</v>
      </c>
      <c r="F943" s="205">
        <v>2.6642247529275138E-2</v>
      </c>
      <c r="G943" s="204">
        <v>4.1581533182562538E-2</v>
      </c>
      <c r="H943" s="204">
        <v>0</v>
      </c>
      <c r="I943" s="209">
        <v>13.295999999999999</v>
      </c>
      <c r="J943" s="207">
        <v>3.0312654922163578</v>
      </c>
      <c r="K943" s="209">
        <v>7.569</v>
      </c>
      <c r="L943" s="209">
        <v>7.1790000000000003</v>
      </c>
      <c r="M943" s="208"/>
      <c r="N943" s="221"/>
    </row>
    <row r="944" spans="1:14" ht="16.5" customHeight="1" x14ac:dyDescent="0.25">
      <c r="A944" s="203">
        <v>44951</v>
      </c>
      <c r="B944" s="128" t="s">
        <v>22</v>
      </c>
      <c r="C944" s="157" t="str">
        <f t="shared" si="29"/>
        <v>25.01.2023_BIE1</v>
      </c>
      <c r="D944" s="190">
        <f t="shared" si="30"/>
        <v>0</v>
      </c>
      <c r="E944" s="204">
        <v>0</v>
      </c>
      <c r="F944" s="211">
        <v>21572.159905102399</v>
      </c>
      <c r="G944" s="204">
        <v>3.2169115898606514E-2</v>
      </c>
      <c r="H944" s="204">
        <v>0</v>
      </c>
      <c r="I944" s="209">
        <v>5.4530000000000003</v>
      </c>
      <c r="J944" s="207">
        <v>1.2537085895627296</v>
      </c>
      <c r="K944" s="209">
        <v>6.0650000000000004</v>
      </c>
      <c r="L944" s="209">
        <v>12.815</v>
      </c>
      <c r="M944" s="208"/>
      <c r="N944" s="221"/>
    </row>
    <row r="945" spans="1:14" ht="16.5" customHeight="1" x14ac:dyDescent="0.25">
      <c r="A945" s="203">
        <v>44951</v>
      </c>
      <c r="B945" s="128" t="s">
        <v>25</v>
      </c>
      <c r="C945" s="157" t="str">
        <f t="shared" si="29"/>
        <v>25.01.2023_BIE2</v>
      </c>
      <c r="D945" s="190">
        <f t="shared" si="30"/>
        <v>0</v>
      </c>
      <c r="E945" s="204">
        <v>0</v>
      </c>
      <c r="F945" s="211">
        <v>22314.201062251501</v>
      </c>
      <c r="G945" s="204">
        <v>2.9055975650354261E-2</v>
      </c>
      <c r="H945" s="204">
        <v>0</v>
      </c>
      <c r="I945" s="209">
        <v>5.4349999999999996</v>
      </c>
      <c r="J945" s="207">
        <v>1.2440599733391096</v>
      </c>
      <c r="K945" s="209">
        <v>6.3680000000000003</v>
      </c>
      <c r="L945" s="209">
        <v>12.694000000000001</v>
      </c>
      <c r="M945" s="208"/>
      <c r="N945" s="221"/>
    </row>
    <row r="946" spans="1:14" ht="16.5" customHeight="1" x14ac:dyDescent="0.25">
      <c r="A946" s="203">
        <v>44951</v>
      </c>
      <c r="B946" s="128" t="s">
        <v>14</v>
      </c>
      <c r="C946" s="157" t="str">
        <f t="shared" si="29"/>
        <v>25.01.2023_BRA1</v>
      </c>
      <c r="D946" s="190">
        <f t="shared" si="30"/>
        <v>0</v>
      </c>
      <c r="E946" s="204">
        <v>5.0614243764635948E-2</v>
      </c>
      <c r="F946" s="211">
        <v>51983.261066551997</v>
      </c>
      <c r="G946" s="204">
        <v>2.5942835402102012E-2</v>
      </c>
      <c r="H946" s="204">
        <v>2.0053050397877987E-2</v>
      </c>
      <c r="I946" s="209">
        <v>12.173999999999999</v>
      </c>
      <c r="J946" s="207">
        <v>2.7759908834550115</v>
      </c>
      <c r="K946" s="209">
        <v>7.0110000000000001</v>
      </c>
      <c r="L946" s="209">
        <v>7.6130000000000004</v>
      </c>
      <c r="M946" s="208"/>
      <c r="N946" s="221"/>
    </row>
    <row r="947" spans="1:14" ht="16.5" customHeight="1" x14ac:dyDescent="0.25">
      <c r="A947" s="203">
        <v>44951</v>
      </c>
      <c r="B947" s="128" t="s">
        <v>17</v>
      </c>
      <c r="C947" s="157" t="str">
        <f t="shared" si="29"/>
        <v>25.01.2023_BRA2</v>
      </c>
      <c r="D947" s="190">
        <f t="shared" si="30"/>
        <v>0</v>
      </c>
      <c r="E947" s="204">
        <v>0</v>
      </c>
      <c r="F947" s="211">
        <v>67153.576916533799</v>
      </c>
      <c r="G947" s="204">
        <v>2.801826223427021E-2</v>
      </c>
      <c r="H947" s="204">
        <v>5.9416445623342281E-3</v>
      </c>
      <c r="I947" s="209">
        <v>13.794</v>
      </c>
      <c r="J947" s="207">
        <v>3.1392156141292911</v>
      </c>
      <c r="K947" s="209">
        <v>8.1069999999999993</v>
      </c>
      <c r="L947" s="209">
        <v>8.2050000000000001</v>
      </c>
      <c r="M947" s="208"/>
      <c r="N947" s="221"/>
    </row>
    <row r="948" spans="1:14" ht="16.5" customHeight="1" x14ac:dyDescent="0.25">
      <c r="A948" s="203">
        <v>44951</v>
      </c>
      <c r="B948" s="128" t="s">
        <v>30</v>
      </c>
      <c r="C948" s="157" t="str">
        <f t="shared" si="29"/>
        <v>25.01.2023_FAL1</v>
      </c>
      <c r="D948" s="190">
        <f t="shared" si="30"/>
        <v>0</v>
      </c>
      <c r="E948" s="204">
        <v>3.4287068356688842E-2</v>
      </c>
      <c r="F948" s="211">
        <v>159197.04421993901</v>
      </c>
      <c r="G948" s="204">
        <v>0.4420659152518191</v>
      </c>
      <c r="H948" s="204">
        <v>0.12848806366047749</v>
      </c>
      <c r="I948" s="209">
        <v>19.404</v>
      </c>
      <c r="J948" s="207">
        <v>4.7651594335153167</v>
      </c>
      <c r="K948" s="209">
        <v>35</v>
      </c>
      <c r="L948" s="209">
        <v>31</v>
      </c>
      <c r="M948" s="208"/>
      <c r="N948" s="221"/>
    </row>
    <row r="949" spans="1:14" ht="16.5" customHeight="1" x14ac:dyDescent="0.25">
      <c r="A949" s="203">
        <v>44951</v>
      </c>
      <c r="B949" s="128" t="s">
        <v>32</v>
      </c>
      <c r="C949" s="157" t="str">
        <f t="shared" si="29"/>
        <v>25.01.2023_FAL2</v>
      </c>
      <c r="D949" s="190">
        <f t="shared" si="30"/>
        <v>0</v>
      </c>
      <c r="E949" s="204">
        <v>6.5308701631788327E-2</v>
      </c>
      <c r="F949" s="211">
        <v>127923.12150288701</v>
      </c>
      <c r="G949" s="204">
        <v>0.37876539687069011</v>
      </c>
      <c r="H949" s="204">
        <v>0.10472148541114064</v>
      </c>
      <c r="I949" s="209">
        <v>19.724</v>
      </c>
      <c r="J949" s="207">
        <v>4.7810498792495437</v>
      </c>
      <c r="K949" s="209">
        <v>40</v>
      </c>
      <c r="L949" s="209">
        <v>32</v>
      </c>
      <c r="M949" s="208"/>
      <c r="N949" s="221"/>
    </row>
    <row r="950" spans="1:14" ht="16.5" customHeight="1" x14ac:dyDescent="0.25">
      <c r="A950" s="203">
        <v>44951</v>
      </c>
      <c r="B950" s="128" t="s">
        <v>26</v>
      </c>
      <c r="C950" s="157" t="str">
        <f t="shared" si="29"/>
        <v>25.01.2023_GRU1</v>
      </c>
      <c r="D950" s="190">
        <f t="shared" si="30"/>
        <v>0</v>
      </c>
      <c r="E950" s="204">
        <v>0</v>
      </c>
      <c r="F950" s="211">
        <v>36418.771617658502</v>
      </c>
      <c r="G950" s="204">
        <v>4.565939030769961E-2</v>
      </c>
      <c r="H950" s="204">
        <v>0</v>
      </c>
      <c r="I950" s="209">
        <v>10.798999999999999</v>
      </c>
      <c r="J950" s="207">
        <v>2.4721369061603968</v>
      </c>
      <c r="K950" s="209">
        <v>7.04</v>
      </c>
      <c r="L950" s="209">
        <v>12.055</v>
      </c>
      <c r="M950" s="208"/>
      <c r="N950" s="221"/>
    </row>
    <row r="951" spans="1:14" ht="16.5" customHeight="1" x14ac:dyDescent="0.25">
      <c r="A951" s="203">
        <v>44951</v>
      </c>
      <c r="B951" s="128" t="s">
        <v>28</v>
      </c>
      <c r="C951" s="157" t="str">
        <f t="shared" si="29"/>
        <v>25.01.2023_GRU2</v>
      </c>
      <c r="D951" s="190">
        <f t="shared" si="30"/>
        <v>0</v>
      </c>
      <c r="E951" s="204">
        <v>0</v>
      </c>
      <c r="F951" s="211">
        <v>30064.698842975398</v>
      </c>
      <c r="G951" s="204">
        <v>3.631996956294286E-2</v>
      </c>
      <c r="H951" s="204">
        <v>0</v>
      </c>
      <c r="I951" s="209">
        <v>9.9369999999999994</v>
      </c>
      <c r="J951" s="207">
        <v>2.2645320815744174</v>
      </c>
      <c r="K951" s="209">
        <v>7.2450000000000001</v>
      </c>
      <c r="L951" s="209">
        <v>11.775</v>
      </c>
      <c r="M951" s="208"/>
      <c r="N951" s="221"/>
    </row>
    <row r="952" spans="1:14" ht="16.5" customHeight="1" x14ac:dyDescent="0.25">
      <c r="A952" s="203">
        <v>44951</v>
      </c>
      <c r="B952" s="128" t="s">
        <v>0</v>
      </c>
      <c r="C952" s="157" t="str">
        <f t="shared" si="29"/>
        <v>25.01.2023_KIN1</v>
      </c>
      <c r="D952" s="190">
        <f t="shared" si="30"/>
        <v>0</v>
      </c>
      <c r="E952" s="204">
        <v>0</v>
      </c>
      <c r="F952" s="211">
        <v>38270.282448755002</v>
      </c>
      <c r="G952" s="204">
        <v>3.0093689066438362E-2</v>
      </c>
      <c r="H952" s="204">
        <v>0</v>
      </c>
      <c r="I952" s="209">
        <v>7.9580000000000002</v>
      </c>
      <c r="J952" s="207">
        <v>1.8151879908513153</v>
      </c>
      <c r="K952" s="209">
        <v>8.1929999999999996</v>
      </c>
      <c r="L952" s="209">
        <v>9.5660000000000007</v>
      </c>
      <c r="M952" s="208"/>
      <c r="N952" s="221"/>
    </row>
    <row r="953" spans="1:14" ht="16.5" customHeight="1" x14ac:dyDescent="0.25">
      <c r="A953" s="203">
        <v>44951</v>
      </c>
      <c r="B953" s="128" t="s">
        <v>2</v>
      </c>
      <c r="C953" s="157" t="str">
        <f t="shared" si="29"/>
        <v>25.01.2023_KIN2</v>
      </c>
      <c r="D953" s="190">
        <f t="shared" si="30"/>
        <v>0</v>
      </c>
      <c r="E953" s="204">
        <v>0</v>
      </c>
      <c r="F953" s="211">
        <v>26295.356414038801</v>
      </c>
      <c r="G953" s="204">
        <v>4.669710372378371E-2</v>
      </c>
      <c r="H953" s="204">
        <v>0</v>
      </c>
      <c r="I953" s="209">
        <v>10.565</v>
      </c>
      <c r="J953" s="207">
        <v>2.4180540498529739</v>
      </c>
      <c r="K953" s="209">
        <v>9.3979999999999997</v>
      </c>
      <c r="L953" s="209">
        <v>10.558999999999999</v>
      </c>
      <c r="M953" s="208"/>
      <c r="N953" s="221"/>
    </row>
    <row r="954" spans="1:14" ht="16.5" customHeight="1" x14ac:dyDescent="0.25">
      <c r="A954" s="203">
        <v>44951</v>
      </c>
      <c r="B954" s="128" t="s">
        <v>4</v>
      </c>
      <c r="C954" s="157" t="str">
        <f t="shared" si="29"/>
        <v>25.01.2023_KIN3</v>
      </c>
      <c r="D954" s="190">
        <f t="shared" si="30"/>
        <v>0</v>
      </c>
      <c r="E954" s="204">
        <v>0</v>
      </c>
      <c r="F954" s="211">
        <v>22261.027093975001</v>
      </c>
      <c r="G954" s="204">
        <v>6.1225091548960858E-2</v>
      </c>
      <c r="H954" s="204">
        <v>0</v>
      </c>
      <c r="I954" s="209">
        <v>9.0969999999999995</v>
      </c>
      <c r="J954" s="207">
        <v>2.0991144273845976</v>
      </c>
      <c r="K954" s="209">
        <v>10.750999999999999</v>
      </c>
      <c r="L954" s="209">
        <v>11.948</v>
      </c>
      <c r="M954" s="208"/>
      <c r="N954" s="221"/>
    </row>
    <row r="955" spans="1:14" ht="16.5" customHeight="1" x14ac:dyDescent="0.25">
      <c r="A955" s="203">
        <v>44951</v>
      </c>
      <c r="B955" s="128" t="s">
        <v>6</v>
      </c>
      <c r="C955" s="157" t="str">
        <f t="shared" si="29"/>
        <v>25.01.2023_KIN4</v>
      </c>
      <c r="D955" s="190">
        <f t="shared" si="30"/>
        <v>0</v>
      </c>
      <c r="E955" s="204">
        <v>1.6327175407946631E-3</v>
      </c>
      <c r="F955" s="211">
        <v>33707.073724501002</v>
      </c>
      <c r="G955" s="204">
        <v>8.4054786702810705E-2</v>
      </c>
      <c r="H955" s="204">
        <v>7.4270557029177892E-3</v>
      </c>
      <c r="I955" s="209">
        <v>9.5250000000000004</v>
      </c>
      <c r="J955" s="207">
        <v>2.2189406184356186</v>
      </c>
      <c r="K955" s="209">
        <v>14.586</v>
      </c>
      <c r="L955" s="209">
        <v>12.21</v>
      </c>
      <c r="M955" s="208"/>
      <c r="N955" s="221"/>
    </row>
    <row r="956" spans="1:14" ht="16.5" customHeight="1" x14ac:dyDescent="0.25">
      <c r="A956" s="203">
        <v>44951</v>
      </c>
      <c r="B956" s="128" t="s">
        <v>34</v>
      </c>
      <c r="C956" s="157" t="str">
        <f t="shared" si="29"/>
        <v>25.01.2023_KRE1</v>
      </c>
      <c r="D956" s="190">
        <f t="shared" si="30"/>
        <v>0</v>
      </c>
      <c r="E956" s="204">
        <v>0</v>
      </c>
      <c r="F956" s="211">
        <v>40647.8034686139</v>
      </c>
      <c r="G956" s="204">
        <v>0.6132886289056928</v>
      </c>
      <c r="H956" s="204">
        <v>4.4562334217506626E-2</v>
      </c>
      <c r="I956" s="209">
        <v>15.798999999999999</v>
      </c>
      <c r="J956" s="207">
        <v>4.0582996201115007</v>
      </c>
      <c r="K956" s="209">
        <v>40</v>
      </c>
      <c r="L956" s="209">
        <v>42</v>
      </c>
      <c r="M956" s="208"/>
      <c r="N956" s="221"/>
    </row>
    <row r="957" spans="1:14" ht="16.5" customHeight="1" x14ac:dyDescent="0.25">
      <c r="A957" s="203">
        <v>44951</v>
      </c>
      <c r="B957" s="128" t="s">
        <v>37</v>
      </c>
      <c r="C957" s="157" t="str">
        <f t="shared" si="29"/>
        <v>25.01.2023_KRE2</v>
      </c>
      <c r="D957" s="190">
        <f t="shared" si="30"/>
        <v>0</v>
      </c>
      <c r="E957" s="204">
        <v>0</v>
      </c>
      <c r="F957" s="211">
        <v>58043.595889701501</v>
      </c>
      <c r="G957" s="204">
        <v>0.4098967993532126</v>
      </c>
      <c r="H957" s="204">
        <v>3.3421750663129988E-2</v>
      </c>
      <c r="I957" s="209">
        <v>18.047000000000001</v>
      </c>
      <c r="J957" s="207">
        <v>4.4047319077191656</v>
      </c>
      <c r="K957" s="209">
        <v>41</v>
      </c>
      <c r="L957" s="209">
        <v>48</v>
      </c>
      <c r="M957" s="208"/>
      <c r="N957" s="221"/>
    </row>
    <row r="958" spans="1:14" ht="16.5" customHeight="1" x14ac:dyDescent="0.25">
      <c r="A958" s="203">
        <v>44951</v>
      </c>
      <c r="B958" s="128" t="s">
        <v>18</v>
      </c>
      <c r="C958" s="157" t="str">
        <f t="shared" si="29"/>
        <v>25.01.2023_ORB1</v>
      </c>
      <c r="D958" s="190">
        <f t="shared" si="30"/>
        <v>0</v>
      </c>
      <c r="E958" s="204">
        <v>0</v>
      </c>
      <c r="F958" s="211">
        <v>29331.689024276599</v>
      </c>
      <c r="G958" s="204">
        <v>5.0847957388120014E-2</v>
      </c>
      <c r="H958" s="204">
        <v>0</v>
      </c>
      <c r="I958" s="209">
        <v>5.5469999999999997</v>
      </c>
      <c r="J958" s="207">
        <v>1.284921968973415</v>
      </c>
      <c r="K958" s="209">
        <v>7.0229999999999997</v>
      </c>
      <c r="L958" s="209">
        <v>15.284000000000001</v>
      </c>
      <c r="M958" s="208"/>
      <c r="N958" s="221"/>
    </row>
    <row r="959" spans="1:14" ht="16.5" customHeight="1" x14ac:dyDescent="0.25">
      <c r="A959" s="203">
        <v>44951</v>
      </c>
      <c r="B959" s="128" t="s">
        <v>21</v>
      </c>
      <c r="C959" s="157" t="str">
        <f t="shared" si="29"/>
        <v>25.01.2023_ORB2</v>
      </c>
      <c r="D959" s="190">
        <f t="shared" si="30"/>
        <v>0</v>
      </c>
      <c r="E959" s="204">
        <v>0</v>
      </c>
      <c r="F959" s="211">
        <v>28280.4802015102</v>
      </c>
      <c r="G959" s="204">
        <v>5.2923384220288208E-2</v>
      </c>
      <c r="H959" s="204">
        <v>0</v>
      </c>
      <c r="I959" s="209">
        <v>6.4710000000000001</v>
      </c>
      <c r="J959" s="207">
        <v>1.496820214130453</v>
      </c>
      <c r="K959" s="209">
        <v>9.3780000000000001</v>
      </c>
      <c r="L959" s="209">
        <v>16.082999999999998</v>
      </c>
      <c r="M959" s="208"/>
      <c r="N959" s="221"/>
    </row>
    <row r="960" spans="1:14" ht="16.5" customHeight="1" x14ac:dyDescent="0.25">
      <c r="A960" s="203">
        <v>44951</v>
      </c>
      <c r="B960" s="128" t="s">
        <v>10</v>
      </c>
      <c r="C960" s="157" t="str">
        <f t="shared" si="29"/>
        <v>25.01.2023_SAL1</v>
      </c>
      <c r="D960" s="190">
        <f t="shared" si="30"/>
        <v>0</v>
      </c>
      <c r="E960" s="204">
        <v>3.2654350815893942E-3</v>
      </c>
      <c r="F960" s="211">
        <v>53808.527452379203</v>
      </c>
      <c r="G960" s="204">
        <v>3.9433109811195112E-2</v>
      </c>
      <c r="H960" s="204">
        <v>0</v>
      </c>
      <c r="I960" s="209">
        <v>10.71</v>
      </c>
      <c r="J960" s="207">
        <v>2.4467475981959161</v>
      </c>
      <c r="K960" s="209">
        <v>7.4530000000000003</v>
      </c>
      <c r="L960" s="209">
        <v>7.4039999999999999</v>
      </c>
      <c r="M960" s="208"/>
      <c r="N960" s="221"/>
    </row>
    <row r="961" spans="1:14" ht="16.5" customHeight="1" x14ac:dyDescent="0.25">
      <c r="A961" s="203">
        <v>44951</v>
      </c>
      <c r="B961" s="128" t="s">
        <v>12</v>
      </c>
      <c r="C961" s="157" t="str">
        <f t="shared" si="29"/>
        <v>25.01.2023_SAL2</v>
      </c>
      <c r="D961" s="190">
        <f t="shared" si="30"/>
        <v>0</v>
      </c>
      <c r="E961" s="204">
        <v>2.6123480652715289E-2</v>
      </c>
      <c r="F961" s="211">
        <v>49363.663860708701</v>
      </c>
      <c r="G961" s="204">
        <v>3.631996956294286E-2</v>
      </c>
      <c r="H961" s="204">
        <v>4.4562334217506678E-3</v>
      </c>
      <c r="I961" s="209">
        <v>10.465</v>
      </c>
      <c r="J961" s="207">
        <v>2.3932883434311814</v>
      </c>
      <c r="K961" s="209">
        <v>7.6189999999999998</v>
      </c>
      <c r="L961" s="209">
        <v>7.6740000000000004</v>
      </c>
      <c r="M961" s="208"/>
      <c r="N961" s="221"/>
    </row>
    <row r="962" spans="1:14" ht="16.5" customHeight="1" x14ac:dyDescent="0.25">
      <c r="A962" s="203">
        <v>44951</v>
      </c>
      <c r="B962" s="128" t="s">
        <v>7</v>
      </c>
      <c r="C962" s="157" t="str">
        <f t="shared" si="29"/>
        <v>25.01.2023_STE1</v>
      </c>
      <c r="D962" s="190">
        <f t="shared" si="30"/>
        <v>0</v>
      </c>
      <c r="E962" s="204">
        <v>0</v>
      </c>
      <c r="F962" s="211">
        <v>56597.1793084604</v>
      </c>
      <c r="G962" s="204">
        <v>7.7828506206306214E-2</v>
      </c>
      <c r="H962" s="204">
        <v>0</v>
      </c>
      <c r="I962" s="209">
        <v>11.756</v>
      </c>
      <c r="J962" s="207">
        <v>2.7094295088796256</v>
      </c>
      <c r="K962" s="209">
        <v>8.2029999999999994</v>
      </c>
      <c r="L962" s="209">
        <v>7.4020000000000001</v>
      </c>
      <c r="M962" s="208"/>
      <c r="N962" s="221"/>
    </row>
    <row r="963" spans="1:14" ht="16.5" customHeight="1" x14ac:dyDescent="0.25">
      <c r="A963" s="203">
        <v>44951</v>
      </c>
      <c r="B963" s="128" t="s">
        <v>9</v>
      </c>
      <c r="C963" s="157" t="str">
        <f t="shared" si="29"/>
        <v>25.01.2023_STE2</v>
      </c>
      <c r="D963" s="190">
        <f t="shared" si="30"/>
        <v>0</v>
      </c>
      <c r="E963" s="204">
        <v>0</v>
      </c>
      <c r="F963" s="211">
        <v>45975.878381869203</v>
      </c>
      <c r="G963" s="204">
        <v>5.0847957388120014E-2</v>
      </c>
      <c r="H963" s="204">
        <v>0</v>
      </c>
      <c r="I963" s="209">
        <v>11.602</v>
      </c>
      <c r="J963" s="207">
        <v>2.6545998693712933</v>
      </c>
      <c r="K963" s="209">
        <v>9.2509999999999994</v>
      </c>
      <c r="L963" s="209">
        <v>7.3689999999999998</v>
      </c>
      <c r="M963" s="208"/>
      <c r="N963" s="221"/>
    </row>
    <row r="964" spans="1:14" ht="16.5" customHeight="1" x14ac:dyDescent="0.25">
      <c r="A964" s="203">
        <v>44965</v>
      </c>
      <c r="B964" s="128" t="s">
        <v>22</v>
      </c>
      <c r="C964" s="157" t="str">
        <f t="shared" si="29"/>
        <v>08.02.2023_BIE1</v>
      </c>
      <c r="D964" s="190">
        <f t="shared" si="30"/>
        <v>0</v>
      </c>
      <c r="E964" s="204">
        <v>6.4860541427399498E-2</v>
      </c>
      <c r="F964" s="205">
        <v>1.0150049089941496E-2</v>
      </c>
      <c r="G964" s="204">
        <v>1.6397933255877659E-2</v>
      </c>
      <c r="H964" s="204">
        <v>6.829635201203472E-3</v>
      </c>
      <c r="I964" s="209">
        <v>4.9420000000000002</v>
      </c>
      <c r="J964" s="207">
        <v>1.1310616536308626</v>
      </c>
      <c r="K964" s="209">
        <v>7.81</v>
      </c>
      <c r="L964" s="209">
        <v>12</v>
      </c>
      <c r="M964" s="212">
        <v>9.6</v>
      </c>
      <c r="N964" s="225"/>
    </row>
    <row r="965" spans="1:14" ht="16.5" customHeight="1" x14ac:dyDescent="0.25">
      <c r="A965" s="203">
        <v>44965</v>
      </c>
      <c r="B965" s="128" t="s">
        <v>25</v>
      </c>
      <c r="C965" s="157" t="str">
        <f t="shared" ref="C965:C1028" si="31">CONCATENATE(TEXT(A965,"TT.MM.JJJJ"),"_",B965)</f>
        <v>08.02.2023_BIE2</v>
      </c>
      <c r="D965" s="190">
        <f t="shared" ref="D965:D1028" si="32">COUNTBLANK(E965:L965)</f>
        <v>0</v>
      </c>
      <c r="E965" s="204">
        <v>3.7474979491386388E-2</v>
      </c>
      <c r="F965" s="205">
        <v>1.9910747520190918E-2</v>
      </c>
      <c r="G965" s="204">
        <v>0.10658656616320478</v>
      </c>
      <c r="H965" s="204">
        <v>0</v>
      </c>
      <c r="I965" s="209">
        <v>5.056</v>
      </c>
      <c r="J965" s="207">
        <v>1.2239823918461896</v>
      </c>
      <c r="K965" s="209">
        <v>8.6219999999999999</v>
      </c>
      <c r="L965" s="209">
        <v>12.13</v>
      </c>
      <c r="M965" s="212">
        <v>8.7479999999999993</v>
      </c>
      <c r="N965" s="225"/>
    </row>
    <row r="966" spans="1:14" ht="16.5" customHeight="1" x14ac:dyDescent="0.25">
      <c r="A966" s="203">
        <v>44965</v>
      </c>
      <c r="B966" s="128" t="s">
        <v>14</v>
      </c>
      <c r="C966" s="157" t="str">
        <f t="shared" si="31"/>
        <v>08.02.2023_BRA1</v>
      </c>
      <c r="D966" s="190">
        <f t="shared" si="32"/>
        <v>0</v>
      </c>
      <c r="E966" s="204">
        <v>3.1709598031173104E-2</v>
      </c>
      <c r="F966" s="205">
        <v>2.0536012442349184E-2</v>
      </c>
      <c r="G966" s="204">
        <v>1.1478553279114357E-2</v>
      </c>
      <c r="H966" s="204">
        <v>4.0977811207220757E-2</v>
      </c>
      <c r="I966" s="209">
        <v>12.949</v>
      </c>
      <c r="J966" s="207">
        <v>2.9461793064577377</v>
      </c>
      <c r="K966" s="209">
        <v>7.5069999999999997</v>
      </c>
      <c r="L966" s="209">
        <v>7.5330000000000004</v>
      </c>
      <c r="M966" s="212">
        <v>9.5530000000000008</v>
      </c>
      <c r="N966" s="225"/>
    </row>
    <row r="967" spans="1:14" ht="16.5" customHeight="1" x14ac:dyDescent="0.25">
      <c r="A967" s="203">
        <v>44965</v>
      </c>
      <c r="B967" s="128" t="s">
        <v>17</v>
      </c>
      <c r="C967" s="157" t="str">
        <f t="shared" si="31"/>
        <v>08.02.2023_BRA2</v>
      </c>
      <c r="D967" s="190">
        <f t="shared" si="32"/>
        <v>0</v>
      </c>
      <c r="E967" s="204">
        <v>4.9005742411812957E-2</v>
      </c>
      <c r="F967" s="205">
        <v>2.5599136243073823E-2</v>
      </c>
      <c r="G967" s="204">
        <v>4.9193799767633011E-3</v>
      </c>
      <c r="H967" s="204">
        <v>1.792779240315908E-2</v>
      </c>
      <c r="I967" s="209">
        <v>13.792999999999999</v>
      </c>
      <c r="J967" s="207">
        <v>3.1247028757552986</v>
      </c>
      <c r="K967" s="209">
        <v>8.6649999999999991</v>
      </c>
      <c r="L967" s="209">
        <v>7.9950000000000001</v>
      </c>
      <c r="M967" s="212">
        <v>8.109</v>
      </c>
      <c r="N967" s="225"/>
    </row>
    <row r="968" spans="1:14" ht="16.5" customHeight="1" x14ac:dyDescent="0.25">
      <c r="A968" s="203">
        <v>44965</v>
      </c>
      <c r="B968" s="128" t="s">
        <v>30</v>
      </c>
      <c r="C968" s="157" t="str">
        <f t="shared" si="31"/>
        <v>08.02.2023_FAL1</v>
      </c>
      <c r="D968" s="190">
        <f t="shared" si="32"/>
        <v>0</v>
      </c>
      <c r="E968" s="204">
        <v>0.10233552091878585</v>
      </c>
      <c r="F968" s="205">
        <v>5.7234605152313899E-2</v>
      </c>
      <c r="G968" s="204">
        <v>0.16561912588436431</v>
      </c>
      <c r="H968" s="204">
        <v>7.6833396013538918E-2</v>
      </c>
      <c r="I968" s="209">
        <v>15.67</v>
      </c>
      <c r="J968" s="207">
        <v>3.691376422474272</v>
      </c>
      <c r="K968" s="209">
        <v>37</v>
      </c>
      <c r="L968" s="209">
        <v>31.117999999999999</v>
      </c>
      <c r="M968" s="212">
        <v>9.609</v>
      </c>
      <c r="N968" s="225"/>
    </row>
    <row r="969" spans="1:14" ht="16.5" customHeight="1" x14ac:dyDescent="0.25">
      <c r="A969" s="203">
        <v>44965</v>
      </c>
      <c r="B969" s="128" t="s">
        <v>32</v>
      </c>
      <c r="C969" s="157" t="str">
        <f t="shared" si="31"/>
        <v>08.02.2023_FAL2</v>
      </c>
      <c r="D969" s="190">
        <f t="shared" si="32"/>
        <v>0</v>
      </c>
      <c r="E969" s="204">
        <v>0.13260377358490566</v>
      </c>
      <c r="F969" s="205">
        <v>6.1770713004911278E-2</v>
      </c>
      <c r="G969" s="204">
        <v>0.13938243267496009</v>
      </c>
      <c r="H969" s="204">
        <v>9.5614892816848429E-2</v>
      </c>
      <c r="I969" s="209">
        <v>18.209</v>
      </c>
      <c r="J969" s="207">
        <v>4.2502058492658694</v>
      </c>
      <c r="K969" s="209">
        <v>44</v>
      </c>
      <c r="L969" s="209">
        <v>33.76</v>
      </c>
      <c r="M969" s="212">
        <v>8.2089999999999996</v>
      </c>
      <c r="N969" s="225"/>
    </row>
    <row r="970" spans="1:14" ht="16.5" customHeight="1" x14ac:dyDescent="0.25">
      <c r="A970" s="203">
        <v>44965</v>
      </c>
      <c r="B970" s="128" t="s">
        <v>26</v>
      </c>
      <c r="C970" s="157" t="str">
        <f t="shared" si="31"/>
        <v>08.02.2023_GRU1</v>
      </c>
      <c r="D970" s="190">
        <f t="shared" si="32"/>
        <v>0</v>
      </c>
      <c r="E970" s="204">
        <v>2.3061525840853164E-2</v>
      </c>
      <c r="F970" s="205">
        <v>1.5679678397151162E-2</v>
      </c>
      <c r="G970" s="204">
        <v>1.2298449941908235E-2</v>
      </c>
      <c r="H970" s="204">
        <v>8.5370440015043441E-3</v>
      </c>
      <c r="I970" s="209">
        <v>10.712</v>
      </c>
      <c r="J970" s="207">
        <v>2.4316681664416504</v>
      </c>
      <c r="K970" s="209">
        <v>8.0619999999999994</v>
      </c>
      <c r="L970" s="209">
        <v>11.183999999999999</v>
      </c>
      <c r="M970" s="212">
        <v>11.8</v>
      </c>
      <c r="N970" s="225"/>
    </row>
    <row r="971" spans="1:14" ht="16.5" customHeight="1" x14ac:dyDescent="0.25">
      <c r="A971" s="203">
        <v>44965</v>
      </c>
      <c r="B971" s="128" t="s">
        <v>28</v>
      </c>
      <c r="C971" s="157" t="str">
        <f t="shared" si="31"/>
        <v>08.02.2023_GRU2</v>
      </c>
      <c r="D971" s="190">
        <f t="shared" si="32"/>
        <v>0</v>
      </c>
      <c r="E971" s="204">
        <v>2.7385561936013134E-2</v>
      </c>
      <c r="F971" s="205">
        <v>1.3622246849150222E-2</v>
      </c>
      <c r="G971" s="204">
        <v>0</v>
      </c>
      <c r="H971" s="204">
        <v>0</v>
      </c>
      <c r="I971" s="209">
        <v>9.9329999999999998</v>
      </c>
      <c r="J971" s="207">
        <v>2.2340025655363318</v>
      </c>
      <c r="K971" s="209">
        <v>8.423</v>
      </c>
      <c r="L971" s="209">
        <v>11.035</v>
      </c>
      <c r="M971" s="212">
        <v>10.06</v>
      </c>
      <c r="N971" s="225"/>
    </row>
    <row r="972" spans="1:14" ht="16.5" customHeight="1" x14ac:dyDescent="0.25">
      <c r="A972" s="203">
        <v>44965</v>
      </c>
      <c r="B972" s="128" t="s">
        <v>0</v>
      </c>
      <c r="C972" s="157" t="str">
        <f t="shared" si="31"/>
        <v>08.02.2023_KIN1</v>
      </c>
      <c r="D972" s="190">
        <f t="shared" si="32"/>
        <v>0</v>
      </c>
      <c r="E972" s="204">
        <v>5.0447087776866274E-2</v>
      </c>
      <c r="F972" s="205">
        <v>2.6650571616310501E-2</v>
      </c>
      <c r="G972" s="204">
        <v>1.3938243267496007E-2</v>
      </c>
      <c r="H972" s="204">
        <v>0</v>
      </c>
      <c r="I972" s="209">
        <v>9.3629999999999995</v>
      </c>
      <c r="J972" s="207">
        <v>2.1253838062101522</v>
      </c>
      <c r="K972" s="209">
        <v>9.6449999999999996</v>
      </c>
      <c r="L972" s="209">
        <v>8.6609999999999996</v>
      </c>
      <c r="M972" s="212">
        <v>13.52</v>
      </c>
      <c r="N972" s="225"/>
    </row>
    <row r="973" spans="1:14" ht="16.5" customHeight="1" x14ac:dyDescent="0.25">
      <c r="A973" s="203">
        <v>44965</v>
      </c>
      <c r="B973" s="128" t="s">
        <v>2</v>
      </c>
      <c r="C973" s="157" t="str">
        <f t="shared" si="31"/>
        <v>08.02.2023_KIN2</v>
      </c>
      <c r="D973" s="190">
        <f t="shared" si="32"/>
        <v>0</v>
      </c>
      <c r="E973" s="204">
        <v>5.6212469237079558E-2</v>
      </c>
      <c r="F973" s="205">
        <v>1.9190799240064713E-2</v>
      </c>
      <c r="G973" s="204">
        <v>1.4758139930289885E-2</v>
      </c>
      <c r="H973" s="204">
        <v>0</v>
      </c>
      <c r="I973" s="209">
        <v>9.7530000000000001</v>
      </c>
      <c r="J973" s="207">
        <v>2.2138498374652191</v>
      </c>
      <c r="K973" s="209">
        <v>9.9649999999999999</v>
      </c>
      <c r="L973" s="209">
        <v>9.3510000000000009</v>
      </c>
      <c r="M973" s="212">
        <v>11.79</v>
      </c>
      <c r="N973" s="225"/>
    </row>
    <row r="974" spans="1:14" ht="16.5" customHeight="1" x14ac:dyDescent="0.25">
      <c r="A974" s="203">
        <v>44965</v>
      </c>
      <c r="B974" s="128" t="s">
        <v>4</v>
      </c>
      <c r="C974" s="157" t="str">
        <f t="shared" si="31"/>
        <v>08.02.2023_KIN3</v>
      </c>
      <c r="D974" s="190">
        <f t="shared" si="32"/>
        <v>0</v>
      </c>
      <c r="E974" s="204">
        <v>6.9184577522559465E-2</v>
      </c>
      <c r="F974" s="205">
        <v>1.4520956923557727E-2</v>
      </c>
      <c r="G974" s="204">
        <v>1.9677519907053187E-2</v>
      </c>
      <c r="H974" s="204">
        <v>1.7074088003008723E-3</v>
      </c>
      <c r="I974" s="209">
        <v>9.7609999999999992</v>
      </c>
      <c r="J974" s="207">
        <v>2.2205162880418792</v>
      </c>
      <c r="K974" s="209">
        <v>10.952999999999999</v>
      </c>
      <c r="L974" s="209">
        <v>10.84</v>
      </c>
      <c r="M974" s="212">
        <v>10.95</v>
      </c>
      <c r="N974" s="225"/>
    </row>
    <row r="975" spans="1:14" ht="16.5" customHeight="1" x14ac:dyDescent="0.25">
      <c r="A975" s="203">
        <v>44965</v>
      </c>
      <c r="B975" s="128" t="s">
        <v>6</v>
      </c>
      <c r="C975" s="157" t="str">
        <f t="shared" si="31"/>
        <v>08.02.2023_KIN4</v>
      </c>
      <c r="D975" s="190">
        <f t="shared" si="32"/>
        <v>0</v>
      </c>
      <c r="E975" s="204">
        <v>7.6391304347826094E-2</v>
      </c>
      <c r="F975" s="205">
        <v>1.8486771836587507E-2</v>
      </c>
      <c r="G975" s="204">
        <v>5.9852456383953423E-2</v>
      </c>
      <c r="H975" s="204">
        <v>1.7074088003008654E-2</v>
      </c>
      <c r="I975" s="209">
        <v>10.17</v>
      </c>
      <c r="J975" s="207">
        <v>2.3487709399500916</v>
      </c>
      <c r="K975" s="209">
        <v>17.094999999999999</v>
      </c>
      <c r="L975" s="209">
        <v>11.743</v>
      </c>
      <c r="M975" s="212">
        <v>15.33</v>
      </c>
      <c r="N975" s="225"/>
    </row>
    <row r="976" spans="1:14" ht="16.5" customHeight="1" x14ac:dyDescent="0.25">
      <c r="A976" s="203">
        <v>44965</v>
      </c>
      <c r="B976" s="128" t="s">
        <v>34</v>
      </c>
      <c r="C976" s="157" t="str">
        <f t="shared" si="31"/>
        <v>08.02.2023_KRE1</v>
      </c>
      <c r="D976" s="190">
        <f t="shared" si="32"/>
        <v>0</v>
      </c>
      <c r="E976" s="204">
        <v>3.6033634126333078E-2</v>
      </c>
      <c r="F976" s="205">
        <v>2.5663444780723917E-2</v>
      </c>
      <c r="G976" s="204">
        <v>0.34927597835019414</v>
      </c>
      <c r="H976" s="204">
        <v>4.6953742008273805E-2</v>
      </c>
      <c r="I976" s="209">
        <v>12.371</v>
      </c>
      <c r="J976" s="207">
        <v>3.0797421411835613</v>
      </c>
      <c r="K976" s="209">
        <v>43</v>
      </c>
      <c r="L976" s="209">
        <v>38</v>
      </c>
      <c r="M976" s="212">
        <v>11.38</v>
      </c>
      <c r="N976" s="225"/>
    </row>
    <row r="977" spans="1:14" ht="16.5" customHeight="1" x14ac:dyDescent="0.25">
      <c r="A977" s="203">
        <v>44965</v>
      </c>
      <c r="B977" s="128" t="s">
        <v>37</v>
      </c>
      <c r="C977" s="157" t="str">
        <f t="shared" si="31"/>
        <v>08.02.2023_KRE2</v>
      </c>
      <c r="D977" s="190">
        <f t="shared" si="32"/>
        <v>0</v>
      </c>
      <c r="E977" s="204">
        <v>4.0357670221493044E-2</v>
      </c>
      <c r="F977" s="205">
        <v>3.121940376613435E-2</v>
      </c>
      <c r="G977" s="204">
        <v>0.22793127225669935</v>
      </c>
      <c r="H977" s="204">
        <v>2.6464836404663426E-2</v>
      </c>
      <c r="I977" s="209">
        <v>14.884</v>
      </c>
      <c r="J977" s="207">
        <v>3.5468926530380043</v>
      </c>
      <c r="K977" s="209">
        <v>47</v>
      </c>
      <c r="L977" s="209">
        <v>48</v>
      </c>
      <c r="M977" s="212">
        <v>11.44</v>
      </c>
      <c r="N977" s="225"/>
    </row>
    <row r="978" spans="1:14" ht="16.5" customHeight="1" x14ac:dyDescent="0.25">
      <c r="A978" s="203">
        <v>44965</v>
      </c>
      <c r="B978" s="128" t="s">
        <v>18</v>
      </c>
      <c r="C978" s="157" t="str">
        <f t="shared" si="31"/>
        <v>08.02.2023_ORB1</v>
      </c>
      <c r="D978" s="190">
        <f t="shared" si="32"/>
        <v>0</v>
      </c>
      <c r="E978" s="204">
        <v>1.5854799015586538E-2</v>
      </c>
      <c r="F978" s="205">
        <v>1.2646304060787936E-2</v>
      </c>
      <c r="G978" s="204">
        <v>0.40994833139694142</v>
      </c>
      <c r="H978" s="204">
        <v>0</v>
      </c>
      <c r="I978" s="209">
        <v>6.9729999999999999</v>
      </c>
      <c r="J978" s="207">
        <v>1.8922726486279076</v>
      </c>
      <c r="K978" s="209">
        <v>12.929</v>
      </c>
      <c r="L978" s="209">
        <v>15.692</v>
      </c>
      <c r="M978" s="212">
        <v>10.27</v>
      </c>
      <c r="N978" s="225"/>
    </row>
    <row r="979" spans="1:14" ht="16.5" customHeight="1" x14ac:dyDescent="0.25">
      <c r="A979" s="203">
        <v>44965</v>
      </c>
      <c r="B979" s="128" t="s">
        <v>21</v>
      </c>
      <c r="C979" s="157" t="str">
        <f t="shared" si="31"/>
        <v>08.02.2023_ORB2</v>
      </c>
      <c r="D979" s="190">
        <f t="shared" si="32"/>
        <v>0</v>
      </c>
      <c r="E979" s="204">
        <v>2.5944216570959824E-2</v>
      </c>
      <c r="F979" s="205">
        <v>1.1753291645002686E-2</v>
      </c>
      <c r="G979" s="204">
        <v>0.32877856178034698</v>
      </c>
      <c r="H979" s="204">
        <v>0</v>
      </c>
      <c r="I979" s="209">
        <v>7.2539999999999996</v>
      </c>
      <c r="J979" s="207">
        <v>1.8908952320859376</v>
      </c>
      <c r="K979" s="209">
        <v>13.946</v>
      </c>
      <c r="L979" s="209">
        <v>16.245999999999999</v>
      </c>
      <c r="M979" s="212">
        <v>11.95</v>
      </c>
      <c r="N979" s="225"/>
    </row>
    <row r="980" spans="1:14" ht="16.5" customHeight="1" x14ac:dyDescent="0.25">
      <c r="A980" s="203">
        <v>44965</v>
      </c>
      <c r="B980" s="128" t="s">
        <v>10</v>
      </c>
      <c r="C980" s="157" t="str">
        <f t="shared" si="31"/>
        <v>08.02.2023_SAL1</v>
      </c>
      <c r="D980" s="190">
        <f t="shared" si="32"/>
        <v>0</v>
      </c>
      <c r="E980" s="204">
        <v>7.3508613617719404E-2</v>
      </c>
      <c r="F980" s="205">
        <v>2.0764872202734156E-2</v>
      </c>
      <c r="G980" s="204">
        <v>2.2957106558228732E-2</v>
      </c>
      <c r="H980" s="204">
        <v>0</v>
      </c>
      <c r="I980" s="209">
        <v>12.382999999999999</v>
      </c>
      <c r="J980" s="207">
        <v>2.8137345324528953</v>
      </c>
      <c r="K980" s="209">
        <v>7.6310000000000002</v>
      </c>
      <c r="L980" s="209">
        <v>7.61</v>
      </c>
      <c r="M980" s="212">
        <v>9.9120000000000008</v>
      </c>
      <c r="N980" s="225"/>
    </row>
    <row r="981" spans="1:14" ht="16.5" customHeight="1" x14ac:dyDescent="0.25">
      <c r="A981" s="203">
        <v>44965</v>
      </c>
      <c r="B981" s="128" t="s">
        <v>12</v>
      </c>
      <c r="C981" s="157" t="str">
        <f t="shared" si="31"/>
        <v>08.02.2023_SAL2</v>
      </c>
      <c r="D981" s="190">
        <f t="shared" si="32"/>
        <v>0</v>
      </c>
      <c r="E981" s="204">
        <v>9.3687448728465947E-2</v>
      </c>
      <c r="F981" s="205">
        <v>1.9040494651778754E-2</v>
      </c>
      <c r="G981" s="204">
        <v>2.2957106558228732E-2</v>
      </c>
      <c r="H981" s="204">
        <v>2.5611132004512979E-2</v>
      </c>
      <c r="I981" s="209">
        <v>11.965999999999999</v>
      </c>
      <c r="J981" s="207">
        <v>2.7283836928101728</v>
      </c>
      <c r="K981" s="209">
        <v>7.806</v>
      </c>
      <c r="L981" s="209">
        <v>7.7960000000000003</v>
      </c>
      <c r="M981" s="212">
        <v>12.13</v>
      </c>
      <c r="N981" s="225"/>
    </row>
    <row r="982" spans="1:14" ht="16.5" customHeight="1" x14ac:dyDescent="0.25">
      <c r="A982" s="203">
        <v>44965</v>
      </c>
      <c r="B982" s="128" t="s">
        <v>7</v>
      </c>
      <c r="C982" s="157" t="str">
        <f t="shared" si="31"/>
        <v>08.02.2023_STE1</v>
      </c>
      <c r="D982" s="190">
        <f t="shared" si="32"/>
        <v>0</v>
      </c>
      <c r="E982" s="204">
        <v>6.6301886792452774E-2</v>
      </c>
      <c r="F982" s="205">
        <v>1.8825903451459916E-2</v>
      </c>
      <c r="G982" s="204">
        <v>3.5255556500136981E-2</v>
      </c>
      <c r="H982" s="204">
        <v>6.1466716810831157E-2</v>
      </c>
      <c r="I982" s="209">
        <v>11.615</v>
      </c>
      <c r="J982" s="207">
        <v>2.6695691789998488</v>
      </c>
      <c r="K982" s="209">
        <v>7.3920000000000003</v>
      </c>
      <c r="L982" s="209">
        <v>6.6130000000000004</v>
      </c>
      <c r="M982" s="212">
        <v>8.9740000000000002</v>
      </c>
      <c r="N982" s="225"/>
    </row>
    <row r="983" spans="1:14" ht="16.5" customHeight="1" x14ac:dyDescent="0.25">
      <c r="A983" s="203">
        <v>44965</v>
      </c>
      <c r="B983" s="128" t="s">
        <v>9</v>
      </c>
      <c r="C983" s="157" t="str">
        <f t="shared" si="31"/>
        <v>08.02.2023_STE2</v>
      </c>
      <c r="D983" s="190">
        <f t="shared" si="32"/>
        <v>0</v>
      </c>
      <c r="E983" s="204">
        <v>8.3598031173092655E-2</v>
      </c>
      <c r="F983" s="205">
        <v>2.2807992345719407E-2</v>
      </c>
      <c r="G983" s="204">
        <v>1.3938243267496007E-2</v>
      </c>
      <c r="H983" s="204">
        <v>0</v>
      </c>
      <c r="I983" s="209">
        <v>12.615</v>
      </c>
      <c r="J983" s="207">
        <v>2.8554945710315134</v>
      </c>
      <c r="K983" s="209">
        <v>8.32</v>
      </c>
      <c r="L983" s="209">
        <v>6.8109999999999999</v>
      </c>
      <c r="M983" s="212">
        <v>12.24</v>
      </c>
      <c r="N983" s="225"/>
    </row>
    <row r="984" spans="1:14" ht="16.5" customHeight="1" x14ac:dyDescent="0.25">
      <c r="A984" s="203">
        <v>44979</v>
      </c>
      <c r="B984" s="128" t="s">
        <v>22</v>
      </c>
      <c r="C984" s="157" t="str">
        <f t="shared" si="31"/>
        <v>22.02.2023_BIE1</v>
      </c>
      <c r="D984" s="190">
        <f t="shared" si="32"/>
        <v>0</v>
      </c>
      <c r="E984" s="204">
        <v>3.9114737596066367E-2</v>
      </c>
      <c r="F984" s="205">
        <v>7.4698579487947865E-3</v>
      </c>
      <c r="G984" s="204">
        <v>4.5427314737486769E-2</v>
      </c>
      <c r="H984" s="204">
        <v>0.03</v>
      </c>
      <c r="I984" s="209">
        <v>4.3140000000000001</v>
      </c>
      <c r="J984" s="207">
        <v>1.018810535620511</v>
      </c>
      <c r="K984" s="209">
        <v>7.7549999999999999</v>
      </c>
      <c r="L984" s="209">
        <v>12.852</v>
      </c>
      <c r="M984" s="212"/>
      <c r="N984" s="225"/>
    </row>
    <row r="985" spans="1:14" ht="16.5" customHeight="1" x14ac:dyDescent="0.25">
      <c r="A985" s="203">
        <v>44979</v>
      </c>
      <c r="B985" s="128" t="s">
        <v>25</v>
      </c>
      <c r="C985" s="157" t="str">
        <f t="shared" si="31"/>
        <v>22.02.2023_BIE2</v>
      </c>
      <c r="D985" s="190">
        <f t="shared" si="32"/>
        <v>0</v>
      </c>
      <c r="E985" s="204">
        <v>5.1019222951391302E-3</v>
      </c>
      <c r="F985" s="205">
        <v>1.6462874967628948E-2</v>
      </c>
      <c r="G985" s="204">
        <v>0.10438617003507607</v>
      </c>
      <c r="H985" s="204">
        <v>2.3E-2</v>
      </c>
      <c r="I985" s="209">
        <v>4.3849999999999998</v>
      </c>
      <c r="J985" s="207">
        <v>1.0784971171705362</v>
      </c>
      <c r="K985" s="209">
        <v>8.3480000000000008</v>
      </c>
      <c r="L985" s="209">
        <v>12.949</v>
      </c>
      <c r="M985" s="212"/>
      <c r="N985" s="225"/>
    </row>
    <row r="986" spans="1:14" ht="16.5" customHeight="1" x14ac:dyDescent="0.25">
      <c r="A986" s="203">
        <v>44979</v>
      </c>
      <c r="B986" s="128" t="s">
        <v>14</v>
      </c>
      <c r="C986" s="157" t="str">
        <f t="shared" si="31"/>
        <v>22.02.2023_BRA1</v>
      </c>
      <c r="D986" s="190">
        <f t="shared" si="32"/>
        <v>0</v>
      </c>
      <c r="E986" s="204">
        <v>8.5032038252318368E-3</v>
      </c>
      <c r="F986" s="205">
        <v>2.1571942131453307E-2</v>
      </c>
      <c r="G986" s="204">
        <v>2.9962696954512518E-2</v>
      </c>
      <c r="H986" s="204">
        <v>5.5E-2</v>
      </c>
      <c r="I986" s="209">
        <v>11.407999999999999</v>
      </c>
      <c r="J986" s="207">
        <v>2.6167354445582092</v>
      </c>
      <c r="K986" s="209">
        <v>8.7200000000000006</v>
      </c>
      <c r="L986" s="209">
        <v>6.9059999999999997</v>
      </c>
      <c r="M986" s="212"/>
      <c r="N986" s="225"/>
    </row>
    <row r="987" spans="1:14" ht="16.5" customHeight="1" x14ac:dyDescent="0.25">
      <c r="A987" s="203">
        <v>44979</v>
      </c>
      <c r="B987" s="128" t="s">
        <v>17</v>
      </c>
      <c r="C987" s="157" t="str">
        <f t="shared" si="31"/>
        <v>22.02.2023_BRA2</v>
      </c>
      <c r="D987" s="190">
        <f t="shared" si="32"/>
        <v>0</v>
      </c>
      <c r="E987" s="204">
        <v>3.4012815300927271E-2</v>
      </c>
      <c r="F987" s="205">
        <v>2.6379002726773838E-2</v>
      </c>
      <c r="G987" s="204">
        <v>1.8364233617281921E-2</v>
      </c>
      <c r="H987" s="204">
        <v>2.2625698324022375E-2</v>
      </c>
      <c r="I987" s="209">
        <v>11.968</v>
      </c>
      <c r="J987" s="207">
        <v>2.7243601976162317</v>
      </c>
      <c r="K987" s="209">
        <v>10.319000000000001</v>
      </c>
      <c r="L987" s="209">
        <v>7.5279999999999996</v>
      </c>
      <c r="M987" s="212"/>
      <c r="N987" s="225"/>
    </row>
    <row r="988" spans="1:14" ht="16.5" customHeight="1" x14ac:dyDescent="0.25">
      <c r="A988" s="203">
        <v>44979</v>
      </c>
      <c r="B988" s="128" t="s">
        <v>30</v>
      </c>
      <c r="C988" s="157" t="str">
        <f t="shared" si="31"/>
        <v>22.02.2023_FAL1</v>
      </c>
      <c r="D988" s="190">
        <f t="shared" si="32"/>
        <v>0</v>
      </c>
      <c r="E988" s="204">
        <v>7.1426912131947254E-2</v>
      </c>
      <c r="F988" s="205">
        <v>3.5130818419290007E-2</v>
      </c>
      <c r="G988" s="204">
        <v>9.8586938366460722E-2</v>
      </c>
      <c r="H988" s="204">
        <v>0.1730200460072297</v>
      </c>
      <c r="I988" s="209">
        <v>13.957000000000001</v>
      </c>
      <c r="J988" s="207">
        <v>3.2816953147790744</v>
      </c>
      <c r="K988" s="209">
        <v>37</v>
      </c>
      <c r="L988" s="209">
        <v>32.716999999999999</v>
      </c>
      <c r="M988" s="212"/>
      <c r="N988" s="225"/>
    </row>
    <row r="989" spans="1:14" ht="16.5" customHeight="1" x14ac:dyDescent="0.25">
      <c r="A989" s="203">
        <v>44979</v>
      </c>
      <c r="B989" s="128" t="s">
        <v>32</v>
      </c>
      <c r="C989" s="157" t="str">
        <f t="shared" si="31"/>
        <v>22.02.2023_FAL2</v>
      </c>
      <c r="D989" s="190">
        <f t="shared" si="32"/>
        <v>0</v>
      </c>
      <c r="E989" s="204">
        <v>0.10884100896296731</v>
      </c>
      <c r="F989" s="205">
        <v>4.209881352467254E-2</v>
      </c>
      <c r="G989" s="204">
        <v>6.9590780023384036E-2</v>
      </c>
      <c r="H989" s="204">
        <v>0.16237265856063096</v>
      </c>
      <c r="I989" s="209">
        <v>15.122</v>
      </c>
      <c r="J989" s="207">
        <v>3.5190770406791416</v>
      </c>
      <c r="K989" s="209">
        <v>42</v>
      </c>
      <c r="L989" s="209">
        <v>36.087000000000003</v>
      </c>
      <c r="M989" s="212"/>
      <c r="N989" s="225"/>
    </row>
    <row r="990" spans="1:14" ht="16.5" customHeight="1" x14ac:dyDescent="0.25">
      <c r="A990" s="203">
        <v>44979</v>
      </c>
      <c r="B990" s="128" t="s">
        <v>26</v>
      </c>
      <c r="C990" s="157" t="str">
        <f t="shared" si="31"/>
        <v>22.02.2023_GRU1</v>
      </c>
      <c r="D990" s="190">
        <f t="shared" si="32"/>
        <v>0</v>
      </c>
      <c r="E990" s="204">
        <v>0</v>
      </c>
      <c r="F990" s="205">
        <v>1.2103506004721444E-2</v>
      </c>
      <c r="G990" s="204">
        <v>2.0297310840153689E-2</v>
      </c>
      <c r="H990" s="204">
        <v>1.5971081169898167E-2</v>
      </c>
      <c r="I990" s="209">
        <v>8.2880000000000003</v>
      </c>
      <c r="J990" s="207">
        <v>1.8926336145564462</v>
      </c>
      <c r="K990" s="209">
        <v>8.7420000000000009</v>
      </c>
      <c r="L990" s="209">
        <v>12.275</v>
      </c>
      <c r="M990" s="212"/>
      <c r="N990" s="225"/>
    </row>
    <row r="991" spans="1:14" ht="16.5" customHeight="1" x14ac:dyDescent="0.25">
      <c r="A991" s="203">
        <v>44979</v>
      </c>
      <c r="B991" s="128" t="s">
        <v>28</v>
      </c>
      <c r="C991" s="157" t="str">
        <f t="shared" si="31"/>
        <v>22.02.2023_GRU2</v>
      </c>
      <c r="D991" s="190">
        <f t="shared" si="32"/>
        <v>0</v>
      </c>
      <c r="E991" s="204">
        <v>0</v>
      </c>
      <c r="F991" s="205">
        <v>1.0756800798095125E-2</v>
      </c>
      <c r="G991" s="204">
        <v>1.1598463337230679E-2</v>
      </c>
      <c r="H991" s="204">
        <v>0.24755175813342095</v>
      </c>
      <c r="I991" s="209">
        <v>7.4569999999999999</v>
      </c>
      <c r="J991" s="207">
        <v>1.768685813560446</v>
      </c>
      <c r="K991" s="209">
        <v>8.9789999999999992</v>
      </c>
      <c r="L991" s="209">
        <v>11.907999999999999</v>
      </c>
      <c r="M991" s="212"/>
      <c r="N991" s="225"/>
    </row>
    <row r="992" spans="1:14" ht="16.5" customHeight="1" x14ac:dyDescent="0.25">
      <c r="A992" s="203">
        <v>44979</v>
      </c>
      <c r="B992" s="128" t="s">
        <v>0</v>
      </c>
      <c r="C992" s="157" t="str">
        <f t="shared" si="31"/>
        <v>22.02.2023_KIN1</v>
      </c>
      <c r="D992" s="190">
        <f t="shared" si="32"/>
        <v>0</v>
      </c>
      <c r="E992" s="204">
        <v>6.8025630601854827E-3</v>
      </c>
      <c r="F992" s="205">
        <v>1.1549416012513225E-2</v>
      </c>
      <c r="G992" s="204">
        <v>1.2565001948666582E-2</v>
      </c>
      <c r="H992" s="204">
        <v>0.11179756818928692</v>
      </c>
      <c r="I992" s="209">
        <v>6.2910000000000004</v>
      </c>
      <c r="J992" s="207">
        <v>1.4647415379983484</v>
      </c>
      <c r="K992" s="209">
        <v>8.6950000000000003</v>
      </c>
      <c r="L992" s="209">
        <v>9.4019999999999992</v>
      </c>
      <c r="M992" s="212"/>
      <c r="N992" s="225"/>
    </row>
    <row r="993" spans="1:14" ht="16.5" customHeight="1" x14ac:dyDescent="0.25">
      <c r="A993" s="203">
        <v>44979</v>
      </c>
      <c r="B993" s="128" t="s">
        <v>2</v>
      </c>
      <c r="C993" s="157" t="str">
        <f t="shared" si="31"/>
        <v>22.02.2023_KIN2</v>
      </c>
      <c r="D993" s="190">
        <f t="shared" si="32"/>
        <v>0</v>
      </c>
      <c r="E993" s="204">
        <v>1.1904485355324578E-2</v>
      </c>
      <c r="F993" s="205">
        <v>9.2575495740620465E-3</v>
      </c>
      <c r="G993" s="204">
        <v>1.0631924725794776E-2</v>
      </c>
      <c r="H993" s="204">
        <v>6.5215248110417345E-2</v>
      </c>
      <c r="I993" s="209">
        <v>7.2210000000000001</v>
      </c>
      <c r="J993" s="207">
        <v>1.659117635517549</v>
      </c>
      <c r="K993" s="209">
        <v>9.8109999999999999</v>
      </c>
      <c r="L993" s="209">
        <v>10.363</v>
      </c>
      <c r="M993" s="212"/>
      <c r="N993" s="225"/>
    </row>
    <row r="994" spans="1:14" ht="16.5" customHeight="1" x14ac:dyDescent="0.25">
      <c r="A994" s="203">
        <v>44979</v>
      </c>
      <c r="B994" s="128" t="s">
        <v>4</v>
      </c>
      <c r="C994" s="157" t="str">
        <f t="shared" si="31"/>
        <v>22.02.2023_KIN3</v>
      </c>
      <c r="D994" s="190">
        <f t="shared" si="32"/>
        <v>0</v>
      </c>
      <c r="E994" s="204">
        <v>3.2312174535880922E-2</v>
      </c>
      <c r="F994" s="205">
        <v>7.6160556951980979E-3</v>
      </c>
      <c r="G994" s="204">
        <v>1.9330772228717784E-2</v>
      </c>
      <c r="H994" s="204">
        <v>2.3956621754847182E-2</v>
      </c>
      <c r="I994" s="209">
        <v>7.57</v>
      </c>
      <c r="J994" s="207">
        <v>1.7321396448211404</v>
      </c>
      <c r="K994" s="209">
        <v>11.206</v>
      </c>
      <c r="L994" s="209">
        <v>11.86</v>
      </c>
      <c r="M994" s="212"/>
      <c r="N994" s="225"/>
    </row>
    <row r="995" spans="1:14" ht="16.5" customHeight="1" x14ac:dyDescent="0.25">
      <c r="A995" s="203">
        <v>44979</v>
      </c>
      <c r="B995" s="128" t="s">
        <v>6</v>
      </c>
      <c r="C995" s="157" t="str">
        <f t="shared" si="31"/>
        <v>22.02.2023_KIN4</v>
      </c>
      <c r="D995" s="190">
        <f t="shared" si="32"/>
        <v>0</v>
      </c>
      <c r="E995" s="204">
        <v>7.8229475192132705E-2</v>
      </c>
      <c r="F995" s="205">
        <v>1.2089977956074504E-2</v>
      </c>
      <c r="G995" s="204">
        <v>4.0594621680307336E-2</v>
      </c>
      <c r="H995" s="204">
        <v>2.9280315478146579E-2</v>
      </c>
      <c r="I995" s="209">
        <v>8.2129999999999992</v>
      </c>
      <c r="J995" s="207">
        <v>1.8955060198358633</v>
      </c>
      <c r="K995" s="209">
        <v>15.454000000000001</v>
      </c>
      <c r="L995" s="209">
        <v>12.359</v>
      </c>
      <c r="M995" s="212"/>
      <c r="N995" s="225"/>
    </row>
    <row r="996" spans="1:14" ht="16.5" customHeight="1" x14ac:dyDescent="0.25">
      <c r="A996" s="203">
        <v>44979</v>
      </c>
      <c r="B996" s="128" t="s">
        <v>34</v>
      </c>
      <c r="C996" s="157" t="str">
        <f t="shared" si="31"/>
        <v>22.02.2023_KRE1</v>
      </c>
      <c r="D996" s="190">
        <f t="shared" si="32"/>
        <v>0</v>
      </c>
      <c r="E996" s="204">
        <v>0</v>
      </c>
      <c r="F996" s="205">
        <v>1.8524560912088803E-2</v>
      </c>
      <c r="G996" s="204">
        <v>0.2551661934190747</v>
      </c>
      <c r="H996" s="204">
        <v>0.14107788366743343</v>
      </c>
      <c r="I996" s="209">
        <v>12.252000000000001</v>
      </c>
      <c r="J996" s="207">
        <v>3.0084443992105272</v>
      </c>
      <c r="K996" s="209">
        <v>50</v>
      </c>
      <c r="L996" s="209">
        <v>40</v>
      </c>
      <c r="M996" s="212"/>
      <c r="N996" s="225"/>
    </row>
    <row r="997" spans="1:14" ht="16.5" customHeight="1" x14ac:dyDescent="0.25">
      <c r="A997" s="203">
        <v>44979</v>
      </c>
      <c r="B997" s="128" t="s">
        <v>37</v>
      </c>
      <c r="C997" s="157" t="str">
        <f t="shared" si="31"/>
        <v>22.02.2023_KRE2</v>
      </c>
      <c r="D997" s="190">
        <f t="shared" si="32"/>
        <v>0</v>
      </c>
      <c r="E997" s="204">
        <v>0</v>
      </c>
      <c r="F997" s="205">
        <v>2.5045465028471974E-2</v>
      </c>
      <c r="G997" s="204">
        <v>0.15657925505261405</v>
      </c>
      <c r="H997" s="204">
        <v>7.8524482418665775E-2</v>
      </c>
      <c r="I997" s="209">
        <v>15.138</v>
      </c>
      <c r="J997" s="207">
        <v>3.5647090644281669</v>
      </c>
      <c r="K997" s="209">
        <v>49</v>
      </c>
      <c r="L997" s="209">
        <v>48</v>
      </c>
      <c r="M997" s="212"/>
      <c r="N997" s="225"/>
    </row>
    <row r="998" spans="1:14" ht="16.5" customHeight="1" x14ac:dyDescent="0.25">
      <c r="A998" s="203">
        <v>44979</v>
      </c>
      <c r="B998" s="128" t="s">
        <v>18</v>
      </c>
      <c r="C998" s="157" t="str">
        <f t="shared" si="31"/>
        <v>22.02.2023_ORB1</v>
      </c>
      <c r="D998" s="190">
        <f t="shared" si="32"/>
        <v>0</v>
      </c>
      <c r="E998" s="204">
        <v>1.7006407650463674E-2</v>
      </c>
      <c r="F998" s="205">
        <v>1.6526392710536242E-2</v>
      </c>
      <c r="G998" s="204">
        <v>3.2862312788820187E-2</v>
      </c>
      <c r="H998" s="204">
        <v>3.3273085770621116E-2</v>
      </c>
      <c r="I998" s="209">
        <v>5.931</v>
      </c>
      <c r="J998" s="207">
        <v>1.3752822182202564</v>
      </c>
      <c r="K998" s="209">
        <v>7.6420000000000003</v>
      </c>
      <c r="L998" s="209">
        <v>15.234999999999999</v>
      </c>
      <c r="M998" s="212"/>
      <c r="N998" s="225"/>
    </row>
    <row r="999" spans="1:14" ht="16.5" customHeight="1" x14ac:dyDescent="0.25">
      <c r="A999" s="203">
        <v>44979</v>
      </c>
      <c r="B999" s="128" t="s">
        <v>21</v>
      </c>
      <c r="C999" s="157" t="str">
        <f t="shared" si="31"/>
        <v>22.02.2023_ORB2</v>
      </c>
      <c r="D999" s="190">
        <f t="shared" si="32"/>
        <v>0</v>
      </c>
      <c r="E999" s="204">
        <v>2.3808970710649118E-2</v>
      </c>
      <c r="F999" s="205">
        <v>1.0595401727285505E-2</v>
      </c>
      <c r="G999" s="204">
        <v>1.3531540560102445E-2</v>
      </c>
      <c r="H999" s="204">
        <v>1.1978310877423633E-2</v>
      </c>
      <c r="I999" s="209">
        <v>6.7430000000000003</v>
      </c>
      <c r="J999" s="207">
        <v>1.5371953126761455</v>
      </c>
      <c r="K999" s="209">
        <v>10.867000000000001</v>
      </c>
      <c r="L999" s="209">
        <v>16.295000000000002</v>
      </c>
      <c r="M999" s="212"/>
      <c r="N999" s="225"/>
    </row>
    <row r="1000" spans="1:14" ht="16.5" customHeight="1" x14ac:dyDescent="0.25">
      <c r="A1000" s="203">
        <v>44979</v>
      </c>
      <c r="B1000" s="128" t="s">
        <v>10</v>
      </c>
      <c r="C1000" s="157" t="str">
        <f t="shared" si="31"/>
        <v>22.02.2023_SAL1</v>
      </c>
      <c r="D1000" s="190">
        <f t="shared" si="32"/>
        <v>0</v>
      </c>
      <c r="E1000" s="204">
        <v>6.2923708306715412E-2</v>
      </c>
      <c r="F1000" s="205">
        <v>1.8318091010168475E-2</v>
      </c>
      <c r="G1000" s="204">
        <v>2.6096542508769027E-2</v>
      </c>
      <c r="H1000" s="204">
        <v>2.5287545185672073E-2</v>
      </c>
      <c r="I1000" s="209">
        <v>10.045999999999999</v>
      </c>
      <c r="J1000" s="207">
        <v>2.2970525174244116</v>
      </c>
      <c r="K1000" s="209">
        <v>8.7140000000000004</v>
      </c>
      <c r="L1000" s="209">
        <v>7.12</v>
      </c>
      <c r="M1000" s="212"/>
      <c r="N1000" s="225"/>
    </row>
    <row r="1001" spans="1:14" ht="16.5" customHeight="1" x14ac:dyDescent="0.25">
      <c r="A1001" s="203">
        <v>44979</v>
      </c>
      <c r="B1001" s="128" t="s">
        <v>12</v>
      </c>
      <c r="C1001" s="157" t="str">
        <f t="shared" si="31"/>
        <v>22.02.2023_SAL2</v>
      </c>
      <c r="D1001" s="190">
        <f t="shared" si="32"/>
        <v>0</v>
      </c>
      <c r="E1001" s="204">
        <v>8.6732679017364533E-2</v>
      </c>
      <c r="F1001" s="205">
        <v>1.7289720984315183E-2</v>
      </c>
      <c r="G1001" s="204">
        <v>3.0929235565948461E-2</v>
      </c>
      <c r="H1001" s="204">
        <v>6.9208018402891869E-2</v>
      </c>
      <c r="I1001" s="209">
        <v>9.6969999999999992</v>
      </c>
      <c r="J1001" s="207">
        <v>2.2353480133273638</v>
      </c>
      <c r="K1001" s="209">
        <v>8.9339999999999993</v>
      </c>
      <c r="L1001" s="209">
        <v>7.2809999999999997</v>
      </c>
      <c r="M1001" s="212"/>
      <c r="N1001" s="225"/>
    </row>
    <row r="1002" spans="1:14" ht="16.5" customHeight="1" x14ac:dyDescent="0.25">
      <c r="A1002" s="203">
        <v>44979</v>
      </c>
      <c r="B1002" s="128" t="s">
        <v>7</v>
      </c>
      <c r="C1002" s="157" t="str">
        <f t="shared" si="31"/>
        <v>22.02.2023_STE1</v>
      </c>
      <c r="D1002" s="190">
        <f t="shared" si="32"/>
        <v>0</v>
      </c>
      <c r="E1002" s="204">
        <v>6.6324989836808151E-2</v>
      </c>
      <c r="F1002" s="205">
        <v>2.4378772513372917E-2</v>
      </c>
      <c r="G1002" s="204">
        <v>3.7695005845999663E-2</v>
      </c>
      <c r="H1002" s="204">
        <v>0.11712126191258621</v>
      </c>
      <c r="I1002" s="209">
        <v>10.766999999999999</v>
      </c>
      <c r="J1002" s="207">
        <v>2.496869653278647</v>
      </c>
      <c r="K1002" s="209">
        <v>8.3569999999999993</v>
      </c>
      <c r="L1002" s="209">
        <v>7.2729999999999997</v>
      </c>
      <c r="M1002" s="212"/>
      <c r="N1002" s="225"/>
    </row>
    <row r="1003" spans="1:14" ht="16.5" customHeight="1" x14ac:dyDescent="0.25">
      <c r="A1003" s="203">
        <v>44979</v>
      </c>
      <c r="B1003" s="128" t="s">
        <v>9</v>
      </c>
      <c r="C1003" s="157" t="str">
        <f t="shared" si="31"/>
        <v>22.02.2023_STE2</v>
      </c>
      <c r="D1003" s="190">
        <f t="shared" si="32"/>
        <v>0</v>
      </c>
      <c r="E1003" s="204">
        <v>0.14455446502894095</v>
      </c>
      <c r="F1003" s="205">
        <v>1.5175021390968178E-2</v>
      </c>
      <c r="G1003" s="204">
        <v>3.1895774177384324E-2</v>
      </c>
      <c r="H1003" s="204">
        <v>8.2517252711140313E-2</v>
      </c>
      <c r="I1003" s="209">
        <v>11.484</v>
      </c>
      <c r="J1003" s="207">
        <v>2.6437802072789038</v>
      </c>
      <c r="K1003" s="209">
        <v>9.1310000000000002</v>
      </c>
      <c r="L1003" s="209">
        <v>7.1749999999999998</v>
      </c>
      <c r="M1003" s="212"/>
      <c r="N1003" s="225"/>
    </row>
    <row r="1004" spans="1:14" ht="16.5" customHeight="1" x14ac:dyDescent="0.25">
      <c r="A1004" s="203">
        <v>44993</v>
      </c>
      <c r="B1004" s="128" t="s">
        <v>22</v>
      </c>
      <c r="C1004" s="157" t="str">
        <f t="shared" si="31"/>
        <v>08.03.2023_BIE1</v>
      </c>
      <c r="D1004" s="190">
        <f t="shared" si="32"/>
        <v>0</v>
      </c>
      <c r="E1004" s="204">
        <v>9.3952434881087218E-2</v>
      </c>
      <c r="F1004" s="205">
        <v>1.8703344434143752E-2</v>
      </c>
      <c r="G1004" s="204">
        <v>8.6230876216968011E-2</v>
      </c>
      <c r="H1004" s="204">
        <v>0.03</v>
      </c>
      <c r="I1004" s="209">
        <v>3.05</v>
      </c>
      <c r="J1004" s="207">
        <v>0.76499441307371341</v>
      </c>
      <c r="K1004" s="209">
        <v>21.288</v>
      </c>
      <c r="L1004" s="209">
        <v>10.196</v>
      </c>
      <c r="M1004" s="212"/>
      <c r="N1004" s="225"/>
    </row>
    <row r="1005" spans="1:14" ht="16.5" customHeight="1" x14ac:dyDescent="0.25">
      <c r="A1005" s="203">
        <v>44993</v>
      </c>
      <c r="B1005" s="128" t="s">
        <v>25</v>
      </c>
      <c r="C1005" s="157" t="str">
        <f t="shared" si="31"/>
        <v>08.03.2023_BIE2</v>
      </c>
      <c r="D1005" s="190">
        <f t="shared" si="32"/>
        <v>0</v>
      </c>
      <c r="E1005" s="204">
        <v>0.10935447338618344</v>
      </c>
      <c r="F1005" s="205">
        <v>6.5195970177208989E-2</v>
      </c>
      <c r="G1005" s="204">
        <v>0.38490327475028446</v>
      </c>
      <c r="H1005" s="204">
        <v>2.3E-2</v>
      </c>
      <c r="I1005" s="209">
        <v>2.8439999999999999</v>
      </c>
      <c r="J1005" s="207">
        <v>0.94825017381084842</v>
      </c>
      <c r="K1005" s="209">
        <v>22.808</v>
      </c>
      <c r="L1005" s="209">
        <v>9.7379999999999995</v>
      </c>
      <c r="M1005" s="212"/>
      <c r="N1005" s="225"/>
    </row>
    <row r="1006" spans="1:14" ht="16.5" customHeight="1" x14ac:dyDescent="0.25">
      <c r="A1006" s="203">
        <v>44993</v>
      </c>
      <c r="B1006" s="128" t="s">
        <v>14</v>
      </c>
      <c r="C1006" s="157" t="str">
        <f t="shared" si="31"/>
        <v>08.03.2023_BRA1</v>
      </c>
      <c r="D1006" s="190">
        <f t="shared" si="32"/>
        <v>0</v>
      </c>
      <c r="E1006" s="204">
        <v>4.6206115515288748E-2</v>
      </c>
      <c r="F1006" s="205">
        <v>2.0820837985946746E-2</v>
      </c>
      <c r="G1006" s="204">
        <v>4.4683272221519792E-2</v>
      </c>
      <c r="H1006" s="204">
        <v>5.5E-2</v>
      </c>
      <c r="I1006" s="209">
        <v>9.5210000000000008</v>
      </c>
      <c r="J1006" s="207">
        <v>2.2019491340472879</v>
      </c>
      <c r="K1006" s="209">
        <v>11.695</v>
      </c>
      <c r="L1006" s="209">
        <v>6.585</v>
      </c>
      <c r="M1006" s="212"/>
      <c r="N1006" s="225"/>
    </row>
    <row r="1007" spans="1:14" ht="16.5" customHeight="1" x14ac:dyDescent="0.25">
      <c r="A1007" s="203">
        <v>44993</v>
      </c>
      <c r="B1007" s="128" t="s">
        <v>17</v>
      </c>
      <c r="C1007" s="157" t="str">
        <f t="shared" si="31"/>
        <v>08.03.2023_BRA2</v>
      </c>
      <c r="D1007" s="190">
        <f t="shared" si="32"/>
        <v>0</v>
      </c>
      <c r="E1007" s="204">
        <v>7.2389580973952428E-2</v>
      </c>
      <c r="F1007" s="205">
        <v>3.8148628062409796E-2</v>
      </c>
      <c r="G1007" s="204">
        <v>1.5678341130357789E-2</v>
      </c>
      <c r="H1007" s="204">
        <v>4.6457715700357609E-2</v>
      </c>
      <c r="I1007" s="209">
        <v>9.1219999999999999</v>
      </c>
      <c r="J1007" s="207">
        <v>2.0867042666492854</v>
      </c>
      <c r="K1007" s="209">
        <v>21.847999999999999</v>
      </c>
      <c r="L1007" s="209">
        <v>7.1520000000000001</v>
      </c>
      <c r="M1007" s="212"/>
      <c r="N1007" s="225"/>
    </row>
    <row r="1008" spans="1:14" ht="16.5" customHeight="1" x14ac:dyDescent="0.25">
      <c r="A1008" s="203">
        <v>44993</v>
      </c>
      <c r="B1008" s="128" t="s">
        <v>30</v>
      </c>
      <c r="C1008" s="157" t="str">
        <f t="shared" si="31"/>
        <v>08.03.2023_FAL1</v>
      </c>
      <c r="D1008" s="190">
        <f t="shared" si="32"/>
        <v>0</v>
      </c>
      <c r="E1008" s="204">
        <v>0.11551528878822191</v>
      </c>
      <c r="F1008" s="205">
        <v>4.6961793885012017E-2</v>
      </c>
      <c r="G1008" s="204">
        <v>0.4985712479453786</v>
      </c>
      <c r="H1008" s="204">
        <v>0.19663498273174615</v>
      </c>
      <c r="I1008" s="209">
        <v>8.7550000000000008</v>
      </c>
      <c r="J1008" s="207">
        <v>2.424492958809787</v>
      </c>
      <c r="K1008" s="209">
        <v>34</v>
      </c>
      <c r="L1008" s="209">
        <v>23.364999999999998</v>
      </c>
      <c r="M1008" s="212"/>
      <c r="N1008" s="225"/>
    </row>
    <row r="1009" spans="1:14" ht="16.5" customHeight="1" x14ac:dyDescent="0.25">
      <c r="A1009" s="203">
        <v>44993</v>
      </c>
      <c r="B1009" s="128" t="s">
        <v>32</v>
      </c>
      <c r="C1009" s="157" t="str">
        <f t="shared" si="31"/>
        <v>08.03.2023_FAL2</v>
      </c>
      <c r="D1009" s="190">
        <f t="shared" si="32"/>
        <v>0</v>
      </c>
      <c r="E1009" s="204">
        <v>9.5492638731596802E-2</v>
      </c>
      <c r="F1009" s="205">
        <v>4.5763132931791635E-2</v>
      </c>
      <c r="G1009" s="204">
        <v>0.15991907952964976</v>
      </c>
      <c r="H1009" s="204">
        <v>0.13397108713591491</v>
      </c>
      <c r="I1009" s="209">
        <v>11.68</v>
      </c>
      <c r="J1009" s="207">
        <v>2.8031246635425067</v>
      </c>
      <c r="K1009" s="209">
        <v>39</v>
      </c>
      <c r="L1009" s="209">
        <v>31.167999999999999</v>
      </c>
      <c r="M1009" s="212"/>
      <c r="N1009" s="225"/>
    </row>
    <row r="1010" spans="1:14" ht="16.5" customHeight="1" x14ac:dyDescent="0.25">
      <c r="A1010" s="203">
        <v>44993</v>
      </c>
      <c r="B1010" s="128" t="s">
        <v>26</v>
      </c>
      <c r="C1010" s="157" t="str">
        <f t="shared" si="31"/>
        <v>08.03.2023_GRU1</v>
      </c>
      <c r="D1010" s="190">
        <f t="shared" si="32"/>
        <v>0</v>
      </c>
      <c r="E1010" s="204">
        <v>0.13091732729331815</v>
      </c>
      <c r="F1010" s="205">
        <v>4.1785508936298347E-3</v>
      </c>
      <c r="G1010" s="204">
        <v>4.2331521051966116E-2</v>
      </c>
      <c r="H1010" s="204">
        <v>3.2412359790947188E-3</v>
      </c>
      <c r="I1010" s="209">
        <v>7.31</v>
      </c>
      <c r="J1010" s="207">
        <v>1.6849664970754763</v>
      </c>
      <c r="K1010" s="209">
        <v>17.675000000000001</v>
      </c>
      <c r="L1010" s="209">
        <v>11.731999999999999</v>
      </c>
      <c r="M1010" s="212"/>
      <c r="N1010" s="225"/>
    </row>
    <row r="1011" spans="1:14" ht="16.5" customHeight="1" x14ac:dyDescent="0.25">
      <c r="A1011" s="203">
        <v>44993</v>
      </c>
      <c r="B1011" s="128" t="s">
        <v>28</v>
      </c>
      <c r="C1011" s="157" t="str">
        <f t="shared" si="31"/>
        <v>08.03.2023_GRU2</v>
      </c>
      <c r="D1011" s="190">
        <f t="shared" si="32"/>
        <v>0</v>
      </c>
      <c r="E1011" s="204">
        <v>4.6206115515288783E-2</v>
      </c>
      <c r="F1011" s="205">
        <v>1.3775714730624555E-2</v>
      </c>
      <c r="G1011" s="204">
        <v>3.841193576937664E-2</v>
      </c>
      <c r="H1011" s="204">
        <v>1.0804119930315721E-2</v>
      </c>
      <c r="I1011" s="209">
        <v>6.49</v>
      </c>
      <c r="J1011" s="207">
        <v>1.4990120983183479</v>
      </c>
      <c r="K1011" s="209">
        <v>21.433</v>
      </c>
      <c r="L1011" s="209">
        <v>11.726000000000001</v>
      </c>
      <c r="M1011" s="212"/>
      <c r="N1011" s="225"/>
    </row>
    <row r="1012" spans="1:14" ht="16.5" customHeight="1" x14ac:dyDescent="0.25">
      <c r="A1012" s="203">
        <v>44993</v>
      </c>
      <c r="B1012" s="128" t="s">
        <v>0</v>
      </c>
      <c r="C1012" s="157" t="str">
        <f t="shared" si="31"/>
        <v>08.03.2023_KIN1</v>
      </c>
      <c r="D1012" s="190">
        <f t="shared" si="32"/>
        <v>0</v>
      </c>
      <c r="E1012" s="204">
        <v>5.8527746319365782E-2</v>
      </c>
      <c r="F1012" s="205">
        <v>2.9548034063739152E-3</v>
      </c>
      <c r="G1012" s="204">
        <v>1.0974838791250441E-2</v>
      </c>
      <c r="H1012" s="204">
        <v>5.1859775665515452E-2</v>
      </c>
      <c r="I1012" s="209">
        <v>4.8769999999999998</v>
      </c>
      <c r="J1012" s="207">
        <v>1.1258785512743841</v>
      </c>
      <c r="K1012" s="209">
        <v>10.695</v>
      </c>
      <c r="L1012" s="209">
        <v>10.295999999999999</v>
      </c>
      <c r="M1012" s="212"/>
      <c r="N1012" s="225"/>
    </row>
    <row r="1013" spans="1:14" ht="16.5" customHeight="1" x14ac:dyDescent="0.25">
      <c r="A1013" s="203">
        <v>44993</v>
      </c>
      <c r="B1013" s="128" t="s">
        <v>2</v>
      </c>
      <c r="C1013" s="157" t="str">
        <f t="shared" si="31"/>
        <v>08.03.2023_KIN2</v>
      </c>
      <c r="D1013" s="190">
        <f t="shared" si="32"/>
        <v>0</v>
      </c>
      <c r="E1013" s="204">
        <v>7.8550396375990927E-2</v>
      </c>
      <c r="F1013" s="205">
        <v>6.7467185152882969E-3</v>
      </c>
      <c r="G1013" s="204">
        <v>1.3326589960804115E-2</v>
      </c>
      <c r="H1013" s="204">
        <v>2.3769063846694596E-2</v>
      </c>
      <c r="I1013" s="209">
        <v>4.5170000000000003</v>
      </c>
      <c r="J1013" s="207">
        <v>1.0378392453267911</v>
      </c>
      <c r="K1013" s="209">
        <v>9.5950000000000006</v>
      </c>
      <c r="L1013" s="209">
        <v>7.8769999999999998</v>
      </c>
      <c r="M1013" s="212"/>
      <c r="N1013" s="225"/>
    </row>
    <row r="1014" spans="1:14" ht="16.5" customHeight="1" x14ac:dyDescent="0.25">
      <c r="A1014" s="203">
        <v>44993</v>
      </c>
      <c r="B1014" s="128" t="s">
        <v>4</v>
      </c>
      <c r="C1014" s="157" t="str">
        <f t="shared" si="31"/>
        <v>08.03.2023_KIN3</v>
      </c>
      <c r="D1014" s="190">
        <f t="shared" si="32"/>
        <v>0</v>
      </c>
      <c r="E1014" s="204">
        <v>6.4688561721404275E-2</v>
      </c>
      <c r="F1014" s="205">
        <v>8.9553937851074364E-3</v>
      </c>
      <c r="G1014" s="204">
        <v>2.5085345808572489E-2</v>
      </c>
      <c r="H1014" s="204">
        <v>6.4824719581894327E-2</v>
      </c>
      <c r="I1014" s="209">
        <v>6.4850000000000003</v>
      </c>
      <c r="J1014" s="207">
        <v>1.5039813560436064</v>
      </c>
      <c r="K1014" s="209">
        <v>14.55</v>
      </c>
      <c r="L1014" s="209">
        <v>12.055999999999999</v>
      </c>
      <c r="M1014" s="212"/>
      <c r="N1014" s="225"/>
    </row>
    <row r="1015" spans="1:14" ht="16.5" customHeight="1" x14ac:dyDescent="0.25">
      <c r="A1015" s="203">
        <v>44993</v>
      </c>
      <c r="B1015" s="128" t="s">
        <v>6</v>
      </c>
      <c r="C1015" s="157" t="str">
        <f t="shared" si="31"/>
        <v>08.03.2023_KIN4</v>
      </c>
      <c r="D1015" s="190">
        <f t="shared" si="32"/>
        <v>0</v>
      </c>
      <c r="E1015" s="204">
        <v>7.3929784824462039E-2</v>
      </c>
      <c r="F1015" s="205">
        <v>9.5699283490106851E-3</v>
      </c>
      <c r="G1015" s="204">
        <v>3.1356682260715613E-2</v>
      </c>
      <c r="H1015" s="204">
        <v>5.2940187658547043E-2</v>
      </c>
      <c r="I1015" s="209">
        <v>6.3819999999999997</v>
      </c>
      <c r="J1015" s="207">
        <v>1.4819681303412675</v>
      </c>
      <c r="K1015" s="209">
        <v>21.036000000000001</v>
      </c>
      <c r="L1015" s="209">
        <v>11.196</v>
      </c>
      <c r="M1015" s="212"/>
      <c r="N1015" s="225"/>
    </row>
    <row r="1016" spans="1:14" ht="16.5" customHeight="1" x14ac:dyDescent="0.25">
      <c r="A1016" s="203">
        <v>44993</v>
      </c>
      <c r="B1016" s="128" t="s">
        <v>34</v>
      </c>
      <c r="C1016" s="157" t="str">
        <f t="shared" si="31"/>
        <v>08.03.2023_KRE1</v>
      </c>
      <c r="D1016" s="190">
        <f t="shared" si="32"/>
        <v>0</v>
      </c>
      <c r="E1016" s="204">
        <v>3.2061933327227045E-17</v>
      </c>
      <c r="F1016" s="205">
        <v>2.2485729042333993E-2</v>
      </c>
      <c r="G1016" s="204">
        <v>0.62948539638386647</v>
      </c>
      <c r="H1016" s="204">
        <v>2.809071181882088E-2</v>
      </c>
      <c r="I1016" s="209">
        <v>12.244999999999999</v>
      </c>
      <c r="J1016" s="207">
        <v>3.2631194826513483</v>
      </c>
      <c r="K1016" s="209">
        <v>49</v>
      </c>
      <c r="L1016" s="209">
        <v>41.713000000000001</v>
      </c>
      <c r="M1016" s="212"/>
      <c r="N1016" s="225"/>
    </row>
    <row r="1017" spans="1:14" ht="16.5" customHeight="1" x14ac:dyDescent="0.25">
      <c r="A1017" s="203">
        <v>44993</v>
      </c>
      <c r="B1017" s="128" t="s">
        <v>37</v>
      </c>
      <c r="C1017" s="157" t="str">
        <f t="shared" si="31"/>
        <v>08.03.2023_KRE2</v>
      </c>
      <c r="D1017" s="190">
        <f t="shared" si="32"/>
        <v>0</v>
      </c>
      <c r="E1017" s="204">
        <v>3.6964892412231019E-2</v>
      </c>
      <c r="F1017" s="205">
        <v>2.1305758338401291E-2</v>
      </c>
      <c r="G1017" s="204">
        <v>0.37236060184599828</v>
      </c>
      <c r="H1017" s="204">
        <v>6.0503071609768047E-2</v>
      </c>
      <c r="I1017" s="209">
        <v>11.234999999999999</v>
      </c>
      <c r="J1017" s="207">
        <v>2.8452038938789928</v>
      </c>
      <c r="K1017" s="209">
        <v>44</v>
      </c>
      <c r="L1017" s="209">
        <v>38.765000000000001</v>
      </c>
      <c r="M1017" s="212"/>
      <c r="N1017" s="225"/>
    </row>
    <row r="1018" spans="1:14" ht="16.5" customHeight="1" x14ac:dyDescent="0.25">
      <c r="A1018" s="203">
        <v>44993</v>
      </c>
      <c r="B1018" s="128" t="s">
        <v>18</v>
      </c>
      <c r="C1018" s="157" t="str">
        <f t="shared" si="31"/>
        <v>08.03.2023_ORB1</v>
      </c>
      <c r="D1018" s="190">
        <f t="shared" si="32"/>
        <v>0</v>
      </c>
      <c r="E1018" s="204">
        <v>2.9263873159682905E-2</v>
      </c>
      <c r="F1018" s="205">
        <v>1.9226585753437542E-2</v>
      </c>
      <c r="G1018" s="204">
        <v>4.0763686938930316E-2</v>
      </c>
      <c r="H1018" s="204">
        <v>1.9447415874568313E-2</v>
      </c>
      <c r="I1018" s="209">
        <v>4.0940000000000003</v>
      </c>
      <c r="J1018" s="207">
        <v>0.96228514103422236</v>
      </c>
      <c r="K1018" s="209">
        <v>13.976000000000001</v>
      </c>
      <c r="L1018" s="209">
        <v>12.462</v>
      </c>
      <c r="M1018" s="212"/>
      <c r="N1018" s="225"/>
    </row>
    <row r="1019" spans="1:14" ht="16.5" customHeight="1" x14ac:dyDescent="0.25">
      <c r="A1019" s="203">
        <v>44993</v>
      </c>
      <c r="B1019" s="128" t="s">
        <v>21</v>
      </c>
      <c r="C1019" s="157" t="str">
        <f t="shared" si="31"/>
        <v>08.03.2023_ORB2</v>
      </c>
      <c r="D1019" s="190">
        <f t="shared" si="32"/>
        <v>0</v>
      </c>
      <c r="E1019" s="204">
        <v>8.7791619479048691E-2</v>
      </c>
      <c r="F1019" s="205">
        <v>3.4931243024409987E-3</v>
      </c>
      <c r="G1019" s="204">
        <v>4.0763686938930316E-2</v>
      </c>
      <c r="H1019" s="204">
        <v>2.0527827867599879E-2</v>
      </c>
      <c r="I1019" s="209">
        <v>4.891</v>
      </c>
      <c r="J1019" s="207">
        <v>1.1426324624655004</v>
      </c>
      <c r="K1019" s="209">
        <v>15.948</v>
      </c>
      <c r="L1019" s="209">
        <v>11.648999999999999</v>
      </c>
      <c r="M1019" s="212"/>
      <c r="N1019" s="225"/>
    </row>
    <row r="1020" spans="1:14" ht="16.5" customHeight="1" x14ac:dyDescent="0.25">
      <c r="A1020" s="203">
        <v>44993</v>
      </c>
      <c r="B1020" s="128" t="s">
        <v>10</v>
      </c>
      <c r="C1020" s="157" t="str">
        <f t="shared" si="31"/>
        <v>08.03.2023_SAL1</v>
      </c>
      <c r="D1020" s="190">
        <f t="shared" si="32"/>
        <v>0</v>
      </c>
      <c r="E1020" s="204">
        <v>3.5424688561721401E-2</v>
      </c>
      <c r="F1020" s="205">
        <v>2.4842058737066731E-2</v>
      </c>
      <c r="G1020" s="204">
        <v>3.0572765204197744E-2</v>
      </c>
      <c r="H1020" s="204">
        <v>6.8065955560989044E-2</v>
      </c>
      <c r="I1020" s="209">
        <v>8.44</v>
      </c>
      <c r="J1020" s="207">
        <v>1.9508049266239504</v>
      </c>
      <c r="K1020" s="209">
        <v>18.117000000000001</v>
      </c>
      <c r="L1020" s="209">
        <v>6.7320000000000002</v>
      </c>
      <c r="M1020" s="212"/>
      <c r="N1020" s="225"/>
    </row>
    <row r="1021" spans="1:14" ht="16.5" customHeight="1" x14ac:dyDescent="0.25">
      <c r="A1021" s="203">
        <v>44993</v>
      </c>
      <c r="B1021" s="128" t="s">
        <v>12</v>
      </c>
      <c r="C1021" s="157" t="str">
        <f t="shared" si="31"/>
        <v>08.03.2023_SAL2</v>
      </c>
      <c r="D1021" s="190">
        <f t="shared" si="32"/>
        <v>0</v>
      </c>
      <c r="E1021" s="204">
        <v>0.10165345413363533</v>
      </c>
      <c r="F1021" s="205">
        <v>1.4631750931566887E-2</v>
      </c>
      <c r="G1021" s="204">
        <v>3.1356682260715613E-2</v>
      </c>
      <c r="H1021" s="204">
        <v>6.3744307588862736E-2</v>
      </c>
      <c r="I1021" s="209">
        <v>7.8419999999999996</v>
      </c>
      <c r="J1021" s="207">
        <v>1.8150276446540521</v>
      </c>
      <c r="K1021" s="209">
        <v>21.167000000000002</v>
      </c>
      <c r="L1021" s="209">
        <v>6.9</v>
      </c>
      <c r="M1021" s="212"/>
      <c r="N1021" s="225"/>
    </row>
    <row r="1022" spans="1:14" ht="16.5" customHeight="1" x14ac:dyDescent="0.25">
      <c r="A1022" s="203">
        <v>44993</v>
      </c>
      <c r="B1022" s="128" t="s">
        <v>7</v>
      </c>
      <c r="C1022" s="157" t="str">
        <f t="shared" si="31"/>
        <v>08.03.2023_STE1</v>
      </c>
      <c r="D1022" s="190">
        <f t="shared" si="32"/>
        <v>0</v>
      </c>
      <c r="E1022" s="204">
        <v>0.97648924122310299</v>
      </c>
      <c r="F1022" s="205">
        <v>2.8579663886636179E-2</v>
      </c>
      <c r="G1022" s="204">
        <v>2.7437096978126164E-2</v>
      </c>
      <c r="H1022" s="204">
        <v>5.2940187658547043E-2</v>
      </c>
      <c r="I1022" s="209">
        <v>9.0350000000000001</v>
      </c>
      <c r="J1022" s="207">
        <v>2.0781577215651899</v>
      </c>
      <c r="K1022" s="209">
        <v>13.026999999999999</v>
      </c>
      <c r="L1022" s="209">
        <v>8.06</v>
      </c>
      <c r="M1022" s="212"/>
      <c r="N1022" s="225"/>
    </row>
    <row r="1023" spans="1:14" ht="16.5" customHeight="1" x14ac:dyDescent="0.25">
      <c r="A1023" s="203">
        <v>44993</v>
      </c>
      <c r="B1023" s="128" t="s">
        <v>9</v>
      </c>
      <c r="C1023" s="157" t="str">
        <f t="shared" si="31"/>
        <v>08.03.2023_STE2</v>
      </c>
      <c r="D1023" s="190">
        <f t="shared" si="32"/>
        <v>0</v>
      </c>
      <c r="E1023" s="204">
        <v>0.13091732729331815</v>
      </c>
      <c r="F1023" s="205">
        <v>2.0026129255216928E-2</v>
      </c>
      <c r="G1023" s="204">
        <v>5.5658111012770267E-2</v>
      </c>
      <c r="H1023" s="204">
        <v>4.9698951679452326E-2</v>
      </c>
      <c r="I1023" s="209">
        <v>9.5210000000000008</v>
      </c>
      <c r="J1023" s="207">
        <v>2.2088570824591152</v>
      </c>
      <c r="K1023" s="209">
        <v>19.366</v>
      </c>
      <c r="L1023" s="209">
        <v>8.4429999999999996</v>
      </c>
      <c r="M1023" s="212"/>
      <c r="N1023" s="225"/>
    </row>
    <row r="1024" spans="1:14" ht="16.5" customHeight="1" x14ac:dyDescent="0.25">
      <c r="A1024" s="203">
        <v>45007</v>
      </c>
      <c r="B1024" s="128" t="s">
        <v>22</v>
      </c>
      <c r="C1024" s="157" t="str">
        <f t="shared" si="31"/>
        <v>22.03.2023_BIE1</v>
      </c>
      <c r="D1024" s="190">
        <f t="shared" si="32"/>
        <v>0</v>
      </c>
      <c r="E1024" s="204">
        <v>0.13049487365786711</v>
      </c>
      <c r="F1024" s="205">
        <v>3.4827706453913606E-3</v>
      </c>
      <c r="G1024" s="204">
        <v>0</v>
      </c>
      <c r="H1024" s="204">
        <v>0.03</v>
      </c>
      <c r="I1024" s="209">
        <v>5.4539999999999997</v>
      </c>
      <c r="J1024" s="207">
        <v>1.1840820598761508</v>
      </c>
      <c r="K1024" s="209">
        <v>6.91</v>
      </c>
      <c r="L1024" s="209">
        <v>14.214</v>
      </c>
      <c r="M1024" s="212"/>
      <c r="N1024" s="225"/>
    </row>
    <row r="1025" spans="1:14" ht="16.5" customHeight="1" x14ac:dyDescent="0.25">
      <c r="A1025" s="203">
        <v>45007</v>
      </c>
      <c r="B1025" s="128" t="s">
        <v>25</v>
      </c>
      <c r="C1025" s="157" t="str">
        <f t="shared" si="31"/>
        <v>22.03.2023_BIE2</v>
      </c>
      <c r="D1025" s="190">
        <f t="shared" si="32"/>
        <v>0</v>
      </c>
      <c r="E1025" s="204">
        <v>5.5318479050617618E-2</v>
      </c>
      <c r="F1025" s="205">
        <v>4.1667121333817825E-3</v>
      </c>
      <c r="G1025" s="204">
        <v>0</v>
      </c>
      <c r="H1025" s="204">
        <v>2.3E-2</v>
      </c>
      <c r="I1025" s="209">
        <v>5.1269999999999998</v>
      </c>
      <c r="J1025" s="207">
        <v>1.125391598141624</v>
      </c>
      <c r="K1025" s="209">
        <v>6.9139999999999997</v>
      </c>
      <c r="L1025" s="209">
        <v>13.177</v>
      </c>
      <c r="M1025" s="212"/>
      <c r="N1025" s="225"/>
    </row>
    <row r="1026" spans="1:14" ht="16.5" customHeight="1" x14ac:dyDescent="0.25">
      <c r="A1026" s="203">
        <v>45007</v>
      </c>
      <c r="B1026" s="128" t="s">
        <v>14</v>
      </c>
      <c r="C1026" s="157" t="str">
        <f t="shared" si="31"/>
        <v>22.03.2023_BRA1</v>
      </c>
      <c r="D1026" s="190">
        <f t="shared" si="32"/>
        <v>0</v>
      </c>
      <c r="E1026" s="204">
        <v>4.2552676192782787E-2</v>
      </c>
      <c r="F1026" s="205">
        <v>1.154204560386827E-2</v>
      </c>
      <c r="G1026" s="204">
        <v>0</v>
      </c>
      <c r="H1026" s="204">
        <v>5.5E-2</v>
      </c>
      <c r="I1026" s="209">
        <v>7.2990000000000004</v>
      </c>
      <c r="J1026" s="207">
        <v>1.6228402750973785</v>
      </c>
      <c r="K1026" s="209">
        <v>7.2439999999999998</v>
      </c>
      <c r="L1026" s="209">
        <v>7.4829999999999997</v>
      </c>
      <c r="M1026" s="212"/>
      <c r="N1026" s="225"/>
    </row>
    <row r="1027" spans="1:14" ht="16.5" customHeight="1" x14ac:dyDescent="0.25">
      <c r="A1027" s="203">
        <v>45007</v>
      </c>
      <c r="B1027" s="128" t="s">
        <v>17</v>
      </c>
      <c r="C1027" s="157" t="str">
        <f t="shared" si="31"/>
        <v>22.03.2023_BRA2</v>
      </c>
      <c r="D1027" s="190">
        <f t="shared" si="32"/>
        <v>0</v>
      </c>
      <c r="E1027" s="204">
        <v>9.219746508436262E-2</v>
      </c>
      <c r="F1027" s="205">
        <v>3.1013426419408165E-2</v>
      </c>
      <c r="G1027" s="204">
        <v>0</v>
      </c>
      <c r="H1027" s="204">
        <v>7.2981514420022847E-2</v>
      </c>
      <c r="I1027" s="209">
        <v>7.4219999999999997</v>
      </c>
      <c r="J1027" s="207">
        <v>1.6351923750917745</v>
      </c>
      <c r="K1027" s="209">
        <v>8.7390000000000008</v>
      </c>
      <c r="L1027" s="209">
        <v>7.3860000000000001</v>
      </c>
      <c r="M1027" s="212"/>
      <c r="N1027" s="225"/>
    </row>
    <row r="1028" spans="1:14" ht="16.5" customHeight="1" x14ac:dyDescent="0.25">
      <c r="A1028" s="203">
        <v>45007</v>
      </c>
      <c r="B1028" s="128" t="s">
        <v>30</v>
      </c>
      <c r="C1028" s="157" t="str">
        <f t="shared" si="31"/>
        <v>22.03.2023_FAL1</v>
      </c>
      <c r="D1028" s="190">
        <f t="shared" si="32"/>
        <v>0</v>
      </c>
      <c r="E1028" s="204">
        <v>0.10354484540243801</v>
      </c>
      <c r="F1028" s="205">
        <v>1.9243345517223225E-2</v>
      </c>
      <c r="G1028" s="204">
        <v>3.7133292692056778E-2</v>
      </c>
      <c r="H1028" s="204">
        <v>0.14147185872189044</v>
      </c>
      <c r="I1028" s="209">
        <v>11.827</v>
      </c>
      <c r="J1028" s="207">
        <v>2.7432692278303343</v>
      </c>
      <c r="K1028" s="209">
        <v>34</v>
      </c>
      <c r="L1028" s="209">
        <v>31.228000000000002</v>
      </c>
      <c r="M1028" s="212"/>
      <c r="N1028" s="225"/>
    </row>
    <row r="1029" spans="1:14" ht="16.5" customHeight="1" x14ac:dyDescent="0.25">
      <c r="A1029" s="203">
        <v>45007</v>
      </c>
      <c r="B1029" s="128" t="s">
        <v>32</v>
      </c>
      <c r="C1029" s="157" t="str">
        <f t="shared" ref="C1029:C1092" si="33">CONCATENATE(TEXT(A1029,"TT.MM.JJJJ"),"_",B1029)</f>
        <v>22.03.2023_FAL2</v>
      </c>
      <c r="D1029" s="190">
        <f t="shared" ref="D1029:D1092" si="34">COUNTBLANK(E1029:L1029)</f>
        <v>0</v>
      </c>
      <c r="E1029" s="204">
        <v>0.11914749333979172</v>
      </c>
      <c r="F1029" s="205">
        <v>2.0633469034482137E-2</v>
      </c>
      <c r="G1029" s="204">
        <v>4.8273280499673818E-2</v>
      </c>
      <c r="H1029" s="204">
        <v>0.14708582136958451</v>
      </c>
      <c r="I1029" s="209">
        <v>13.481999999999999</v>
      </c>
      <c r="J1029" s="207">
        <v>3.1274433378911617</v>
      </c>
      <c r="K1029" s="209">
        <v>38</v>
      </c>
      <c r="L1029" s="209">
        <v>33.033999999999999</v>
      </c>
      <c r="M1029" s="212"/>
      <c r="N1029" s="225"/>
    </row>
    <row r="1030" spans="1:14" ht="16.5" customHeight="1" x14ac:dyDescent="0.25">
      <c r="A1030" s="203">
        <v>45007</v>
      </c>
      <c r="B1030" s="128" t="s">
        <v>26</v>
      </c>
      <c r="C1030" s="157" t="str">
        <f t="shared" si="33"/>
        <v>22.03.2023_GRU1</v>
      </c>
      <c r="D1030" s="190">
        <f t="shared" si="34"/>
        <v>0</v>
      </c>
      <c r="E1030" s="204">
        <v>3.2623718414466783E-2</v>
      </c>
      <c r="F1030" s="205">
        <v>4.0117140962096206E-3</v>
      </c>
      <c r="G1030" s="204">
        <v>6.776825916300365E-2</v>
      </c>
      <c r="H1030" s="204">
        <v>3.3683775886164421E-3</v>
      </c>
      <c r="I1030" s="209">
        <v>7.5650000000000004</v>
      </c>
      <c r="J1030" s="207">
        <v>1.7623534281143349</v>
      </c>
      <c r="K1030" s="209">
        <v>6.3970000000000002</v>
      </c>
      <c r="L1030" s="209">
        <v>10.606</v>
      </c>
      <c r="M1030" s="212"/>
      <c r="N1030" s="225"/>
    </row>
    <row r="1031" spans="1:14" ht="16.5" customHeight="1" x14ac:dyDescent="0.25">
      <c r="A1031" s="203">
        <v>45007</v>
      </c>
      <c r="B1031" s="128" t="s">
        <v>28</v>
      </c>
      <c r="C1031" s="157" t="str">
        <f t="shared" si="33"/>
        <v>22.03.2023_GRU2</v>
      </c>
      <c r="D1031" s="190">
        <f t="shared" si="34"/>
        <v>0</v>
      </c>
      <c r="E1031" s="204">
        <v>3.9715831113263926E-2</v>
      </c>
      <c r="F1031" s="205">
        <v>3.2459508394880308E-3</v>
      </c>
      <c r="G1031" s="204">
        <v>4.7344948182372427E-2</v>
      </c>
      <c r="H1031" s="204">
        <v>2.2455850590776122E-3</v>
      </c>
      <c r="I1031" s="209">
        <v>8.468</v>
      </c>
      <c r="J1031" s="207">
        <v>1.9501137071853663</v>
      </c>
      <c r="K1031" s="209">
        <v>8.0589999999999993</v>
      </c>
      <c r="L1031" s="209">
        <v>12.484</v>
      </c>
      <c r="M1031" s="212"/>
      <c r="N1031" s="225"/>
    </row>
    <row r="1032" spans="1:14" ht="16.5" customHeight="1" x14ac:dyDescent="0.25">
      <c r="A1032" s="203">
        <v>45007</v>
      </c>
      <c r="B1032" s="128" t="s">
        <v>0</v>
      </c>
      <c r="C1032" s="157" t="str">
        <f t="shared" si="33"/>
        <v>22.03.2023_KIN1</v>
      </c>
      <c r="D1032" s="190">
        <f t="shared" si="34"/>
        <v>0</v>
      </c>
      <c r="E1032" s="204">
        <v>5.95737466698959E-2</v>
      </c>
      <c r="F1032" s="205">
        <v>3.5382189231635062E-3</v>
      </c>
      <c r="G1032" s="204">
        <v>0.45581116779499692</v>
      </c>
      <c r="H1032" s="204">
        <v>5.838521153601825E-2</v>
      </c>
      <c r="I1032" s="209">
        <v>4.9470000000000001</v>
      </c>
      <c r="J1032" s="207">
        <v>1.4890870813332779</v>
      </c>
      <c r="K1032" s="209">
        <v>7.1740000000000004</v>
      </c>
      <c r="L1032" s="209">
        <v>8.7690000000000001</v>
      </c>
      <c r="M1032" s="212"/>
      <c r="N1032" s="225"/>
    </row>
    <row r="1033" spans="1:14" ht="16.5" customHeight="1" x14ac:dyDescent="0.25">
      <c r="A1033" s="203">
        <v>45007</v>
      </c>
      <c r="B1033" s="128" t="s">
        <v>2</v>
      </c>
      <c r="C1033" s="157" t="str">
        <f t="shared" si="33"/>
        <v>22.03.2023_KIN2</v>
      </c>
      <c r="D1033" s="190">
        <f t="shared" si="34"/>
        <v>0</v>
      </c>
      <c r="E1033" s="204">
        <v>6.9502704448211841E-2</v>
      </c>
      <c r="F1033" s="205">
        <v>3.7460117197735589E-3</v>
      </c>
      <c r="G1033" s="204">
        <v>0.20887477139281935</v>
      </c>
      <c r="H1033" s="204">
        <v>9.0946194892643856E-2</v>
      </c>
      <c r="I1033" s="209">
        <v>6.4950000000000001</v>
      </c>
      <c r="J1033" s="207">
        <v>1.6569033902738757</v>
      </c>
      <c r="K1033" s="209">
        <v>9.2989999999999995</v>
      </c>
      <c r="L1033" s="209">
        <v>9.5109999999999992</v>
      </c>
      <c r="M1033" s="212"/>
      <c r="N1033" s="225"/>
    </row>
    <row r="1034" spans="1:14" ht="16.5" customHeight="1" x14ac:dyDescent="0.25">
      <c r="A1034" s="203">
        <v>45007</v>
      </c>
      <c r="B1034" s="128" t="s">
        <v>4</v>
      </c>
      <c r="C1034" s="157" t="str">
        <f t="shared" si="33"/>
        <v>22.03.2023_KIN3</v>
      </c>
      <c r="D1034" s="190">
        <f t="shared" si="34"/>
        <v>0</v>
      </c>
      <c r="E1034" s="204">
        <v>9.0779042544603172E-2</v>
      </c>
      <c r="F1034" s="205">
        <v>3.2260625667128152E-3</v>
      </c>
      <c r="G1034" s="204">
        <v>0.22094309151773778</v>
      </c>
      <c r="H1034" s="204">
        <v>5.9508004065557077E-2</v>
      </c>
      <c r="I1034" s="209">
        <v>6.7990000000000004</v>
      </c>
      <c r="J1034" s="207">
        <v>1.7253674429703671</v>
      </c>
      <c r="K1034" s="209">
        <v>10.33</v>
      </c>
      <c r="L1034" s="209">
        <v>11.041</v>
      </c>
      <c r="M1034" s="212"/>
      <c r="N1034" s="225"/>
    </row>
    <row r="1035" spans="1:14" ht="16.5" customHeight="1" x14ac:dyDescent="0.25">
      <c r="A1035" s="203">
        <v>45007</v>
      </c>
      <c r="B1035" s="128" t="s">
        <v>6</v>
      </c>
      <c r="C1035" s="157" t="str">
        <f t="shared" si="33"/>
        <v>22.03.2023_KIN4</v>
      </c>
      <c r="D1035" s="190">
        <f t="shared" si="34"/>
        <v>0</v>
      </c>
      <c r="E1035" s="204">
        <v>0.10496326794219746</v>
      </c>
      <c r="F1035" s="205">
        <v>3.6065541198969792E-3</v>
      </c>
      <c r="G1035" s="204">
        <v>0.3341996342285109</v>
      </c>
      <c r="H1035" s="204">
        <v>6.5121966713251128E-2</v>
      </c>
      <c r="I1035" s="209">
        <v>6.8689999999999998</v>
      </c>
      <c r="J1035" s="207">
        <v>1.8308300867479457</v>
      </c>
      <c r="K1035" s="209">
        <v>13.433999999999999</v>
      </c>
      <c r="L1035" s="209">
        <v>11.016</v>
      </c>
      <c r="M1035" s="212"/>
      <c r="N1035" s="225"/>
    </row>
    <row r="1036" spans="1:14" ht="16.5" customHeight="1" x14ac:dyDescent="0.25">
      <c r="A1036" s="203">
        <v>45007</v>
      </c>
      <c r="B1036" s="128" t="s">
        <v>34</v>
      </c>
      <c r="C1036" s="157" t="str">
        <f t="shared" si="33"/>
        <v>22.03.2023_KRE1</v>
      </c>
      <c r="D1036" s="190">
        <f t="shared" si="34"/>
        <v>0</v>
      </c>
      <c r="E1036" s="204">
        <v>6.3829014289174119E-2</v>
      </c>
      <c r="F1036" s="205">
        <v>1.1283800610236644E-2</v>
      </c>
      <c r="G1036" s="204">
        <v>2.4136640249836909E-2</v>
      </c>
      <c r="H1036" s="204">
        <v>0.12238438571973058</v>
      </c>
      <c r="I1036" s="209">
        <v>12.215</v>
      </c>
      <c r="J1036" s="207">
        <v>2.8150038360199674</v>
      </c>
      <c r="K1036" s="209">
        <v>42</v>
      </c>
      <c r="L1036" s="209">
        <v>41.491999999999997</v>
      </c>
      <c r="M1036" s="212"/>
      <c r="N1036" s="225"/>
    </row>
    <row r="1037" spans="1:14" ht="16.5" customHeight="1" x14ac:dyDescent="0.25">
      <c r="A1037" s="203">
        <v>45007</v>
      </c>
      <c r="B1037" s="128" t="s">
        <v>37</v>
      </c>
      <c r="C1037" s="157" t="str">
        <f t="shared" si="33"/>
        <v>22.03.2023_KRE2</v>
      </c>
      <c r="D1037" s="190">
        <f t="shared" si="34"/>
        <v>0</v>
      </c>
      <c r="E1037" s="204">
        <v>4.2552676192782787E-2</v>
      </c>
      <c r="F1037" s="205">
        <v>1.1438034618303635E-2</v>
      </c>
      <c r="G1037" s="204">
        <v>3.5276628057453956E-2</v>
      </c>
      <c r="H1037" s="204">
        <v>9.7682950069876748E-2</v>
      </c>
      <c r="I1037" s="209">
        <v>14.574999999999999</v>
      </c>
      <c r="J1037" s="207">
        <v>3.3491867730691061</v>
      </c>
      <c r="K1037" s="209">
        <v>50</v>
      </c>
      <c r="L1037" s="209">
        <v>52.884</v>
      </c>
      <c r="M1037" s="212"/>
      <c r="N1037" s="225"/>
    </row>
    <row r="1038" spans="1:14" ht="16.5" customHeight="1" x14ac:dyDescent="0.25">
      <c r="A1038" s="203">
        <v>45007</v>
      </c>
      <c r="B1038" s="128" t="s">
        <v>18</v>
      </c>
      <c r="C1038" s="157" t="str">
        <f t="shared" si="33"/>
        <v>22.03.2023_ORB1</v>
      </c>
      <c r="D1038" s="190">
        <f t="shared" si="34"/>
        <v>0</v>
      </c>
      <c r="E1038" s="204">
        <v>6.9502704448211841E-2</v>
      </c>
      <c r="F1038" s="205">
        <v>1.1211544975905133E-2</v>
      </c>
      <c r="G1038" s="204">
        <v>2.5993304884439739E-2</v>
      </c>
      <c r="H1038" s="204">
        <v>1.3473510354465769E-2</v>
      </c>
      <c r="I1038" s="209">
        <v>3.6120000000000001</v>
      </c>
      <c r="J1038" s="207">
        <v>0.84012799153713569</v>
      </c>
      <c r="K1038" s="209">
        <v>5.9260000000000002</v>
      </c>
      <c r="L1038" s="209">
        <v>8.9600000000000009</v>
      </c>
      <c r="M1038" s="212"/>
      <c r="N1038" s="225"/>
    </row>
    <row r="1039" spans="1:14" ht="16.5" customHeight="1" x14ac:dyDescent="0.25">
      <c r="A1039" s="203">
        <v>45007</v>
      </c>
      <c r="B1039" s="128" t="s">
        <v>21</v>
      </c>
      <c r="C1039" s="157" t="str">
        <f t="shared" si="33"/>
        <v>22.03.2023_ORB2</v>
      </c>
      <c r="D1039" s="190">
        <f t="shared" si="34"/>
        <v>0</v>
      </c>
      <c r="E1039" s="204">
        <v>0.10070800032291918</v>
      </c>
      <c r="F1039" s="205">
        <v>4.4140565154282191E-2</v>
      </c>
      <c r="G1039" s="204">
        <v>3.806162500935821E-2</v>
      </c>
      <c r="H1039" s="204">
        <v>3.592936094524201E-2</v>
      </c>
      <c r="I1039" s="209">
        <v>3.0329999999999999</v>
      </c>
      <c r="J1039" s="207">
        <v>0.72555687514329548</v>
      </c>
      <c r="K1039" s="209">
        <v>9.0489999999999995</v>
      </c>
      <c r="L1039" s="209">
        <v>8.0069999999999997</v>
      </c>
      <c r="M1039" s="212"/>
      <c r="N1039" s="225"/>
    </row>
    <row r="1040" spans="1:14" ht="16.5" customHeight="1" x14ac:dyDescent="0.25">
      <c r="A1040" s="203">
        <v>45007</v>
      </c>
      <c r="B1040" s="128" t="s">
        <v>10</v>
      </c>
      <c r="C1040" s="157" t="str">
        <f t="shared" si="33"/>
        <v>22.03.2023_SAL1</v>
      </c>
      <c r="D1040" s="190">
        <f t="shared" si="34"/>
        <v>0</v>
      </c>
      <c r="E1040" s="204">
        <v>8.3686929845806099E-2</v>
      </c>
      <c r="F1040" s="205">
        <v>1.1594951489392743E-2</v>
      </c>
      <c r="G1040" s="204">
        <v>3.4348295740152517E-2</v>
      </c>
      <c r="H1040" s="204">
        <v>4.6034493711091334E-2</v>
      </c>
      <c r="I1040" s="209">
        <v>6.0380000000000003</v>
      </c>
      <c r="J1040" s="207">
        <v>1.4044893697696128</v>
      </c>
      <c r="K1040" s="209">
        <v>7.4989999999999997</v>
      </c>
      <c r="L1040" s="209">
        <v>6.9180000000000001</v>
      </c>
      <c r="M1040" s="212"/>
      <c r="N1040" s="225"/>
    </row>
    <row r="1041" spans="1:14" ht="16.5" customHeight="1" x14ac:dyDescent="0.25">
      <c r="A1041" s="203">
        <v>45007</v>
      </c>
      <c r="B1041" s="128" t="s">
        <v>12</v>
      </c>
      <c r="C1041" s="157" t="str">
        <f t="shared" si="33"/>
        <v>22.03.2023_SAL2</v>
      </c>
      <c r="D1041" s="190">
        <f t="shared" si="34"/>
        <v>0</v>
      </c>
      <c r="E1041" s="204">
        <v>0.12056591587955115</v>
      </c>
      <c r="F1041" s="205">
        <v>7.9879644804200494E-3</v>
      </c>
      <c r="G1041" s="204">
        <v>3.3419963422851126E-2</v>
      </c>
      <c r="H1041" s="204">
        <v>6.0630796595095883E-2</v>
      </c>
      <c r="I1041" s="209">
        <v>5.2930000000000001</v>
      </c>
      <c r="J1041" s="207">
        <v>1.2399392234215865</v>
      </c>
      <c r="K1041" s="209">
        <v>7.1210000000000004</v>
      </c>
      <c r="L1041" s="209">
        <v>6.5010000000000003</v>
      </c>
      <c r="M1041" s="212"/>
      <c r="N1041" s="225"/>
    </row>
    <row r="1042" spans="1:14" ht="16.5" customHeight="1" x14ac:dyDescent="0.25">
      <c r="A1042" s="203">
        <v>45007</v>
      </c>
      <c r="B1042" s="128" t="s">
        <v>7</v>
      </c>
      <c r="C1042" s="157" t="str">
        <f t="shared" si="33"/>
        <v>22.03.2023_STE1</v>
      </c>
      <c r="D1042" s="190">
        <f t="shared" si="34"/>
        <v>0</v>
      </c>
      <c r="E1042" s="204">
        <v>0.12907645111810773</v>
      </c>
      <c r="F1042" s="205">
        <v>2.6518581823335972E-2</v>
      </c>
      <c r="G1042" s="204">
        <v>8.1693243922524902E-2</v>
      </c>
      <c r="H1042" s="204">
        <v>2.5824228179392707E-2</v>
      </c>
      <c r="I1042" s="209">
        <v>7.1840000000000002</v>
      </c>
      <c r="J1042" s="207">
        <v>1.6939462532426173</v>
      </c>
      <c r="K1042" s="209">
        <v>7.5910000000000002</v>
      </c>
      <c r="L1042" s="209">
        <v>7.0759999999999996</v>
      </c>
      <c r="M1042" s="212"/>
      <c r="N1042" s="225"/>
    </row>
    <row r="1043" spans="1:14" ht="16.5" customHeight="1" x14ac:dyDescent="0.25">
      <c r="A1043" s="203">
        <v>45007</v>
      </c>
      <c r="B1043" s="128" t="s">
        <v>9</v>
      </c>
      <c r="C1043" s="157" t="str">
        <f t="shared" si="33"/>
        <v>22.03.2023_STE2</v>
      </c>
      <c r="D1043" s="190">
        <f t="shared" si="34"/>
        <v>0</v>
      </c>
      <c r="E1043" s="204">
        <v>0.10496326794219746</v>
      </c>
      <c r="F1043" s="205">
        <v>6.640826085202456E-3</v>
      </c>
      <c r="G1043" s="204">
        <v>0.13739318296061007</v>
      </c>
      <c r="H1043" s="204">
        <v>6.3999174183712329E-2</v>
      </c>
      <c r="I1043" s="209">
        <v>8.1310000000000002</v>
      </c>
      <c r="J1043" s="207">
        <v>1.9627179512173154</v>
      </c>
      <c r="K1043" s="209">
        <v>11.598000000000001</v>
      </c>
      <c r="L1043" s="209">
        <v>7.3959999999999999</v>
      </c>
      <c r="M1043" s="212"/>
      <c r="N1043" s="225"/>
    </row>
    <row r="1044" spans="1:14" ht="16.5" customHeight="1" x14ac:dyDescent="0.25">
      <c r="A1044" s="203">
        <v>45030</v>
      </c>
      <c r="B1044" s="128" t="s">
        <v>22</v>
      </c>
      <c r="C1044" s="157" t="str">
        <f t="shared" si="33"/>
        <v>14.04.2023_BIE1</v>
      </c>
      <c r="D1044" s="190">
        <f t="shared" si="34"/>
        <v>0</v>
      </c>
      <c r="E1044" s="204">
        <v>0.10201096892138939</v>
      </c>
      <c r="F1044" s="205">
        <v>9.5514174902655985E-3</v>
      </c>
      <c r="G1044" s="204">
        <v>2.7897310513447428E-2</v>
      </c>
      <c r="H1044" s="204">
        <v>0.03</v>
      </c>
      <c r="I1044" s="209">
        <v>4.4770000000000003</v>
      </c>
      <c r="J1044" s="207">
        <v>1.0420154726405868</v>
      </c>
      <c r="K1044" s="209">
        <v>6.742</v>
      </c>
      <c r="L1044" s="209">
        <v>13.377000000000001</v>
      </c>
      <c r="M1044" s="212"/>
      <c r="N1044" s="225"/>
    </row>
    <row r="1045" spans="1:14" ht="16.5" customHeight="1" x14ac:dyDescent="0.25">
      <c r="A1045" s="203">
        <v>45030</v>
      </c>
      <c r="B1045" s="128" t="s">
        <v>25</v>
      </c>
      <c r="C1045" s="157" t="str">
        <f t="shared" si="33"/>
        <v>14.04.2023_BIE2</v>
      </c>
      <c r="D1045" s="190">
        <f t="shared" si="34"/>
        <v>0</v>
      </c>
      <c r="E1045" s="204">
        <v>3.2114564290067038E-2</v>
      </c>
      <c r="F1045" s="205">
        <v>9.406978878933733E-3</v>
      </c>
      <c r="G1045" s="204">
        <v>1.9926650366748146E-2</v>
      </c>
      <c r="H1045" s="204">
        <v>2.3E-2</v>
      </c>
      <c r="I1045" s="209">
        <v>4.4770000000000003</v>
      </c>
      <c r="J1045" s="207">
        <v>1.0336951847432765</v>
      </c>
      <c r="K1045" s="209">
        <v>6.5259999999999998</v>
      </c>
      <c r="L1045" s="209">
        <v>13.455</v>
      </c>
      <c r="M1045" s="212"/>
      <c r="N1045" s="225"/>
    </row>
    <row r="1046" spans="1:14" ht="16.5" customHeight="1" x14ac:dyDescent="0.25">
      <c r="A1046" s="203">
        <v>45030</v>
      </c>
      <c r="B1046" s="128" t="s">
        <v>14</v>
      </c>
      <c r="C1046" s="157" t="str">
        <f t="shared" si="33"/>
        <v>14.04.2023_BRA1</v>
      </c>
      <c r="D1046" s="190">
        <f t="shared" si="34"/>
        <v>0</v>
      </c>
      <c r="E1046" s="204">
        <v>5.6672760511883059E-2</v>
      </c>
      <c r="F1046" s="205">
        <v>2.1194571809689818E-2</v>
      </c>
      <c r="G1046" s="204">
        <v>2.7100244498777491E-2</v>
      </c>
      <c r="H1046" s="204">
        <v>5.5E-2</v>
      </c>
      <c r="I1046" s="209">
        <v>7.1420000000000003</v>
      </c>
      <c r="J1046" s="207">
        <v>1.6509513588508558</v>
      </c>
      <c r="K1046" s="209">
        <v>6.0819999999999999</v>
      </c>
      <c r="L1046" s="209">
        <v>7.444</v>
      </c>
      <c r="M1046" s="212"/>
      <c r="N1046" s="225"/>
    </row>
    <row r="1047" spans="1:14" ht="16.5" customHeight="1" x14ac:dyDescent="0.25">
      <c r="A1047" s="203">
        <v>45030</v>
      </c>
      <c r="B1047" s="128" t="s">
        <v>17</v>
      </c>
      <c r="C1047" s="157" t="str">
        <f t="shared" si="33"/>
        <v>14.04.2023_BRA2</v>
      </c>
      <c r="D1047" s="190">
        <f t="shared" si="34"/>
        <v>0</v>
      </c>
      <c r="E1047" s="204">
        <v>5.2894576477757506E-2</v>
      </c>
      <c r="F1047" s="205">
        <v>2.4368658537396268E-2</v>
      </c>
      <c r="G1047" s="204">
        <v>1.2753056234718832E-2</v>
      </c>
      <c r="H1047" s="204">
        <v>0.13870870870870869</v>
      </c>
      <c r="I1047" s="209">
        <v>8.2040000000000006</v>
      </c>
      <c r="J1047" s="207">
        <v>1.9051699670020632</v>
      </c>
      <c r="K1047" s="209">
        <v>7.4359999999999999</v>
      </c>
      <c r="L1047" s="209">
        <v>8.24</v>
      </c>
      <c r="M1047" s="212"/>
      <c r="N1047" s="225"/>
    </row>
    <row r="1048" spans="1:14" ht="16.5" customHeight="1" x14ac:dyDescent="0.25">
      <c r="A1048" s="203">
        <v>45030</v>
      </c>
      <c r="B1048" s="128" t="s">
        <v>30</v>
      </c>
      <c r="C1048" s="157" t="str">
        <f t="shared" si="33"/>
        <v>14.04.2023_FAL1</v>
      </c>
      <c r="D1048" s="190">
        <f t="shared" si="34"/>
        <v>0</v>
      </c>
      <c r="E1048" s="204">
        <v>0.28336380255941507</v>
      </c>
      <c r="F1048" s="205">
        <v>5.2002519762717754E-2</v>
      </c>
      <c r="G1048" s="204">
        <v>6.5359413202933953E-2</v>
      </c>
      <c r="H1048" s="204">
        <v>0.24669669669669664</v>
      </c>
      <c r="I1048" s="209">
        <v>14.724</v>
      </c>
      <c r="J1048" s="207">
        <v>3.4515676200672551</v>
      </c>
      <c r="K1048" s="209">
        <v>31</v>
      </c>
      <c r="L1048" s="209">
        <v>29.381</v>
      </c>
      <c r="M1048" s="212"/>
      <c r="N1048" s="225"/>
    </row>
    <row r="1049" spans="1:14" ht="16.5" customHeight="1" x14ac:dyDescent="0.25">
      <c r="A1049" s="203">
        <v>45030</v>
      </c>
      <c r="B1049" s="128" t="s">
        <v>32</v>
      </c>
      <c r="C1049" s="157" t="str">
        <f t="shared" si="33"/>
        <v>14.04.2023_FAL2</v>
      </c>
      <c r="D1049" s="190">
        <f t="shared" si="34"/>
        <v>0</v>
      </c>
      <c r="E1049" s="204">
        <v>0.14168190127970753</v>
      </c>
      <c r="F1049" s="205">
        <v>2.2676086148242319E-2</v>
      </c>
      <c r="G1049" s="204">
        <v>4.6229828850855761E-2</v>
      </c>
      <c r="H1049" s="204">
        <v>0.23366366366366362</v>
      </c>
      <c r="I1049" s="209">
        <v>14.766</v>
      </c>
      <c r="J1049" s="207">
        <v>3.4422323222068036</v>
      </c>
      <c r="K1049" s="209">
        <v>35</v>
      </c>
      <c r="L1049" s="209">
        <v>31.998000000000001</v>
      </c>
      <c r="M1049" s="212"/>
      <c r="N1049" s="225"/>
    </row>
    <row r="1050" spans="1:14" ht="16.5" customHeight="1" x14ac:dyDescent="0.25">
      <c r="A1050" s="203">
        <v>45030</v>
      </c>
      <c r="B1050" s="128" t="s">
        <v>26</v>
      </c>
      <c r="C1050" s="157" t="str">
        <f t="shared" si="33"/>
        <v>14.04.2023_GRU1</v>
      </c>
      <c r="D1050" s="190">
        <f t="shared" si="34"/>
        <v>0</v>
      </c>
      <c r="E1050" s="204">
        <v>0</v>
      </c>
      <c r="F1050" s="205">
        <v>1.3608971972280745E-2</v>
      </c>
      <c r="G1050" s="204">
        <v>1.6738386308068457E-2</v>
      </c>
      <c r="H1050" s="204">
        <v>0.12195195195195192</v>
      </c>
      <c r="I1050" s="209">
        <v>5.7530000000000001</v>
      </c>
      <c r="J1050" s="207">
        <v>1.3495555713561238</v>
      </c>
      <c r="K1050" s="209">
        <v>5.87</v>
      </c>
      <c r="L1050" s="209">
        <v>12.127000000000001</v>
      </c>
      <c r="M1050" s="212"/>
      <c r="N1050" s="225"/>
    </row>
    <row r="1051" spans="1:14" ht="16.5" customHeight="1" x14ac:dyDescent="0.25">
      <c r="A1051" s="203">
        <v>45030</v>
      </c>
      <c r="B1051" s="128" t="s">
        <v>28</v>
      </c>
      <c r="C1051" s="157" t="str">
        <f t="shared" si="33"/>
        <v>14.04.2023_GRU2</v>
      </c>
      <c r="D1051" s="190">
        <f t="shared" si="34"/>
        <v>0</v>
      </c>
      <c r="E1051" s="204">
        <v>2.455819622181598E-2</v>
      </c>
      <c r="F1051" s="205">
        <v>1.6602993388262658E-2</v>
      </c>
      <c r="G1051" s="204">
        <v>1.5941320293398537E-2</v>
      </c>
      <c r="H1051" s="204">
        <v>0.12567567567567567</v>
      </c>
      <c r="I1051" s="209">
        <v>5.3129999999999997</v>
      </c>
      <c r="J1051" s="207">
        <v>1.2506875452540807</v>
      </c>
      <c r="K1051" s="209">
        <v>6.3570000000000002</v>
      </c>
      <c r="L1051" s="209">
        <v>12.037000000000001</v>
      </c>
      <c r="M1051" s="212"/>
      <c r="N1051" s="225"/>
    </row>
    <row r="1052" spans="1:14" ht="16.5" customHeight="1" x14ac:dyDescent="0.25">
      <c r="A1052" s="203">
        <v>45030</v>
      </c>
      <c r="B1052" s="128" t="s">
        <v>0</v>
      </c>
      <c r="C1052" s="157" t="str">
        <f t="shared" si="33"/>
        <v>14.04.2023_KIN1</v>
      </c>
      <c r="D1052" s="190">
        <f t="shared" si="34"/>
        <v>0</v>
      </c>
      <c r="E1052" s="204">
        <v>0.15490554539914694</v>
      </c>
      <c r="F1052" s="205">
        <v>2.1268515150771924E-2</v>
      </c>
      <c r="G1052" s="204">
        <v>1.3550122249388754E-2</v>
      </c>
      <c r="H1052" s="204">
        <v>0.16012012012012011</v>
      </c>
      <c r="I1052" s="209">
        <v>4.3490000000000002</v>
      </c>
      <c r="J1052" s="207">
        <v>1.0415787349959984</v>
      </c>
      <c r="K1052" s="209">
        <v>8.1820000000000004</v>
      </c>
      <c r="L1052" s="209">
        <v>8.2720000000000002</v>
      </c>
      <c r="M1052" s="212"/>
      <c r="N1052" s="225"/>
    </row>
    <row r="1053" spans="1:14" ht="16.5" customHeight="1" x14ac:dyDescent="0.25">
      <c r="A1053" s="203">
        <v>45030</v>
      </c>
      <c r="B1053" s="128" t="s">
        <v>2</v>
      </c>
      <c r="C1053" s="157" t="str">
        <f t="shared" si="33"/>
        <v>14.04.2023_KIN2</v>
      </c>
      <c r="D1053" s="190">
        <f t="shared" si="34"/>
        <v>0</v>
      </c>
      <c r="E1053" s="204">
        <v>4.9116392443631959E-2</v>
      </c>
      <c r="F1053" s="205">
        <v>1.3865039261601054E-2</v>
      </c>
      <c r="G1053" s="204">
        <v>1.9129584352078222E-2</v>
      </c>
      <c r="H1053" s="204">
        <v>0.12381381381381379</v>
      </c>
      <c r="I1053" s="209">
        <v>5.7329999999999997</v>
      </c>
      <c r="J1053" s="207">
        <v>1.3474617565691605</v>
      </c>
      <c r="K1053" s="209">
        <v>8.8260000000000005</v>
      </c>
      <c r="L1053" s="209">
        <v>9.0079999999999991</v>
      </c>
      <c r="M1053" s="212"/>
      <c r="N1053" s="225"/>
    </row>
    <row r="1054" spans="1:14" ht="16.5" customHeight="1" x14ac:dyDescent="0.25">
      <c r="A1054" s="203">
        <v>45030</v>
      </c>
      <c r="B1054" s="128" t="s">
        <v>4</v>
      </c>
      <c r="C1054" s="157" t="str">
        <f t="shared" si="33"/>
        <v>14.04.2023_KIN3</v>
      </c>
      <c r="D1054" s="190">
        <f t="shared" si="34"/>
        <v>0</v>
      </c>
      <c r="E1054" s="204">
        <v>9.6343692870201114E-2</v>
      </c>
      <c r="F1054" s="205">
        <v>1.1472498263948718E-2</v>
      </c>
      <c r="G1054" s="204">
        <v>5.6591687041564767E-2</v>
      </c>
      <c r="H1054" s="204">
        <v>0.1331231231231231</v>
      </c>
      <c r="I1054" s="209">
        <v>5.3879999999999999</v>
      </c>
      <c r="J1054" s="207">
        <v>1.3014597739057394</v>
      </c>
      <c r="K1054" s="209">
        <v>9.7159999999999993</v>
      </c>
      <c r="L1054" s="209">
        <v>10.486000000000001</v>
      </c>
      <c r="M1054" s="212"/>
      <c r="N1054" s="225"/>
    </row>
    <row r="1055" spans="1:14" ht="16.5" customHeight="1" x14ac:dyDescent="0.25">
      <c r="A1055" s="203">
        <v>45030</v>
      </c>
      <c r="B1055" s="128" t="s">
        <v>6</v>
      </c>
      <c r="C1055" s="157" t="str">
        <f t="shared" si="33"/>
        <v>14.04.2023_KIN4</v>
      </c>
      <c r="D1055" s="190">
        <f t="shared" si="34"/>
        <v>0</v>
      </c>
      <c r="E1055" s="204">
        <v>9.2565508836075602E-2</v>
      </c>
      <c r="F1055" s="205">
        <v>1.3477140120542455E-2</v>
      </c>
      <c r="G1055" s="204">
        <v>2.630317848410757E-2</v>
      </c>
      <c r="H1055" s="204">
        <v>0.13870870870870869</v>
      </c>
      <c r="I1055" s="209">
        <v>6.0250000000000004</v>
      </c>
      <c r="J1055" s="207">
        <v>1.4235207714274909</v>
      </c>
      <c r="K1055" s="209">
        <v>12.581</v>
      </c>
      <c r="L1055" s="209">
        <v>11.026999999999999</v>
      </c>
      <c r="M1055" s="212"/>
      <c r="N1055" s="225"/>
    </row>
    <row r="1056" spans="1:14" ht="16.5" customHeight="1" x14ac:dyDescent="0.25">
      <c r="A1056" s="203">
        <v>45030</v>
      </c>
      <c r="B1056" s="128" t="s">
        <v>34</v>
      </c>
      <c r="C1056" s="157" t="str">
        <f t="shared" si="33"/>
        <v>14.04.2023_KRE1</v>
      </c>
      <c r="D1056" s="190">
        <f t="shared" si="34"/>
        <v>0</v>
      </c>
      <c r="E1056" s="204">
        <v>3.0225472273004286E-2</v>
      </c>
      <c r="F1056" s="205">
        <v>4.2438969648292118E-3</v>
      </c>
      <c r="G1056" s="204">
        <v>0.11716870415647926</v>
      </c>
      <c r="H1056" s="204">
        <v>0.19456456456456453</v>
      </c>
      <c r="I1056" s="209">
        <v>11.525</v>
      </c>
      <c r="J1056" s="207">
        <v>2.7533672587721463</v>
      </c>
      <c r="K1056" s="209">
        <v>34</v>
      </c>
      <c r="L1056" s="209">
        <v>43</v>
      </c>
      <c r="M1056" s="212"/>
      <c r="N1056" s="225"/>
    </row>
    <row r="1057" spans="1:14" ht="16.5" customHeight="1" x14ac:dyDescent="0.25">
      <c r="A1057" s="203">
        <v>45030</v>
      </c>
      <c r="B1057" s="128" t="s">
        <v>37</v>
      </c>
      <c r="C1057" s="157" t="str">
        <f t="shared" si="33"/>
        <v>14.04.2023_KRE2</v>
      </c>
      <c r="D1057" s="190">
        <f t="shared" si="34"/>
        <v>0</v>
      </c>
      <c r="E1057" s="204">
        <v>6.9896404631322379E-2</v>
      </c>
      <c r="F1057" s="205">
        <v>1.2078055577874914E-2</v>
      </c>
      <c r="G1057" s="204">
        <v>0.16499266503667478</v>
      </c>
      <c r="H1057" s="204">
        <v>0.20387387387387382</v>
      </c>
      <c r="I1057" s="209">
        <v>13.103</v>
      </c>
      <c r="J1057" s="207">
        <v>3.1497591653752286</v>
      </c>
      <c r="K1057" s="209">
        <v>37</v>
      </c>
      <c r="L1057" s="209">
        <v>49</v>
      </c>
      <c r="M1057" s="212"/>
      <c r="N1057" s="225"/>
    </row>
    <row r="1058" spans="1:14" ht="16.5" customHeight="1" x14ac:dyDescent="0.25">
      <c r="A1058" s="203">
        <v>45030</v>
      </c>
      <c r="B1058" s="128" t="s">
        <v>18</v>
      </c>
      <c r="C1058" s="157" t="str">
        <f t="shared" si="33"/>
        <v>14.04.2023_ORB1</v>
      </c>
      <c r="D1058" s="190">
        <f t="shared" si="34"/>
        <v>0</v>
      </c>
      <c r="E1058" s="204">
        <v>7.7452772699573444E-2</v>
      </c>
      <c r="F1058" s="205">
        <v>1.8983402725354006E-2</v>
      </c>
      <c r="G1058" s="204">
        <v>4.3041564792176044E-2</v>
      </c>
      <c r="H1058" s="204">
        <v>0.11450450450450449</v>
      </c>
      <c r="I1058" s="209">
        <v>5.5449999999999999</v>
      </c>
      <c r="J1058" s="207">
        <v>1.320731391041873</v>
      </c>
      <c r="K1058" s="209">
        <v>7.4690000000000003</v>
      </c>
      <c r="L1058" s="209">
        <v>15.643000000000001</v>
      </c>
      <c r="M1058" s="212"/>
      <c r="N1058" s="225"/>
    </row>
    <row r="1059" spans="1:14" ht="16.5" customHeight="1" x14ac:dyDescent="0.25">
      <c r="A1059" s="203">
        <v>45030</v>
      </c>
      <c r="B1059" s="128" t="s">
        <v>21</v>
      </c>
      <c r="C1059" s="157" t="str">
        <f t="shared" si="33"/>
        <v>14.04.2023_ORB2</v>
      </c>
      <c r="D1059" s="190">
        <f t="shared" si="34"/>
        <v>0</v>
      </c>
      <c r="E1059" s="204">
        <v>0.10956733698964044</v>
      </c>
      <c r="F1059" s="205">
        <v>1.4785018724785147E-2</v>
      </c>
      <c r="G1059" s="204">
        <v>2.3114914425427867E-2</v>
      </c>
      <c r="H1059" s="204">
        <v>0.12009009009009007</v>
      </c>
      <c r="I1059" s="209">
        <v>5.9359999999999999</v>
      </c>
      <c r="J1059" s="207">
        <v>1.3952742478301281</v>
      </c>
      <c r="K1059" s="209">
        <v>8.8140000000000001</v>
      </c>
      <c r="L1059" s="209">
        <v>16.07</v>
      </c>
      <c r="M1059" s="212"/>
      <c r="N1059" s="225"/>
    </row>
    <row r="1060" spans="1:14" ht="16.5" customHeight="1" x14ac:dyDescent="0.25">
      <c r="A1060" s="203">
        <v>45030</v>
      </c>
      <c r="B1060" s="128" t="s">
        <v>10</v>
      </c>
      <c r="C1060" s="157" t="str">
        <f t="shared" si="33"/>
        <v>14.04.2023_SAL1</v>
      </c>
      <c r="D1060" s="190">
        <f t="shared" si="34"/>
        <v>0</v>
      </c>
      <c r="E1060" s="204">
        <v>0.22291285801340643</v>
      </c>
      <c r="F1060" s="205">
        <v>2.3541812970988153E-2</v>
      </c>
      <c r="G1060" s="204">
        <v>0.152239608801956</v>
      </c>
      <c r="H1060" s="204">
        <v>0.13405405405405404</v>
      </c>
      <c r="I1060" s="209">
        <v>5.1959999999999997</v>
      </c>
      <c r="J1060" s="207">
        <v>1.3326458105953873</v>
      </c>
      <c r="K1060" s="209">
        <v>5.8150000000000004</v>
      </c>
      <c r="L1060" s="209">
        <v>7.173</v>
      </c>
      <c r="M1060" s="212"/>
      <c r="N1060" s="225"/>
    </row>
    <row r="1061" spans="1:14" ht="16.5" customHeight="1" x14ac:dyDescent="0.25">
      <c r="A1061" s="203">
        <v>45030</v>
      </c>
      <c r="B1061" s="128" t="s">
        <v>12</v>
      </c>
      <c r="C1061" s="157" t="str">
        <f t="shared" si="33"/>
        <v>14.04.2023_SAL2</v>
      </c>
      <c r="D1061" s="190">
        <f t="shared" si="34"/>
        <v>0</v>
      </c>
      <c r="E1061" s="204">
        <v>0.13979280926264473</v>
      </c>
      <c r="F1061" s="205">
        <v>2.1959783339994519E-2</v>
      </c>
      <c r="G1061" s="204">
        <v>3.0288508557457194E-2</v>
      </c>
      <c r="H1061" s="204">
        <v>0.14429429429429427</v>
      </c>
      <c r="I1061" s="209">
        <v>5.3280000000000003</v>
      </c>
      <c r="J1061" s="207">
        <v>1.2708844819076779</v>
      </c>
      <c r="K1061" s="209">
        <v>6.1660000000000004</v>
      </c>
      <c r="L1061" s="209">
        <v>7.4420000000000002</v>
      </c>
      <c r="M1061" s="212"/>
      <c r="N1061" s="225"/>
    </row>
    <row r="1062" spans="1:14" ht="16.5" customHeight="1" x14ac:dyDescent="0.25">
      <c r="A1062" s="203">
        <v>45030</v>
      </c>
      <c r="B1062" s="128" t="s">
        <v>7</v>
      </c>
      <c r="C1062" s="157" t="str">
        <f t="shared" si="33"/>
        <v>14.04.2023_STE1</v>
      </c>
      <c r="D1062" s="190">
        <f t="shared" si="34"/>
        <v>0</v>
      </c>
      <c r="E1062" s="204">
        <v>0.30603290676416833</v>
      </c>
      <c r="F1062" s="205">
        <v>2.4155345462285833E-2</v>
      </c>
      <c r="G1062" s="204">
        <v>2.1520782396088005E-2</v>
      </c>
      <c r="H1062" s="204">
        <v>0.14801801801801798</v>
      </c>
      <c r="I1062" s="209">
        <v>5.3019999999999996</v>
      </c>
      <c r="J1062" s="207">
        <v>1.2593374979083236</v>
      </c>
      <c r="K1062" s="209">
        <v>6.3849999999999998</v>
      </c>
      <c r="L1062" s="209">
        <v>6.8289999999999997</v>
      </c>
      <c r="M1062" s="212"/>
      <c r="N1062" s="225"/>
    </row>
    <row r="1063" spans="1:14" ht="16.5" customHeight="1" x14ac:dyDescent="0.25">
      <c r="A1063" s="203">
        <v>45030</v>
      </c>
      <c r="B1063" s="128" t="s">
        <v>9</v>
      </c>
      <c r="C1063" s="157" t="str">
        <f t="shared" si="33"/>
        <v>14.04.2023_STE2</v>
      </c>
      <c r="D1063" s="190">
        <f t="shared" si="34"/>
        <v>0</v>
      </c>
      <c r="E1063" s="204">
        <v>8.5009140767824509E-2</v>
      </c>
      <c r="F1063" s="205">
        <v>2.7055259216920792E-2</v>
      </c>
      <c r="G1063" s="204">
        <v>1.9926650366748146E-2</v>
      </c>
      <c r="H1063" s="204">
        <v>0.12939939939939937</v>
      </c>
      <c r="I1063" s="209">
        <v>5.7939999999999996</v>
      </c>
      <c r="J1063" s="207">
        <v>1.3635592718904233</v>
      </c>
      <c r="K1063" s="209">
        <v>6.9329999999999998</v>
      </c>
      <c r="L1063" s="209">
        <v>6.9859999999999998</v>
      </c>
      <c r="M1063" s="212"/>
      <c r="N1063" s="225"/>
    </row>
    <row r="1064" spans="1:14" ht="16.5" customHeight="1" x14ac:dyDescent="0.25">
      <c r="A1064" s="203">
        <v>45044</v>
      </c>
      <c r="B1064" s="128" t="s">
        <v>22</v>
      </c>
      <c r="C1064" s="157" t="str">
        <f t="shared" si="33"/>
        <v>28.04.2023_BIE1</v>
      </c>
      <c r="D1064" s="190">
        <f t="shared" si="34"/>
        <v>0</v>
      </c>
      <c r="E1064" s="204">
        <v>2.5776705915732698E-2</v>
      </c>
      <c r="F1064" s="205">
        <v>1.0784741670123048E-2</v>
      </c>
      <c r="G1064" s="204">
        <v>4.3012884043607515E-2</v>
      </c>
      <c r="H1064" s="204">
        <v>0.03</v>
      </c>
      <c r="I1064" s="209">
        <v>4.1849999999999996</v>
      </c>
      <c r="J1064" s="207">
        <v>0.98779852433102078</v>
      </c>
      <c r="K1064" s="209">
        <v>6.0010000000000003</v>
      </c>
      <c r="L1064" s="209">
        <v>13.760999999999999</v>
      </c>
      <c r="M1064" s="212"/>
      <c r="N1064" s="225"/>
    </row>
    <row r="1065" spans="1:14" ht="16.5" customHeight="1" x14ac:dyDescent="0.25">
      <c r="A1065" s="203">
        <v>45044</v>
      </c>
      <c r="B1065" s="128" t="s">
        <v>25</v>
      </c>
      <c r="C1065" s="157" t="str">
        <f t="shared" si="33"/>
        <v>28.04.2023_BIE2</v>
      </c>
      <c r="D1065" s="190">
        <f t="shared" si="34"/>
        <v>0</v>
      </c>
      <c r="E1065" s="204">
        <v>4.370832742232942E-2</v>
      </c>
      <c r="F1065" s="205">
        <v>7.839933610858706E-3</v>
      </c>
      <c r="G1065" s="204">
        <v>2.4194747274529211E-2</v>
      </c>
      <c r="H1065" s="204">
        <v>2.3E-2</v>
      </c>
      <c r="I1065" s="209">
        <v>4.1189999999999998</v>
      </c>
      <c r="J1065" s="207">
        <v>0.95614785931119917</v>
      </c>
      <c r="K1065" s="209">
        <v>6.1369999999999996</v>
      </c>
      <c r="L1065" s="209">
        <v>13.75</v>
      </c>
      <c r="M1065" s="212"/>
      <c r="N1065" s="225"/>
    </row>
    <row r="1066" spans="1:14" ht="16.5" customHeight="1" x14ac:dyDescent="0.25">
      <c r="A1066" s="203">
        <v>45044</v>
      </c>
      <c r="B1066" s="128" t="s">
        <v>14</v>
      </c>
      <c r="C1066" s="157" t="str">
        <f t="shared" si="33"/>
        <v>28.04.2023_BRA1</v>
      </c>
      <c r="D1066" s="190">
        <f t="shared" si="34"/>
        <v>0</v>
      </c>
      <c r="E1066" s="204">
        <v>1.6810895162434426E-2</v>
      </c>
      <c r="F1066" s="205">
        <v>1.7307462573940873E-2</v>
      </c>
      <c r="G1066" s="204">
        <v>4.390898579451602E-2</v>
      </c>
      <c r="H1066" s="204">
        <v>5.5E-2</v>
      </c>
      <c r="I1066" s="209">
        <v>5.923</v>
      </c>
      <c r="J1066" s="207">
        <v>1.3886676483795837</v>
      </c>
      <c r="K1066" s="209">
        <v>6.2370000000000001</v>
      </c>
      <c r="L1066" s="209">
        <v>6.75</v>
      </c>
      <c r="M1066" s="212"/>
      <c r="N1066" s="225"/>
    </row>
    <row r="1067" spans="1:14" ht="16.5" customHeight="1" x14ac:dyDescent="0.25">
      <c r="A1067" s="203">
        <v>45044</v>
      </c>
      <c r="B1067" s="128" t="s">
        <v>17</v>
      </c>
      <c r="C1067" s="157" t="str">
        <f t="shared" si="33"/>
        <v>28.04.2023_BRA2</v>
      </c>
      <c r="D1067" s="190">
        <f t="shared" si="34"/>
        <v>0</v>
      </c>
      <c r="E1067" s="204">
        <v>3.9225422045680233E-2</v>
      </c>
      <c r="F1067" s="205">
        <v>2.7382711066781223E-2</v>
      </c>
      <c r="G1067" s="204">
        <v>1.6129831516352812E-2</v>
      </c>
      <c r="H1067" s="204">
        <v>2.6245275377969782E-2</v>
      </c>
      <c r="I1067" s="209">
        <v>7.2949999999999999</v>
      </c>
      <c r="J1067" s="207">
        <v>1.6682366769629555</v>
      </c>
      <c r="K1067" s="209">
        <v>8.1</v>
      </c>
      <c r="L1067" s="209">
        <v>7.6079999999999997</v>
      </c>
      <c r="M1067" s="212"/>
      <c r="N1067" s="225"/>
    </row>
    <row r="1068" spans="1:14" ht="16.5" customHeight="1" x14ac:dyDescent="0.25">
      <c r="A1068" s="203">
        <v>45044</v>
      </c>
      <c r="B1068" s="128" t="s">
        <v>30</v>
      </c>
      <c r="C1068" s="157" t="str">
        <f t="shared" si="33"/>
        <v>28.04.2023_FAL1</v>
      </c>
      <c r="D1068" s="190">
        <f t="shared" si="34"/>
        <v>0</v>
      </c>
      <c r="E1068" s="204">
        <v>0.28466449141722233</v>
      </c>
      <c r="F1068" s="205">
        <v>3.7475474847972069E-2</v>
      </c>
      <c r="G1068" s="204">
        <v>0.12545424512718861</v>
      </c>
      <c r="H1068" s="204">
        <v>0.15389275107991365</v>
      </c>
      <c r="I1068" s="209">
        <v>13.826000000000001</v>
      </c>
      <c r="J1068" s="207">
        <v>3.2671452348650902</v>
      </c>
      <c r="K1068" s="209">
        <v>31</v>
      </c>
      <c r="L1068" s="209">
        <v>30.997</v>
      </c>
      <c r="M1068" s="212"/>
      <c r="N1068" s="225"/>
    </row>
    <row r="1069" spans="1:14" ht="16.5" customHeight="1" x14ac:dyDescent="0.25">
      <c r="A1069" s="203">
        <v>45044</v>
      </c>
      <c r="B1069" s="128" t="s">
        <v>32</v>
      </c>
      <c r="C1069" s="157" t="str">
        <f t="shared" si="33"/>
        <v>28.04.2023_FAL2</v>
      </c>
      <c r="D1069" s="190">
        <f t="shared" si="34"/>
        <v>0</v>
      </c>
      <c r="E1069" s="204">
        <v>8.4054475812171958E-2</v>
      </c>
      <c r="F1069" s="205">
        <v>1.5357702229620969E-2</v>
      </c>
      <c r="G1069" s="204">
        <v>9.1402378592665964E-2</v>
      </c>
      <c r="H1069" s="204">
        <v>0.14912088282937366</v>
      </c>
      <c r="I1069" s="209">
        <v>14.632</v>
      </c>
      <c r="J1069" s="207">
        <v>3.4213027257308215</v>
      </c>
      <c r="K1069" s="209">
        <v>36</v>
      </c>
      <c r="L1069" s="209">
        <v>32.590000000000003</v>
      </c>
      <c r="M1069" s="212"/>
      <c r="N1069" s="225"/>
    </row>
    <row r="1070" spans="1:14" ht="16.5" customHeight="1" x14ac:dyDescent="0.25">
      <c r="A1070" s="203">
        <v>45044</v>
      </c>
      <c r="B1070" s="128" t="s">
        <v>26</v>
      </c>
      <c r="C1070" s="157" t="str">
        <f t="shared" si="33"/>
        <v>28.04.2023_GRU1</v>
      </c>
      <c r="D1070" s="190">
        <f t="shared" si="34"/>
        <v>0</v>
      </c>
      <c r="E1070" s="204">
        <v>0</v>
      </c>
      <c r="F1070" s="205">
        <v>1.5744174616053937E-2</v>
      </c>
      <c r="G1070" s="204">
        <v>1.971423851998675E-2</v>
      </c>
      <c r="H1070" s="204">
        <v>2.3859341252699643E-3</v>
      </c>
      <c r="I1070" s="209">
        <v>4.6959999999999997</v>
      </c>
      <c r="J1070" s="207">
        <v>1.0767198267128228</v>
      </c>
      <c r="K1070" s="209">
        <v>5.5730000000000004</v>
      </c>
      <c r="L1070" s="209">
        <v>12.896000000000001</v>
      </c>
      <c r="M1070" s="212"/>
      <c r="N1070" s="225"/>
    </row>
    <row r="1071" spans="1:14" ht="16.5" customHeight="1" x14ac:dyDescent="0.25">
      <c r="A1071" s="203">
        <v>45044</v>
      </c>
      <c r="B1071" s="128" t="s">
        <v>28</v>
      </c>
      <c r="C1071" s="157" t="str">
        <f t="shared" si="33"/>
        <v>28.04.2023_GRU2</v>
      </c>
      <c r="D1071" s="190">
        <f t="shared" si="34"/>
        <v>0</v>
      </c>
      <c r="E1071" s="204">
        <v>2.6897432259895021E-2</v>
      </c>
      <c r="F1071" s="205">
        <v>1.2586253004068605E-2</v>
      </c>
      <c r="G1071" s="204">
        <v>3.0467459530888637E-2</v>
      </c>
      <c r="H1071" s="204">
        <v>9.5437365010799073E-3</v>
      </c>
      <c r="I1071" s="209">
        <v>4.3689999999999998</v>
      </c>
      <c r="J1071" s="207">
        <v>1.0133892982288935</v>
      </c>
      <c r="K1071" s="209">
        <v>6.1920000000000002</v>
      </c>
      <c r="L1071" s="209">
        <v>12.862</v>
      </c>
      <c r="M1071" s="212"/>
      <c r="N1071" s="225"/>
    </row>
    <row r="1072" spans="1:14" ht="16.5" customHeight="1" x14ac:dyDescent="0.25">
      <c r="A1072" s="203">
        <v>45044</v>
      </c>
      <c r="B1072" s="128" t="s">
        <v>0</v>
      </c>
      <c r="C1072" s="157" t="str">
        <f t="shared" si="33"/>
        <v>28.04.2023_KIN1</v>
      </c>
      <c r="D1072" s="190">
        <f t="shared" si="34"/>
        <v>0</v>
      </c>
      <c r="E1072" s="204">
        <v>2.2414526883245852E-2</v>
      </c>
      <c r="F1072" s="205">
        <v>1.1105386767453231E-2</v>
      </c>
      <c r="G1072" s="204">
        <v>2.4194747274529211E-2</v>
      </c>
      <c r="H1072" s="204">
        <v>1.1929670626349897E-2</v>
      </c>
      <c r="I1072" s="209">
        <v>4.2750000000000004</v>
      </c>
      <c r="J1072" s="207">
        <v>0.98801321753339144</v>
      </c>
      <c r="K1072" s="209">
        <v>6.9169999999999998</v>
      </c>
      <c r="L1072" s="209">
        <v>10.010999999999999</v>
      </c>
      <c r="M1072" s="212"/>
      <c r="N1072" s="225"/>
    </row>
    <row r="1073" spans="1:14" ht="16.5" customHeight="1" x14ac:dyDescent="0.25">
      <c r="A1073" s="203">
        <v>45044</v>
      </c>
      <c r="B1073" s="128" t="s">
        <v>2</v>
      </c>
      <c r="C1073" s="157" t="str">
        <f t="shared" si="33"/>
        <v>28.04.2023_KIN2</v>
      </c>
      <c r="D1073" s="190">
        <f t="shared" si="34"/>
        <v>0</v>
      </c>
      <c r="E1073" s="204">
        <v>4.8191232798978564E-2</v>
      </c>
      <c r="F1073" s="205">
        <v>1.0130169566244324E-2</v>
      </c>
      <c r="G1073" s="204">
        <v>3.0467459530888637E-2</v>
      </c>
      <c r="H1073" s="204">
        <v>1.5508571814254867E-2</v>
      </c>
      <c r="I1073" s="209">
        <v>5.4489999999999998</v>
      </c>
      <c r="J1073" s="207">
        <v>1.2591448923399895</v>
      </c>
      <c r="K1073" s="209">
        <v>8.0510000000000002</v>
      </c>
      <c r="L1073" s="209">
        <v>10.468</v>
      </c>
      <c r="M1073" s="212"/>
      <c r="N1073" s="225"/>
    </row>
    <row r="1074" spans="1:14" ht="16.5" customHeight="1" x14ac:dyDescent="0.25">
      <c r="A1074" s="203">
        <v>45044</v>
      </c>
      <c r="B1074" s="128" t="s">
        <v>4</v>
      </c>
      <c r="C1074" s="157" t="str">
        <f t="shared" si="33"/>
        <v>28.04.2023_KIN3</v>
      </c>
      <c r="D1074" s="190">
        <f t="shared" si="34"/>
        <v>0</v>
      </c>
      <c r="E1074" s="204">
        <v>3.5863243013193373E-2</v>
      </c>
      <c r="F1074" s="205">
        <v>9.8470292664775017E-3</v>
      </c>
      <c r="G1074" s="204">
        <v>6.0934919061777275E-2</v>
      </c>
      <c r="H1074" s="204">
        <v>2.7438242440604766E-2</v>
      </c>
      <c r="I1074" s="209">
        <v>5.5579999999999998</v>
      </c>
      <c r="J1074" s="207">
        <v>1.3110543882133214</v>
      </c>
      <c r="K1074" s="209">
        <v>9.6639999999999997</v>
      </c>
      <c r="L1074" s="209">
        <v>11.79</v>
      </c>
      <c r="M1074" s="212"/>
      <c r="N1074" s="225"/>
    </row>
    <row r="1075" spans="1:14" ht="16.5" customHeight="1" x14ac:dyDescent="0.25">
      <c r="A1075" s="203">
        <v>45044</v>
      </c>
      <c r="B1075" s="128" t="s">
        <v>6</v>
      </c>
      <c r="C1075" s="157" t="str">
        <f t="shared" si="33"/>
        <v>28.04.2023_KIN4</v>
      </c>
      <c r="D1075" s="190">
        <f t="shared" si="34"/>
        <v>0</v>
      </c>
      <c r="E1075" s="204">
        <v>4.9311959143140877E-2</v>
      </c>
      <c r="F1075" s="205">
        <v>3.1385259562920855E-3</v>
      </c>
      <c r="G1075" s="204">
        <v>3.9428477039973542E-2</v>
      </c>
      <c r="H1075" s="204">
        <v>4.1753847192224622E-2</v>
      </c>
      <c r="I1075" s="209">
        <v>6.0579999999999998</v>
      </c>
      <c r="J1075" s="207">
        <v>1.4116482369144416</v>
      </c>
      <c r="K1075" s="209">
        <v>14.122</v>
      </c>
      <c r="L1075" s="209">
        <v>12.474</v>
      </c>
      <c r="M1075" s="212"/>
      <c r="N1075" s="225"/>
    </row>
    <row r="1076" spans="1:14" ht="16.5" customHeight="1" x14ac:dyDescent="0.25">
      <c r="A1076" s="203">
        <v>45044</v>
      </c>
      <c r="B1076" s="128" t="s">
        <v>34</v>
      </c>
      <c r="C1076" s="157" t="str">
        <f t="shared" si="33"/>
        <v>28.04.2023_KRE1</v>
      </c>
      <c r="D1076" s="190">
        <f t="shared" si="34"/>
        <v>0</v>
      </c>
      <c r="E1076" s="204">
        <v>0</v>
      </c>
      <c r="F1076" s="205">
        <v>7.6669970021738748E-3</v>
      </c>
      <c r="G1076" s="204">
        <v>0.18101255368351493</v>
      </c>
      <c r="H1076" s="204">
        <v>0.14315604751619873</v>
      </c>
      <c r="I1076" s="209">
        <v>9.9380000000000006</v>
      </c>
      <c r="J1076" s="207">
        <v>2.4288343564760191</v>
      </c>
      <c r="K1076" s="209">
        <v>37</v>
      </c>
      <c r="L1076" s="209">
        <v>35</v>
      </c>
      <c r="M1076" s="212"/>
      <c r="N1076" s="225"/>
    </row>
    <row r="1077" spans="1:14" ht="16.5" customHeight="1" x14ac:dyDescent="0.25">
      <c r="A1077" s="203">
        <v>45044</v>
      </c>
      <c r="B1077" s="128" t="s">
        <v>37</v>
      </c>
      <c r="C1077" s="157" t="str">
        <f t="shared" si="33"/>
        <v>28.04.2023_KRE2</v>
      </c>
      <c r="D1077" s="190">
        <f t="shared" si="34"/>
        <v>0</v>
      </c>
      <c r="E1077" s="204">
        <v>1.7931621506596711E-2</v>
      </c>
      <c r="F1077" s="205">
        <v>1.807141061532376E-2</v>
      </c>
      <c r="G1077" s="204">
        <v>0.13441526263627351</v>
      </c>
      <c r="H1077" s="204">
        <v>9.7823299136069158E-2</v>
      </c>
      <c r="I1077" s="209">
        <v>10.885999999999999</v>
      </c>
      <c r="J1077" s="207">
        <v>2.5929752307064162</v>
      </c>
      <c r="K1077" s="209">
        <v>40</v>
      </c>
      <c r="L1077" s="209">
        <v>43</v>
      </c>
      <c r="M1077" s="212"/>
      <c r="N1077" s="225"/>
    </row>
    <row r="1078" spans="1:14" ht="16.5" customHeight="1" x14ac:dyDescent="0.25">
      <c r="A1078" s="203">
        <v>45044</v>
      </c>
      <c r="B1078" s="128" t="s">
        <v>18</v>
      </c>
      <c r="C1078" s="157" t="str">
        <f t="shared" si="33"/>
        <v>28.04.2023_ORB1</v>
      </c>
      <c r="D1078" s="190">
        <f t="shared" si="34"/>
        <v>0</v>
      </c>
      <c r="E1078" s="204">
        <v>3.3621790324868783E-2</v>
      </c>
      <c r="F1078" s="205">
        <v>2.9712374141759174E-3</v>
      </c>
      <c r="G1078" s="204">
        <v>2.4194747274529211E-2</v>
      </c>
      <c r="H1078" s="204">
        <v>0</v>
      </c>
      <c r="I1078" s="209">
        <v>6.1559999999999997</v>
      </c>
      <c r="J1078" s="207">
        <v>1.4081531028445413</v>
      </c>
      <c r="K1078" s="209">
        <v>7.1210000000000004</v>
      </c>
      <c r="L1078" s="209">
        <v>15.108000000000001</v>
      </c>
      <c r="M1078" s="212"/>
      <c r="N1078" s="225"/>
    </row>
    <row r="1079" spans="1:14" ht="16.5" customHeight="1" x14ac:dyDescent="0.25">
      <c r="A1079" s="203">
        <v>45044</v>
      </c>
      <c r="B1079" s="128" t="s">
        <v>21</v>
      </c>
      <c r="C1079" s="157" t="str">
        <f t="shared" si="33"/>
        <v>28.04.2023_ORB2</v>
      </c>
      <c r="D1079" s="190">
        <f t="shared" si="34"/>
        <v>0</v>
      </c>
      <c r="E1079" s="204">
        <v>0.35414952475528438</v>
      </c>
      <c r="F1079" s="205">
        <v>1.214472109462816E-2</v>
      </c>
      <c r="G1079" s="204">
        <v>4.3012884043607515E-2</v>
      </c>
      <c r="H1079" s="204">
        <v>5.9648353131749356E-3</v>
      </c>
      <c r="I1079" s="209">
        <v>5.7039999999999997</v>
      </c>
      <c r="J1079" s="207">
        <v>1.3235775484421168</v>
      </c>
      <c r="K1079" s="209">
        <v>8.8010000000000002</v>
      </c>
      <c r="L1079" s="209">
        <v>15.88</v>
      </c>
      <c r="M1079" s="212"/>
      <c r="N1079" s="225"/>
    </row>
    <row r="1080" spans="1:14" ht="16.5" customHeight="1" x14ac:dyDescent="0.25">
      <c r="A1080" s="203">
        <v>45044</v>
      </c>
      <c r="B1080" s="128" t="s">
        <v>10</v>
      </c>
      <c r="C1080" s="157" t="str">
        <f t="shared" si="33"/>
        <v>28.04.2023_SAL1</v>
      </c>
      <c r="D1080" s="190">
        <f t="shared" si="34"/>
        <v>0</v>
      </c>
      <c r="E1080" s="204">
        <v>2.4655979571570449E-2</v>
      </c>
      <c r="F1080" s="205">
        <v>1.8738585944090277E-2</v>
      </c>
      <c r="G1080" s="204">
        <v>2.0610340270895273E-2</v>
      </c>
      <c r="H1080" s="204">
        <v>1.7894505939524859E-2</v>
      </c>
      <c r="I1080" s="209">
        <v>4.1840000000000002</v>
      </c>
      <c r="J1080" s="207">
        <v>0.96649178545023573</v>
      </c>
      <c r="K1080" s="209">
        <v>7.01</v>
      </c>
      <c r="L1080" s="209">
        <v>6.508</v>
      </c>
      <c r="M1080" s="212"/>
      <c r="N1080" s="225"/>
    </row>
    <row r="1081" spans="1:14" ht="16.5" customHeight="1" x14ac:dyDescent="0.25">
      <c r="A1081" s="203">
        <v>45044</v>
      </c>
      <c r="B1081" s="128" t="s">
        <v>12</v>
      </c>
      <c r="C1081" s="157" t="str">
        <f t="shared" si="33"/>
        <v>28.04.2023_SAL2</v>
      </c>
      <c r="D1081" s="190">
        <f t="shared" si="34"/>
        <v>0</v>
      </c>
      <c r="E1081" s="204">
        <v>5.1553411831465445E-2</v>
      </c>
      <c r="F1081" s="205">
        <v>1.4631156056811499E-2</v>
      </c>
      <c r="G1081" s="204">
        <v>3.6740171787248067E-2</v>
      </c>
      <c r="H1081" s="204">
        <v>3.4596044816414706E-2</v>
      </c>
      <c r="I1081" s="209">
        <v>4.04</v>
      </c>
      <c r="J1081" s="207">
        <v>0.9515759418354377</v>
      </c>
      <c r="K1081" s="209">
        <v>7.569</v>
      </c>
      <c r="L1081" s="209">
        <v>6.9359999999999999</v>
      </c>
      <c r="M1081" s="212"/>
      <c r="N1081" s="225"/>
    </row>
    <row r="1082" spans="1:14" ht="16.5" customHeight="1" x14ac:dyDescent="0.25">
      <c r="A1082" s="203">
        <v>45044</v>
      </c>
      <c r="B1082" s="128" t="s">
        <v>7</v>
      </c>
      <c r="C1082" s="157" t="str">
        <f t="shared" si="33"/>
        <v>28.04.2023_STE1</v>
      </c>
      <c r="D1082" s="190">
        <f t="shared" si="34"/>
        <v>0</v>
      </c>
      <c r="E1082" s="204">
        <v>1.456944247410983E-2</v>
      </c>
      <c r="F1082" s="205">
        <v>1.1546912277214305E-2</v>
      </c>
      <c r="G1082" s="204">
        <v>1.7922035018169802E-2</v>
      </c>
      <c r="H1082" s="204">
        <v>7.1578023758099426E-3</v>
      </c>
      <c r="I1082" s="209">
        <v>5.3650000000000002</v>
      </c>
      <c r="J1082" s="207">
        <v>1.227888023904574</v>
      </c>
      <c r="K1082" s="209">
        <v>7.7960000000000003</v>
      </c>
      <c r="L1082" s="209">
        <v>7.9089999999999998</v>
      </c>
      <c r="M1082" s="212"/>
      <c r="N1082" s="225"/>
    </row>
    <row r="1083" spans="1:14" ht="16.5" customHeight="1" x14ac:dyDescent="0.25">
      <c r="A1083" s="203">
        <v>45044</v>
      </c>
      <c r="B1083" s="128" t="s">
        <v>9</v>
      </c>
      <c r="C1083" s="157" t="str">
        <f t="shared" si="33"/>
        <v>28.04.2023_STE2</v>
      </c>
      <c r="D1083" s="190">
        <f t="shared" si="34"/>
        <v>0</v>
      </c>
      <c r="E1083" s="204">
        <v>2.4655979571570449E-2</v>
      </c>
      <c r="F1083" s="205">
        <v>9.4532918686472938E-3</v>
      </c>
      <c r="G1083" s="204">
        <v>3.0467459530888637E-2</v>
      </c>
      <c r="H1083" s="204">
        <v>1.0736703563714914E-2</v>
      </c>
      <c r="I1083" s="209">
        <v>5.7869999999999999</v>
      </c>
      <c r="J1083" s="207">
        <v>1.3340361570511126</v>
      </c>
      <c r="K1083" s="209">
        <v>9.3719999999999999</v>
      </c>
      <c r="L1083" s="209">
        <v>8.2460000000000004</v>
      </c>
      <c r="M1083" s="212"/>
      <c r="N1083" s="225"/>
    </row>
    <row r="1084" spans="1:14" ht="16.5" customHeight="1" x14ac:dyDescent="0.25">
      <c r="A1084" s="203">
        <v>45058</v>
      </c>
      <c r="B1084" s="128" t="s">
        <v>22</v>
      </c>
      <c r="C1084" s="157" t="str">
        <f t="shared" si="33"/>
        <v>12.05.2023_BIE1</v>
      </c>
      <c r="D1084" s="190">
        <f t="shared" si="34"/>
        <v>0</v>
      </c>
      <c r="E1084" s="204">
        <v>1.5367257333776479E-2</v>
      </c>
      <c r="F1084" s="205">
        <v>7.4550367995127596E-4</v>
      </c>
      <c r="G1084" s="204">
        <v>8.4513390512865424E-2</v>
      </c>
      <c r="H1084" s="204">
        <v>0.03</v>
      </c>
      <c r="I1084" s="209">
        <v>3.6989999999999998</v>
      </c>
      <c r="J1084" s="207">
        <v>0.9102504325993348</v>
      </c>
      <c r="K1084" s="209">
        <v>6.1</v>
      </c>
      <c r="L1084" s="209">
        <v>14.455</v>
      </c>
      <c r="M1084" s="212"/>
      <c r="N1084" s="225"/>
    </row>
    <row r="1085" spans="1:14" ht="16.5" customHeight="1" x14ac:dyDescent="0.25">
      <c r="A1085" s="203">
        <v>45058</v>
      </c>
      <c r="B1085" s="128" t="s">
        <v>25</v>
      </c>
      <c r="C1085" s="157" t="str">
        <f t="shared" si="33"/>
        <v>12.05.2023_BIE2</v>
      </c>
      <c r="D1085" s="190">
        <f t="shared" si="34"/>
        <v>0</v>
      </c>
      <c r="E1085" s="204">
        <v>3.3807966134308268E-2</v>
      </c>
      <c r="F1085" s="205">
        <v>7.9569562293263518E-4</v>
      </c>
      <c r="G1085" s="204">
        <v>5.1277787502188005E-2</v>
      </c>
      <c r="H1085" s="204">
        <v>2.3E-2</v>
      </c>
      <c r="I1085" s="209">
        <v>3.52</v>
      </c>
      <c r="J1085" s="207">
        <v>0.84188143921757397</v>
      </c>
      <c r="K1085" s="209">
        <v>6.1630000000000003</v>
      </c>
      <c r="L1085" s="209">
        <v>14.214</v>
      </c>
      <c r="M1085" s="212"/>
      <c r="N1085" s="225"/>
    </row>
    <row r="1086" spans="1:14" ht="16.5" customHeight="1" x14ac:dyDescent="0.25">
      <c r="A1086" s="203">
        <v>45058</v>
      </c>
      <c r="B1086" s="128" t="s">
        <v>14</v>
      </c>
      <c r="C1086" s="157" t="str">
        <f t="shared" si="33"/>
        <v>12.05.2023_BRA1</v>
      </c>
      <c r="D1086" s="190">
        <f t="shared" si="34"/>
        <v>0</v>
      </c>
      <c r="E1086" s="204">
        <v>5.6858852134972937E-2</v>
      </c>
      <c r="F1086" s="205">
        <v>2.4066549764325705E-3</v>
      </c>
      <c r="G1086" s="204">
        <v>0.20985909329599167</v>
      </c>
      <c r="H1086" s="204">
        <v>5.5E-2</v>
      </c>
      <c r="I1086" s="209">
        <v>5.01</v>
      </c>
      <c r="J1086" s="207">
        <v>1.3113069373534045</v>
      </c>
      <c r="K1086" s="209">
        <v>6.4009999999999998</v>
      </c>
      <c r="L1086" s="209">
        <v>8.2140000000000004</v>
      </c>
      <c r="M1086" s="212"/>
      <c r="N1086" s="225"/>
    </row>
    <row r="1087" spans="1:14" ht="16.5" customHeight="1" x14ac:dyDescent="0.25">
      <c r="A1087" s="203">
        <v>45058</v>
      </c>
      <c r="B1087" s="128" t="s">
        <v>17</v>
      </c>
      <c r="C1087" s="157" t="str">
        <f t="shared" si="33"/>
        <v>12.05.2023_BRA2</v>
      </c>
      <c r="D1087" s="190">
        <f t="shared" si="34"/>
        <v>0</v>
      </c>
      <c r="E1087" s="204">
        <v>8.1446463869015343E-2</v>
      </c>
      <c r="F1087" s="205">
        <v>2.8992905284565672E-3</v>
      </c>
      <c r="G1087" s="204">
        <v>0.10540434097671983</v>
      </c>
      <c r="H1087" s="204">
        <v>5.1568056902683485E-2</v>
      </c>
      <c r="I1087" s="209">
        <v>6.4809999999999999</v>
      </c>
      <c r="J1087" s="207">
        <v>1.561408781649035</v>
      </c>
      <c r="K1087" s="209">
        <v>8.3089999999999993</v>
      </c>
      <c r="L1087" s="209">
        <v>8.8629999999999995</v>
      </c>
      <c r="M1087" s="212"/>
      <c r="N1087" s="225"/>
    </row>
    <row r="1088" spans="1:14" ht="16.5" customHeight="1" x14ac:dyDescent="0.25">
      <c r="A1088" s="203">
        <v>45058</v>
      </c>
      <c r="B1088" s="128" t="s">
        <v>30</v>
      </c>
      <c r="C1088" s="157" t="str">
        <f t="shared" si="33"/>
        <v>12.05.2023_FAL1</v>
      </c>
      <c r="D1088" s="190">
        <f t="shared" si="34"/>
        <v>0</v>
      </c>
      <c r="E1088" s="204">
        <v>0.11986460720345656</v>
      </c>
      <c r="F1088" s="205">
        <v>4.607578710996236E-3</v>
      </c>
      <c r="G1088" s="204">
        <v>0.13199282338526172</v>
      </c>
      <c r="H1088" s="204">
        <v>0.11654380860006466</v>
      </c>
      <c r="I1088" s="209">
        <v>10.448</v>
      </c>
      <c r="J1088" s="207">
        <v>2.4978626299587119</v>
      </c>
      <c r="K1088" s="209">
        <v>26</v>
      </c>
      <c r="L1088" s="209">
        <v>24.956</v>
      </c>
      <c r="M1088" s="212"/>
      <c r="N1088" s="225"/>
    </row>
    <row r="1089" spans="1:14" ht="16.5" customHeight="1" x14ac:dyDescent="0.25">
      <c r="A1089" s="203">
        <v>45058</v>
      </c>
      <c r="B1089" s="128" t="s">
        <v>32</v>
      </c>
      <c r="C1089" s="157" t="str">
        <f t="shared" si="33"/>
        <v>12.05.2023_FAL2</v>
      </c>
      <c r="D1089" s="190">
        <f t="shared" si="34"/>
        <v>0</v>
      </c>
      <c r="E1089" s="204">
        <v>0.13523186453723307</v>
      </c>
      <c r="F1089" s="205">
        <v>4.7159151308394445E-3</v>
      </c>
      <c r="G1089" s="204">
        <v>0.11015228426395945</v>
      </c>
      <c r="H1089" s="204">
        <v>0.14129647591335276</v>
      </c>
      <c r="I1089" s="209">
        <v>10.573</v>
      </c>
      <c r="J1089" s="207">
        <v>2.5166733692999417</v>
      </c>
      <c r="K1089" s="209">
        <v>33</v>
      </c>
      <c r="L1089" s="209">
        <v>27.963000000000001</v>
      </c>
      <c r="M1089" s="212"/>
      <c r="N1089" s="225"/>
    </row>
    <row r="1090" spans="1:14" ht="16.5" customHeight="1" x14ac:dyDescent="0.25">
      <c r="A1090" s="203">
        <v>45058</v>
      </c>
      <c r="B1090" s="128" t="s">
        <v>26</v>
      </c>
      <c r="C1090" s="157" t="str">
        <f t="shared" si="33"/>
        <v>12.05.2023_GRU1</v>
      </c>
      <c r="D1090" s="190">
        <f t="shared" si="34"/>
        <v>0</v>
      </c>
      <c r="E1090" s="204">
        <v>2.6124337467420013E-2</v>
      </c>
      <c r="F1090" s="205">
        <v>1.3812124463468151E-3</v>
      </c>
      <c r="G1090" s="204">
        <v>4.6529844214948345E-2</v>
      </c>
      <c r="H1090" s="204">
        <v>5.0536695764629803E-2</v>
      </c>
      <c r="I1090" s="209">
        <v>3.4689999999999999</v>
      </c>
      <c r="J1090" s="207">
        <v>0.83505888576000664</v>
      </c>
      <c r="K1090" s="209">
        <v>5.5309999999999997</v>
      </c>
      <c r="L1090" s="209">
        <v>11.007</v>
      </c>
      <c r="M1090" s="212"/>
      <c r="N1090" s="225"/>
    </row>
    <row r="1091" spans="1:14" ht="16.5" customHeight="1" x14ac:dyDescent="0.25">
      <c r="A1091" s="203">
        <v>45058</v>
      </c>
      <c r="B1091" s="128" t="s">
        <v>28</v>
      </c>
      <c r="C1091" s="157" t="str">
        <f t="shared" si="33"/>
        <v>12.05.2023_GRU2</v>
      </c>
      <c r="D1091" s="190">
        <f t="shared" si="34"/>
        <v>0</v>
      </c>
      <c r="E1091" s="204">
        <v>3.2271240400930663E-2</v>
      </c>
      <c r="F1091" s="205">
        <v>1.1968049627423863E-3</v>
      </c>
      <c r="G1091" s="204">
        <v>6.2672851391563131E-2</v>
      </c>
      <c r="H1091" s="204">
        <v>1.4439055932751394E-2</v>
      </c>
      <c r="I1091" s="209">
        <v>3.2690000000000001</v>
      </c>
      <c r="J1091" s="207">
        <v>0.79142984295576102</v>
      </c>
      <c r="K1091" s="209">
        <v>6.0979999999999999</v>
      </c>
      <c r="L1091" s="209">
        <v>11.085000000000001</v>
      </c>
      <c r="M1091" s="212"/>
      <c r="N1091" s="225"/>
    </row>
    <row r="1092" spans="1:14" ht="16.5" customHeight="1" x14ac:dyDescent="0.25">
      <c r="A1092" s="203">
        <v>45058</v>
      </c>
      <c r="B1092" s="128" t="s">
        <v>0</v>
      </c>
      <c r="C1092" s="157" t="str">
        <f t="shared" si="33"/>
        <v>12.05.2023_KIN1</v>
      </c>
      <c r="D1092" s="190">
        <f t="shared" si="34"/>
        <v>0</v>
      </c>
      <c r="E1092" s="204">
        <v>7.9909738135637676E-2</v>
      </c>
      <c r="F1092" s="205">
        <v>1.1003349840229748E-3</v>
      </c>
      <c r="G1092" s="204">
        <v>3.9882723612812886E-2</v>
      </c>
      <c r="H1092" s="204">
        <v>0</v>
      </c>
      <c r="I1092" s="209">
        <v>3.4649999999999999</v>
      </c>
      <c r="J1092" s="207">
        <v>0.81235209446419132</v>
      </c>
      <c r="K1092" s="209">
        <v>7.5919999999999996</v>
      </c>
      <c r="L1092" s="209">
        <v>9.6449999999999996</v>
      </c>
      <c r="M1092" s="212"/>
      <c r="N1092" s="225"/>
    </row>
    <row r="1093" spans="1:14" ht="16.5" customHeight="1" x14ac:dyDescent="0.25">
      <c r="A1093" s="203">
        <v>45058</v>
      </c>
      <c r="B1093" s="128" t="s">
        <v>2</v>
      </c>
      <c r="C1093" s="157" t="str">
        <f t="shared" ref="C1093:C1156" si="35">CONCATENATE(TEXT(A1093,"TT.MM.JJJJ"),"_",B1093)</f>
        <v>12.05.2023_KIN2</v>
      </c>
      <c r="D1093" s="190">
        <f t="shared" ref="D1093:D1156" si="36">COUNTBLANK(E1093:L1093)</f>
        <v>0</v>
      </c>
      <c r="E1093" s="204">
        <v>7.9909738135637676E-2</v>
      </c>
      <c r="F1093" s="205">
        <v>8.7723535223771781E-4</v>
      </c>
      <c r="G1093" s="204">
        <v>3.3235603010677385E-2</v>
      </c>
      <c r="H1093" s="204">
        <v>2.1469516540702286E-17</v>
      </c>
      <c r="I1093" s="209">
        <v>4.92</v>
      </c>
      <c r="J1093" s="207">
        <v>1.1370875133817606</v>
      </c>
      <c r="K1093" s="209">
        <v>8.9469999999999992</v>
      </c>
      <c r="L1093" s="209">
        <v>10.605</v>
      </c>
      <c r="M1093" s="212"/>
      <c r="N1093" s="225"/>
    </row>
    <row r="1094" spans="1:14" ht="16.5" customHeight="1" x14ac:dyDescent="0.25">
      <c r="A1094" s="203">
        <v>45058</v>
      </c>
      <c r="B1094" s="128" t="s">
        <v>4</v>
      </c>
      <c r="C1094" s="157" t="str">
        <f t="shared" si="35"/>
        <v>12.05.2023_KIN3</v>
      </c>
      <c r="D1094" s="190">
        <f t="shared" si="36"/>
        <v>0</v>
      </c>
      <c r="E1094" s="204">
        <v>0.12140133293683424</v>
      </c>
      <c r="F1094" s="205">
        <v>8.9519786960497898E-4</v>
      </c>
      <c r="G1094" s="204">
        <v>4.0832312270260782E-2</v>
      </c>
      <c r="H1094" s="204">
        <v>3.6097639831878449E-2</v>
      </c>
      <c r="I1094" s="209">
        <v>4.9800000000000004</v>
      </c>
      <c r="J1094" s="207">
        <v>1.16752840860155</v>
      </c>
      <c r="K1094" s="209">
        <v>10.599</v>
      </c>
      <c r="L1094" s="209">
        <v>12.154999999999999</v>
      </c>
      <c r="M1094" s="212"/>
      <c r="N1094" s="225"/>
    </row>
    <row r="1095" spans="1:14" ht="16.5" customHeight="1" x14ac:dyDescent="0.25">
      <c r="A1095" s="203">
        <v>45058</v>
      </c>
      <c r="B1095" s="128" t="s">
        <v>6</v>
      </c>
      <c r="C1095" s="157" t="str">
        <f t="shared" si="35"/>
        <v>12.05.2023_KIN4</v>
      </c>
      <c r="D1095" s="190">
        <f t="shared" si="36"/>
        <v>0</v>
      </c>
      <c r="E1095" s="204">
        <v>8.2983189602392982E-2</v>
      </c>
      <c r="F1095" s="205">
        <v>9.8445918852650412E-4</v>
      </c>
      <c r="G1095" s="204">
        <v>5.2227376159635908E-2</v>
      </c>
      <c r="H1095" s="204">
        <v>4.6411251212415128E-2</v>
      </c>
      <c r="I1095" s="209">
        <v>5.476</v>
      </c>
      <c r="J1095" s="207">
        <v>1.2915480607458154</v>
      </c>
      <c r="K1095" s="209">
        <v>16.087</v>
      </c>
      <c r="L1095" s="209">
        <v>12.298</v>
      </c>
      <c r="M1095" s="212"/>
      <c r="N1095" s="225"/>
    </row>
    <row r="1096" spans="1:14" ht="16.5" customHeight="1" x14ac:dyDescent="0.25">
      <c r="A1096" s="203">
        <v>45058</v>
      </c>
      <c r="B1096" s="128" t="s">
        <v>34</v>
      </c>
      <c r="C1096" s="157" t="str">
        <f t="shared" si="35"/>
        <v>12.05.2023_KRE1</v>
      </c>
      <c r="D1096" s="190">
        <f t="shared" si="36"/>
        <v>0</v>
      </c>
      <c r="E1096" s="204">
        <v>4.763849773470711E-2</v>
      </c>
      <c r="F1096" s="205">
        <v>3.2645641325798544E-3</v>
      </c>
      <c r="G1096" s="204">
        <v>0.25259058288114822</v>
      </c>
      <c r="H1096" s="204">
        <v>0.12582605884254769</v>
      </c>
      <c r="I1096" s="209">
        <v>5.9630000000000001</v>
      </c>
      <c r="J1096" s="207">
        <v>1.5813046153159964</v>
      </c>
      <c r="K1096" s="209">
        <v>32</v>
      </c>
      <c r="L1096" s="209">
        <v>30.643000000000001</v>
      </c>
      <c r="M1096" s="212"/>
      <c r="N1096" s="225"/>
    </row>
    <row r="1097" spans="1:14" ht="16.5" customHeight="1" x14ac:dyDescent="0.25">
      <c r="A1097" s="203">
        <v>45058</v>
      </c>
      <c r="B1097" s="128" t="s">
        <v>37</v>
      </c>
      <c r="C1097" s="157" t="str">
        <f t="shared" si="35"/>
        <v>12.05.2023_KRE2</v>
      </c>
      <c r="D1097" s="190">
        <f t="shared" si="36"/>
        <v>0</v>
      </c>
      <c r="E1097" s="204">
        <v>8.605664106914826E-2</v>
      </c>
      <c r="F1097" s="205">
        <v>4.1430547880139928E-3</v>
      </c>
      <c r="G1097" s="204">
        <v>0.30007001575354458</v>
      </c>
      <c r="H1097" s="204">
        <v>0.14645328160362109</v>
      </c>
      <c r="I1097" s="209">
        <v>7.2969999999999997</v>
      </c>
      <c r="J1097" s="207">
        <v>1.9257624581166919</v>
      </c>
      <c r="K1097" s="209">
        <v>33</v>
      </c>
      <c r="L1097" s="209">
        <v>36.94</v>
      </c>
      <c r="M1097" s="212"/>
      <c r="N1097" s="225"/>
    </row>
    <row r="1098" spans="1:14" ht="16.5" customHeight="1" x14ac:dyDescent="0.25">
      <c r="A1098" s="203">
        <v>45058</v>
      </c>
      <c r="B1098" s="128" t="s">
        <v>18</v>
      </c>
      <c r="C1098" s="157" t="str">
        <f t="shared" si="35"/>
        <v>12.05.2023_ORB1</v>
      </c>
      <c r="D1098" s="190">
        <f t="shared" si="36"/>
        <v>0</v>
      </c>
      <c r="E1098" s="204">
        <v>5.0711949201462388E-2</v>
      </c>
      <c r="F1098" s="205">
        <v>1.0462203223531427E-3</v>
      </c>
      <c r="G1098" s="204">
        <v>3.4185191668125364E-2</v>
      </c>
      <c r="H1098" s="204">
        <v>0</v>
      </c>
      <c r="I1098" s="209">
        <v>5.8540000000000001</v>
      </c>
      <c r="J1098" s="207">
        <v>1.3475314478844607</v>
      </c>
      <c r="K1098" s="209">
        <v>9.0079999999999991</v>
      </c>
      <c r="L1098" s="209">
        <v>15.493</v>
      </c>
      <c r="M1098" s="212"/>
      <c r="N1098" s="225"/>
    </row>
    <row r="1099" spans="1:14" ht="16.5" customHeight="1" x14ac:dyDescent="0.25">
      <c r="A1099" s="203">
        <v>45058</v>
      </c>
      <c r="B1099" s="128" t="s">
        <v>21</v>
      </c>
      <c r="C1099" s="157" t="str">
        <f t="shared" si="35"/>
        <v>12.05.2023_ORB2</v>
      </c>
      <c r="D1099" s="190">
        <f t="shared" si="36"/>
        <v>0</v>
      </c>
      <c r="E1099" s="204">
        <v>8.1446463869015343E-2</v>
      </c>
      <c r="F1099" s="205">
        <v>1.0691477814066379E-3</v>
      </c>
      <c r="G1099" s="204">
        <v>4.4630666900052504E-2</v>
      </c>
      <c r="H1099" s="204">
        <v>0</v>
      </c>
      <c r="I1099" s="209">
        <v>5.0469999999999997</v>
      </c>
      <c r="J1099" s="207">
        <v>1.1730511670488195</v>
      </c>
      <c r="K1099" s="209">
        <v>9.9550000000000001</v>
      </c>
      <c r="L1099" s="209">
        <v>15.673999999999999</v>
      </c>
      <c r="M1099" s="212"/>
      <c r="N1099" s="225"/>
    </row>
    <row r="1100" spans="1:14" ht="16.5" customHeight="1" x14ac:dyDescent="0.25">
      <c r="A1100" s="203">
        <v>45058</v>
      </c>
      <c r="B1100" s="128" t="s">
        <v>10</v>
      </c>
      <c r="C1100" s="157" t="str">
        <f t="shared" si="35"/>
        <v>12.05.2023_SAL1</v>
      </c>
      <c r="D1100" s="190">
        <f t="shared" si="36"/>
        <v>0</v>
      </c>
      <c r="E1100" s="204">
        <v>0.11525443000332361</v>
      </c>
      <c r="F1100" s="205">
        <v>3.5071851718532889E-3</v>
      </c>
      <c r="G1100" s="204">
        <v>4.4630666900052504E-2</v>
      </c>
      <c r="H1100" s="204">
        <v>3.6097639831878449E-2</v>
      </c>
      <c r="I1100" s="209">
        <v>3.4249999999999998</v>
      </c>
      <c r="J1100" s="207">
        <v>0.81924994298803711</v>
      </c>
      <c r="K1100" s="209">
        <v>6.9130000000000003</v>
      </c>
      <c r="L1100" s="209">
        <v>5.8220000000000001</v>
      </c>
      <c r="M1100" s="212"/>
      <c r="N1100" s="225"/>
    </row>
    <row r="1101" spans="1:14" ht="16.5" customHeight="1" x14ac:dyDescent="0.25">
      <c r="A1101" s="203">
        <v>45058</v>
      </c>
      <c r="B1101" s="128" t="s">
        <v>12</v>
      </c>
      <c r="C1101" s="157" t="str">
        <f t="shared" si="35"/>
        <v>12.05.2023_SAL2</v>
      </c>
      <c r="D1101" s="190">
        <f t="shared" si="36"/>
        <v>0</v>
      </c>
      <c r="E1101" s="204">
        <v>0.13215841307047774</v>
      </c>
      <c r="F1101" s="205">
        <v>3.4653889997215939E-3</v>
      </c>
      <c r="G1101" s="204">
        <v>4.1781900927708726E-2</v>
      </c>
      <c r="H1101" s="204">
        <v>5.1568056902683485E-2</v>
      </c>
      <c r="I1101" s="209">
        <v>3.5339999999999998</v>
      </c>
      <c r="J1101" s="207">
        <v>0.84636770317537857</v>
      </c>
      <c r="K1101" s="209">
        <v>7.1639999999999997</v>
      </c>
      <c r="L1101" s="209">
        <v>6.0949999999999998</v>
      </c>
      <c r="M1101" s="212"/>
      <c r="N1101" s="225"/>
    </row>
    <row r="1102" spans="1:14" ht="16.5" customHeight="1" x14ac:dyDescent="0.25">
      <c r="A1102" s="203">
        <v>45058</v>
      </c>
      <c r="B1102" s="128" t="s">
        <v>7</v>
      </c>
      <c r="C1102" s="157" t="str">
        <f t="shared" si="35"/>
        <v>12.05.2023_STE1</v>
      </c>
      <c r="D1102" s="190">
        <f t="shared" si="36"/>
        <v>0</v>
      </c>
      <c r="E1102" s="204">
        <v>8.4519915335770621E-2</v>
      </c>
      <c r="F1102" s="205">
        <v>2.6067264218692498E-3</v>
      </c>
      <c r="G1102" s="204">
        <v>7.2168737966042368E-2</v>
      </c>
      <c r="H1102" s="204">
        <v>4.6411251212415128E-2</v>
      </c>
      <c r="I1102" s="209">
        <v>4.9290000000000003</v>
      </c>
      <c r="J1102" s="207">
        <v>1.183481438774872</v>
      </c>
      <c r="K1102" s="209">
        <v>8.5139999999999993</v>
      </c>
      <c r="L1102" s="209">
        <v>8.2230000000000008</v>
      </c>
      <c r="M1102" s="212"/>
      <c r="N1102" s="225"/>
    </row>
    <row r="1103" spans="1:14" ht="16.5" customHeight="1" x14ac:dyDescent="0.25">
      <c r="A1103" s="203">
        <v>45058</v>
      </c>
      <c r="B1103" s="128" t="s">
        <v>9</v>
      </c>
      <c r="C1103" s="157" t="str">
        <f t="shared" si="35"/>
        <v>12.05.2023_STE2</v>
      </c>
      <c r="D1103" s="190">
        <f t="shared" si="36"/>
        <v>0</v>
      </c>
      <c r="E1103" s="204">
        <v>0.12908496160372246</v>
      </c>
      <c r="F1103" s="205">
        <v>2.4306762367705369E-3</v>
      </c>
      <c r="G1103" s="204">
        <v>7.3118326623490312E-2</v>
      </c>
      <c r="H1103" s="204">
        <v>4.5379890074361467E-2</v>
      </c>
      <c r="I1103" s="209">
        <v>5.2960000000000003</v>
      </c>
      <c r="J1103" s="207">
        <v>1.2667990769730133</v>
      </c>
      <c r="K1103" s="209">
        <v>9.9459999999999997</v>
      </c>
      <c r="L1103" s="209">
        <v>7.9770000000000003</v>
      </c>
      <c r="M1103" s="212"/>
      <c r="N1103" s="225"/>
    </row>
    <row r="1104" spans="1:14" ht="16.5" customHeight="1" x14ac:dyDescent="0.25">
      <c r="A1104" s="203">
        <v>45069</v>
      </c>
      <c r="B1104" s="128" t="s">
        <v>22</v>
      </c>
      <c r="C1104" s="157" t="str">
        <f t="shared" si="35"/>
        <v>23.05.2023_BIE1</v>
      </c>
      <c r="D1104" s="190">
        <f t="shared" si="36"/>
        <v>0</v>
      </c>
      <c r="E1104" s="204">
        <v>0.13558575734466358</v>
      </c>
      <c r="F1104" s="205">
        <v>6.1970195269098693E-4</v>
      </c>
      <c r="G1104" s="204">
        <v>7.1532372263620941E-2</v>
      </c>
      <c r="H1104" s="204">
        <v>0.03</v>
      </c>
      <c r="I1104" s="209">
        <v>3.843</v>
      </c>
      <c r="J1104" s="207">
        <v>0.932696081738979</v>
      </c>
      <c r="K1104" s="209">
        <v>6.157</v>
      </c>
      <c r="L1104" s="209">
        <v>14.72</v>
      </c>
      <c r="M1104" s="212"/>
      <c r="N1104" s="225"/>
    </row>
    <row r="1105" spans="1:14" ht="16.5" customHeight="1" x14ac:dyDescent="0.25">
      <c r="A1105" s="203">
        <v>45069</v>
      </c>
      <c r="B1105" s="128" t="s">
        <v>25</v>
      </c>
      <c r="C1105" s="157" t="str">
        <f t="shared" si="35"/>
        <v>23.05.2023_BIE2</v>
      </c>
      <c r="D1105" s="190">
        <f t="shared" si="36"/>
        <v>8</v>
      </c>
      <c r="E1105" s="204"/>
      <c r="F1105" s="205"/>
      <c r="G1105" s="204"/>
      <c r="H1105" s="204"/>
      <c r="I1105" s="209"/>
      <c r="J1105" s="207"/>
      <c r="K1105" s="209"/>
      <c r="L1105" s="209"/>
      <c r="M1105" s="212"/>
      <c r="N1105" s="225"/>
    </row>
    <row r="1106" spans="1:14" ht="16.5" customHeight="1" x14ac:dyDescent="0.25">
      <c r="A1106" s="203">
        <v>45069</v>
      </c>
      <c r="B1106" s="128" t="s">
        <v>14</v>
      </c>
      <c r="C1106" s="157" t="str">
        <f t="shared" si="35"/>
        <v>23.05.2023_BRA1</v>
      </c>
      <c r="D1106" s="190">
        <f t="shared" si="36"/>
        <v>0</v>
      </c>
      <c r="E1106" s="204">
        <v>7.8161201292806057E-2</v>
      </c>
      <c r="F1106" s="205">
        <v>2.2476400960899125E-3</v>
      </c>
      <c r="G1106" s="204">
        <v>4.5337419040323165E-2</v>
      </c>
      <c r="H1106" s="204">
        <v>5.5E-2</v>
      </c>
      <c r="I1106" s="209">
        <v>6.2619999999999996</v>
      </c>
      <c r="J1106" s="207">
        <v>1.4663467425106202</v>
      </c>
      <c r="K1106" s="209">
        <v>6.1580000000000004</v>
      </c>
      <c r="L1106" s="209">
        <v>4.8159999999999998</v>
      </c>
      <c r="M1106" s="212"/>
      <c r="N1106" s="225"/>
    </row>
    <row r="1107" spans="1:14" ht="16.5" customHeight="1" x14ac:dyDescent="0.25">
      <c r="A1107" s="203">
        <v>45069</v>
      </c>
      <c r="B1107" s="128" t="s">
        <v>17</v>
      </c>
      <c r="C1107" s="157" t="str">
        <f t="shared" si="35"/>
        <v>23.05.2023_BRA2</v>
      </c>
      <c r="D1107" s="190">
        <f t="shared" si="36"/>
        <v>0</v>
      </c>
      <c r="E1107" s="204">
        <v>0.10846860587573083</v>
      </c>
      <c r="F1107" s="205">
        <v>3.6137185196802595E-3</v>
      </c>
      <c r="G1107" s="204">
        <v>4.3322422638531033E-2</v>
      </c>
      <c r="H1107" s="204">
        <v>3.9587301587301588E-2</v>
      </c>
      <c r="I1107" s="209">
        <v>10.347</v>
      </c>
      <c r="J1107" s="207">
        <v>2.3827686719228467</v>
      </c>
      <c r="K1107" s="209">
        <v>10.493</v>
      </c>
      <c r="L1107" s="209">
        <v>6.2119999999999997</v>
      </c>
      <c r="M1107" s="212"/>
      <c r="N1107" s="225"/>
    </row>
    <row r="1108" spans="1:14" ht="16.5" customHeight="1" x14ac:dyDescent="0.25">
      <c r="A1108" s="203">
        <v>45069</v>
      </c>
      <c r="B1108" s="128" t="s">
        <v>30</v>
      </c>
      <c r="C1108" s="157" t="str">
        <f t="shared" si="35"/>
        <v>23.05.2023_FAL1</v>
      </c>
      <c r="D1108" s="190">
        <f t="shared" si="36"/>
        <v>0</v>
      </c>
      <c r="E1108" s="204">
        <v>0.19460543995351706</v>
      </c>
      <c r="F1108" s="205">
        <v>8.1494475926423837E-3</v>
      </c>
      <c r="G1108" s="204">
        <v>0.12996726791559307</v>
      </c>
      <c r="H1108" s="204">
        <v>0.12244444444444449</v>
      </c>
      <c r="I1108" s="209">
        <v>13.327</v>
      </c>
      <c r="J1108" s="207">
        <v>3.1483659849748897</v>
      </c>
      <c r="K1108" s="209">
        <v>37</v>
      </c>
      <c r="L1108" s="209">
        <v>32.951999999999998</v>
      </c>
      <c r="M1108" s="212"/>
      <c r="N1108" s="225"/>
    </row>
    <row r="1109" spans="1:14" ht="16.5" customHeight="1" x14ac:dyDescent="0.25">
      <c r="A1109" s="203">
        <v>45069</v>
      </c>
      <c r="B1109" s="128" t="s">
        <v>32</v>
      </c>
      <c r="C1109" s="157" t="str">
        <f t="shared" si="35"/>
        <v>23.05.2023_FAL2</v>
      </c>
      <c r="D1109" s="190">
        <f t="shared" si="36"/>
        <v>0</v>
      </c>
      <c r="E1109" s="204">
        <v>0.1850346806115408</v>
      </c>
      <c r="F1109" s="205">
        <v>5.4069945163933561E-3</v>
      </c>
      <c r="G1109" s="204">
        <v>7.3547368665413074E-2</v>
      </c>
      <c r="H1109" s="204">
        <v>0.10495238095238101</v>
      </c>
      <c r="I1109" s="209">
        <v>15.111000000000001</v>
      </c>
      <c r="J1109" s="207">
        <v>3.5021831186759589</v>
      </c>
      <c r="K1109" s="209">
        <v>42</v>
      </c>
      <c r="L1109" s="209">
        <v>35.521000000000001</v>
      </c>
      <c r="M1109" s="212"/>
      <c r="N1109" s="225"/>
    </row>
    <row r="1110" spans="1:14" ht="16.5" customHeight="1" x14ac:dyDescent="0.25">
      <c r="A1110" s="203">
        <v>45069</v>
      </c>
      <c r="B1110" s="128" t="s">
        <v>26</v>
      </c>
      <c r="C1110" s="157" t="str">
        <f t="shared" si="35"/>
        <v>23.05.2023_GRU1</v>
      </c>
      <c r="D1110" s="190">
        <f t="shared" si="36"/>
        <v>0</v>
      </c>
      <c r="E1110" s="204">
        <v>3.3497657696916906E-2</v>
      </c>
      <c r="F1110" s="205">
        <v>1.2706502221773563E-3</v>
      </c>
      <c r="G1110" s="204">
        <v>3.929242983494674E-2</v>
      </c>
      <c r="H1110" s="204">
        <v>3.9587301587301588E-2</v>
      </c>
      <c r="I1110" s="209">
        <v>3.7970000000000002</v>
      </c>
      <c r="J1110" s="207">
        <v>0.90019092281079183</v>
      </c>
      <c r="K1110" s="209">
        <v>6.1340000000000003</v>
      </c>
      <c r="L1110" s="209">
        <v>13.374000000000001</v>
      </c>
      <c r="M1110" s="212"/>
      <c r="N1110" s="225"/>
    </row>
    <row r="1111" spans="1:14" ht="16.5" customHeight="1" x14ac:dyDescent="0.25">
      <c r="A1111" s="203">
        <v>45069</v>
      </c>
      <c r="B1111" s="128" t="s">
        <v>28</v>
      </c>
      <c r="C1111" s="157" t="str">
        <f t="shared" si="35"/>
        <v>23.05.2023_GRU2</v>
      </c>
      <c r="D1111" s="190">
        <f t="shared" si="36"/>
        <v>0</v>
      </c>
      <c r="E1111" s="204">
        <v>2.0736645240948547E-2</v>
      </c>
      <c r="F1111" s="205">
        <v>9.6270807666049279E-4</v>
      </c>
      <c r="G1111" s="204">
        <v>6.9517375861828823E-2</v>
      </c>
      <c r="H1111" s="204">
        <v>1.3809523809523844E-2</v>
      </c>
      <c r="I1111" s="209">
        <v>3.464</v>
      </c>
      <c r="J1111" s="207">
        <v>0.84059753670676107</v>
      </c>
      <c r="K1111" s="209">
        <v>7.2720000000000002</v>
      </c>
      <c r="L1111" s="209">
        <v>12.105</v>
      </c>
      <c r="M1111" s="212"/>
      <c r="N1111" s="225"/>
    </row>
    <row r="1112" spans="1:14" ht="16.5" customHeight="1" x14ac:dyDescent="0.25">
      <c r="A1112" s="203">
        <v>45069</v>
      </c>
      <c r="B1112" s="128" t="s">
        <v>0</v>
      </c>
      <c r="C1112" s="157" t="str">
        <f t="shared" si="35"/>
        <v>23.05.2023_KIN1</v>
      </c>
      <c r="D1112" s="190">
        <f t="shared" si="36"/>
        <v>0</v>
      </c>
      <c r="E1112" s="204">
        <v>5.7424556051857478E-2</v>
      </c>
      <c r="F1112" s="205">
        <v>1.1702391399024009E-3</v>
      </c>
      <c r="G1112" s="204">
        <v>3.4254938830466396E-2</v>
      </c>
      <c r="H1112" s="204">
        <v>1.9164564115553303E-17</v>
      </c>
      <c r="I1112" s="209">
        <v>4.3739999999999997</v>
      </c>
      <c r="J1112" s="207">
        <v>1.0145539974524687</v>
      </c>
      <c r="K1112" s="209">
        <v>7.4169999999999998</v>
      </c>
      <c r="L1112" s="209">
        <v>10.988</v>
      </c>
      <c r="M1112" s="212"/>
      <c r="N1112" s="225"/>
    </row>
    <row r="1113" spans="1:14" ht="16.5" customHeight="1" x14ac:dyDescent="0.25">
      <c r="A1113" s="203">
        <v>45069</v>
      </c>
      <c r="B1113" s="128" t="s">
        <v>2</v>
      </c>
      <c r="C1113" s="157" t="str">
        <f t="shared" si="35"/>
        <v>23.05.2023_KIN2</v>
      </c>
      <c r="D1113" s="190">
        <f t="shared" si="36"/>
        <v>0</v>
      </c>
      <c r="E1113" s="204">
        <v>6.6995315393833743E-2</v>
      </c>
      <c r="F1113" s="205">
        <v>8.9101530279464081E-4</v>
      </c>
      <c r="G1113" s="204">
        <v>3.929242983494674E-2</v>
      </c>
      <c r="H1113" s="204">
        <v>1.8412698412698498E-3</v>
      </c>
      <c r="I1113" s="209">
        <v>6.085</v>
      </c>
      <c r="J1113" s="207">
        <v>1.4054897034457123</v>
      </c>
      <c r="K1113" s="209">
        <v>9.4350000000000005</v>
      </c>
      <c r="L1113" s="209">
        <v>12.11</v>
      </c>
      <c r="M1113" s="212"/>
      <c r="N1113" s="225"/>
    </row>
    <row r="1114" spans="1:14" ht="16.5" customHeight="1" x14ac:dyDescent="0.25">
      <c r="A1114" s="203">
        <v>45069</v>
      </c>
      <c r="B1114" s="128" t="s">
        <v>4</v>
      </c>
      <c r="C1114" s="157" t="str">
        <f t="shared" si="35"/>
        <v>23.05.2023_KIN3</v>
      </c>
      <c r="D1114" s="190">
        <f t="shared" si="36"/>
        <v>0</v>
      </c>
      <c r="E1114" s="204">
        <v>7.8161201292806057E-2</v>
      </c>
      <c r="F1114" s="205">
        <v>8.5981495126836852E-4</v>
      </c>
      <c r="G1114" s="204">
        <v>3.3247440629570316E-2</v>
      </c>
      <c r="H1114" s="204">
        <v>2.4857142857142866E-2</v>
      </c>
      <c r="I1114" s="209">
        <v>6.2750000000000004</v>
      </c>
      <c r="J1114" s="207">
        <v>1.4507183123173122</v>
      </c>
      <c r="K1114" s="209">
        <v>11.558</v>
      </c>
      <c r="L1114" s="209">
        <v>13.503</v>
      </c>
      <c r="M1114" s="212"/>
      <c r="N1114" s="225"/>
    </row>
    <row r="1115" spans="1:14" ht="16.5" customHeight="1" x14ac:dyDescent="0.25">
      <c r="A1115" s="203">
        <v>45069</v>
      </c>
      <c r="B1115" s="128" t="s">
        <v>6</v>
      </c>
      <c r="C1115" s="157" t="str">
        <f t="shared" si="35"/>
        <v>23.05.2023_KIN4</v>
      </c>
      <c r="D1115" s="190">
        <f t="shared" si="36"/>
        <v>0</v>
      </c>
      <c r="E1115" s="204">
        <v>0.10846860587573083</v>
      </c>
      <c r="F1115" s="205">
        <v>1.101114817411741E-3</v>
      </c>
      <c r="G1115" s="204">
        <v>5.0374910044803503E-2</v>
      </c>
      <c r="H1115" s="204">
        <v>3.4984126984127013E-2</v>
      </c>
      <c r="I1115" s="209">
        <v>6.9470000000000001</v>
      </c>
      <c r="J1115" s="207">
        <v>1.6188854213610069</v>
      </c>
      <c r="K1115" s="209">
        <v>18.524999999999999</v>
      </c>
      <c r="L1115" s="209">
        <v>14.074999999999999</v>
      </c>
      <c r="M1115" s="212"/>
      <c r="N1115" s="225"/>
    </row>
    <row r="1116" spans="1:14" ht="16.5" customHeight="1" x14ac:dyDescent="0.25">
      <c r="A1116" s="203">
        <v>45069</v>
      </c>
      <c r="B1116" s="128" t="s">
        <v>34</v>
      </c>
      <c r="C1116" s="157" t="str">
        <f t="shared" si="35"/>
        <v>23.05.2023_KRE1</v>
      </c>
      <c r="D1116" s="190">
        <f t="shared" si="36"/>
        <v>0</v>
      </c>
      <c r="E1116" s="204">
        <v>4.785379670988129E-2</v>
      </c>
      <c r="F1116" s="205">
        <v>2.8251002163108235E-3</v>
      </c>
      <c r="G1116" s="204">
        <v>0.19041715996935721</v>
      </c>
      <c r="H1116" s="204">
        <v>0.11139682539682542</v>
      </c>
      <c r="I1116" s="209">
        <v>6.2530000000000001</v>
      </c>
      <c r="J1116" s="207">
        <v>1.5941368940366696</v>
      </c>
      <c r="K1116" s="209">
        <v>52</v>
      </c>
      <c r="L1116" s="209">
        <v>35</v>
      </c>
      <c r="M1116" s="212"/>
      <c r="N1116" s="225"/>
    </row>
    <row r="1117" spans="1:14" ht="16.5" customHeight="1" x14ac:dyDescent="0.25">
      <c r="A1117" s="203">
        <v>45069</v>
      </c>
      <c r="B1117" s="128" t="s">
        <v>37</v>
      </c>
      <c r="C1117" s="157" t="str">
        <f t="shared" si="35"/>
        <v>23.05.2023_KRE2</v>
      </c>
      <c r="D1117" s="190">
        <f t="shared" si="36"/>
        <v>0</v>
      </c>
      <c r="E1117" s="204">
        <v>8.7731960634782252E-2</v>
      </c>
      <c r="F1117" s="205">
        <v>4.1671827930882923E-3</v>
      </c>
      <c r="G1117" s="204">
        <v>0.22668709520161576</v>
      </c>
      <c r="H1117" s="204">
        <v>0.11323809523809529</v>
      </c>
      <c r="I1117" s="209">
        <v>9.0359999999999996</v>
      </c>
      <c r="J1117" s="207">
        <v>2.2514569206483404</v>
      </c>
      <c r="K1117" s="209">
        <v>53</v>
      </c>
      <c r="L1117" s="209">
        <v>42</v>
      </c>
      <c r="M1117" s="212"/>
      <c r="N1117" s="225"/>
    </row>
    <row r="1118" spans="1:14" ht="16.5" customHeight="1" x14ac:dyDescent="0.25">
      <c r="A1118" s="203">
        <v>45069</v>
      </c>
      <c r="B1118" s="128" t="s">
        <v>18</v>
      </c>
      <c r="C1118" s="157" t="str">
        <f t="shared" si="35"/>
        <v>23.05.2023_ORB1</v>
      </c>
      <c r="D1118" s="190">
        <f t="shared" si="36"/>
        <v>0</v>
      </c>
      <c r="E1118" s="204">
        <v>4.1473290481897095E-2</v>
      </c>
      <c r="F1118" s="205">
        <v>6.1686205741149811E-4</v>
      </c>
      <c r="G1118" s="204">
        <v>3.3247440629570316E-2</v>
      </c>
      <c r="H1118" s="204">
        <v>4.142857142857144E-2</v>
      </c>
      <c r="I1118" s="209">
        <v>5.149</v>
      </c>
      <c r="J1118" s="207">
        <v>1.2014338637458835</v>
      </c>
      <c r="K1118" s="209">
        <v>7.0830000000000002</v>
      </c>
      <c r="L1118" s="209">
        <v>14.837999999999999</v>
      </c>
      <c r="M1118" s="212"/>
      <c r="N1118" s="225"/>
    </row>
    <row r="1119" spans="1:14" ht="16.5" customHeight="1" x14ac:dyDescent="0.25">
      <c r="A1119" s="203">
        <v>45069</v>
      </c>
      <c r="B1119" s="128" t="s">
        <v>21</v>
      </c>
      <c r="C1119" s="157" t="str">
        <f t="shared" si="35"/>
        <v>23.05.2023_ORB2</v>
      </c>
      <c r="D1119" s="190">
        <f t="shared" si="36"/>
        <v>0</v>
      </c>
      <c r="E1119" s="204">
        <v>4.944892326687729E-2</v>
      </c>
      <c r="F1119" s="205">
        <v>9.0996227537742079E-4</v>
      </c>
      <c r="G1119" s="204">
        <v>4.6344917241219245E-2</v>
      </c>
      <c r="H1119" s="204">
        <v>0</v>
      </c>
      <c r="I1119" s="209">
        <v>5.6390000000000002</v>
      </c>
      <c r="J1119" s="207">
        <v>1.3082658582806979</v>
      </c>
      <c r="K1119" s="209">
        <v>10.76</v>
      </c>
      <c r="L1119" s="209">
        <v>16.021999999999998</v>
      </c>
      <c r="M1119" s="212"/>
      <c r="N1119" s="225"/>
    </row>
    <row r="1120" spans="1:14" ht="16.5" customHeight="1" x14ac:dyDescent="0.25">
      <c r="A1120" s="203">
        <v>45069</v>
      </c>
      <c r="B1120" s="128" t="s">
        <v>10</v>
      </c>
      <c r="C1120" s="157" t="str">
        <f t="shared" si="35"/>
        <v>23.05.2023_SAL1</v>
      </c>
      <c r="D1120" s="190">
        <f t="shared" si="36"/>
        <v>0</v>
      </c>
      <c r="E1120" s="204">
        <v>0.1116588589897229</v>
      </c>
      <c r="F1120" s="205">
        <v>3.9066133387391389E-3</v>
      </c>
      <c r="G1120" s="204">
        <v>4.1307426236738866E-2</v>
      </c>
      <c r="H1120" s="204">
        <v>1.3809523809523844E-2</v>
      </c>
      <c r="I1120" s="209">
        <v>6.4569999999999999</v>
      </c>
      <c r="J1120" s="207">
        <v>1.4947217029223749</v>
      </c>
      <c r="K1120" s="209">
        <v>7.9320000000000004</v>
      </c>
      <c r="L1120" s="209">
        <v>5.93</v>
      </c>
      <c r="M1120" s="212"/>
      <c r="N1120" s="225"/>
    </row>
    <row r="1121" spans="1:14" ht="16.5" customHeight="1" x14ac:dyDescent="0.25">
      <c r="A1121" s="203">
        <v>45069</v>
      </c>
      <c r="B1121" s="128" t="s">
        <v>12</v>
      </c>
      <c r="C1121" s="157" t="str">
        <f t="shared" si="35"/>
        <v>23.05.2023_SAL2</v>
      </c>
      <c r="D1121" s="190">
        <f t="shared" si="36"/>
        <v>0</v>
      </c>
      <c r="E1121" s="204">
        <v>0.15313214947161996</v>
      </c>
      <c r="F1121" s="205">
        <v>3.4237194309222861E-3</v>
      </c>
      <c r="G1121" s="204">
        <v>4.6344917241219245E-2</v>
      </c>
      <c r="H1121" s="204">
        <v>3.0380952380952397E-2</v>
      </c>
      <c r="I1121" s="209">
        <v>6.3319999999999999</v>
      </c>
      <c r="J1121" s="207">
        <v>1.4754446857410151</v>
      </c>
      <c r="K1121" s="209">
        <v>8.7070000000000007</v>
      </c>
      <c r="L1121" s="209">
        <v>6.71</v>
      </c>
      <c r="M1121" s="212"/>
      <c r="N1121" s="225"/>
    </row>
    <row r="1122" spans="1:14" ht="16.5" customHeight="1" x14ac:dyDescent="0.25">
      <c r="A1122" s="203">
        <v>45069</v>
      </c>
      <c r="B1122" s="128" t="s">
        <v>7</v>
      </c>
      <c r="C1122" s="157" t="str">
        <f t="shared" si="35"/>
        <v>23.05.2023_STE1</v>
      </c>
      <c r="D1122" s="190">
        <f t="shared" si="36"/>
        <v>0</v>
      </c>
      <c r="E1122" s="204">
        <v>0.10208809964774664</v>
      </c>
      <c r="F1122" s="205">
        <v>2.3088049578026998E-3</v>
      </c>
      <c r="G1122" s="204">
        <v>4.8359913643011378E-2</v>
      </c>
      <c r="H1122" s="204">
        <v>6.4444444444444653E-3</v>
      </c>
      <c r="I1122" s="209">
        <v>6.5679999999999996</v>
      </c>
      <c r="J1122" s="207">
        <v>1.523027160455773</v>
      </c>
      <c r="K1122" s="209">
        <v>9.2919999999999998</v>
      </c>
      <c r="L1122" s="209">
        <v>9.048</v>
      </c>
      <c r="M1122" s="212"/>
      <c r="N1122" s="225"/>
    </row>
    <row r="1123" spans="1:14" ht="16.5" customHeight="1" x14ac:dyDescent="0.25">
      <c r="A1123" s="203">
        <v>45069</v>
      </c>
      <c r="B1123" s="128" t="s">
        <v>9</v>
      </c>
      <c r="C1123" s="157" t="str">
        <f t="shared" si="35"/>
        <v>23.05.2023_STE2</v>
      </c>
      <c r="D1123" s="190">
        <f t="shared" si="36"/>
        <v>0</v>
      </c>
      <c r="E1123" s="204">
        <v>0.114849112103715</v>
      </c>
      <c r="F1123" s="205">
        <v>2.3170661682898721E-3</v>
      </c>
      <c r="G1123" s="204">
        <v>5.3397404647491716E-2</v>
      </c>
      <c r="H1123" s="204">
        <v>1.104761904761908E-2</v>
      </c>
      <c r="I1123" s="209">
        <v>6.9109999999999996</v>
      </c>
      <c r="J1123" s="207">
        <v>1.6058135683537782</v>
      </c>
      <c r="K1123" s="209">
        <v>10.929</v>
      </c>
      <c r="L1123" s="209">
        <v>9.1739999999999995</v>
      </c>
      <c r="M1123" s="212"/>
      <c r="N1123" s="225"/>
    </row>
    <row r="1124" spans="1:14" ht="16.5" customHeight="1" x14ac:dyDescent="0.25">
      <c r="A1124" s="203">
        <v>45086</v>
      </c>
      <c r="B1124" s="128" t="s">
        <v>22</v>
      </c>
      <c r="C1124" s="157" t="str">
        <f t="shared" si="35"/>
        <v>09.06.2023_BIE1</v>
      </c>
      <c r="D1124" s="190">
        <f t="shared" si="36"/>
        <v>0</v>
      </c>
      <c r="E1124" s="204">
        <v>3.1159137265113046E-2</v>
      </c>
      <c r="F1124" s="205">
        <v>1.4344813437901527E-2</v>
      </c>
      <c r="G1124" s="204">
        <v>7.6013661441457256E-2</v>
      </c>
      <c r="H1124" s="204">
        <v>1.7381201624159379E-2</v>
      </c>
      <c r="I1124" s="209">
        <v>3.6349999999999998</v>
      </c>
      <c r="J1124" s="207">
        <v>0.8853530048071524</v>
      </c>
      <c r="K1124" s="209">
        <v>5.9379999999999997</v>
      </c>
      <c r="L1124" s="209">
        <v>15.698</v>
      </c>
      <c r="M1124" s="212"/>
      <c r="N1124" s="225"/>
    </row>
    <row r="1125" spans="1:14" ht="16.5" customHeight="1" x14ac:dyDescent="0.25">
      <c r="A1125" s="203">
        <v>45086</v>
      </c>
      <c r="B1125" s="128" t="s">
        <v>25</v>
      </c>
      <c r="C1125" s="157" t="str">
        <f t="shared" si="35"/>
        <v>09.06.2023_BIE2</v>
      </c>
      <c r="D1125" s="190">
        <f t="shared" si="36"/>
        <v>0</v>
      </c>
      <c r="E1125" s="204">
        <v>1.8695482359067872E-2</v>
      </c>
      <c r="F1125" s="205">
        <v>1.7783329179276695E-2</v>
      </c>
      <c r="G1125" s="204">
        <v>4.1807513792801461E-2</v>
      </c>
      <c r="H1125" s="204">
        <v>5.046155310239833E-3</v>
      </c>
      <c r="I1125" s="209">
        <v>3.988</v>
      </c>
      <c r="J1125" s="207">
        <v>0.93476897836917494</v>
      </c>
      <c r="K1125" s="209">
        <v>6.2770000000000001</v>
      </c>
      <c r="L1125" s="209">
        <v>15.68</v>
      </c>
      <c r="M1125" s="212"/>
      <c r="N1125" s="225"/>
    </row>
    <row r="1126" spans="1:14" ht="16.5" customHeight="1" x14ac:dyDescent="0.25">
      <c r="A1126" s="203">
        <v>45086</v>
      </c>
      <c r="B1126" s="128" t="s">
        <v>14</v>
      </c>
      <c r="C1126" s="157" t="str">
        <f t="shared" si="35"/>
        <v>09.06.2023_BRA1</v>
      </c>
      <c r="D1126" s="190">
        <f t="shared" si="36"/>
        <v>0</v>
      </c>
      <c r="E1126" s="204">
        <v>5.141257648743653E-2</v>
      </c>
      <c r="F1126" s="205">
        <v>4.1246403770524132E-2</v>
      </c>
      <c r="G1126" s="204">
        <v>5.8910587617129355E-2</v>
      </c>
      <c r="H1126" s="204">
        <v>2.5791460474559057E-2</v>
      </c>
      <c r="I1126" s="209">
        <v>6.3150000000000004</v>
      </c>
      <c r="J1126" s="207">
        <v>1.4799647423203042</v>
      </c>
      <c r="K1126" s="209">
        <v>5.9320000000000004</v>
      </c>
      <c r="L1126" s="209">
        <v>4.1539999999999999</v>
      </c>
      <c r="M1126" s="212"/>
      <c r="N1126" s="225"/>
    </row>
    <row r="1127" spans="1:14" ht="16.5" customHeight="1" x14ac:dyDescent="0.25">
      <c r="A1127" s="203">
        <v>45086</v>
      </c>
      <c r="B1127" s="128" t="s">
        <v>17</v>
      </c>
      <c r="C1127" s="157" t="str">
        <f t="shared" si="35"/>
        <v>09.06.2023_BRA2</v>
      </c>
      <c r="D1127" s="190">
        <f t="shared" si="36"/>
        <v>0</v>
      </c>
      <c r="E1127" s="204">
        <v>7.010805884650434E-2</v>
      </c>
      <c r="F1127" s="205">
        <v>6.092753070485038E-2</v>
      </c>
      <c r="G1127" s="204">
        <v>4.2757684560819693E-2</v>
      </c>
      <c r="H1127" s="204">
        <v>2.18666730110392E-2</v>
      </c>
      <c r="I1127" s="209">
        <v>10.039999999999999</v>
      </c>
      <c r="J1127" s="207">
        <v>2.3075930230828412</v>
      </c>
      <c r="K1127" s="209">
        <v>10.218</v>
      </c>
      <c r="L1127" s="209">
        <v>5.5540000000000003</v>
      </c>
      <c r="M1127" s="212"/>
      <c r="N1127" s="225"/>
    </row>
    <row r="1128" spans="1:14" ht="16.5" customHeight="1" x14ac:dyDescent="0.25">
      <c r="A1128" s="203">
        <v>45086</v>
      </c>
      <c r="B1128" s="128" t="s">
        <v>30</v>
      </c>
      <c r="C1128" s="157" t="str">
        <f t="shared" si="35"/>
        <v>09.06.2023_FAL1</v>
      </c>
      <c r="D1128" s="190">
        <f t="shared" si="36"/>
        <v>0</v>
      </c>
      <c r="E1128" s="204">
        <v>0.18851278045393388</v>
      </c>
      <c r="F1128" s="205">
        <v>0.14137637775948414</v>
      </c>
      <c r="G1128" s="204">
        <v>0.10736929678605839</v>
      </c>
      <c r="H1128" s="204">
        <v>8.6906008120796865E-2</v>
      </c>
      <c r="I1128" s="209">
        <v>14.007</v>
      </c>
      <c r="J1128" s="207">
        <v>3.2735908094337827</v>
      </c>
      <c r="K1128" s="209">
        <v>43</v>
      </c>
      <c r="L1128" s="209">
        <v>35.956000000000003</v>
      </c>
      <c r="M1128" s="212"/>
      <c r="N1128" s="225"/>
    </row>
    <row r="1129" spans="1:14" ht="16.5" customHeight="1" x14ac:dyDescent="0.25">
      <c r="A1129" s="203">
        <v>45086</v>
      </c>
      <c r="B1129" s="128" t="s">
        <v>32</v>
      </c>
      <c r="C1129" s="157" t="str">
        <f t="shared" si="35"/>
        <v>09.06.2023_FAL2</v>
      </c>
      <c r="D1129" s="190">
        <f t="shared" si="36"/>
        <v>0</v>
      </c>
      <c r="E1129" s="204">
        <v>0.19630256477021218</v>
      </c>
      <c r="F1129" s="205">
        <v>0.11747238017512703</v>
      </c>
      <c r="G1129" s="204">
        <v>5.8910587617129355E-2</v>
      </c>
      <c r="H1129" s="204">
        <v>4.3733346022078429E-2</v>
      </c>
      <c r="I1129" s="209">
        <v>13.930999999999999</v>
      </c>
      <c r="J1129" s="207">
        <v>3.2056530693752463</v>
      </c>
      <c r="K1129" s="209">
        <v>48</v>
      </c>
      <c r="L1129" s="209">
        <v>39.414000000000001</v>
      </c>
      <c r="M1129" s="212"/>
      <c r="N1129" s="225"/>
    </row>
    <row r="1130" spans="1:14" ht="16.5" customHeight="1" x14ac:dyDescent="0.25">
      <c r="A1130" s="203">
        <v>45086</v>
      </c>
      <c r="B1130" s="128" t="s">
        <v>26</v>
      </c>
      <c r="C1130" s="157" t="str">
        <f t="shared" si="35"/>
        <v>09.06.2023_GRU1</v>
      </c>
      <c r="D1130" s="190">
        <f t="shared" si="36"/>
        <v>0</v>
      </c>
      <c r="E1130" s="204">
        <v>6.2318274530226347E-3</v>
      </c>
      <c r="F1130" s="205">
        <v>2.5389425275301872E-2</v>
      </c>
      <c r="G1130" s="204">
        <v>3.5156318416673979E-2</v>
      </c>
      <c r="H1130" s="204">
        <v>0</v>
      </c>
      <c r="I1130" s="209">
        <v>4.0010000000000003</v>
      </c>
      <c r="J1130" s="207">
        <v>0.93049229902596231</v>
      </c>
      <c r="K1130" s="209">
        <v>6.593</v>
      </c>
      <c r="L1130" s="209">
        <v>13.807</v>
      </c>
      <c r="M1130" s="212"/>
      <c r="N1130" s="225"/>
    </row>
    <row r="1131" spans="1:14" ht="16.5" customHeight="1" x14ac:dyDescent="0.25">
      <c r="A1131" s="203">
        <v>45086</v>
      </c>
      <c r="B1131" s="128" t="s">
        <v>28</v>
      </c>
      <c r="C1131" s="157" t="str">
        <f t="shared" si="35"/>
        <v>09.06.2023_GRU2</v>
      </c>
      <c r="D1131" s="190">
        <f t="shared" si="36"/>
        <v>0</v>
      </c>
      <c r="E1131" s="204">
        <v>1.0905698042789595E-2</v>
      </c>
      <c r="F1131" s="205">
        <v>2.1019677516306175E-2</v>
      </c>
      <c r="G1131" s="204">
        <v>7.981434451353013E-2</v>
      </c>
      <c r="H1131" s="204">
        <v>7.2888910036797497E-3</v>
      </c>
      <c r="I1131" s="209">
        <v>3.3319999999999999</v>
      </c>
      <c r="J1131" s="207">
        <v>0.81679298323738114</v>
      </c>
      <c r="K1131" s="209">
        <v>8.0380000000000003</v>
      </c>
      <c r="L1131" s="209">
        <v>11.583</v>
      </c>
      <c r="M1131" s="212"/>
      <c r="N1131" s="225"/>
    </row>
    <row r="1132" spans="1:14" ht="16.5" customHeight="1" x14ac:dyDescent="0.25">
      <c r="A1132" s="203">
        <v>45086</v>
      </c>
      <c r="B1132" s="128" t="s">
        <v>0</v>
      </c>
      <c r="C1132" s="157" t="str">
        <f t="shared" si="35"/>
        <v>09.06.2023_KIN1</v>
      </c>
      <c r="D1132" s="190">
        <f t="shared" si="36"/>
        <v>0</v>
      </c>
      <c r="E1132" s="204">
        <v>2.9601180401857403E-2</v>
      </c>
      <c r="F1132" s="205">
        <v>1.8759619120565757E-2</v>
      </c>
      <c r="G1132" s="204">
        <v>2.9455293808564719E-2</v>
      </c>
      <c r="H1132" s="204">
        <v>5.046155310239833E-3</v>
      </c>
      <c r="I1132" s="209">
        <v>4.4580000000000002</v>
      </c>
      <c r="J1132" s="207">
        <v>1.0313365030736148</v>
      </c>
      <c r="K1132" s="209">
        <v>7.4359999999999999</v>
      </c>
      <c r="L1132" s="209">
        <v>11.475</v>
      </c>
      <c r="M1132" s="212"/>
      <c r="N1132" s="225"/>
    </row>
    <row r="1133" spans="1:14" ht="16.5" customHeight="1" x14ac:dyDescent="0.25">
      <c r="A1133" s="203">
        <v>45086</v>
      </c>
      <c r="B1133" s="128" t="s">
        <v>2</v>
      </c>
      <c r="C1133" s="157" t="str">
        <f t="shared" si="35"/>
        <v>09.06.2023_KIN2</v>
      </c>
      <c r="D1133" s="190">
        <f t="shared" si="36"/>
        <v>0</v>
      </c>
      <c r="E1133" s="204">
        <v>4.5180749034413929E-2</v>
      </c>
      <c r="F1133" s="205">
        <v>1.4689326140011484E-2</v>
      </c>
      <c r="G1133" s="204">
        <v>7.31631491374026E-2</v>
      </c>
      <c r="H1133" s="204">
        <v>1.4577782007359475E-2</v>
      </c>
      <c r="I1133" s="209">
        <v>6.4889999999999999</v>
      </c>
      <c r="J1133" s="207">
        <v>1.5269190894058422</v>
      </c>
      <c r="K1133" s="209">
        <v>10.173999999999999</v>
      </c>
      <c r="L1133" s="209">
        <v>12.847</v>
      </c>
      <c r="M1133" s="212"/>
      <c r="N1133" s="225"/>
    </row>
    <row r="1134" spans="1:14" ht="16.5" customHeight="1" x14ac:dyDescent="0.25">
      <c r="A1134" s="203">
        <v>45086</v>
      </c>
      <c r="B1134" s="128" t="s">
        <v>4</v>
      </c>
      <c r="C1134" s="157" t="str">
        <f t="shared" si="35"/>
        <v>09.06.2023_KIN3</v>
      </c>
      <c r="D1134" s="190">
        <f t="shared" si="36"/>
        <v>0</v>
      </c>
      <c r="E1134" s="204">
        <v>4.2064835307902608E-2</v>
      </c>
      <c r="F1134" s="205">
        <v>1.4212003304478738E-2</v>
      </c>
      <c r="G1134" s="204">
        <v>3.610648918469217E-2</v>
      </c>
      <c r="H1134" s="204">
        <v>2.2427356934399179E-2</v>
      </c>
      <c r="I1134" s="209">
        <v>6.75</v>
      </c>
      <c r="J1134" s="207">
        <v>1.5594868366056995</v>
      </c>
      <c r="K1134" s="209">
        <v>12.364000000000001</v>
      </c>
      <c r="L1134" s="209">
        <v>14.401</v>
      </c>
      <c r="M1134" s="212"/>
      <c r="N1134" s="225"/>
    </row>
    <row r="1135" spans="1:14" ht="16.5" customHeight="1" x14ac:dyDescent="0.25">
      <c r="A1135" s="203">
        <v>45086</v>
      </c>
      <c r="B1135" s="128" t="s">
        <v>6</v>
      </c>
      <c r="C1135" s="157" t="str">
        <f t="shared" si="35"/>
        <v>09.06.2023_KIN4</v>
      </c>
      <c r="D1135" s="190">
        <f t="shared" si="36"/>
        <v>0</v>
      </c>
      <c r="E1135" s="204">
        <v>5.7644403940459166E-2</v>
      </c>
      <c r="F1135" s="205">
        <v>1.8377475339416055E-2</v>
      </c>
      <c r="G1135" s="204">
        <v>5.2259392241001831E-2</v>
      </c>
      <c r="H1135" s="204">
        <v>4.3733346022078429E-2</v>
      </c>
      <c r="I1135" s="209">
        <v>6.9</v>
      </c>
      <c r="J1135" s="207">
        <v>1.6123965126776372</v>
      </c>
      <c r="K1135" s="209">
        <v>21.800999999999998</v>
      </c>
      <c r="L1135" s="209">
        <v>14.747</v>
      </c>
      <c r="M1135" s="212"/>
      <c r="N1135" s="225"/>
    </row>
    <row r="1136" spans="1:14" ht="16.5" customHeight="1" x14ac:dyDescent="0.25">
      <c r="A1136" s="203">
        <v>45086</v>
      </c>
      <c r="B1136" s="128" t="s">
        <v>34</v>
      </c>
      <c r="C1136" s="157" t="str">
        <f t="shared" si="35"/>
        <v>09.06.2023_KRE1</v>
      </c>
      <c r="D1136" s="190">
        <f t="shared" si="36"/>
        <v>0</v>
      </c>
      <c r="E1136" s="204">
        <v>5.2970533350692205E-2</v>
      </c>
      <c r="F1136" s="205">
        <v>5.9885104687038657E-2</v>
      </c>
      <c r="G1136" s="204">
        <v>0.14442595673876879</v>
      </c>
      <c r="H1136" s="204">
        <v>5.2704288795838071E-2</v>
      </c>
      <c r="I1136" s="209">
        <v>6.3330000000000002</v>
      </c>
      <c r="J1136" s="207">
        <v>1.5586258418719794</v>
      </c>
      <c r="K1136" s="209">
        <v>64</v>
      </c>
      <c r="L1136" s="209">
        <v>37</v>
      </c>
      <c r="M1136" s="212"/>
      <c r="N1136" s="225"/>
    </row>
    <row r="1137" spans="1:14" ht="16.5" customHeight="1" x14ac:dyDescent="0.25">
      <c r="A1137" s="203">
        <v>45086</v>
      </c>
      <c r="B1137" s="128" t="s">
        <v>37</v>
      </c>
      <c r="C1137" s="157" t="str">
        <f t="shared" si="35"/>
        <v>09.06.2023_KRE2</v>
      </c>
      <c r="D1137" s="190">
        <f t="shared" si="36"/>
        <v>0</v>
      </c>
      <c r="E1137" s="204">
        <v>8.7245584342316496E-2</v>
      </c>
      <c r="F1137" s="205">
        <v>7.9825584514610456E-2</v>
      </c>
      <c r="G1137" s="204">
        <v>0.25084508275680889</v>
      </c>
      <c r="H1137" s="204">
        <v>6.2235915492957747E-2</v>
      </c>
      <c r="I1137" s="209">
        <v>9.1110000000000007</v>
      </c>
      <c r="J1137" s="207">
        <v>2.2716279927816654</v>
      </c>
      <c r="K1137" s="209">
        <v>61</v>
      </c>
      <c r="L1137" s="209">
        <v>43</v>
      </c>
      <c r="M1137" s="212"/>
      <c r="N1137" s="225"/>
    </row>
    <row r="1138" spans="1:14" ht="16.5" customHeight="1" x14ac:dyDescent="0.25">
      <c r="A1138" s="203">
        <v>45086</v>
      </c>
      <c r="B1138" s="128" t="s">
        <v>18</v>
      </c>
      <c r="C1138" s="157" t="str">
        <f t="shared" si="35"/>
        <v>09.06.2023_ORB1</v>
      </c>
      <c r="D1138" s="190">
        <f t="shared" si="36"/>
        <v>0</v>
      </c>
      <c r="E1138" s="204">
        <v>6.6992145119993018E-2</v>
      </c>
      <c r="F1138" s="205">
        <v>1.9688402117694129E-2</v>
      </c>
      <c r="G1138" s="204">
        <v>3.7056659952710437E-2</v>
      </c>
      <c r="H1138" s="204">
        <v>0</v>
      </c>
      <c r="I1138" s="209">
        <v>5.2889999999999997</v>
      </c>
      <c r="J1138" s="207">
        <v>1.2225470547843451</v>
      </c>
      <c r="K1138" s="209">
        <v>6.8010000000000002</v>
      </c>
      <c r="L1138" s="209">
        <v>14.492000000000001</v>
      </c>
      <c r="M1138" s="212"/>
      <c r="N1138" s="225"/>
    </row>
    <row r="1139" spans="1:14" ht="16.5" customHeight="1" x14ac:dyDescent="0.25">
      <c r="A1139" s="203">
        <v>45086</v>
      </c>
      <c r="B1139" s="128" t="s">
        <v>21</v>
      </c>
      <c r="C1139" s="157" t="str">
        <f t="shared" si="35"/>
        <v>09.06.2023_ORB2</v>
      </c>
      <c r="D1139" s="190">
        <f t="shared" si="36"/>
        <v>0</v>
      </c>
      <c r="E1139" s="204">
        <v>5.6086447077203491E-2</v>
      </c>
      <c r="F1139" s="205">
        <v>1.9801544204645555E-2</v>
      </c>
      <c r="G1139" s="204">
        <v>4.2757684560819693E-2</v>
      </c>
      <c r="H1139" s="204">
        <v>2.8034196167999047E-3</v>
      </c>
      <c r="I1139" s="209">
        <v>5.4409999999999998</v>
      </c>
      <c r="J1139" s="207">
        <v>1.2630130855869655</v>
      </c>
      <c r="K1139" s="209">
        <v>11.429</v>
      </c>
      <c r="L1139" s="209">
        <v>16.007999999999999</v>
      </c>
      <c r="M1139" s="212"/>
      <c r="N1139" s="225"/>
    </row>
    <row r="1140" spans="1:14" ht="16.5" customHeight="1" x14ac:dyDescent="0.25">
      <c r="A1140" s="203">
        <v>45086</v>
      </c>
      <c r="B1140" s="128" t="s">
        <v>10</v>
      </c>
      <c r="C1140" s="157" t="str">
        <f t="shared" si="35"/>
        <v>09.06.2023_SAL1</v>
      </c>
      <c r="D1140" s="190">
        <f t="shared" si="36"/>
        <v>0</v>
      </c>
      <c r="E1140" s="204">
        <v>0.14333203141951995</v>
      </c>
      <c r="F1140" s="205">
        <v>8.8679912729964686E-2</v>
      </c>
      <c r="G1140" s="204">
        <v>3.9907172256765044E-2</v>
      </c>
      <c r="H1140" s="204">
        <v>1.5699149854079438E-2</v>
      </c>
      <c r="I1140" s="209">
        <v>7.5330000000000004</v>
      </c>
      <c r="J1140" s="207">
        <v>1.73724583635873</v>
      </c>
      <c r="K1140" s="209">
        <v>8.3829999999999991</v>
      </c>
      <c r="L1140" s="209">
        <v>6.0119999999999996</v>
      </c>
      <c r="M1140" s="212"/>
      <c r="N1140" s="225"/>
    </row>
    <row r="1141" spans="1:14" ht="16.5" customHeight="1" x14ac:dyDescent="0.25">
      <c r="A1141" s="203">
        <v>45086</v>
      </c>
      <c r="B1141" s="128" t="s">
        <v>12</v>
      </c>
      <c r="C1141" s="157" t="str">
        <f t="shared" si="35"/>
        <v>09.06.2023_SAL2</v>
      </c>
      <c r="D1141" s="190">
        <f t="shared" si="36"/>
        <v>0</v>
      </c>
      <c r="E1141" s="204">
        <v>0.17137525495812173</v>
      </c>
      <c r="F1141" s="205">
        <v>7.6257873330398129E-2</v>
      </c>
      <c r="G1141" s="204">
        <v>4.7508538400910759E-2</v>
      </c>
      <c r="H1141" s="204">
        <v>2.2988040857759167E-2</v>
      </c>
      <c r="I1141" s="209">
        <v>7.0339999999999998</v>
      </c>
      <c r="J1141" s="207">
        <v>1.6326581940220679</v>
      </c>
      <c r="K1141" s="209">
        <v>8.9309999999999992</v>
      </c>
      <c r="L1141" s="209">
        <v>6.8339999999999996</v>
      </c>
      <c r="M1141" s="212"/>
      <c r="N1141" s="225"/>
    </row>
    <row r="1142" spans="1:14" ht="16.5" customHeight="1" x14ac:dyDescent="0.25">
      <c r="A1142" s="203">
        <v>45086</v>
      </c>
      <c r="B1142" s="128" t="s">
        <v>7</v>
      </c>
      <c r="C1142" s="157" t="str">
        <f t="shared" si="35"/>
        <v>09.06.2023_STE1</v>
      </c>
      <c r="D1142" s="190">
        <f t="shared" si="36"/>
        <v>0</v>
      </c>
      <c r="E1142" s="204">
        <v>5.9202360803714771E-2</v>
      </c>
      <c r="F1142" s="205">
        <v>5.4201950092816042E-3</v>
      </c>
      <c r="G1142" s="204">
        <v>5.130922147298364E-2</v>
      </c>
      <c r="H1142" s="204">
        <v>5.046155310239833E-3</v>
      </c>
      <c r="I1142" s="209">
        <v>8.093</v>
      </c>
      <c r="J1142" s="207">
        <v>1.8693433093657594</v>
      </c>
      <c r="K1142" s="209">
        <v>10.39</v>
      </c>
      <c r="L1142" s="209">
        <v>9.8520000000000003</v>
      </c>
      <c r="M1142" s="212"/>
      <c r="N1142" s="225"/>
    </row>
    <row r="1143" spans="1:14" ht="16.5" customHeight="1" x14ac:dyDescent="0.25">
      <c r="A1143" s="203">
        <v>45086</v>
      </c>
      <c r="B1143" s="128" t="s">
        <v>9</v>
      </c>
      <c r="C1143" s="157" t="str">
        <f t="shared" si="35"/>
        <v>09.06.2023_STE2</v>
      </c>
      <c r="D1143" s="190">
        <f t="shared" si="36"/>
        <v>0</v>
      </c>
      <c r="E1143" s="204">
        <v>0.11373085101766266</v>
      </c>
      <c r="F1143" s="205">
        <v>3.5960778153170392E-2</v>
      </c>
      <c r="G1143" s="204">
        <v>6.0810929153165778E-2</v>
      </c>
      <c r="H1143" s="204">
        <v>1.4577782007359475E-2</v>
      </c>
      <c r="I1143" s="209">
        <v>7.9269999999999996</v>
      </c>
      <c r="J1143" s="207">
        <v>1.8421287741102821</v>
      </c>
      <c r="K1143" s="209">
        <v>12.141</v>
      </c>
      <c r="L1143" s="209">
        <v>9.6940000000000008</v>
      </c>
      <c r="M1143" s="212"/>
      <c r="N1143" s="225"/>
    </row>
    <row r="1144" spans="1:14" ht="16.5" customHeight="1" x14ac:dyDescent="0.25">
      <c r="A1144" s="203">
        <v>45100</v>
      </c>
      <c r="B1144" s="128" t="s">
        <v>22</v>
      </c>
      <c r="C1144" s="157" t="str">
        <f t="shared" si="35"/>
        <v>23.06.2023_BIE1</v>
      </c>
      <c r="D1144" s="190">
        <f t="shared" si="36"/>
        <v>0</v>
      </c>
      <c r="E1144" s="204">
        <v>3.8618779672938301E-2</v>
      </c>
      <c r="F1144" s="205">
        <v>1.4239704661264787E-2</v>
      </c>
      <c r="G1144" s="204">
        <v>6.8837291271974285E-2</v>
      </c>
      <c r="H1144" s="204">
        <v>4.1694977686477314E-2</v>
      </c>
      <c r="I1144" s="209">
        <v>3.097</v>
      </c>
      <c r="J1144" s="207">
        <v>0.76566489425642326</v>
      </c>
      <c r="K1144" s="209">
        <v>6.0759999999999996</v>
      </c>
      <c r="L1144" s="209">
        <v>14.954000000000001</v>
      </c>
      <c r="M1144" s="212"/>
      <c r="N1144" s="225"/>
    </row>
    <row r="1145" spans="1:14" ht="16.5" customHeight="1" x14ac:dyDescent="0.25">
      <c r="A1145" s="203">
        <v>45100</v>
      </c>
      <c r="B1145" s="128" t="s">
        <v>25</v>
      </c>
      <c r="C1145" s="157" t="str">
        <f t="shared" si="35"/>
        <v>23.06.2023_BIE2</v>
      </c>
      <c r="D1145" s="190">
        <f t="shared" si="36"/>
        <v>0</v>
      </c>
      <c r="E1145" s="204">
        <v>4.1708282046773341E-2</v>
      </c>
      <c r="F1145" s="205">
        <v>1.7976251238566946E-2</v>
      </c>
      <c r="G1145" s="204">
        <v>4.3023307044983916E-2</v>
      </c>
      <c r="H1145" s="204">
        <v>1.5942197350711933E-2</v>
      </c>
      <c r="I1145" s="209">
        <v>3.202</v>
      </c>
      <c r="J1145" s="207">
        <v>0.76149650967078364</v>
      </c>
      <c r="K1145" s="209">
        <v>6.0860000000000003</v>
      </c>
      <c r="L1145" s="209">
        <v>14.65</v>
      </c>
      <c r="M1145" s="212"/>
      <c r="N1145" s="225"/>
    </row>
    <row r="1146" spans="1:14" ht="16.5" customHeight="1" x14ac:dyDescent="0.25">
      <c r="A1146" s="203">
        <v>45100</v>
      </c>
      <c r="B1146" s="128" t="s">
        <v>14</v>
      </c>
      <c r="C1146" s="157" t="str">
        <f t="shared" si="35"/>
        <v>23.06.2023_BRA1</v>
      </c>
      <c r="D1146" s="190">
        <f t="shared" si="36"/>
        <v>0</v>
      </c>
      <c r="E1146" s="204">
        <v>5.4066291542113613E-2</v>
      </c>
      <c r="F1146" s="205">
        <v>3.5055311864742603E-2</v>
      </c>
      <c r="G1146" s="204">
        <v>6.3100850332643094E-2</v>
      </c>
      <c r="H1146" s="204">
        <v>9.6879506977403163E-2</v>
      </c>
      <c r="I1146" s="209">
        <v>4.5510000000000002</v>
      </c>
      <c r="J1146" s="207">
        <v>1.1064265151740644</v>
      </c>
      <c r="K1146" s="209">
        <v>5.3819999999999997</v>
      </c>
      <c r="L1146" s="209">
        <v>3.8370000000000002</v>
      </c>
      <c r="M1146" s="212"/>
      <c r="N1146" s="225"/>
    </row>
    <row r="1147" spans="1:14" ht="16.5" customHeight="1" x14ac:dyDescent="0.25">
      <c r="A1147" s="203">
        <v>45100</v>
      </c>
      <c r="B1147" s="128" t="s">
        <v>17</v>
      </c>
      <c r="C1147" s="157" t="str">
        <f t="shared" si="35"/>
        <v>23.06.2023_BRA2</v>
      </c>
      <c r="D1147" s="190">
        <f t="shared" si="36"/>
        <v>0</v>
      </c>
      <c r="E1147" s="204">
        <v>9.5774573588886927E-2</v>
      </c>
      <c r="F1147" s="205">
        <v>5.4442132035917107E-2</v>
      </c>
      <c r="G1147" s="204">
        <v>3.4418645635987122E-2</v>
      </c>
      <c r="H1147" s="204">
        <v>3.6789686193950552E-2</v>
      </c>
      <c r="I1147" s="209">
        <v>9.8330000000000002</v>
      </c>
      <c r="J1147" s="207">
        <v>2.2589060641116356</v>
      </c>
      <c r="K1147" s="209">
        <v>9.6920000000000002</v>
      </c>
      <c r="L1147" s="209">
        <v>5.4039999999999999</v>
      </c>
      <c r="M1147" s="212"/>
      <c r="N1147" s="225"/>
    </row>
    <row r="1148" spans="1:14" ht="16.5" customHeight="1" x14ac:dyDescent="0.25">
      <c r="A1148" s="203">
        <v>45100</v>
      </c>
      <c r="B1148" s="128" t="s">
        <v>30</v>
      </c>
      <c r="C1148" s="157" t="str">
        <f t="shared" si="35"/>
        <v>23.06.2023_FAL1</v>
      </c>
      <c r="D1148" s="190">
        <f t="shared" si="36"/>
        <v>0</v>
      </c>
      <c r="E1148" s="204">
        <v>0.33984526112185681</v>
      </c>
      <c r="F1148" s="205">
        <v>0.23447634221759764</v>
      </c>
      <c r="G1148" s="204">
        <v>8.0310173150636641E-2</v>
      </c>
      <c r="H1148" s="204">
        <v>0.18762739958914784</v>
      </c>
      <c r="I1148" s="209">
        <v>13.757</v>
      </c>
      <c r="J1148" s="207">
        <v>3.2267767981546536</v>
      </c>
      <c r="K1148" s="209">
        <v>50</v>
      </c>
      <c r="L1148" s="209">
        <v>35.33</v>
      </c>
      <c r="M1148" s="212"/>
      <c r="N1148" s="225"/>
    </row>
    <row r="1149" spans="1:14" ht="16.5" customHeight="1" x14ac:dyDescent="0.25">
      <c r="A1149" s="203">
        <v>45100</v>
      </c>
      <c r="B1149" s="128" t="s">
        <v>32</v>
      </c>
      <c r="C1149" s="157" t="str">
        <f t="shared" si="35"/>
        <v>23.06.2023_FAL2</v>
      </c>
      <c r="D1149" s="190">
        <f t="shared" si="36"/>
        <v>0</v>
      </c>
      <c r="E1149" s="204">
        <v>0.27959996483207311</v>
      </c>
      <c r="F1149" s="205">
        <v>0.15856706113553817</v>
      </c>
      <c r="G1149" s="204">
        <v>8.0310173150636641E-2</v>
      </c>
      <c r="H1149" s="204">
        <v>0.11772699582064175</v>
      </c>
      <c r="I1149" s="209">
        <v>12.868</v>
      </c>
      <c r="J1149" s="207">
        <v>3.0046971902273323</v>
      </c>
      <c r="K1149" s="209">
        <v>53</v>
      </c>
      <c r="L1149" s="209">
        <v>36</v>
      </c>
      <c r="M1149" s="212"/>
      <c r="N1149" s="225"/>
    </row>
    <row r="1150" spans="1:14" ht="16.5" customHeight="1" x14ac:dyDescent="0.25">
      <c r="A1150" s="203">
        <v>45100</v>
      </c>
      <c r="B1150" s="128" t="s">
        <v>26</v>
      </c>
      <c r="C1150" s="157" t="str">
        <f t="shared" si="35"/>
        <v>23.06.2023_GRU1</v>
      </c>
      <c r="D1150" s="190">
        <f t="shared" si="36"/>
        <v>0</v>
      </c>
      <c r="E1150" s="204">
        <v>9.2685071215052265E-3</v>
      </c>
      <c r="F1150" s="205">
        <v>2.1169163987980182E-2</v>
      </c>
      <c r="G1150" s="204">
        <v>2.5813984226990373E-2</v>
      </c>
      <c r="H1150" s="204">
        <v>0</v>
      </c>
      <c r="I1150" s="209">
        <v>3.2719999999999998</v>
      </c>
      <c r="J1150" s="207">
        <v>0.7579708786162408</v>
      </c>
      <c r="K1150" s="209">
        <v>7.0860000000000003</v>
      </c>
      <c r="L1150" s="209">
        <v>13.334</v>
      </c>
      <c r="M1150" s="212"/>
      <c r="N1150" s="225"/>
    </row>
    <row r="1151" spans="1:14" ht="16.5" customHeight="1" x14ac:dyDescent="0.25">
      <c r="A1151" s="203">
        <v>45100</v>
      </c>
      <c r="B1151" s="128" t="s">
        <v>28</v>
      </c>
      <c r="C1151" s="157" t="str">
        <f t="shared" si="35"/>
        <v>23.06.2023_GRU2</v>
      </c>
      <c r="D1151" s="190">
        <f t="shared" si="36"/>
        <v>0</v>
      </c>
      <c r="E1151" s="204">
        <v>1.3902760682257823E-2</v>
      </c>
      <c r="F1151" s="205">
        <v>1.9173598274423474E-2</v>
      </c>
      <c r="G1151" s="204">
        <v>8.6046614089967832E-2</v>
      </c>
      <c r="H1151" s="204">
        <v>1.9621165970106994E-2</v>
      </c>
      <c r="I1151" s="209">
        <v>2.569</v>
      </c>
      <c r="J1151" s="207">
        <v>0.65304802935431816</v>
      </c>
      <c r="K1151" s="209">
        <v>7.7160000000000002</v>
      </c>
      <c r="L1151" s="209">
        <v>10.284000000000001</v>
      </c>
      <c r="M1151" s="212"/>
      <c r="N1151" s="225"/>
    </row>
    <row r="1152" spans="1:14" ht="16.5" customHeight="1" x14ac:dyDescent="0.25">
      <c r="A1152" s="203">
        <v>45100</v>
      </c>
      <c r="B1152" s="128" t="s">
        <v>0</v>
      </c>
      <c r="C1152" s="157" t="str">
        <f t="shared" si="35"/>
        <v>23.06.2023_KIN1</v>
      </c>
      <c r="D1152" s="190">
        <f t="shared" si="36"/>
        <v>0</v>
      </c>
      <c r="E1152" s="204">
        <v>5.0976789168278538E-2</v>
      </c>
      <c r="F1152" s="205">
        <v>2.7642228953908433E-2</v>
      </c>
      <c r="G1152" s="204">
        <v>5.4496188923646299E-2</v>
      </c>
      <c r="H1152" s="204">
        <v>1.5942197350711933E-2</v>
      </c>
      <c r="I1152" s="209">
        <v>3.3559999999999999</v>
      </c>
      <c r="J1152" s="207">
        <v>0.80518906772074628</v>
      </c>
      <c r="K1152" s="209">
        <v>8.1549999999999994</v>
      </c>
      <c r="L1152" s="209">
        <v>11.256</v>
      </c>
      <c r="M1152" s="212"/>
      <c r="N1152" s="225"/>
    </row>
    <row r="1153" spans="1:14" ht="16.5" customHeight="1" x14ac:dyDescent="0.25">
      <c r="A1153" s="203">
        <v>45100</v>
      </c>
      <c r="B1153" s="128" t="s">
        <v>2</v>
      </c>
      <c r="C1153" s="157" t="str">
        <f t="shared" si="35"/>
        <v>23.06.2023_KIN2</v>
      </c>
      <c r="D1153" s="190">
        <f t="shared" si="36"/>
        <v>0</v>
      </c>
      <c r="E1153" s="204">
        <v>5.0976789168278538E-2</v>
      </c>
      <c r="F1153" s="205">
        <v>1.7686031875930423E-2</v>
      </c>
      <c r="G1153" s="204">
        <v>6.5969070802308696E-2</v>
      </c>
      <c r="H1153" s="204">
        <v>3.4337040447687199E-2</v>
      </c>
      <c r="I1153" s="209">
        <v>5.8559999999999999</v>
      </c>
      <c r="J1153" s="207">
        <v>1.3843729557515829</v>
      </c>
      <c r="K1153" s="209">
        <v>10.898</v>
      </c>
      <c r="L1153" s="209">
        <v>13.375</v>
      </c>
      <c r="M1153" s="212"/>
      <c r="N1153" s="225"/>
    </row>
    <row r="1154" spans="1:14" ht="16.5" customHeight="1" x14ac:dyDescent="0.25">
      <c r="A1154" s="203">
        <v>45100</v>
      </c>
      <c r="B1154" s="128" t="s">
        <v>4</v>
      </c>
      <c r="C1154" s="157" t="str">
        <f t="shared" si="35"/>
        <v>23.06.2023_KIN3</v>
      </c>
      <c r="D1154" s="190">
        <f t="shared" si="36"/>
        <v>0</v>
      </c>
      <c r="E1154" s="204">
        <v>6.6424301037453823E-2</v>
      </c>
      <c r="F1154" s="205">
        <v>2.4054722647931976E-2</v>
      </c>
      <c r="G1154" s="204">
        <v>6.5969070802308696E-2</v>
      </c>
      <c r="H1154" s="204">
        <v>7.235304951476941E-2</v>
      </c>
      <c r="I1154" s="209">
        <v>5.67</v>
      </c>
      <c r="J1154" s="207">
        <v>1.3539351097120562</v>
      </c>
      <c r="K1154" s="209">
        <v>13.106</v>
      </c>
      <c r="L1154" s="209">
        <v>14.193</v>
      </c>
      <c r="M1154" s="212"/>
      <c r="N1154" s="225"/>
    </row>
    <row r="1155" spans="1:14" ht="16.5" customHeight="1" x14ac:dyDescent="0.25">
      <c r="A1155" s="203">
        <v>45100</v>
      </c>
      <c r="B1155" s="128" t="s">
        <v>6</v>
      </c>
      <c r="C1155" s="157" t="str">
        <f t="shared" si="35"/>
        <v>23.06.2023_KIN4</v>
      </c>
      <c r="D1155" s="190">
        <f t="shared" si="36"/>
        <v>0</v>
      </c>
      <c r="E1155" s="204">
        <v>0.10349832952347462</v>
      </c>
      <c r="F1155" s="205">
        <v>3.4985926118024577E-2</v>
      </c>
      <c r="G1155" s="204">
        <v>9.1783055029299024E-2</v>
      </c>
      <c r="H1155" s="204">
        <v>0.11036905858185164</v>
      </c>
      <c r="I1155" s="209">
        <v>5.6260000000000003</v>
      </c>
      <c r="J1155" s="207">
        <v>1.3756151042849454</v>
      </c>
      <c r="K1155" s="209">
        <v>23.945</v>
      </c>
      <c r="L1155" s="209">
        <v>14.504</v>
      </c>
      <c r="M1155" s="212"/>
      <c r="N1155" s="225"/>
    </row>
    <row r="1156" spans="1:14" ht="16.5" customHeight="1" x14ac:dyDescent="0.25">
      <c r="A1156" s="203">
        <v>45100</v>
      </c>
      <c r="B1156" s="128" t="s">
        <v>34</v>
      </c>
      <c r="C1156" s="157" t="str">
        <f t="shared" si="35"/>
        <v>23.06.2023_KRE1</v>
      </c>
      <c r="D1156" s="190">
        <f t="shared" si="36"/>
        <v>0</v>
      </c>
      <c r="E1156" s="204">
        <v>0.12203534376648502</v>
      </c>
      <c r="F1156" s="205">
        <v>9.872026074475436E-2</v>
      </c>
      <c r="G1156" s="204">
        <v>0.19217077146759484</v>
      </c>
      <c r="H1156" s="204">
        <v>0.15942197350711904</v>
      </c>
      <c r="I1156" s="209">
        <v>3.327</v>
      </c>
      <c r="J1156" s="207">
        <v>0.94922419217111509</v>
      </c>
      <c r="K1156" s="209">
        <v>77</v>
      </c>
      <c r="L1156" s="209">
        <v>37</v>
      </c>
      <c r="M1156" s="212"/>
      <c r="N1156" s="225"/>
    </row>
    <row r="1157" spans="1:14" ht="16.5" customHeight="1" x14ac:dyDescent="0.25">
      <c r="A1157" s="203">
        <v>45100</v>
      </c>
      <c r="B1157" s="128" t="s">
        <v>37</v>
      </c>
      <c r="C1157" s="157" t="str">
        <f t="shared" ref="C1157:C1220" si="37">CONCATENATE(TEXT(A1157,"TT.MM.JJJJ"),"_",B1157)</f>
        <v>23.06.2023_KRE2</v>
      </c>
      <c r="D1157" s="190">
        <f t="shared" ref="D1157:D1220" si="38">COUNTBLANK(E1157:L1157)</f>
        <v>0</v>
      </c>
      <c r="E1157" s="204">
        <v>0.12049059257956747</v>
      </c>
      <c r="F1157" s="205">
        <v>9.9409659857535679E-2</v>
      </c>
      <c r="G1157" s="204">
        <v>0.2437987399215755</v>
      </c>
      <c r="H1157" s="204">
        <v>0.27960161507402415</v>
      </c>
      <c r="I1157" s="209">
        <v>7.4859999999999998</v>
      </c>
      <c r="J1157" s="207">
        <v>1.9652948152709906</v>
      </c>
      <c r="K1157" s="209">
        <v>72</v>
      </c>
      <c r="L1157" s="209">
        <v>46</v>
      </c>
      <c r="M1157" s="212"/>
      <c r="N1157" s="225"/>
    </row>
    <row r="1158" spans="1:14" ht="16.5" customHeight="1" x14ac:dyDescent="0.25">
      <c r="A1158" s="203">
        <v>45100</v>
      </c>
      <c r="B1158" s="128" t="s">
        <v>18</v>
      </c>
      <c r="C1158" s="157" t="str">
        <f t="shared" si="37"/>
        <v>23.06.2023_ORB1</v>
      </c>
      <c r="D1158" s="190">
        <f t="shared" si="38"/>
        <v>0</v>
      </c>
      <c r="E1158" s="204">
        <v>5.0976789168278538E-2</v>
      </c>
      <c r="F1158" s="205">
        <v>2.3991457365589785E-2</v>
      </c>
      <c r="G1158" s="204">
        <v>6.5969070802308696E-2</v>
      </c>
      <c r="H1158" s="204">
        <v>6.1316143656584381E-3</v>
      </c>
      <c r="I1158" s="209">
        <v>4.9749999999999996</v>
      </c>
      <c r="J1158" s="207">
        <v>1.1767943437809094</v>
      </c>
      <c r="K1158" s="209">
        <v>7.4560000000000004</v>
      </c>
      <c r="L1158" s="209">
        <v>13.531000000000001</v>
      </c>
      <c r="M1158" s="212"/>
      <c r="N1158" s="225"/>
    </row>
    <row r="1159" spans="1:14" ht="16.5" customHeight="1" x14ac:dyDescent="0.25">
      <c r="A1159" s="203">
        <v>45100</v>
      </c>
      <c r="B1159" s="128" t="s">
        <v>21</v>
      </c>
      <c r="C1159" s="157" t="str">
        <f t="shared" si="37"/>
        <v>23.06.2023_ORB2</v>
      </c>
      <c r="D1159" s="190">
        <f t="shared" si="38"/>
        <v>0</v>
      </c>
      <c r="E1159" s="204">
        <v>6.6424301037453823E-2</v>
      </c>
      <c r="F1159" s="205">
        <v>2.08455499136476E-2</v>
      </c>
      <c r="G1159" s="204">
        <v>3.1550425166321526E-2</v>
      </c>
      <c r="H1159" s="204">
        <v>2.8205426082028761E-2</v>
      </c>
      <c r="I1159" s="209">
        <v>5.67</v>
      </c>
      <c r="J1159" s="207">
        <v>1.3137686316080706</v>
      </c>
      <c r="K1159" s="209">
        <v>15.340999999999999</v>
      </c>
      <c r="L1159" s="209">
        <v>16.05</v>
      </c>
      <c r="M1159" s="212"/>
      <c r="N1159" s="225"/>
    </row>
    <row r="1160" spans="1:14" ht="16.5" customHeight="1" x14ac:dyDescent="0.25">
      <c r="A1160" s="203">
        <v>45100</v>
      </c>
      <c r="B1160" s="128" t="s">
        <v>10</v>
      </c>
      <c r="C1160" s="157" t="str">
        <f t="shared" si="37"/>
        <v>23.06.2023_SAL1</v>
      </c>
      <c r="D1160" s="190">
        <f t="shared" si="38"/>
        <v>0</v>
      </c>
      <c r="E1160" s="204">
        <v>0.15910937225250565</v>
      </c>
      <c r="F1160" s="205">
        <v>8.8087737538563249E-2</v>
      </c>
      <c r="G1160" s="204">
        <v>3.7286866105652718E-2</v>
      </c>
      <c r="H1160" s="204">
        <v>2.2073811716370323E-2</v>
      </c>
      <c r="I1160" s="209">
        <v>6.891</v>
      </c>
      <c r="J1160" s="207">
        <v>1.5921434206394272</v>
      </c>
      <c r="K1160" s="209">
        <v>8.1029999999999998</v>
      </c>
      <c r="L1160" s="209">
        <v>5.9020000000000001</v>
      </c>
      <c r="M1160" s="212"/>
      <c r="N1160" s="225"/>
    </row>
    <row r="1161" spans="1:14" ht="16.5" customHeight="1" x14ac:dyDescent="0.25">
      <c r="A1161" s="203">
        <v>45100</v>
      </c>
      <c r="B1161" s="128" t="s">
        <v>12</v>
      </c>
      <c r="C1161" s="157" t="str">
        <f t="shared" si="37"/>
        <v>23.06.2023_SAL2</v>
      </c>
      <c r="D1161" s="190">
        <f t="shared" si="38"/>
        <v>0</v>
      </c>
      <c r="E1161" s="204">
        <v>0.18691489361702124</v>
      </c>
      <c r="F1161" s="205">
        <v>8.4475397373347041E-2</v>
      </c>
      <c r="G1161" s="204">
        <v>5.7364409393311902E-2</v>
      </c>
      <c r="H1161" s="204">
        <v>4.905291492526738E-2</v>
      </c>
      <c r="I1161" s="209">
        <v>5.5</v>
      </c>
      <c r="J1161" s="207">
        <v>1.3017620501988103</v>
      </c>
      <c r="K1161" s="209">
        <v>8.8960000000000008</v>
      </c>
      <c r="L1161" s="209">
        <v>6.7130000000000001</v>
      </c>
      <c r="M1161" s="212"/>
      <c r="N1161" s="225"/>
    </row>
    <row r="1162" spans="1:14" ht="16.5" customHeight="1" x14ac:dyDescent="0.25">
      <c r="A1162" s="203">
        <v>45100</v>
      </c>
      <c r="B1162" s="128" t="s">
        <v>7</v>
      </c>
      <c r="C1162" s="157" t="str">
        <f t="shared" si="37"/>
        <v>23.06.2023_STE1</v>
      </c>
      <c r="D1162" s="190">
        <f t="shared" si="38"/>
        <v>0</v>
      </c>
      <c r="E1162" s="204">
        <v>0.10658783189730968</v>
      </c>
      <c r="F1162" s="205">
        <v>4.67738904438013E-2</v>
      </c>
      <c r="G1162" s="204">
        <v>7.7441952680971038E-2</v>
      </c>
      <c r="H1162" s="204">
        <v>6.1316143656584381E-3</v>
      </c>
      <c r="I1162" s="209">
        <v>8.1539999999999999</v>
      </c>
      <c r="J1162" s="207">
        <v>1.9037436518308719</v>
      </c>
      <c r="K1162" s="209">
        <v>11.353</v>
      </c>
      <c r="L1162" s="209">
        <v>9.8849999999999998</v>
      </c>
      <c r="M1162" s="212"/>
      <c r="N1162" s="225"/>
    </row>
    <row r="1163" spans="1:14" ht="16.5" customHeight="1" x14ac:dyDescent="0.25">
      <c r="A1163" s="203">
        <v>45100</v>
      </c>
      <c r="B1163" s="128" t="s">
        <v>9</v>
      </c>
      <c r="C1163" s="157" t="str">
        <f t="shared" si="37"/>
        <v>23.06.2023_STE2</v>
      </c>
      <c r="D1163" s="190">
        <f t="shared" si="38"/>
        <v>0</v>
      </c>
      <c r="E1163" s="204">
        <v>0.14520661157024786</v>
      </c>
      <c r="F1163" s="205">
        <v>4.9802052298106463E-2</v>
      </c>
      <c r="G1163" s="204">
        <v>6.8837291271974285E-2</v>
      </c>
      <c r="H1163" s="204">
        <v>4.905291492526738E-2</v>
      </c>
      <c r="I1163" s="209">
        <v>8.0890000000000004</v>
      </c>
      <c r="J1163" s="207">
        <v>1.8954480582487729</v>
      </c>
      <c r="K1163" s="209">
        <v>13.574</v>
      </c>
      <c r="L1163" s="209">
        <v>10.227</v>
      </c>
      <c r="M1163" s="212"/>
      <c r="N1163" s="225"/>
    </row>
    <row r="1164" spans="1:14" ht="16.5" customHeight="1" x14ac:dyDescent="0.25">
      <c r="A1164" s="203">
        <v>45114</v>
      </c>
      <c r="B1164" s="128" t="s">
        <v>22</v>
      </c>
      <c r="C1164" s="157" t="str">
        <f t="shared" si="37"/>
        <v>07.07.2023_BIE1</v>
      </c>
      <c r="D1164" s="190">
        <f t="shared" si="38"/>
        <v>0</v>
      </c>
      <c r="E1164" s="204">
        <v>7.6823381915060371E-2</v>
      </c>
      <c r="F1164" s="205">
        <v>1.3297730244068084E-2</v>
      </c>
      <c r="G1164" s="204">
        <v>8.6819968592776551E-3</v>
      </c>
      <c r="H1164" s="204">
        <v>0.14284976323719331</v>
      </c>
      <c r="I1164" s="209">
        <v>3.1269999999999998</v>
      </c>
      <c r="J1164" s="207">
        <v>0.75652758415882393</v>
      </c>
      <c r="K1164" s="209">
        <v>5.9279999999999999</v>
      </c>
      <c r="L1164" s="209">
        <v>14.888999999999999</v>
      </c>
      <c r="M1164" s="212"/>
      <c r="N1164" s="225"/>
    </row>
    <row r="1165" spans="1:14" ht="16.5" customHeight="1" x14ac:dyDescent="0.25">
      <c r="A1165" s="203">
        <v>45114</v>
      </c>
      <c r="B1165" s="128" t="s">
        <v>25</v>
      </c>
      <c r="C1165" s="157" t="str">
        <f t="shared" si="37"/>
        <v>07.07.2023_BIE2</v>
      </c>
      <c r="D1165" s="190">
        <f t="shared" si="38"/>
        <v>0</v>
      </c>
      <c r="E1165" s="204">
        <v>2.288356057044354E-2</v>
      </c>
      <c r="F1165" s="205">
        <v>2.1865316806218969E-2</v>
      </c>
      <c r="G1165" s="204">
        <v>3.4727987437110509E-2</v>
      </c>
      <c r="H1165" s="204">
        <v>3.8263329438533952E-3</v>
      </c>
      <c r="I1165" s="209">
        <v>3.5939999999999999</v>
      </c>
      <c r="J1165" s="207">
        <v>0.83990764202979806</v>
      </c>
      <c r="K1165" s="209">
        <v>6.6369999999999996</v>
      </c>
      <c r="L1165" s="209">
        <v>15.536</v>
      </c>
      <c r="M1165" s="212"/>
      <c r="N1165" s="225"/>
    </row>
    <row r="1166" spans="1:14" ht="16.5" customHeight="1" x14ac:dyDescent="0.25">
      <c r="A1166" s="203">
        <v>45114</v>
      </c>
      <c r="B1166" s="128" t="s">
        <v>14</v>
      </c>
      <c r="C1166" s="157" t="str">
        <f t="shared" si="37"/>
        <v>07.07.2023_BRA1</v>
      </c>
      <c r="D1166" s="190">
        <f t="shared" si="38"/>
        <v>0</v>
      </c>
      <c r="E1166" s="204">
        <v>3.4325340855665326E-2</v>
      </c>
      <c r="F1166" s="205">
        <v>3.3017203685567729E-2</v>
      </c>
      <c r="G1166" s="204">
        <v>3.7332586494893807E-2</v>
      </c>
      <c r="H1166" s="204">
        <v>9.0556546337863586E-2</v>
      </c>
      <c r="I1166" s="209">
        <v>5.4</v>
      </c>
      <c r="J1166" s="207">
        <v>1.2762563206199826</v>
      </c>
      <c r="K1166" s="209">
        <v>5.4109999999999996</v>
      </c>
      <c r="L1166" s="209">
        <v>3.843</v>
      </c>
      <c r="M1166" s="212"/>
      <c r="N1166" s="225"/>
    </row>
    <row r="1167" spans="1:14" ht="16.5" customHeight="1" x14ac:dyDescent="0.25">
      <c r="A1167" s="203">
        <v>45114</v>
      </c>
      <c r="B1167" s="128" t="s">
        <v>17</v>
      </c>
      <c r="C1167" s="157" t="str">
        <f t="shared" si="37"/>
        <v>07.07.2023_BRA2</v>
      </c>
      <c r="D1167" s="190">
        <f t="shared" si="38"/>
        <v>0</v>
      </c>
      <c r="E1167" s="204">
        <v>7.1919761792822473E-2</v>
      </c>
      <c r="F1167" s="205">
        <v>5.3252606873816319E-2</v>
      </c>
      <c r="G1167" s="204">
        <v>8.6819968592777633E-4</v>
      </c>
      <c r="H1167" s="204">
        <v>0</v>
      </c>
      <c r="I1167" s="209">
        <v>9.8879999999999999</v>
      </c>
      <c r="J1167" s="207">
        <v>2.234076708374126</v>
      </c>
      <c r="K1167" s="209">
        <v>10.24</v>
      </c>
      <c r="L1167" s="209">
        <v>5.5039999999999996</v>
      </c>
      <c r="M1167" s="212"/>
      <c r="N1167" s="225"/>
    </row>
    <row r="1168" spans="1:14" ht="16.5" customHeight="1" x14ac:dyDescent="0.25">
      <c r="A1168" s="203">
        <v>45114</v>
      </c>
      <c r="B1168" s="128" t="s">
        <v>30</v>
      </c>
      <c r="C1168" s="157" t="str">
        <f t="shared" si="37"/>
        <v>07.07.2023_FAL1</v>
      </c>
      <c r="D1168" s="190">
        <f t="shared" si="38"/>
        <v>0</v>
      </c>
      <c r="E1168" s="204">
        <v>0.19451026484876985</v>
      </c>
      <c r="F1168" s="205">
        <v>0.13358315934044387</v>
      </c>
      <c r="G1168" s="204">
        <v>4.254178461046039E-2</v>
      </c>
      <c r="H1168" s="204">
        <v>7.7802103191685582E-2</v>
      </c>
      <c r="I1168" s="209">
        <v>15.510999999999999</v>
      </c>
      <c r="J1168" s="207">
        <v>3.5601896906488846</v>
      </c>
      <c r="K1168" s="209">
        <v>53</v>
      </c>
      <c r="L1168" s="209">
        <v>38</v>
      </c>
      <c r="M1168" s="212"/>
      <c r="N1168" s="225"/>
    </row>
    <row r="1169" spans="1:14" ht="16.5" customHeight="1" x14ac:dyDescent="0.25">
      <c r="A1169" s="203">
        <v>45114</v>
      </c>
      <c r="B1169" s="128" t="s">
        <v>32</v>
      </c>
      <c r="C1169" s="157" t="str">
        <f t="shared" si="37"/>
        <v>07.07.2023_FAL2</v>
      </c>
      <c r="D1169" s="190">
        <f t="shared" si="38"/>
        <v>0</v>
      </c>
      <c r="E1169" s="204">
        <v>0.17326124431907225</v>
      </c>
      <c r="F1169" s="205">
        <v>9.610169992676057E-2</v>
      </c>
      <c r="G1169" s="204">
        <v>4.6882783040099234E-2</v>
      </c>
      <c r="H1169" s="204">
        <v>4.7191439640858535E-2</v>
      </c>
      <c r="I1169" s="209">
        <v>13.505000000000001</v>
      </c>
      <c r="J1169" s="207">
        <v>3.1011457960014659</v>
      </c>
      <c r="K1169" s="209">
        <v>52</v>
      </c>
      <c r="L1169" s="209">
        <v>39</v>
      </c>
      <c r="M1169" s="212"/>
      <c r="N1169" s="225"/>
    </row>
    <row r="1170" spans="1:14" ht="16.5" customHeight="1" x14ac:dyDescent="0.25">
      <c r="A1170" s="203">
        <v>45114</v>
      </c>
      <c r="B1170" s="128" t="s">
        <v>26</v>
      </c>
      <c r="C1170" s="157" t="str">
        <f t="shared" si="37"/>
        <v>07.07.2023_GRU1</v>
      </c>
      <c r="D1170" s="190">
        <f t="shared" si="38"/>
        <v>0</v>
      </c>
      <c r="E1170" s="204">
        <v>0</v>
      </c>
      <c r="F1170" s="205">
        <v>2.6860750340103413E-2</v>
      </c>
      <c r="G1170" s="204">
        <v>0</v>
      </c>
      <c r="H1170" s="204">
        <v>0</v>
      </c>
      <c r="I1170" s="209">
        <v>3.16</v>
      </c>
      <c r="J1170" s="207">
        <v>0.71240090325174787</v>
      </c>
      <c r="K1170" s="209">
        <v>7.0449999999999999</v>
      </c>
      <c r="L1170" s="209">
        <v>12.811</v>
      </c>
      <c r="M1170" s="212"/>
      <c r="N1170" s="225"/>
    </row>
    <row r="1171" spans="1:14" ht="16.5" customHeight="1" x14ac:dyDescent="0.25">
      <c r="A1171" s="203">
        <v>45114</v>
      </c>
      <c r="B1171" s="128" t="s">
        <v>28</v>
      </c>
      <c r="C1171" s="157" t="str">
        <f t="shared" si="37"/>
        <v>07.07.2023_GRU2</v>
      </c>
      <c r="D1171" s="190">
        <f t="shared" si="38"/>
        <v>0</v>
      </c>
      <c r="E1171" s="204">
        <v>3.4025699773273345E-17</v>
      </c>
      <c r="F1171" s="205">
        <v>1.3456279141337372E-2</v>
      </c>
      <c r="G1171" s="204">
        <v>3.7332586494893807E-2</v>
      </c>
      <c r="H1171" s="204">
        <v>0.11223909968636614</v>
      </c>
      <c r="I1171" s="209">
        <v>2.9319999999999999</v>
      </c>
      <c r="J1171" s="207">
        <v>0.72541041398693418</v>
      </c>
      <c r="K1171" s="209">
        <v>7.4740000000000002</v>
      </c>
      <c r="L1171" s="209">
        <v>9.6319999999999997</v>
      </c>
      <c r="M1171" s="212"/>
      <c r="N1171" s="225"/>
    </row>
    <row r="1172" spans="1:14" ht="16.5" customHeight="1" x14ac:dyDescent="0.25">
      <c r="A1172" s="203">
        <v>45114</v>
      </c>
      <c r="B1172" s="128" t="s">
        <v>0</v>
      </c>
      <c r="C1172" s="157" t="str">
        <f t="shared" si="37"/>
        <v>07.07.2023_KIN1</v>
      </c>
      <c r="D1172" s="190">
        <f t="shared" si="38"/>
        <v>0</v>
      </c>
      <c r="E1172" s="204">
        <v>3.9228960977903161E-2</v>
      </c>
      <c r="F1172" s="205">
        <v>2.1058260836523603E-2</v>
      </c>
      <c r="G1172" s="204">
        <v>0</v>
      </c>
      <c r="H1172" s="204">
        <v>0</v>
      </c>
      <c r="I1172" s="209">
        <v>4.4569999999999999</v>
      </c>
      <c r="J1172" s="207">
        <v>1.0053542932517479</v>
      </c>
      <c r="K1172" s="209">
        <v>7.9889999999999999</v>
      </c>
      <c r="L1172" s="209">
        <v>11.41</v>
      </c>
      <c r="M1172" s="212"/>
      <c r="N1172" s="225"/>
    </row>
    <row r="1173" spans="1:14" ht="16.5" customHeight="1" x14ac:dyDescent="0.25">
      <c r="A1173" s="203">
        <v>45114</v>
      </c>
      <c r="B1173" s="128" t="s">
        <v>2</v>
      </c>
      <c r="C1173" s="157" t="str">
        <f t="shared" si="37"/>
        <v>07.07.2023_KIN2</v>
      </c>
      <c r="D1173" s="190">
        <f t="shared" si="38"/>
        <v>0</v>
      </c>
      <c r="E1173" s="204">
        <v>4.2498041059395107E-2</v>
      </c>
      <c r="F1173" s="205">
        <v>1.1998595992992611E-2</v>
      </c>
      <c r="G1173" s="204">
        <v>0</v>
      </c>
      <c r="H1173" s="204">
        <v>0.14029887460795773</v>
      </c>
      <c r="I1173" s="209">
        <v>6.6950000000000003</v>
      </c>
      <c r="J1173" s="207">
        <v>1.5522170488778884</v>
      </c>
      <c r="K1173" s="209">
        <v>11.37</v>
      </c>
      <c r="L1173" s="209">
        <v>14.337999999999999</v>
      </c>
      <c r="M1173" s="212"/>
      <c r="N1173" s="225"/>
    </row>
    <row r="1174" spans="1:14" ht="16.5" customHeight="1" x14ac:dyDescent="0.25">
      <c r="A1174" s="203">
        <v>45114</v>
      </c>
      <c r="B1174" s="128" t="s">
        <v>4</v>
      </c>
      <c r="C1174" s="157" t="str">
        <f t="shared" si="37"/>
        <v>07.07.2023_KIN3</v>
      </c>
      <c r="D1174" s="190">
        <f t="shared" si="38"/>
        <v>0</v>
      </c>
      <c r="E1174" s="204">
        <v>4.9036201222378922E-2</v>
      </c>
      <c r="F1174" s="205">
        <v>1.3099573981162875E-2</v>
      </c>
      <c r="G1174" s="204">
        <v>5.8169378957160151E-2</v>
      </c>
      <c r="H1174" s="204">
        <v>6.5047660045507633E-2</v>
      </c>
      <c r="I1174" s="209">
        <v>6.032</v>
      </c>
      <c r="J1174" s="207">
        <v>1.4274195411672999</v>
      </c>
      <c r="K1174" s="209">
        <v>12.121</v>
      </c>
      <c r="L1174" s="209">
        <v>13.542999999999999</v>
      </c>
      <c r="M1174" s="212"/>
      <c r="N1174" s="225"/>
    </row>
    <row r="1175" spans="1:14" ht="16.5" customHeight="1" x14ac:dyDescent="0.25">
      <c r="A1175" s="203">
        <v>45114</v>
      </c>
      <c r="B1175" s="128" t="s">
        <v>6</v>
      </c>
      <c r="C1175" s="157" t="str">
        <f t="shared" si="37"/>
        <v>07.07.2023_KIN4</v>
      </c>
      <c r="D1175" s="190">
        <f t="shared" si="38"/>
        <v>0</v>
      </c>
      <c r="E1175" s="204">
        <v>7.0285221752076479E-2</v>
      </c>
      <c r="F1175" s="205">
        <v>2.2422167217417906E-2</v>
      </c>
      <c r="G1175" s="204">
        <v>8.3347169849065345E-2</v>
      </c>
      <c r="H1175" s="204">
        <v>2.2957997663120344E-2</v>
      </c>
      <c r="I1175" s="209">
        <v>6.476</v>
      </c>
      <c r="J1175" s="207">
        <v>1.5344419263046376</v>
      </c>
      <c r="K1175" s="209">
        <v>23.742999999999999</v>
      </c>
      <c r="L1175" s="209">
        <v>15.178000000000001</v>
      </c>
      <c r="M1175" s="212"/>
      <c r="N1175" s="225"/>
    </row>
    <row r="1176" spans="1:14" ht="16.5" customHeight="1" x14ac:dyDescent="0.25">
      <c r="A1176" s="203">
        <v>45114</v>
      </c>
      <c r="B1176" s="128" t="s">
        <v>34</v>
      </c>
      <c r="C1176" s="157" t="str">
        <f t="shared" si="37"/>
        <v>07.07.2023_KRE1</v>
      </c>
      <c r="D1176" s="190">
        <f t="shared" si="38"/>
        <v>0</v>
      </c>
      <c r="E1176" s="204">
        <v>4.4132581100141059E-2</v>
      </c>
      <c r="F1176" s="205">
        <v>5.3891080016559616E-2</v>
      </c>
      <c r="G1176" s="204">
        <v>8.074257079128204E-2</v>
      </c>
      <c r="H1176" s="204">
        <v>2.550888629235595E-2</v>
      </c>
      <c r="I1176" s="209">
        <v>5.3159999999999998</v>
      </c>
      <c r="J1176" s="207">
        <v>1.2711868992254303</v>
      </c>
      <c r="K1176" s="209">
        <v>80</v>
      </c>
      <c r="L1176" s="209">
        <v>38</v>
      </c>
      <c r="M1176" s="212"/>
      <c r="N1176" s="225"/>
    </row>
    <row r="1177" spans="1:14" ht="16.5" customHeight="1" x14ac:dyDescent="0.25">
      <c r="A1177" s="203">
        <v>45114</v>
      </c>
      <c r="B1177" s="128" t="s">
        <v>37</v>
      </c>
      <c r="C1177" s="157" t="str">
        <f t="shared" si="37"/>
        <v>07.07.2023_KRE2</v>
      </c>
      <c r="D1177" s="190">
        <f t="shared" si="38"/>
        <v>0</v>
      </c>
      <c r="E1177" s="204">
        <v>6.5381601629838582E-2</v>
      </c>
      <c r="F1177" s="205">
        <v>5.6514106225489226E-2</v>
      </c>
      <c r="G1177" s="204">
        <v>0.13022995288916453</v>
      </c>
      <c r="H1177" s="204">
        <v>7.2700325933214432E-2</v>
      </c>
      <c r="I1177" s="209">
        <v>10.457000000000001</v>
      </c>
      <c r="J1177" s="207">
        <v>2.4851784603492746</v>
      </c>
      <c r="K1177" s="209">
        <v>73</v>
      </c>
      <c r="L1177" s="209">
        <v>48</v>
      </c>
      <c r="M1177" s="212"/>
      <c r="N1177" s="225"/>
    </row>
    <row r="1178" spans="1:14" ht="16.5" customHeight="1" x14ac:dyDescent="0.25">
      <c r="A1178" s="203">
        <v>45114</v>
      </c>
      <c r="B1178" s="128" t="s">
        <v>18</v>
      </c>
      <c r="C1178" s="157" t="str">
        <f t="shared" si="37"/>
        <v>07.07.2023_ORB1</v>
      </c>
      <c r="D1178" s="190">
        <f t="shared" si="38"/>
        <v>0</v>
      </c>
      <c r="E1178" s="204">
        <v>4.5767121140886984E-2</v>
      </c>
      <c r="F1178" s="205">
        <v>1.7011135250642753E-2</v>
      </c>
      <c r="G1178" s="204">
        <v>7.8137971733498787E-3</v>
      </c>
      <c r="H1178" s="204">
        <v>3.6987885123916112E-2</v>
      </c>
      <c r="I1178" s="209">
        <v>6.1139999999999999</v>
      </c>
      <c r="J1178" s="207">
        <v>1.3982974769931107</v>
      </c>
      <c r="K1178" s="209">
        <v>6.8810000000000002</v>
      </c>
      <c r="L1178" s="209">
        <v>12.794</v>
      </c>
      <c r="M1178" s="212"/>
      <c r="N1178" s="225"/>
    </row>
    <row r="1179" spans="1:14" ht="16.5" customHeight="1" x14ac:dyDescent="0.25">
      <c r="A1179" s="203">
        <v>45114</v>
      </c>
      <c r="B1179" s="128" t="s">
        <v>21</v>
      </c>
      <c r="C1179" s="157" t="str">
        <f t="shared" si="37"/>
        <v>07.07.2023_ORB2</v>
      </c>
      <c r="D1179" s="190">
        <f t="shared" si="38"/>
        <v>0</v>
      </c>
      <c r="E1179" s="204">
        <v>4.0863501018649148E-2</v>
      </c>
      <c r="F1179" s="205">
        <v>1.6567743622117947E-2</v>
      </c>
      <c r="G1179" s="204">
        <v>5.9037578643087923E-2</v>
      </c>
      <c r="H1179" s="204">
        <v>0</v>
      </c>
      <c r="I1179" s="209">
        <v>6.5350000000000001</v>
      </c>
      <c r="J1179" s="207">
        <v>1.5219025394405712</v>
      </c>
      <c r="K1179" s="209">
        <v>17.475000000000001</v>
      </c>
      <c r="L1179" s="209">
        <v>16.587</v>
      </c>
      <c r="M1179" s="212"/>
      <c r="N1179" s="225"/>
    </row>
    <row r="1180" spans="1:14" ht="16.5" customHeight="1" x14ac:dyDescent="0.25">
      <c r="A1180" s="203">
        <v>45114</v>
      </c>
      <c r="B1180" s="128" t="s">
        <v>10</v>
      </c>
      <c r="C1180" s="157" t="str">
        <f t="shared" si="37"/>
        <v>07.07.2023_SAL1</v>
      </c>
      <c r="D1180" s="190">
        <f t="shared" si="38"/>
        <v>0</v>
      </c>
      <c r="E1180" s="204">
        <v>0.12749412317818531</v>
      </c>
      <c r="F1180" s="205">
        <v>8.0917624265154572E-2</v>
      </c>
      <c r="G1180" s="204">
        <v>6.9455974874221022E-3</v>
      </c>
      <c r="H1180" s="204">
        <v>0</v>
      </c>
      <c r="I1180" s="209">
        <v>6.8410000000000002</v>
      </c>
      <c r="J1180" s="207">
        <v>1.5505698569930084</v>
      </c>
      <c r="K1180" s="209">
        <v>7.2009999999999996</v>
      </c>
      <c r="L1180" s="209">
        <v>5.3730000000000002</v>
      </c>
      <c r="M1180" s="212"/>
      <c r="N1180" s="225"/>
    </row>
    <row r="1181" spans="1:14" ht="16.5" customHeight="1" x14ac:dyDescent="0.25">
      <c r="A1181" s="203">
        <v>45114</v>
      </c>
      <c r="B1181" s="128" t="s">
        <v>12</v>
      </c>
      <c r="C1181" s="157" t="str">
        <f t="shared" si="37"/>
        <v>07.07.2023_SAL2</v>
      </c>
      <c r="D1181" s="190">
        <f t="shared" si="38"/>
        <v>0</v>
      </c>
      <c r="E1181" s="204">
        <v>0.14874314370788277</v>
      </c>
      <c r="F1181" s="205">
        <v>6.8406580034787418E-2</v>
      </c>
      <c r="G1181" s="204">
        <v>4.3409984296388093E-3</v>
      </c>
      <c r="H1181" s="204">
        <v>0</v>
      </c>
      <c r="I1181" s="209">
        <v>4.984</v>
      </c>
      <c r="J1181" s="207">
        <v>1.1291068218706302</v>
      </c>
      <c r="K1181" s="209">
        <v>6.4829999999999997</v>
      </c>
      <c r="L1181" s="209">
        <v>5.4630000000000001</v>
      </c>
      <c r="M1181" s="212"/>
      <c r="N1181" s="225"/>
    </row>
    <row r="1182" spans="1:14" ht="16.5" customHeight="1" x14ac:dyDescent="0.25">
      <c r="A1182" s="203">
        <v>45114</v>
      </c>
      <c r="B1182" s="128" t="s">
        <v>7</v>
      </c>
      <c r="C1182" s="157" t="str">
        <f t="shared" si="37"/>
        <v>07.07.2023_STE1</v>
      </c>
      <c r="D1182" s="190">
        <f t="shared" si="38"/>
        <v>0</v>
      </c>
      <c r="E1182" s="204">
        <v>8.1727002037298269E-2</v>
      </c>
      <c r="F1182" s="205">
        <v>3.8768299826180568E-2</v>
      </c>
      <c r="G1182" s="204">
        <v>0</v>
      </c>
      <c r="H1182" s="204">
        <v>0</v>
      </c>
      <c r="I1182" s="209">
        <v>8.0960000000000001</v>
      </c>
      <c r="J1182" s="207">
        <v>1.82864352</v>
      </c>
      <c r="K1182" s="209">
        <v>10.621</v>
      </c>
      <c r="L1182" s="209">
        <v>9.59</v>
      </c>
      <c r="M1182" s="212"/>
      <c r="N1182" s="225"/>
    </row>
    <row r="1183" spans="1:14" ht="16.5" customHeight="1" x14ac:dyDescent="0.25">
      <c r="A1183" s="203">
        <v>45114</v>
      </c>
      <c r="B1183" s="128" t="s">
        <v>9</v>
      </c>
      <c r="C1183" s="157" t="str">
        <f t="shared" si="37"/>
        <v>07.07.2023_STE2</v>
      </c>
      <c r="D1183" s="190">
        <f t="shared" si="38"/>
        <v>0</v>
      </c>
      <c r="E1183" s="204">
        <v>6.7016141670584561E-2</v>
      </c>
      <c r="F1183" s="205">
        <v>3.6798338096675799E-2</v>
      </c>
      <c r="G1183" s="204">
        <v>1.0418396231133172E-2</v>
      </c>
      <c r="H1183" s="204">
        <v>5.2293216899329691E-2</v>
      </c>
      <c r="I1183" s="209">
        <v>7.75</v>
      </c>
      <c r="J1183" s="207">
        <v>1.7745029503745136</v>
      </c>
      <c r="K1183" s="209">
        <v>12.272</v>
      </c>
      <c r="L1183" s="209">
        <v>9.6240000000000006</v>
      </c>
      <c r="M1183" s="212"/>
      <c r="N1183" s="225"/>
    </row>
    <row r="1184" spans="1:14" ht="16.5" customHeight="1" x14ac:dyDescent="0.25">
      <c r="A1184" s="203">
        <v>45128</v>
      </c>
      <c r="B1184" s="128" t="s">
        <v>22</v>
      </c>
      <c r="C1184" s="157" t="str">
        <f t="shared" si="37"/>
        <v>21.07.2023_BIE1</v>
      </c>
      <c r="D1184" s="190">
        <f t="shared" si="38"/>
        <v>0</v>
      </c>
      <c r="E1184" s="204">
        <v>8.1227309989460081E-2</v>
      </c>
      <c r="F1184" s="205">
        <v>1.1290493195429956E-2</v>
      </c>
      <c r="G1184" s="204">
        <v>3.04007316100285E-2</v>
      </c>
      <c r="H1184" s="204">
        <v>9.4781515246777803E-2</v>
      </c>
      <c r="I1184" s="209">
        <v>2.9849999999999999</v>
      </c>
      <c r="J1184" s="207">
        <v>0.72668404640475248</v>
      </c>
      <c r="K1184" s="209">
        <v>6.2</v>
      </c>
      <c r="L1184" s="209">
        <v>15.750999999999999</v>
      </c>
      <c r="M1184" s="212">
        <v>5.3049999999999997</v>
      </c>
      <c r="N1184" s="225"/>
    </row>
    <row r="1185" spans="1:14" ht="16.5" customHeight="1" x14ac:dyDescent="0.25">
      <c r="A1185" s="203">
        <v>45128</v>
      </c>
      <c r="B1185" s="128" t="s">
        <v>25</v>
      </c>
      <c r="C1185" s="157" t="str">
        <f t="shared" si="37"/>
        <v>21.07.2023_BIE2</v>
      </c>
      <c r="D1185" s="190">
        <f t="shared" si="38"/>
        <v>0</v>
      </c>
      <c r="E1185" s="204">
        <v>2.3890385291017703E-2</v>
      </c>
      <c r="F1185" s="205">
        <v>1.612099691171057E-2</v>
      </c>
      <c r="G1185" s="204">
        <v>2.3645013474466653E-2</v>
      </c>
      <c r="H1185" s="204">
        <v>3.1593838415592608E-2</v>
      </c>
      <c r="I1185" s="209">
        <v>2.66</v>
      </c>
      <c r="J1185" s="207">
        <v>0.62879306061841567</v>
      </c>
      <c r="K1185" s="209">
        <v>6.2519999999999998</v>
      </c>
      <c r="L1185" s="209">
        <v>14.837999999999999</v>
      </c>
      <c r="M1185" s="212">
        <v>8.3529999999999998</v>
      </c>
      <c r="N1185" s="225"/>
    </row>
    <row r="1186" spans="1:14" ht="16.5" customHeight="1" x14ac:dyDescent="0.25">
      <c r="A1186" s="203">
        <v>45128</v>
      </c>
      <c r="B1186" s="128" t="s">
        <v>14</v>
      </c>
      <c r="C1186" s="157" t="str">
        <f t="shared" si="37"/>
        <v>21.07.2023_BRA1</v>
      </c>
      <c r="D1186" s="190">
        <f t="shared" si="38"/>
        <v>0</v>
      </c>
      <c r="E1186" s="204">
        <v>3.6631924112893753E-2</v>
      </c>
      <c r="F1186" s="205">
        <v>2.4999113049014247E-2</v>
      </c>
      <c r="G1186" s="204">
        <v>2.2800548707521403E-2</v>
      </c>
      <c r="H1186" s="204">
        <v>0.12637535366237032</v>
      </c>
      <c r="I1186" s="209">
        <v>4.7119999999999997</v>
      </c>
      <c r="J1186" s="207">
        <v>1.1204788144884119</v>
      </c>
      <c r="K1186" s="209">
        <v>5.2480000000000002</v>
      </c>
      <c r="L1186" s="209">
        <v>3.6920000000000002</v>
      </c>
      <c r="M1186" s="212">
        <v>5.37</v>
      </c>
      <c r="N1186" s="225"/>
    </row>
    <row r="1187" spans="1:14" ht="16.5" customHeight="1" x14ac:dyDescent="0.25">
      <c r="A1187" s="203">
        <v>45128</v>
      </c>
      <c r="B1187" s="128" t="s">
        <v>17</v>
      </c>
      <c r="C1187" s="157" t="str">
        <f t="shared" si="37"/>
        <v>21.07.2023_BRA2</v>
      </c>
      <c r="D1187" s="190">
        <f t="shared" si="38"/>
        <v>0</v>
      </c>
      <c r="E1187" s="204">
        <v>8.6005387047663626E-2</v>
      </c>
      <c r="F1187" s="205">
        <v>5.4019399187132069E-2</v>
      </c>
      <c r="G1187" s="204">
        <v>2.2800548707521403E-2</v>
      </c>
      <c r="H1187" s="204">
        <v>3.1593838415592608E-2</v>
      </c>
      <c r="I1187" s="209">
        <v>9.782</v>
      </c>
      <c r="J1187" s="207">
        <v>2.2367834821715302</v>
      </c>
      <c r="K1187" s="209">
        <v>10.157999999999999</v>
      </c>
      <c r="L1187" s="209">
        <v>5.4539999999999997</v>
      </c>
      <c r="M1187" s="212">
        <v>4.1890000000000001</v>
      </c>
      <c r="N1187" s="225"/>
    </row>
    <row r="1188" spans="1:14" ht="16.5" customHeight="1" x14ac:dyDescent="0.25">
      <c r="A1188" s="203">
        <v>45128</v>
      </c>
      <c r="B1188" s="128" t="s">
        <v>30</v>
      </c>
      <c r="C1188" s="157" t="str">
        <f t="shared" si="37"/>
        <v>21.07.2023_FAL1</v>
      </c>
      <c r="D1188" s="190">
        <f t="shared" si="38"/>
        <v>0</v>
      </c>
      <c r="E1188" s="204">
        <v>0.36472654877620325</v>
      </c>
      <c r="F1188" s="205">
        <v>0.23585195643694234</v>
      </c>
      <c r="G1188" s="204">
        <v>8.0224152859797476E-2</v>
      </c>
      <c r="H1188" s="204">
        <v>7.456145866079851E-2</v>
      </c>
      <c r="I1188" s="209">
        <v>12.377000000000001</v>
      </c>
      <c r="J1188" s="207">
        <v>2.8805864785433841</v>
      </c>
      <c r="K1188" s="209">
        <v>63</v>
      </c>
      <c r="L1188" s="209">
        <v>35</v>
      </c>
      <c r="M1188" s="212">
        <v>6.2539999999999996</v>
      </c>
      <c r="N1188" s="225"/>
    </row>
    <row r="1189" spans="1:14" ht="16.5" customHeight="1" x14ac:dyDescent="0.25">
      <c r="A1189" s="203">
        <v>45128</v>
      </c>
      <c r="B1189" s="128" t="s">
        <v>32</v>
      </c>
      <c r="C1189" s="157" t="str">
        <f t="shared" si="37"/>
        <v>21.07.2023_FAL2</v>
      </c>
      <c r="D1189" s="190">
        <f t="shared" si="38"/>
        <v>0</v>
      </c>
      <c r="E1189" s="204">
        <v>0.27075769996486709</v>
      </c>
      <c r="F1189" s="205">
        <v>0.14318549633757136</v>
      </c>
      <c r="G1189" s="204">
        <v>5.657913938533083E-2</v>
      </c>
      <c r="H1189" s="204">
        <v>8.4671486953788178E-2</v>
      </c>
      <c r="I1189" s="209">
        <v>12.141</v>
      </c>
      <c r="J1189" s="207">
        <v>2.8119990401443964</v>
      </c>
      <c r="K1189" s="209">
        <v>62</v>
      </c>
      <c r="L1189" s="209">
        <v>37</v>
      </c>
      <c r="M1189" s="212">
        <v>12.34</v>
      </c>
      <c r="N1189" s="225"/>
    </row>
    <row r="1190" spans="1:14" ht="16.5" customHeight="1" x14ac:dyDescent="0.25">
      <c r="A1190" s="203">
        <v>45128</v>
      </c>
      <c r="B1190" s="128" t="s">
        <v>26</v>
      </c>
      <c r="C1190" s="157" t="str">
        <f t="shared" si="37"/>
        <v>21.07.2023_GRU1</v>
      </c>
      <c r="D1190" s="190">
        <f t="shared" si="38"/>
        <v>0</v>
      </c>
      <c r="E1190" s="204">
        <v>0</v>
      </c>
      <c r="F1190" s="205">
        <v>1.6620839924966945E-2</v>
      </c>
      <c r="G1190" s="204">
        <v>1.1822506737233307E-2</v>
      </c>
      <c r="H1190" s="204">
        <v>0</v>
      </c>
      <c r="I1190" s="209">
        <v>3.0430000000000001</v>
      </c>
      <c r="J1190" s="207">
        <v>0.69650246825639439</v>
      </c>
      <c r="K1190" s="209">
        <v>6.6909999999999998</v>
      </c>
      <c r="L1190" s="209">
        <v>12.452</v>
      </c>
      <c r="M1190" s="212">
        <v>10.24</v>
      </c>
      <c r="N1190" s="225"/>
    </row>
    <row r="1191" spans="1:14" ht="16.5" customHeight="1" x14ac:dyDescent="0.25">
      <c r="A1191" s="203">
        <v>45128</v>
      </c>
      <c r="B1191" s="128" t="s">
        <v>28</v>
      </c>
      <c r="C1191" s="157" t="str">
        <f t="shared" si="37"/>
        <v>21.07.2023_GRU2</v>
      </c>
      <c r="D1191" s="190">
        <f t="shared" si="38"/>
        <v>0</v>
      </c>
      <c r="E1191" s="204">
        <v>7.9634617636725451E-3</v>
      </c>
      <c r="F1191" s="205">
        <v>1.2678808246289938E-2</v>
      </c>
      <c r="G1191" s="204">
        <v>4.6445562181987983E-2</v>
      </c>
      <c r="H1191" s="204">
        <v>0.10236403646652002</v>
      </c>
      <c r="I1191" s="209">
        <v>3.032</v>
      </c>
      <c r="J1191" s="207">
        <v>0.75206708548092382</v>
      </c>
      <c r="K1191" s="209">
        <v>8.2949999999999999</v>
      </c>
      <c r="L1191" s="209">
        <v>9.3170000000000002</v>
      </c>
      <c r="M1191" s="212">
        <v>11.39</v>
      </c>
      <c r="N1191" s="225"/>
    </row>
    <row r="1192" spans="1:14" ht="16.5" customHeight="1" x14ac:dyDescent="0.25">
      <c r="A1192" s="203">
        <v>45128</v>
      </c>
      <c r="B1192" s="128" t="s">
        <v>0</v>
      </c>
      <c r="C1192" s="157" t="str">
        <f t="shared" si="37"/>
        <v>21.07.2023_KIN1</v>
      </c>
      <c r="D1192" s="190">
        <f t="shared" si="38"/>
        <v>0</v>
      </c>
      <c r="E1192" s="204">
        <v>5.5744232345707918E-2</v>
      </c>
      <c r="F1192" s="205">
        <v>2.1601221352341275E-2</v>
      </c>
      <c r="G1192" s="204">
        <v>1.6889295338904729E-2</v>
      </c>
      <c r="H1192" s="204">
        <v>3.0330084878968887E-2</v>
      </c>
      <c r="I1192" s="209">
        <v>4.2779999999999996</v>
      </c>
      <c r="J1192" s="207">
        <v>0.98862022327910803</v>
      </c>
      <c r="K1192" s="209">
        <v>7.57</v>
      </c>
      <c r="L1192" s="209">
        <v>11.936999999999999</v>
      </c>
      <c r="M1192" s="212">
        <v>5.9470000000000001</v>
      </c>
      <c r="N1192" s="225"/>
    </row>
    <row r="1193" spans="1:14" ht="16.5" customHeight="1" x14ac:dyDescent="0.25">
      <c r="A1193" s="203">
        <v>45128</v>
      </c>
      <c r="B1193" s="128" t="s">
        <v>2</v>
      </c>
      <c r="C1193" s="157" t="str">
        <f t="shared" si="37"/>
        <v>21.07.2023_KIN2</v>
      </c>
      <c r="D1193" s="190">
        <f t="shared" si="38"/>
        <v>0</v>
      </c>
      <c r="E1193" s="204">
        <v>3.981730881836279E-2</v>
      </c>
      <c r="F1193" s="205">
        <v>1.0943820284846415E-2</v>
      </c>
      <c r="G1193" s="204">
        <v>2.4489478241411865E-2</v>
      </c>
      <c r="H1193" s="204">
        <v>0.17945300220056593</v>
      </c>
      <c r="I1193" s="209">
        <v>6.9039999999999999</v>
      </c>
      <c r="J1193" s="207">
        <v>1.633056781479636</v>
      </c>
      <c r="K1193" s="209">
        <v>11.87</v>
      </c>
      <c r="L1193" s="209">
        <v>14.795</v>
      </c>
      <c r="M1193" s="212">
        <v>11.02</v>
      </c>
      <c r="N1193" s="225"/>
    </row>
    <row r="1194" spans="1:14" ht="16.5" customHeight="1" x14ac:dyDescent="0.25">
      <c r="A1194" s="203">
        <v>45128</v>
      </c>
      <c r="B1194" s="128" t="s">
        <v>4</v>
      </c>
      <c r="C1194" s="157" t="str">
        <f t="shared" si="37"/>
        <v>21.07.2023_KIN3</v>
      </c>
      <c r="D1194" s="190">
        <f t="shared" si="38"/>
        <v>0</v>
      </c>
      <c r="E1194" s="204">
        <v>4.4595385876566335E-2</v>
      </c>
      <c r="F1194" s="205">
        <v>1.3357045930436328E-2</v>
      </c>
      <c r="G1194" s="204">
        <v>1.8578224872795229E-2</v>
      </c>
      <c r="H1194" s="204">
        <v>8.214397988054073E-2</v>
      </c>
      <c r="I1194" s="209">
        <v>7</v>
      </c>
      <c r="J1194" s="207">
        <v>1.6205245405061073</v>
      </c>
      <c r="K1194" s="209">
        <v>14.207000000000001</v>
      </c>
      <c r="L1194" s="209">
        <v>15.509</v>
      </c>
      <c r="M1194" s="212">
        <v>10.49</v>
      </c>
      <c r="N1194" s="225"/>
    </row>
    <row r="1195" spans="1:14" ht="16.5" customHeight="1" x14ac:dyDescent="0.25">
      <c r="A1195" s="203">
        <v>45128</v>
      </c>
      <c r="B1195" s="128" t="s">
        <v>6</v>
      </c>
      <c r="C1195" s="157" t="str">
        <f t="shared" si="37"/>
        <v>21.07.2023_KIN4</v>
      </c>
      <c r="D1195" s="190">
        <f t="shared" si="38"/>
        <v>0</v>
      </c>
      <c r="E1195" s="204">
        <v>7.8041925283991051E-2</v>
      </c>
      <c r="F1195" s="205">
        <v>1.9924844377080475E-2</v>
      </c>
      <c r="G1195" s="204">
        <v>9.120219483008557E-2</v>
      </c>
      <c r="H1195" s="204">
        <v>6.3187676831185188E-2</v>
      </c>
      <c r="I1195" s="209">
        <v>5.8410000000000002</v>
      </c>
      <c r="J1195" s="207">
        <v>1.4093617504748674</v>
      </c>
      <c r="K1195" s="209">
        <v>29.584</v>
      </c>
      <c r="L1195" s="209">
        <v>15.954000000000001</v>
      </c>
      <c r="M1195" s="212">
        <v>5.5369999999999999</v>
      </c>
      <c r="N1195" s="225"/>
    </row>
    <row r="1196" spans="1:14" ht="16.5" customHeight="1" x14ac:dyDescent="0.25">
      <c r="A1196" s="203">
        <v>45128</v>
      </c>
      <c r="B1196" s="128" t="s">
        <v>34</v>
      </c>
      <c r="C1196" s="157" t="str">
        <f t="shared" si="37"/>
        <v>21.07.2023_KRE1</v>
      </c>
      <c r="D1196" s="190">
        <f t="shared" si="38"/>
        <v>0</v>
      </c>
      <c r="E1196" s="204">
        <v>8.1227309989460081E-2</v>
      </c>
      <c r="F1196" s="205">
        <v>7.6167193188711568E-2</v>
      </c>
      <c r="G1196" s="204">
        <v>8.4446476694523653E-2</v>
      </c>
      <c r="H1196" s="204">
        <v>3.9176359635334834E-2</v>
      </c>
      <c r="I1196" s="209">
        <v>2.802</v>
      </c>
      <c r="J1196" s="207">
        <v>0.7103868273795082</v>
      </c>
      <c r="K1196" s="209">
        <v>97</v>
      </c>
      <c r="L1196" s="209">
        <v>39</v>
      </c>
      <c r="M1196" s="212">
        <v>7.9749999999999996</v>
      </c>
      <c r="N1196" s="225"/>
    </row>
    <row r="1197" spans="1:14" ht="16.5" customHeight="1" x14ac:dyDescent="0.25">
      <c r="A1197" s="203">
        <v>45128</v>
      </c>
      <c r="B1197" s="128" t="s">
        <v>37</v>
      </c>
      <c r="C1197" s="157" t="str">
        <f t="shared" si="37"/>
        <v>21.07.2023_KRE2</v>
      </c>
      <c r="D1197" s="190">
        <f t="shared" si="38"/>
        <v>0</v>
      </c>
      <c r="E1197" s="204">
        <v>4.3002693523831861E-2</v>
      </c>
      <c r="F1197" s="205">
        <v>5.7871924900744262E-2</v>
      </c>
      <c r="G1197" s="204">
        <v>0.12835864457567597</v>
      </c>
      <c r="H1197" s="204">
        <v>0.12763910719899405</v>
      </c>
      <c r="I1197" s="209">
        <v>9.8490000000000002</v>
      </c>
      <c r="J1197" s="207">
        <v>2.3631225601133004</v>
      </c>
      <c r="K1197" s="209">
        <v>82</v>
      </c>
      <c r="L1197" s="209">
        <v>50</v>
      </c>
      <c r="M1197" s="212">
        <v>8.1270000000000007</v>
      </c>
      <c r="N1197" s="225"/>
    </row>
    <row r="1198" spans="1:14" ht="16.5" customHeight="1" x14ac:dyDescent="0.25">
      <c r="A1198" s="203">
        <v>45128</v>
      </c>
      <c r="B1198" s="128" t="s">
        <v>18</v>
      </c>
      <c r="C1198" s="157" t="str">
        <f t="shared" si="37"/>
        <v>21.07.2023_ORB1</v>
      </c>
      <c r="D1198" s="190">
        <f t="shared" si="38"/>
        <v>0</v>
      </c>
      <c r="E1198" s="204">
        <v>4.4595385876566335E-2</v>
      </c>
      <c r="F1198" s="205">
        <v>1.6829163391670354E-2</v>
      </c>
      <c r="G1198" s="204">
        <v>1.6889295338904729E-2</v>
      </c>
      <c r="H1198" s="204">
        <v>4.0440113171958531E-2</v>
      </c>
      <c r="I1198" s="209">
        <v>5.2309999999999999</v>
      </c>
      <c r="J1198" s="207">
        <v>1.2069523313929089</v>
      </c>
      <c r="K1198" s="209">
        <v>6.4589999999999996</v>
      </c>
      <c r="L1198" s="209">
        <v>11.89</v>
      </c>
      <c r="M1198" s="212">
        <v>5.3029999999999999</v>
      </c>
      <c r="N1198" s="225"/>
    </row>
    <row r="1199" spans="1:14" ht="16.5" customHeight="1" x14ac:dyDescent="0.25">
      <c r="A1199" s="203">
        <v>45128</v>
      </c>
      <c r="B1199" s="128" t="s">
        <v>21</v>
      </c>
      <c r="C1199" s="157" t="str">
        <f t="shared" si="37"/>
        <v>21.07.2023_ORB2</v>
      </c>
      <c r="D1199" s="190">
        <f t="shared" si="38"/>
        <v>0</v>
      </c>
      <c r="E1199" s="204">
        <v>6.5300386462115001E-2</v>
      </c>
      <c r="F1199" s="205">
        <v>1.6981869514105425E-2</v>
      </c>
      <c r="G1199" s="204">
        <v>4.2223238347261813E-2</v>
      </c>
      <c r="H1199" s="204">
        <v>3.6648852562087421E-2</v>
      </c>
      <c r="I1199" s="209">
        <v>6.2729999999999997</v>
      </c>
      <c r="J1199" s="207">
        <v>1.4608261755067926</v>
      </c>
      <c r="K1199" s="209">
        <v>16.811</v>
      </c>
      <c r="L1199" s="209">
        <v>15.396000000000001</v>
      </c>
      <c r="M1199" s="212">
        <v>5.2720000000000002</v>
      </c>
      <c r="N1199" s="225"/>
    </row>
    <row r="1200" spans="1:14" ht="16.5" customHeight="1" x14ac:dyDescent="0.25">
      <c r="A1200" s="203">
        <v>45128</v>
      </c>
      <c r="B1200" s="128" t="s">
        <v>10</v>
      </c>
      <c r="C1200" s="157" t="str">
        <f t="shared" si="37"/>
        <v>21.07.2023_SAL1</v>
      </c>
      <c r="D1200" s="190">
        <f t="shared" si="38"/>
        <v>0</v>
      </c>
      <c r="E1200" s="204">
        <v>0.12741538821876094</v>
      </c>
      <c r="F1200" s="205">
        <v>6.9319895279612812E-2</v>
      </c>
      <c r="G1200" s="204">
        <v>2.1111619173630941E-2</v>
      </c>
      <c r="H1200" s="204">
        <v>2.5275070732474078E-2</v>
      </c>
      <c r="I1200" s="209">
        <v>6.258</v>
      </c>
      <c r="J1200" s="207">
        <v>1.4375824164566344</v>
      </c>
      <c r="K1200" s="209">
        <v>7.7460000000000004</v>
      </c>
      <c r="L1200" s="209">
        <v>5.7240000000000002</v>
      </c>
      <c r="M1200" s="212">
        <v>5.093</v>
      </c>
      <c r="N1200" s="225"/>
    </row>
    <row r="1201" spans="1:14" ht="16.5" customHeight="1" x14ac:dyDescent="0.25">
      <c r="A1201" s="203">
        <v>45128</v>
      </c>
      <c r="B1201" s="128" t="s">
        <v>12</v>
      </c>
      <c r="C1201" s="157" t="str">
        <f t="shared" si="37"/>
        <v>21.07.2023_SAL2</v>
      </c>
      <c r="D1201" s="190">
        <f t="shared" si="38"/>
        <v>0</v>
      </c>
      <c r="E1201" s="204">
        <v>0.12900808057149549</v>
      </c>
      <c r="F1201" s="205">
        <v>5.9699515903647152E-2</v>
      </c>
      <c r="G1201" s="204">
        <v>2.0267154406685691E-2</v>
      </c>
      <c r="H1201" s="204">
        <v>3.7912606098711117E-2</v>
      </c>
      <c r="I1201" s="209">
        <v>5.3879999999999999</v>
      </c>
      <c r="J1201" s="207">
        <v>1.244267295652</v>
      </c>
      <c r="K1201" s="209">
        <v>8.5630000000000006</v>
      </c>
      <c r="L1201" s="209">
        <v>6.5190000000000001</v>
      </c>
      <c r="M1201" s="212">
        <v>5.51</v>
      </c>
      <c r="N1201" s="225"/>
    </row>
    <row r="1202" spans="1:14" ht="16.5" customHeight="1" x14ac:dyDescent="0.25">
      <c r="A1202" s="203">
        <v>45128</v>
      </c>
      <c r="B1202" s="128" t="s">
        <v>7</v>
      </c>
      <c r="C1202" s="157" t="str">
        <f t="shared" si="37"/>
        <v>21.07.2023_STE1</v>
      </c>
      <c r="D1202" s="190">
        <f t="shared" si="38"/>
        <v>0</v>
      </c>
      <c r="E1202" s="204">
        <v>7.1671155873053005E-2</v>
      </c>
      <c r="F1202" s="205">
        <v>3.7543487302361123E-2</v>
      </c>
      <c r="G1202" s="204">
        <v>1.5200365805014267E-2</v>
      </c>
      <c r="H1202" s="204">
        <v>0</v>
      </c>
      <c r="I1202" s="209">
        <v>7.399</v>
      </c>
      <c r="J1202" s="207">
        <v>1.6822455625154853</v>
      </c>
      <c r="K1202" s="209">
        <v>10.461</v>
      </c>
      <c r="L1202" s="209">
        <v>9.8170000000000002</v>
      </c>
      <c r="M1202" s="212">
        <v>5.9619999999999997</v>
      </c>
      <c r="N1202" s="225"/>
    </row>
    <row r="1203" spans="1:14" ht="16.5" customHeight="1" x14ac:dyDescent="0.25">
      <c r="A1203" s="203">
        <v>45128</v>
      </c>
      <c r="B1203" s="128" t="s">
        <v>9</v>
      </c>
      <c r="C1203" s="157" t="str">
        <f t="shared" si="37"/>
        <v>21.07.2023_STE2</v>
      </c>
      <c r="D1203" s="190">
        <f t="shared" si="38"/>
        <v>0</v>
      </c>
      <c r="E1203" s="204">
        <v>5.7336924698442419E-2</v>
      </c>
      <c r="F1203" s="205">
        <v>3.2190767382009086E-2</v>
      </c>
      <c r="G1203" s="204">
        <v>4.0534308813371348E-2</v>
      </c>
      <c r="H1203" s="204">
        <v>8.0880226343917061E-2</v>
      </c>
      <c r="I1203" s="209">
        <v>6.7859999999999996</v>
      </c>
      <c r="J1203" s="207">
        <v>1.5888522903608999</v>
      </c>
      <c r="K1203" s="209">
        <v>12.404999999999999</v>
      </c>
      <c r="L1203" s="209">
        <v>9.8390000000000004</v>
      </c>
      <c r="M1203" s="212">
        <v>11.29</v>
      </c>
      <c r="N1203" s="225"/>
    </row>
    <row r="1204" spans="1:14" ht="16.5" customHeight="1" x14ac:dyDescent="0.25">
      <c r="A1204" s="203">
        <v>45142</v>
      </c>
      <c r="B1204" s="128" t="s">
        <v>22</v>
      </c>
      <c r="C1204" s="157" t="str">
        <f t="shared" si="37"/>
        <v>04.08.2023_BIE1</v>
      </c>
      <c r="D1204" s="190">
        <f t="shared" si="38"/>
        <v>0</v>
      </c>
      <c r="E1204" s="204">
        <v>4.1094978499847078E-2</v>
      </c>
      <c r="F1204" s="205">
        <v>2.3741197124024314E-2</v>
      </c>
      <c r="G1204" s="204">
        <v>9.67400390080803E-2</v>
      </c>
      <c r="H1204" s="204">
        <v>9.2737144682210101E-2</v>
      </c>
      <c r="I1204" s="209">
        <v>3.0089999999999999</v>
      </c>
      <c r="J1204" s="207">
        <v>0.78299432658788315</v>
      </c>
      <c r="K1204" s="209">
        <v>7.3390000000000004</v>
      </c>
      <c r="L1204" s="209">
        <v>13.523999999999999</v>
      </c>
      <c r="M1204" s="212">
        <v>13.8</v>
      </c>
      <c r="N1204" s="225"/>
    </row>
    <row r="1205" spans="1:14" ht="16.5" customHeight="1" x14ac:dyDescent="0.25">
      <c r="A1205" s="203">
        <v>45142</v>
      </c>
      <c r="B1205" s="128" t="s">
        <v>25</v>
      </c>
      <c r="C1205" s="157" t="str">
        <f t="shared" si="37"/>
        <v>04.08.2023_BIE2</v>
      </c>
      <c r="D1205" s="190">
        <f t="shared" si="38"/>
        <v>0</v>
      </c>
      <c r="E1205" s="204">
        <v>5.3739587269030747E-2</v>
      </c>
      <c r="F1205" s="205">
        <v>1.9301793710063502E-2</v>
      </c>
      <c r="G1205" s="204">
        <v>5.9118912727160168E-2</v>
      </c>
      <c r="H1205" s="204">
        <v>1.3248163526029945E-3</v>
      </c>
      <c r="I1205" s="209">
        <v>3.04</v>
      </c>
      <c r="J1205" s="207">
        <v>0.73295338488206252</v>
      </c>
      <c r="K1205" s="209">
        <v>7.85</v>
      </c>
      <c r="L1205" s="209">
        <v>13.73</v>
      </c>
      <c r="M1205" s="212">
        <v>16.78</v>
      </c>
      <c r="N1205" s="225"/>
    </row>
    <row r="1206" spans="1:14" ht="16.5" customHeight="1" x14ac:dyDescent="0.25">
      <c r="A1206" s="203">
        <v>45142</v>
      </c>
      <c r="B1206" s="128" t="s">
        <v>14</v>
      </c>
      <c r="C1206" s="157" t="str">
        <f t="shared" si="37"/>
        <v>04.08.2023_BRA1</v>
      </c>
      <c r="D1206" s="190">
        <f t="shared" si="38"/>
        <v>0</v>
      </c>
      <c r="E1206" s="204">
        <v>3.1611521922959289E-2</v>
      </c>
      <c r="F1206" s="205">
        <v>3.1390642937213824E-2</v>
      </c>
      <c r="G1206" s="204">
        <v>5.1952983911746783E-2</v>
      </c>
      <c r="H1206" s="204">
        <v>9.4061961034813124E-2</v>
      </c>
      <c r="I1206" s="209">
        <v>6.4560000000000004</v>
      </c>
      <c r="J1206" s="207">
        <v>1.5271948565146811</v>
      </c>
      <c r="K1206" s="209">
        <v>7.859</v>
      </c>
      <c r="L1206" s="209">
        <v>7.0860000000000003</v>
      </c>
      <c r="M1206" s="212">
        <v>15.47</v>
      </c>
      <c r="N1206" s="225"/>
    </row>
    <row r="1207" spans="1:14" ht="16.5" customHeight="1" x14ac:dyDescent="0.25">
      <c r="A1207" s="203">
        <v>45142</v>
      </c>
      <c r="B1207" s="128" t="s">
        <v>17</v>
      </c>
      <c r="C1207" s="157" t="str">
        <f t="shared" si="37"/>
        <v>04.08.2023_BRA2</v>
      </c>
      <c r="D1207" s="190">
        <f t="shared" si="38"/>
        <v>0</v>
      </c>
      <c r="E1207" s="204">
        <v>3.4772674115255225E-2</v>
      </c>
      <c r="F1207" s="205">
        <v>4.2467798399280061E-2</v>
      </c>
      <c r="G1207" s="204">
        <v>5.0161501707893456E-2</v>
      </c>
      <c r="H1207" s="204">
        <v>2.6496327052060054E-2</v>
      </c>
      <c r="I1207" s="209">
        <v>7.5679999999999996</v>
      </c>
      <c r="J1207" s="207">
        <v>1.7564008712321615</v>
      </c>
      <c r="K1207" s="209">
        <v>9.4459999999999997</v>
      </c>
      <c r="L1207" s="209">
        <v>7.5810000000000004</v>
      </c>
      <c r="M1207" s="212">
        <v>9.3209999999999997</v>
      </c>
      <c r="N1207" s="225"/>
    </row>
    <row r="1208" spans="1:14" ht="16.5" customHeight="1" x14ac:dyDescent="0.25">
      <c r="A1208" s="203">
        <v>45142</v>
      </c>
      <c r="B1208" s="128" t="s">
        <v>30</v>
      </c>
      <c r="C1208" s="157" t="str">
        <f t="shared" si="37"/>
        <v>04.08.2023_FAL1</v>
      </c>
      <c r="D1208" s="190">
        <f t="shared" si="38"/>
        <v>0</v>
      </c>
      <c r="E1208" s="204">
        <v>0.2481504470952304</v>
      </c>
      <c r="F1208" s="205">
        <v>0.16882349463901741</v>
      </c>
      <c r="G1208" s="204">
        <v>0.45503647977874795</v>
      </c>
      <c r="H1208" s="204">
        <v>0.26098882146279151</v>
      </c>
      <c r="I1208" s="209">
        <v>9.3510000000000009</v>
      </c>
      <c r="J1208" s="207">
        <v>2.5448996928777468</v>
      </c>
      <c r="K1208" s="209">
        <v>31</v>
      </c>
      <c r="L1208" s="209">
        <v>25.164000000000001</v>
      </c>
      <c r="M1208" s="212">
        <v>14.31</v>
      </c>
      <c r="N1208" s="225"/>
    </row>
    <row r="1209" spans="1:14" ht="16.5" customHeight="1" x14ac:dyDescent="0.25">
      <c r="A1209" s="203">
        <v>45142</v>
      </c>
      <c r="B1209" s="128" t="s">
        <v>32</v>
      </c>
      <c r="C1209" s="157" t="str">
        <f t="shared" si="37"/>
        <v>04.08.2023_FAL2</v>
      </c>
      <c r="D1209" s="190">
        <f t="shared" si="38"/>
        <v>0</v>
      </c>
      <c r="E1209" s="204">
        <v>0.28292312121048557</v>
      </c>
      <c r="F1209" s="205">
        <v>0.16974895268231674</v>
      </c>
      <c r="G1209" s="204">
        <v>6.1806136032940183E-2</v>
      </c>
      <c r="H1209" s="204">
        <v>0.14175534972852127</v>
      </c>
      <c r="I1209" s="209">
        <v>6.7949999999999999</v>
      </c>
      <c r="J1209" s="207">
        <v>1.6259359127930657</v>
      </c>
      <c r="K1209" s="209">
        <v>25</v>
      </c>
      <c r="L1209" s="209">
        <v>22</v>
      </c>
      <c r="M1209" s="212">
        <v>15.69</v>
      </c>
      <c r="N1209" s="225"/>
    </row>
    <row r="1210" spans="1:14" ht="16.5" customHeight="1" x14ac:dyDescent="0.25">
      <c r="A1210" s="203">
        <v>45142</v>
      </c>
      <c r="B1210" s="128" t="s">
        <v>26</v>
      </c>
      <c r="C1210" s="157" t="str">
        <f t="shared" si="37"/>
        <v>04.08.2023_GRU1</v>
      </c>
      <c r="D1210" s="190">
        <f t="shared" si="38"/>
        <v>0</v>
      </c>
      <c r="E1210" s="204">
        <v>0</v>
      </c>
      <c r="F1210" s="205">
        <v>2.3920153138446438E-2</v>
      </c>
      <c r="G1210" s="204">
        <v>2.2393527548166758E-2</v>
      </c>
      <c r="H1210" s="204">
        <v>0</v>
      </c>
      <c r="I1210" s="209">
        <v>3.899</v>
      </c>
      <c r="J1210" s="207">
        <v>0.898055480205876</v>
      </c>
      <c r="K1210" s="209">
        <v>6.617</v>
      </c>
      <c r="L1210" s="209">
        <v>10.971</v>
      </c>
      <c r="M1210" s="212">
        <v>17.79</v>
      </c>
      <c r="N1210" s="225"/>
    </row>
    <row r="1211" spans="1:14" ht="16.5" customHeight="1" x14ac:dyDescent="0.25">
      <c r="A1211" s="203">
        <v>45142</v>
      </c>
      <c r="B1211" s="128" t="s">
        <v>28</v>
      </c>
      <c r="C1211" s="157" t="str">
        <f t="shared" si="37"/>
        <v>04.08.2023_GRU2</v>
      </c>
      <c r="D1211" s="190">
        <f t="shared" si="38"/>
        <v>0</v>
      </c>
      <c r="E1211" s="204">
        <v>0</v>
      </c>
      <c r="F1211" s="205">
        <v>2.208362352879854E-2</v>
      </c>
      <c r="G1211" s="204">
        <v>4.0308349586700105E-2</v>
      </c>
      <c r="H1211" s="204">
        <v>5.0343021398914063E-2</v>
      </c>
      <c r="I1211" s="209">
        <v>3.5489999999999999</v>
      </c>
      <c r="J1211" s="207">
        <v>0.84823859323547612</v>
      </c>
      <c r="K1211" s="209">
        <v>7.1820000000000004</v>
      </c>
      <c r="L1211" s="209">
        <v>10.688000000000001</v>
      </c>
      <c r="M1211" s="212">
        <v>10.89</v>
      </c>
      <c r="N1211" s="225"/>
    </row>
    <row r="1212" spans="1:14" ht="16.5" customHeight="1" x14ac:dyDescent="0.25">
      <c r="A1212" s="203">
        <v>45142</v>
      </c>
      <c r="B1212" s="128" t="s">
        <v>0</v>
      </c>
      <c r="C1212" s="157" t="str">
        <f t="shared" si="37"/>
        <v>04.08.2023_KIN1</v>
      </c>
      <c r="D1212" s="190">
        <f t="shared" si="38"/>
        <v>0</v>
      </c>
      <c r="E1212" s="204">
        <v>4.4256130692142959E-2</v>
      </c>
      <c r="F1212" s="205">
        <v>4.2636933598790672E-2</v>
      </c>
      <c r="G1212" s="204">
        <v>3.5829644077066729E-2</v>
      </c>
      <c r="H1212" s="204">
        <v>4.5043755988502063E-2</v>
      </c>
      <c r="I1212" s="209">
        <v>10.103999999999999</v>
      </c>
      <c r="J1212" s="207">
        <v>2.3237254118401007</v>
      </c>
      <c r="K1212" s="209">
        <v>13.114000000000001</v>
      </c>
      <c r="L1212" s="209">
        <v>10.804</v>
      </c>
      <c r="M1212" s="212">
        <v>11.83</v>
      </c>
      <c r="N1212" s="225"/>
    </row>
    <row r="1213" spans="1:14" ht="16.5" customHeight="1" x14ac:dyDescent="0.25">
      <c r="A1213" s="203">
        <v>45142</v>
      </c>
      <c r="B1213" s="128" t="s">
        <v>2</v>
      </c>
      <c r="C1213" s="157" t="str">
        <f t="shared" si="37"/>
        <v>04.08.2023_KIN2</v>
      </c>
      <c r="D1213" s="190">
        <f t="shared" si="38"/>
        <v>0</v>
      </c>
      <c r="E1213" s="204">
        <v>6.4803619942066529E-2</v>
      </c>
      <c r="F1213" s="205">
        <v>3.5057531873054E-2</v>
      </c>
      <c r="G1213" s="204">
        <v>4.9265760605966775E-2</v>
      </c>
      <c r="H1213" s="204">
        <v>3.9744490578090055E-2</v>
      </c>
      <c r="I1213" s="209">
        <v>9.8620000000000001</v>
      </c>
      <c r="J1213" s="207">
        <v>2.2778845206094265</v>
      </c>
      <c r="K1213" s="209">
        <v>13.082000000000001</v>
      </c>
      <c r="L1213" s="209">
        <v>11.768000000000001</v>
      </c>
      <c r="M1213" s="212">
        <v>10.47</v>
      </c>
      <c r="N1213" s="225"/>
    </row>
    <row r="1214" spans="1:14" ht="16.5" customHeight="1" x14ac:dyDescent="0.25">
      <c r="A1214" s="203">
        <v>45142</v>
      </c>
      <c r="B1214" s="128" t="s">
        <v>4</v>
      </c>
      <c r="C1214" s="157" t="str">
        <f t="shared" si="37"/>
        <v>04.08.2023_KIN3</v>
      </c>
      <c r="D1214" s="190">
        <f t="shared" si="38"/>
        <v>0</v>
      </c>
      <c r="E1214" s="204">
        <v>7.2706500422806339E-2</v>
      </c>
      <c r="F1214" s="205">
        <v>2.9897701600359056E-2</v>
      </c>
      <c r="G1214" s="204">
        <v>4.2995572892480113E-2</v>
      </c>
      <c r="H1214" s="204">
        <v>2.3846694346854037E-2</v>
      </c>
      <c r="I1214" s="209">
        <v>7.923</v>
      </c>
      <c r="J1214" s="207">
        <v>1.8302137684891817</v>
      </c>
      <c r="K1214" s="209">
        <v>12.85</v>
      </c>
      <c r="L1214" s="209">
        <v>13.589</v>
      </c>
      <c r="M1214" s="212">
        <v>10.89</v>
      </c>
      <c r="N1214" s="225"/>
    </row>
    <row r="1215" spans="1:14" ht="16.5" customHeight="1" x14ac:dyDescent="0.25">
      <c r="A1215" s="203">
        <v>45142</v>
      </c>
      <c r="B1215" s="128" t="s">
        <v>6</v>
      </c>
      <c r="C1215" s="157" t="str">
        <f t="shared" si="37"/>
        <v>04.08.2023_KIN4</v>
      </c>
      <c r="D1215" s="190">
        <f t="shared" si="38"/>
        <v>0</v>
      </c>
      <c r="E1215" s="204">
        <v>9.483456576887786E-2</v>
      </c>
      <c r="F1215" s="205">
        <v>3.6958435529842334E-2</v>
      </c>
      <c r="G1215" s="204">
        <v>5.9118912727160168E-2</v>
      </c>
      <c r="H1215" s="204">
        <v>5.2992654104120109E-2</v>
      </c>
      <c r="I1215" s="209">
        <v>8.3770000000000007</v>
      </c>
      <c r="J1215" s="207">
        <v>1.954151848085512</v>
      </c>
      <c r="K1215" s="209">
        <v>16.859000000000002</v>
      </c>
      <c r="L1215" s="209">
        <v>13.88</v>
      </c>
      <c r="M1215" s="212">
        <v>9.4390000000000001</v>
      </c>
      <c r="N1215" s="225"/>
    </row>
    <row r="1216" spans="1:14" ht="16.5" customHeight="1" x14ac:dyDescent="0.25">
      <c r="A1216" s="203">
        <v>45142</v>
      </c>
      <c r="B1216" s="128" t="s">
        <v>34</v>
      </c>
      <c r="C1216" s="157" t="str">
        <f t="shared" si="37"/>
        <v>04.08.2023_KRE1</v>
      </c>
      <c r="D1216" s="190">
        <f t="shared" si="38"/>
        <v>0</v>
      </c>
      <c r="E1216" s="204">
        <v>5.0578435076734839E-2</v>
      </c>
      <c r="F1216" s="205">
        <v>6.8617242498790393E-2</v>
      </c>
      <c r="G1216" s="204">
        <v>0.16750358606028712</v>
      </c>
      <c r="H1216" s="204">
        <v>0.10068604279782813</v>
      </c>
      <c r="I1216" s="209">
        <v>4.07</v>
      </c>
      <c r="J1216" s="207">
        <v>1.0800096252697511</v>
      </c>
      <c r="K1216" s="209">
        <v>29</v>
      </c>
      <c r="L1216" s="209">
        <v>30.593</v>
      </c>
      <c r="M1216" s="212">
        <v>12.07</v>
      </c>
      <c r="N1216" s="225"/>
    </row>
    <row r="1217" spans="1:14" ht="16.5" customHeight="1" x14ac:dyDescent="0.25">
      <c r="A1217" s="203">
        <v>45142</v>
      </c>
      <c r="B1217" s="128" t="s">
        <v>37</v>
      </c>
      <c r="C1217" s="157" t="str">
        <f t="shared" si="37"/>
        <v>04.08.2023_KRE2</v>
      </c>
      <c r="D1217" s="190">
        <f t="shared" si="38"/>
        <v>0</v>
      </c>
      <c r="E1217" s="204">
        <v>0.2276029578453069</v>
      </c>
      <c r="F1217" s="205">
        <v>0.19618403754725447</v>
      </c>
      <c r="G1217" s="204">
        <v>1.9769006119521586</v>
      </c>
      <c r="H1217" s="204">
        <v>0.23051804535292242</v>
      </c>
      <c r="I1217" s="209">
        <v>4.1260000000000003</v>
      </c>
      <c r="J1217" s="207">
        <v>2.5371643950824287</v>
      </c>
      <c r="K1217" s="209">
        <v>25</v>
      </c>
      <c r="L1217" s="209">
        <v>17.026</v>
      </c>
      <c r="M1217" s="212">
        <v>10.01</v>
      </c>
      <c r="N1217" s="225"/>
    </row>
    <row r="1218" spans="1:14" ht="16.5" customHeight="1" x14ac:dyDescent="0.25">
      <c r="A1218" s="203">
        <v>45142</v>
      </c>
      <c r="B1218" s="128" t="s">
        <v>18</v>
      </c>
      <c r="C1218" s="157" t="str">
        <f t="shared" si="37"/>
        <v>04.08.2023_ORB1</v>
      </c>
      <c r="D1218" s="190">
        <f t="shared" si="38"/>
        <v>0</v>
      </c>
      <c r="E1218" s="204">
        <v>2.5289217538367468E-2</v>
      </c>
      <c r="F1218" s="205">
        <v>2.2658383051679564E-2</v>
      </c>
      <c r="G1218" s="204">
        <v>2.6872233057800093E-2</v>
      </c>
      <c r="H1218" s="204">
        <v>0</v>
      </c>
      <c r="I1218" s="209">
        <v>5.2460000000000004</v>
      </c>
      <c r="J1218" s="207">
        <v>1.2057800402470513</v>
      </c>
      <c r="K1218" s="209">
        <v>9.0690000000000008</v>
      </c>
      <c r="L1218" s="209">
        <v>12.587999999999999</v>
      </c>
      <c r="M1218" s="212">
        <v>12.71</v>
      </c>
      <c r="N1218" s="225"/>
    </row>
    <row r="1219" spans="1:14" ht="16.5" customHeight="1" x14ac:dyDescent="0.25">
      <c r="A1219" s="203">
        <v>45142</v>
      </c>
      <c r="B1219" s="128" t="s">
        <v>21</v>
      </c>
      <c r="C1219" s="157" t="str">
        <f t="shared" si="37"/>
        <v>04.08.2023_ORB2</v>
      </c>
      <c r="D1219" s="190">
        <f t="shared" si="38"/>
        <v>0</v>
      </c>
      <c r="E1219" s="204">
        <v>4.8997858980586916E-2</v>
      </c>
      <c r="F1219" s="205">
        <v>2.2348147153755264E-2</v>
      </c>
      <c r="G1219" s="204">
        <v>4.389131399440676E-2</v>
      </c>
      <c r="H1219" s="204">
        <v>0</v>
      </c>
      <c r="I1219" s="209">
        <v>5.53</v>
      </c>
      <c r="J1219" s="207">
        <v>1.283142266403517</v>
      </c>
      <c r="K1219" s="209">
        <v>16.52</v>
      </c>
      <c r="L1219" s="209">
        <v>15.194000000000001</v>
      </c>
      <c r="M1219" s="212">
        <v>10.24</v>
      </c>
      <c r="N1219" s="225"/>
    </row>
    <row r="1220" spans="1:14" ht="16.5" customHeight="1" x14ac:dyDescent="0.25">
      <c r="A1220" s="203">
        <v>45142</v>
      </c>
      <c r="B1220" s="128" t="s">
        <v>10</v>
      </c>
      <c r="C1220" s="157" t="str">
        <f t="shared" si="37"/>
        <v>04.08.2023_SAL1</v>
      </c>
      <c r="D1220" s="190">
        <f t="shared" si="38"/>
        <v>0</v>
      </c>
      <c r="E1220" s="204">
        <v>0.10747917453806156</v>
      </c>
      <c r="F1220" s="205">
        <v>4.4541819164581845E-2</v>
      </c>
      <c r="G1220" s="204">
        <v>3.0455197465506748E-2</v>
      </c>
      <c r="H1220" s="204">
        <v>6.6240817630149997E-3</v>
      </c>
      <c r="I1220" s="209">
        <v>5.093</v>
      </c>
      <c r="J1220" s="207">
        <v>1.1760207679727412</v>
      </c>
      <c r="K1220" s="209">
        <v>7.9379999999999997</v>
      </c>
      <c r="L1220" s="209">
        <v>7.3920000000000003</v>
      </c>
      <c r="M1220" s="212">
        <v>10.26</v>
      </c>
      <c r="N1220" s="225"/>
    </row>
    <row r="1221" spans="1:14" ht="16.5" customHeight="1" x14ac:dyDescent="0.25">
      <c r="A1221" s="203">
        <v>45142</v>
      </c>
      <c r="B1221" s="128" t="s">
        <v>12</v>
      </c>
      <c r="C1221" s="157" t="str">
        <f t="shared" ref="C1221:C1284" si="39">CONCATENATE(TEXT(A1221,"TT.MM.JJJJ"),"_",B1221)</f>
        <v>04.08.2023_SAL2</v>
      </c>
      <c r="D1221" s="190">
        <f t="shared" ref="D1221:D1284" si="40">COUNTBLANK(E1221:L1221)</f>
        <v>0</v>
      </c>
      <c r="E1221" s="204">
        <v>0.10589859844191364</v>
      </c>
      <c r="F1221" s="205">
        <v>4.2908005431715142E-2</v>
      </c>
      <c r="G1221" s="204">
        <v>3.7621126280920097E-2</v>
      </c>
      <c r="H1221" s="204">
        <v>2.5171510699457059E-2</v>
      </c>
      <c r="I1221" s="209">
        <v>5.532</v>
      </c>
      <c r="J1221" s="207">
        <v>1.2863887347783214</v>
      </c>
      <c r="K1221" s="209">
        <v>8.3789999999999996</v>
      </c>
      <c r="L1221" s="209">
        <v>7.6310000000000002</v>
      </c>
      <c r="M1221" s="212">
        <v>10.199999999999999</v>
      </c>
      <c r="N1221" s="225"/>
    </row>
    <row r="1222" spans="1:14" ht="16.5" customHeight="1" x14ac:dyDescent="0.25">
      <c r="A1222" s="203">
        <v>45142</v>
      </c>
      <c r="B1222" s="128" t="s">
        <v>7</v>
      </c>
      <c r="C1222" s="157" t="str">
        <f t="shared" si="39"/>
        <v>04.08.2023_STE1</v>
      </c>
      <c r="D1222" s="190">
        <f t="shared" si="40"/>
        <v>0</v>
      </c>
      <c r="E1222" s="204">
        <v>5.6900739461326691E-2</v>
      </c>
      <c r="F1222" s="205">
        <v>5.1732082944397122E-2</v>
      </c>
      <c r="G1222" s="204">
        <v>9.4052815702300299E-2</v>
      </c>
      <c r="H1222" s="204">
        <v>0</v>
      </c>
      <c r="I1222" s="209">
        <v>7.75</v>
      </c>
      <c r="J1222" s="207">
        <v>1.8235235708646791</v>
      </c>
      <c r="K1222" s="209">
        <v>10.041</v>
      </c>
      <c r="L1222" s="209">
        <v>8.66</v>
      </c>
      <c r="M1222" s="212">
        <v>13.17</v>
      </c>
      <c r="N1222" s="225"/>
    </row>
    <row r="1223" spans="1:14" ht="16.5" customHeight="1" x14ac:dyDescent="0.25">
      <c r="A1223" s="203">
        <v>45142</v>
      </c>
      <c r="B1223" s="128" t="s">
        <v>9</v>
      </c>
      <c r="C1223" s="157" t="str">
        <f t="shared" si="39"/>
        <v>04.08.2023_STE2</v>
      </c>
      <c r="D1223" s="190">
        <f t="shared" si="40"/>
        <v>0</v>
      </c>
      <c r="E1223" s="204">
        <v>7.9028804807398212E-2</v>
      </c>
      <c r="F1223" s="205">
        <v>4.59799232726288E-2</v>
      </c>
      <c r="G1223" s="204">
        <v>4.7474278402113448E-2</v>
      </c>
      <c r="H1223" s="204">
        <v>3.7094857872884038E-2</v>
      </c>
      <c r="I1223" s="209">
        <v>6.98</v>
      </c>
      <c r="J1223" s="207">
        <v>1.6247294319158567</v>
      </c>
      <c r="K1223" s="209">
        <v>10.558999999999999</v>
      </c>
      <c r="L1223" s="209">
        <v>8.6050000000000004</v>
      </c>
      <c r="M1223" s="212">
        <v>11.03</v>
      </c>
      <c r="N1223" s="225"/>
    </row>
    <row r="1224" spans="1:14" ht="16.5" customHeight="1" x14ac:dyDescent="0.25">
      <c r="A1224" s="203">
        <v>45156</v>
      </c>
      <c r="B1224" s="128" t="s">
        <v>22</v>
      </c>
      <c r="C1224" s="157" t="str">
        <f t="shared" si="39"/>
        <v>18.08.2023_BIE1</v>
      </c>
      <c r="D1224" s="190">
        <f t="shared" si="40"/>
        <v>0</v>
      </c>
      <c r="E1224" s="204">
        <v>2.7118217298250025E-2</v>
      </c>
      <c r="F1224" s="205">
        <v>1.511974580176942E-2</v>
      </c>
      <c r="G1224" s="204">
        <v>4.2341902873927056E-2</v>
      </c>
      <c r="H1224" s="204">
        <v>9.6834181979189735E-2</v>
      </c>
      <c r="I1224" s="209">
        <v>3.798</v>
      </c>
      <c r="J1224" s="207">
        <v>0.9202134908661399</v>
      </c>
      <c r="K1224" s="209">
        <v>6.3109999999999999</v>
      </c>
      <c r="L1224" s="209">
        <v>13.436</v>
      </c>
      <c r="M1224" s="212"/>
      <c r="N1224" s="225"/>
    </row>
    <row r="1225" spans="1:14" ht="16.5" customHeight="1" x14ac:dyDescent="0.25">
      <c r="A1225" s="203">
        <v>45156</v>
      </c>
      <c r="B1225" s="128" t="s">
        <v>25</v>
      </c>
      <c r="C1225" s="157" t="str">
        <f t="shared" si="39"/>
        <v>18.08.2023_BIE2</v>
      </c>
      <c r="D1225" s="190">
        <f t="shared" si="40"/>
        <v>0</v>
      </c>
      <c r="E1225" s="204">
        <v>4.3690461202736154E-2</v>
      </c>
      <c r="F1225" s="205">
        <v>1.9515062201230966E-2</v>
      </c>
      <c r="G1225" s="204">
        <v>6.8467757838690593E-2</v>
      </c>
      <c r="H1225" s="204">
        <v>0.23536085897719733</v>
      </c>
      <c r="I1225" s="209">
        <v>3.7519999999999998</v>
      </c>
      <c r="J1225" s="207">
        <v>0.97228438279977236</v>
      </c>
      <c r="K1225" s="209">
        <v>6.843</v>
      </c>
      <c r="L1225" s="209">
        <v>13.12</v>
      </c>
      <c r="M1225" s="212"/>
      <c r="N1225" s="225"/>
    </row>
    <row r="1226" spans="1:14" ht="16.5" customHeight="1" x14ac:dyDescent="0.25">
      <c r="A1226" s="203">
        <v>45156</v>
      </c>
      <c r="B1226" s="128" t="s">
        <v>14</v>
      </c>
      <c r="C1226" s="157" t="str">
        <f t="shared" si="39"/>
        <v>18.08.2023_BRA1</v>
      </c>
      <c r="D1226" s="190">
        <f t="shared" si="40"/>
        <v>0</v>
      </c>
      <c r="E1226" s="204">
        <v>7.8341516639389014E-2</v>
      </c>
      <c r="F1226" s="205">
        <v>4.1814075480347955E-2</v>
      </c>
      <c r="G1226" s="204">
        <v>3.3332987368836241E-2</v>
      </c>
      <c r="H1226" s="204">
        <v>5.5141686960371923E-2</v>
      </c>
      <c r="I1226" s="209">
        <v>5.8159999999999998</v>
      </c>
      <c r="J1226" s="207">
        <v>1.3563305379571127</v>
      </c>
      <c r="K1226" s="209">
        <v>5.0810000000000004</v>
      </c>
      <c r="L1226" s="209">
        <v>6.92</v>
      </c>
      <c r="M1226" s="212"/>
      <c r="N1226" s="225"/>
    </row>
    <row r="1227" spans="1:14" ht="16.5" customHeight="1" x14ac:dyDescent="0.25">
      <c r="A1227" s="203">
        <v>45156</v>
      </c>
      <c r="B1227" s="128" t="s">
        <v>17</v>
      </c>
      <c r="C1227" s="157" t="str">
        <f t="shared" si="39"/>
        <v>18.08.2023_BRA2</v>
      </c>
      <c r="D1227" s="190">
        <f t="shared" si="40"/>
        <v>0</v>
      </c>
      <c r="E1227" s="204">
        <v>4.9716731713458411E-2</v>
      </c>
      <c r="F1227" s="205">
        <v>4.5189774937001909E-2</v>
      </c>
      <c r="G1227" s="204">
        <v>3.8738336671890694E-2</v>
      </c>
      <c r="H1227" s="204">
        <v>4.9762010183750274E-2</v>
      </c>
      <c r="I1227" s="209">
        <v>6.5739999999999998</v>
      </c>
      <c r="J1227" s="207">
        <v>1.5300993550427993</v>
      </c>
      <c r="K1227" s="209">
        <v>6.1349999999999998</v>
      </c>
      <c r="L1227" s="209">
        <v>7.6710000000000003</v>
      </c>
      <c r="M1227" s="212"/>
      <c r="N1227" s="225"/>
    </row>
    <row r="1228" spans="1:14" ht="16.5" customHeight="1" x14ac:dyDescent="0.25">
      <c r="A1228" s="203">
        <v>45156</v>
      </c>
      <c r="B1228" s="128" t="s">
        <v>30</v>
      </c>
      <c r="C1228" s="157" t="str">
        <f t="shared" si="39"/>
        <v>18.08.2023_FAL1</v>
      </c>
      <c r="D1228" s="190">
        <f t="shared" si="40"/>
        <v>0</v>
      </c>
      <c r="E1228" s="204">
        <v>0.47004909983633392</v>
      </c>
      <c r="F1228" s="205">
        <v>0.4537784563663822</v>
      </c>
      <c r="G1228" s="204">
        <v>0.39368960757247101</v>
      </c>
      <c r="H1228" s="204">
        <v>0.49627518264334758</v>
      </c>
      <c r="I1228" s="209">
        <v>9.4930000000000003</v>
      </c>
      <c r="J1228" s="207">
        <v>2.600970932739715</v>
      </c>
      <c r="K1228" s="209">
        <v>58</v>
      </c>
      <c r="L1228" s="209">
        <v>39</v>
      </c>
      <c r="M1228" s="212"/>
      <c r="N1228" s="225"/>
    </row>
    <row r="1229" spans="1:14" ht="16.5" customHeight="1" x14ac:dyDescent="0.25">
      <c r="A1229" s="203">
        <v>45156</v>
      </c>
      <c r="B1229" s="128" t="s">
        <v>32</v>
      </c>
      <c r="C1229" s="157" t="str">
        <f t="shared" si="39"/>
        <v>18.08.2023_FAL2</v>
      </c>
      <c r="D1229" s="190">
        <f t="shared" si="40"/>
        <v>0</v>
      </c>
      <c r="E1229" s="204">
        <v>0.20639976499223642</v>
      </c>
      <c r="F1229" s="205">
        <v>0.12117875812155485</v>
      </c>
      <c r="G1229" s="204">
        <v>5.8557950783090638E-2</v>
      </c>
      <c r="H1229" s="204">
        <v>0.14525127296878465</v>
      </c>
      <c r="I1229" s="209">
        <v>11.356999999999999</v>
      </c>
      <c r="J1229" s="207">
        <v>2.6548970032589083</v>
      </c>
      <c r="K1229" s="209">
        <v>42</v>
      </c>
      <c r="L1229" s="209">
        <v>35</v>
      </c>
      <c r="M1229" s="212"/>
      <c r="N1229" s="225"/>
    </row>
    <row r="1230" spans="1:14" ht="16.5" customHeight="1" x14ac:dyDescent="0.25">
      <c r="A1230" s="203">
        <v>45156</v>
      </c>
      <c r="B1230" s="128" t="s">
        <v>26</v>
      </c>
      <c r="C1230" s="157" t="str">
        <f t="shared" si="39"/>
        <v>18.08.2023_GRU1</v>
      </c>
      <c r="D1230" s="190">
        <f t="shared" si="40"/>
        <v>0</v>
      </c>
      <c r="E1230" s="204">
        <v>0</v>
      </c>
      <c r="F1230" s="205">
        <v>2.2475820523086418E-2</v>
      </c>
      <c r="G1230" s="204">
        <v>2.4324071863745352E-2</v>
      </c>
      <c r="H1230" s="204">
        <v>1.2104272747398703E-2</v>
      </c>
      <c r="I1230" s="209">
        <v>3.298</v>
      </c>
      <c r="J1230" s="207">
        <v>0.7674918043994251</v>
      </c>
      <c r="K1230" s="209">
        <v>6.1180000000000003</v>
      </c>
      <c r="L1230" s="209">
        <v>11.676</v>
      </c>
      <c r="M1230" s="212"/>
      <c r="N1230" s="225"/>
    </row>
    <row r="1231" spans="1:14" ht="16.5" customHeight="1" x14ac:dyDescent="0.25">
      <c r="A1231" s="203">
        <v>45156</v>
      </c>
      <c r="B1231" s="128" t="s">
        <v>28</v>
      </c>
      <c r="C1231" s="157" t="str">
        <f t="shared" si="39"/>
        <v>18.08.2023_GRU2</v>
      </c>
      <c r="D1231" s="190">
        <f t="shared" si="40"/>
        <v>0</v>
      </c>
      <c r="E1231" s="204">
        <v>2.4105082042888932E-2</v>
      </c>
      <c r="F1231" s="205">
        <v>2.2521992048787493E-2</v>
      </c>
      <c r="G1231" s="204">
        <v>4.9549035277999746E-2</v>
      </c>
      <c r="H1231" s="204">
        <v>2.6898383883108105E-3</v>
      </c>
      <c r="I1231" s="209">
        <v>3.2949999999999999</v>
      </c>
      <c r="J1231" s="207">
        <v>0.78353490170033524</v>
      </c>
      <c r="K1231" s="209">
        <v>6.89</v>
      </c>
      <c r="L1231" s="209">
        <v>10.609</v>
      </c>
      <c r="M1231" s="212"/>
      <c r="N1231" s="225"/>
    </row>
    <row r="1232" spans="1:14" ht="16.5" customHeight="1" x14ac:dyDescent="0.25">
      <c r="A1232" s="203">
        <v>45156</v>
      </c>
      <c r="B1232" s="128" t="s">
        <v>0</v>
      </c>
      <c r="C1232" s="157" t="str">
        <f t="shared" si="39"/>
        <v>18.08.2023_KIN1</v>
      </c>
      <c r="D1232" s="190">
        <f t="shared" si="40"/>
        <v>0</v>
      </c>
      <c r="E1232" s="204">
        <v>0.11449913970372243</v>
      </c>
      <c r="F1232" s="205">
        <v>0.13194956395551413</v>
      </c>
      <c r="G1232" s="204">
        <v>0.1126114438136359</v>
      </c>
      <c r="H1232" s="204">
        <v>2.958822227141911E-2</v>
      </c>
      <c r="I1232" s="209">
        <v>8.9009999999999998</v>
      </c>
      <c r="J1232" s="207">
        <v>2.1069186642773836</v>
      </c>
      <c r="K1232" s="209">
        <v>8.4339999999999993</v>
      </c>
      <c r="L1232" s="209">
        <v>7.0069999999999997</v>
      </c>
      <c r="M1232" s="212"/>
      <c r="N1232" s="225"/>
    </row>
    <row r="1233" spans="1:14" ht="16.5" customHeight="1" x14ac:dyDescent="0.25">
      <c r="A1233" s="203">
        <v>45156</v>
      </c>
      <c r="B1233" s="128" t="s">
        <v>2</v>
      </c>
      <c r="C1233" s="157" t="str">
        <f t="shared" si="39"/>
        <v>18.08.2023_KIN2</v>
      </c>
      <c r="D1233" s="190">
        <f t="shared" si="40"/>
        <v>0</v>
      </c>
      <c r="E1233" s="204">
        <v>0.11901884258676398</v>
      </c>
      <c r="F1233" s="205">
        <v>9.054563422224042E-2</v>
      </c>
      <c r="G1233" s="204">
        <v>6.9368649389199691E-2</v>
      </c>
      <c r="H1233" s="204">
        <v>2.958822227141911E-2</v>
      </c>
      <c r="I1233" s="209">
        <v>8.5440000000000005</v>
      </c>
      <c r="J1233" s="207">
        <v>1.9927054768347532</v>
      </c>
      <c r="K1233" s="209">
        <v>8.2569999999999997</v>
      </c>
      <c r="L1233" s="209">
        <v>7.2720000000000002</v>
      </c>
      <c r="M1233" s="212"/>
      <c r="N1233" s="225"/>
    </row>
    <row r="1234" spans="1:14" ht="16.5" customHeight="1" x14ac:dyDescent="0.25">
      <c r="A1234" s="203">
        <v>45156</v>
      </c>
      <c r="B1234" s="128" t="s">
        <v>4</v>
      </c>
      <c r="C1234" s="157" t="str">
        <f t="shared" si="39"/>
        <v>18.08.2023_KIN3</v>
      </c>
      <c r="D1234" s="190">
        <f t="shared" si="40"/>
        <v>0</v>
      </c>
      <c r="E1234" s="204">
        <v>0.12052541021444456</v>
      </c>
      <c r="F1234" s="205">
        <v>8.0782312152630167E-2</v>
      </c>
      <c r="G1234" s="204">
        <v>5.2251709929527011E-2</v>
      </c>
      <c r="H1234" s="204">
        <v>5.7831525348682786E-2</v>
      </c>
      <c r="I1234" s="209">
        <v>7.8230000000000004</v>
      </c>
      <c r="J1234" s="207">
        <v>1.8251607481355849</v>
      </c>
      <c r="K1234" s="209">
        <v>7.8140000000000001</v>
      </c>
      <c r="L1234" s="209">
        <v>7.98</v>
      </c>
      <c r="M1234" s="212"/>
      <c r="N1234" s="225"/>
    </row>
    <row r="1235" spans="1:14" ht="16.5" customHeight="1" x14ac:dyDescent="0.25">
      <c r="A1235" s="203">
        <v>45156</v>
      </c>
      <c r="B1235" s="128" t="s">
        <v>6</v>
      </c>
      <c r="C1235" s="157" t="str">
        <f t="shared" si="39"/>
        <v>18.08.2023_KIN4</v>
      </c>
      <c r="D1235" s="190">
        <f t="shared" si="40"/>
        <v>0</v>
      </c>
      <c r="E1235" s="204">
        <v>0.1310713836082085</v>
      </c>
      <c r="F1235" s="205">
        <v>7.8611763520124153E-2</v>
      </c>
      <c r="G1235" s="204">
        <v>0.10089985365701774</v>
      </c>
      <c r="H1235" s="204">
        <v>0.10893845472658846</v>
      </c>
      <c r="I1235" s="209">
        <v>8.0470000000000006</v>
      </c>
      <c r="J1235" s="207">
        <v>1.9290899299076476</v>
      </c>
      <c r="K1235" s="209">
        <v>9.1910000000000007</v>
      </c>
      <c r="L1235" s="209">
        <v>8.3849999999999998</v>
      </c>
      <c r="M1235" s="212"/>
      <c r="N1235" s="225"/>
    </row>
    <row r="1236" spans="1:14" ht="16.5" customHeight="1" x14ac:dyDescent="0.25">
      <c r="A1236" s="203">
        <v>45156</v>
      </c>
      <c r="B1236" s="128" t="s">
        <v>34</v>
      </c>
      <c r="C1236" s="157" t="str">
        <f t="shared" si="39"/>
        <v>18.08.2023_KRE1</v>
      </c>
      <c r="D1236" s="190">
        <f t="shared" si="40"/>
        <v>0</v>
      </c>
      <c r="E1236" s="204">
        <v>0.12805824835284732</v>
      </c>
      <c r="F1236" s="205">
        <v>0.13483131739091128</v>
      </c>
      <c r="G1236" s="204">
        <v>1.0035931872671227</v>
      </c>
      <c r="H1236" s="204">
        <v>0.19366836395837958</v>
      </c>
      <c r="I1236" s="209">
        <v>3.2909999999999999</v>
      </c>
      <c r="J1236" s="207">
        <v>1.5815805773881766</v>
      </c>
      <c r="K1236" s="209">
        <v>21.715</v>
      </c>
      <c r="L1236" s="209">
        <v>15.502000000000001</v>
      </c>
      <c r="M1236" s="212"/>
      <c r="N1236" s="225"/>
    </row>
    <row r="1237" spans="1:14" ht="16.5" customHeight="1" x14ac:dyDescent="0.25">
      <c r="A1237" s="203">
        <v>45156</v>
      </c>
      <c r="B1237" s="128" t="s">
        <v>37</v>
      </c>
      <c r="C1237" s="157" t="str">
        <f t="shared" si="39"/>
        <v>18.08.2023_KRE2</v>
      </c>
      <c r="D1237" s="190">
        <f t="shared" si="40"/>
        <v>0</v>
      </c>
      <c r="E1237" s="204">
        <v>0.22749171177976421</v>
      </c>
      <c r="F1237" s="205">
        <v>0.2418698860746758</v>
      </c>
      <c r="G1237" s="204">
        <v>2.6702425557089335</v>
      </c>
      <c r="H1237" s="204">
        <v>0.36850785919858325</v>
      </c>
      <c r="I1237" s="209">
        <v>4.8339999999999996</v>
      </c>
      <c r="J1237" s="207">
        <v>3.2774644398154384</v>
      </c>
      <c r="K1237" s="209">
        <v>26.798999999999999</v>
      </c>
      <c r="L1237" s="209">
        <v>16.699000000000002</v>
      </c>
      <c r="M1237" s="212"/>
      <c r="N1237" s="225"/>
    </row>
    <row r="1238" spans="1:14" ht="16.5" customHeight="1" x14ac:dyDescent="0.25">
      <c r="A1238" s="203">
        <v>45156</v>
      </c>
      <c r="B1238" s="128" t="s">
        <v>18</v>
      </c>
      <c r="C1238" s="157" t="str">
        <f t="shared" si="39"/>
        <v>18.08.2023_ORB1</v>
      </c>
      <c r="D1238" s="190">
        <f t="shared" si="40"/>
        <v>0</v>
      </c>
      <c r="E1238" s="204">
        <v>2.8624784925930607E-2</v>
      </c>
      <c r="F1238" s="205">
        <v>1.9112905334244343E-2</v>
      </c>
      <c r="G1238" s="204">
        <v>3.0630312717308976E-2</v>
      </c>
      <c r="H1238" s="204">
        <v>7.3970555678547767E-2</v>
      </c>
      <c r="I1238" s="209">
        <v>6.7519999999999998</v>
      </c>
      <c r="J1238" s="207">
        <v>1.5713787071981971</v>
      </c>
      <c r="K1238" s="209">
        <v>7.6719999999999997</v>
      </c>
      <c r="L1238" s="209">
        <v>12.571999999999999</v>
      </c>
      <c r="M1238" s="212"/>
      <c r="N1238" s="225"/>
    </row>
    <row r="1239" spans="1:14" ht="16.5" customHeight="1" x14ac:dyDescent="0.25">
      <c r="A1239" s="203">
        <v>45156</v>
      </c>
      <c r="B1239" s="128" t="s">
        <v>21</v>
      </c>
      <c r="C1239" s="157" t="str">
        <f t="shared" si="39"/>
        <v>18.08.2023_ORB2</v>
      </c>
      <c r="D1239" s="190">
        <f t="shared" si="40"/>
        <v>0</v>
      </c>
      <c r="E1239" s="204">
        <v>5.4236434596500051E-2</v>
      </c>
      <c r="F1239" s="205">
        <v>2.1663543891254619E-2</v>
      </c>
      <c r="G1239" s="204">
        <v>2.8828529616290777E-2</v>
      </c>
      <c r="H1239" s="204">
        <v>0.11969780827983176</v>
      </c>
      <c r="I1239" s="209">
        <v>6.9909999999999997</v>
      </c>
      <c r="J1239" s="207">
        <v>1.6378842326925482</v>
      </c>
      <c r="K1239" s="209">
        <v>13.284000000000001</v>
      </c>
      <c r="L1239" s="209">
        <v>14.746</v>
      </c>
      <c r="M1239" s="212"/>
      <c r="N1239" s="225"/>
    </row>
    <row r="1240" spans="1:14" ht="16.5" customHeight="1" x14ac:dyDescent="0.25">
      <c r="A1240" s="203">
        <v>45156</v>
      </c>
      <c r="B1240" s="128" t="s">
        <v>10</v>
      </c>
      <c r="C1240" s="157" t="str">
        <f t="shared" si="39"/>
        <v>18.08.2023_SAL1</v>
      </c>
      <c r="D1240" s="190">
        <f t="shared" si="40"/>
        <v>0</v>
      </c>
      <c r="E1240" s="204">
        <v>6.4782407990263954E-2</v>
      </c>
      <c r="F1240" s="205">
        <v>4.2167233460391654E-2</v>
      </c>
      <c r="G1240" s="204">
        <v>2.6125854964763513E-2</v>
      </c>
      <c r="H1240" s="204">
        <v>0.16945981846358213</v>
      </c>
      <c r="I1240" s="209">
        <v>4.5579999999999998</v>
      </c>
      <c r="J1240" s="207">
        <v>1.1013939668528268</v>
      </c>
      <c r="K1240" s="209">
        <v>5.194</v>
      </c>
      <c r="L1240" s="209">
        <v>6.9480000000000004</v>
      </c>
      <c r="M1240" s="212"/>
      <c r="N1240" s="225"/>
    </row>
    <row r="1241" spans="1:14" ht="16.5" customHeight="1" x14ac:dyDescent="0.25">
      <c r="A1241" s="203">
        <v>45156</v>
      </c>
      <c r="B1241" s="128" t="s">
        <v>12</v>
      </c>
      <c r="C1241" s="157" t="str">
        <f t="shared" si="39"/>
        <v>18.08.2023_SAL2</v>
      </c>
      <c r="D1241" s="190">
        <f t="shared" si="40"/>
        <v>0</v>
      </c>
      <c r="E1241" s="204">
        <v>9.7926895799236233E-2</v>
      </c>
      <c r="F1241" s="205">
        <v>4.2018123408358379E-2</v>
      </c>
      <c r="G1241" s="204">
        <v>2.0720505661708986E-2</v>
      </c>
      <c r="H1241" s="204">
        <v>0.23132610139473109</v>
      </c>
      <c r="I1241" s="209">
        <v>5.3490000000000002</v>
      </c>
      <c r="J1241" s="207">
        <v>1.2946951270108862</v>
      </c>
      <c r="K1241" s="209">
        <v>5.4249999999999998</v>
      </c>
      <c r="L1241" s="209">
        <v>7.0979999999999999</v>
      </c>
      <c r="M1241" s="212"/>
      <c r="N1241" s="225"/>
    </row>
    <row r="1242" spans="1:14" ht="16.5" customHeight="1" x14ac:dyDescent="0.25">
      <c r="A1242" s="203">
        <v>45156</v>
      </c>
      <c r="B1242" s="128" t="s">
        <v>7</v>
      </c>
      <c r="C1242" s="157" t="str">
        <f t="shared" si="39"/>
        <v>18.08.2023_STE1</v>
      </c>
      <c r="D1242" s="190">
        <f t="shared" si="40"/>
        <v>0</v>
      </c>
      <c r="E1242" s="204">
        <v>8.4367787150111215E-2</v>
      </c>
      <c r="F1242" s="205">
        <v>7.613821258034742E-2</v>
      </c>
      <c r="G1242" s="204">
        <v>5.0449926828508844E-2</v>
      </c>
      <c r="H1242" s="204">
        <v>6.05213637369936E-2</v>
      </c>
      <c r="I1242" s="209">
        <v>6.7679999999999998</v>
      </c>
      <c r="J1242" s="207">
        <v>1.5862877528727963</v>
      </c>
      <c r="K1242" s="209">
        <v>4.7640000000000002</v>
      </c>
      <c r="L1242" s="209">
        <v>5.4550000000000001</v>
      </c>
      <c r="M1242" s="212"/>
      <c r="N1242" s="225"/>
    </row>
    <row r="1243" spans="1:14" ht="16.5" customHeight="1" x14ac:dyDescent="0.25">
      <c r="A1243" s="203">
        <v>45156</v>
      </c>
      <c r="B1243" s="128" t="s">
        <v>9</v>
      </c>
      <c r="C1243" s="157" t="str">
        <f t="shared" si="39"/>
        <v>18.08.2023_STE2</v>
      </c>
      <c r="D1243" s="190">
        <f t="shared" si="40"/>
        <v>0</v>
      </c>
      <c r="E1243" s="204">
        <v>9.6420328171555728E-2</v>
      </c>
      <c r="F1243" s="205">
        <v>7.6839261723191332E-2</v>
      </c>
      <c r="G1243" s="204">
        <v>4.7747252176981579E-2</v>
      </c>
      <c r="H1243" s="204">
        <v>4.5727252601284026E-2</v>
      </c>
      <c r="I1243" s="209">
        <v>5.7370000000000001</v>
      </c>
      <c r="J1243" s="207">
        <v>1.3468131158973653</v>
      </c>
      <c r="K1243" s="209">
        <v>4.9509999999999996</v>
      </c>
      <c r="L1243" s="209">
        <v>5.3860000000000001</v>
      </c>
      <c r="M1243" s="212"/>
      <c r="N1243" s="225"/>
    </row>
    <row r="1244" spans="1:14" ht="16.5" customHeight="1" x14ac:dyDescent="0.25">
      <c r="A1244" s="203">
        <v>45169</v>
      </c>
      <c r="B1244" s="128" t="s">
        <v>22</v>
      </c>
      <c r="C1244" s="157" t="str">
        <f t="shared" si="39"/>
        <v>31.08.2023_BIE1</v>
      </c>
      <c r="D1244" s="190">
        <f t="shared" si="40"/>
        <v>0</v>
      </c>
      <c r="E1244" s="204">
        <v>8.9218521387382704E-2</v>
      </c>
      <c r="F1244" s="205">
        <v>1.5244690480283513E-2</v>
      </c>
      <c r="G1244" s="204">
        <v>4.492288582962424E-2</v>
      </c>
      <c r="H1244" s="204">
        <v>3.4919875130072844E-2</v>
      </c>
      <c r="I1244" s="209">
        <v>3.661</v>
      </c>
      <c r="J1244" s="207">
        <v>0.87242359760119548</v>
      </c>
      <c r="K1244" s="209">
        <v>6.4409999999999998</v>
      </c>
      <c r="L1244" s="209">
        <v>13.000999999999999</v>
      </c>
      <c r="M1244" s="212"/>
      <c r="N1244" s="225"/>
    </row>
    <row r="1245" spans="1:14" ht="16.5" customHeight="1" x14ac:dyDescent="0.25">
      <c r="A1245" s="203">
        <v>45169</v>
      </c>
      <c r="B1245" s="128" t="s">
        <v>25</v>
      </c>
      <c r="C1245" s="157" t="str">
        <f t="shared" si="39"/>
        <v>31.08.2023_BIE2</v>
      </c>
      <c r="D1245" s="190">
        <f t="shared" si="40"/>
        <v>0</v>
      </c>
      <c r="E1245" s="204">
        <v>0</v>
      </c>
      <c r="F1245" s="205">
        <v>1.5873692561860307E-2</v>
      </c>
      <c r="G1245" s="204">
        <v>2.6953731497774563E-2</v>
      </c>
      <c r="H1245" s="204">
        <v>1.7459937565036422E-2</v>
      </c>
      <c r="I1245" s="209">
        <v>3.6930000000000001</v>
      </c>
      <c r="J1245" s="207">
        <v>0.86038289096238219</v>
      </c>
      <c r="K1245" s="209">
        <v>6.8339999999999996</v>
      </c>
      <c r="L1245" s="209">
        <v>13.08</v>
      </c>
      <c r="M1245" s="212"/>
      <c r="N1245" s="225"/>
    </row>
    <row r="1246" spans="1:14" ht="16.5" customHeight="1" x14ac:dyDescent="0.25">
      <c r="A1246" s="203">
        <v>45169</v>
      </c>
      <c r="B1246" s="128" t="s">
        <v>14</v>
      </c>
      <c r="C1246" s="157" t="str">
        <f t="shared" si="39"/>
        <v>31.08.2023_BRA1</v>
      </c>
      <c r="D1246" s="190">
        <f t="shared" si="40"/>
        <v>0</v>
      </c>
      <c r="E1246" s="204">
        <v>1.6633961614596769E-2</v>
      </c>
      <c r="F1246" s="205">
        <v>2.8444906233646775E-2</v>
      </c>
      <c r="G1246" s="204">
        <v>2.2461442914812148E-2</v>
      </c>
      <c r="H1246" s="204">
        <v>2.0541103017689889E-2</v>
      </c>
      <c r="I1246" s="209">
        <v>4.5679999999999996</v>
      </c>
      <c r="J1246" s="207">
        <v>1.0554689846226579</v>
      </c>
      <c r="K1246" s="209">
        <v>6.077</v>
      </c>
      <c r="L1246" s="209">
        <v>5.4020000000000001</v>
      </c>
      <c r="M1246" s="212"/>
      <c r="N1246" s="225"/>
    </row>
    <row r="1247" spans="1:14" ht="16.5" customHeight="1" x14ac:dyDescent="0.25">
      <c r="A1247" s="203">
        <v>45169</v>
      </c>
      <c r="B1247" s="128" t="s">
        <v>17</v>
      </c>
      <c r="C1247" s="157" t="str">
        <f t="shared" si="39"/>
        <v>31.08.2023_BRA2</v>
      </c>
      <c r="D1247" s="190">
        <f t="shared" si="40"/>
        <v>0</v>
      </c>
      <c r="E1247" s="204">
        <v>4.838970651519061E-2</v>
      </c>
      <c r="F1247" s="205">
        <v>4.6174467605479622E-2</v>
      </c>
      <c r="G1247" s="204">
        <v>1.7969154331849691E-2</v>
      </c>
      <c r="H1247" s="204">
        <v>1.1297606659729445E-2</v>
      </c>
      <c r="I1247" s="209">
        <v>6.468</v>
      </c>
      <c r="J1247" s="207">
        <v>1.4783195849946926</v>
      </c>
      <c r="K1247" s="209">
        <v>8.1980000000000004</v>
      </c>
      <c r="L1247" s="209">
        <v>6.1189999999999998</v>
      </c>
      <c r="M1247" s="212"/>
      <c r="N1247" s="225"/>
    </row>
    <row r="1248" spans="1:14" ht="16.5" customHeight="1" x14ac:dyDescent="0.25">
      <c r="A1248" s="203">
        <v>45169</v>
      </c>
      <c r="B1248" s="128" t="s">
        <v>30</v>
      </c>
      <c r="C1248" s="157" t="str">
        <f t="shared" si="39"/>
        <v>31.08.2023_FAL1</v>
      </c>
      <c r="D1248" s="190">
        <f t="shared" si="40"/>
        <v>0</v>
      </c>
      <c r="E1248" s="204">
        <v>0.36594715552112911</v>
      </c>
      <c r="F1248" s="205">
        <v>0.25738729872196242</v>
      </c>
      <c r="G1248" s="204">
        <v>0.51032398302453164</v>
      </c>
      <c r="H1248" s="204">
        <v>0.17357232049947974</v>
      </c>
      <c r="I1248" s="209">
        <v>12.634</v>
      </c>
      <c r="J1248" s="207">
        <v>3.3027471425547854</v>
      </c>
      <c r="K1248" s="209">
        <v>30</v>
      </c>
      <c r="L1248" s="209">
        <v>29.722999999999999</v>
      </c>
      <c r="M1248" s="212"/>
      <c r="N1248" s="225"/>
    </row>
    <row r="1249" spans="1:14" ht="16.5" customHeight="1" x14ac:dyDescent="0.25">
      <c r="A1249" s="203">
        <v>45169</v>
      </c>
      <c r="B1249" s="128" t="s">
        <v>32</v>
      </c>
      <c r="C1249" s="157" t="str">
        <f t="shared" si="39"/>
        <v>31.08.2023_FAL2</v>
      </c>
      <c r="D1249" s="190">
        <f t="shared" si="40"/>
        <v>0</v>
      </c>
      <c r="E1249" s="204">
        <v>0.15424218951717011</v>
      </c>
      <c r="F1249" s="205">
        <v>7.9709491972259808E-2</v>
      </c>
      <c r="G1249" s="204">
        <v>6.0196667011696486E-2</v>
      </c>
      <c r="H1249" s="204">
        <v>7.8056191467221661E-2</v>
      </c>
      <c r="I1249" s="209">
        <v>11.039</v>
      </c>
      <c r="J1249" s="207">
        <v>2.5638852474601079</v>
      </c>
      <c r="K1249" s="209">
        <v>34</v>
      </c>
      <c r="L1249" s="209">
        <v>31.082000000000001</v>
      </c>
      <c r="M1249" s="212"/>
      <c r="N1249" s="225"/>
    </row>
    <row r="1250" spans="1:14" ht="16.5" customHeight="1" x14ac:dyDescent="0.25">
      <c r="A1250" s="203">
        <v>45169</v>
      </c>
      <c r="B1250" s="128" t="s">
        <v>26</v>
      </c>
      <c r="C1250" s="157" t="str">
        <f t="shared" si="39"/>
        <v>31.08.2023_GRU1</v>
      </c>
      <c r="D1250" s="190">
        <f t="shared" si="40"/>
        <v>0</v>
      </c>
      <c r="E1250" s="204">
        <v>0</v>
      </c>
      <c r="F1250" s="205">
        <v>2.1732349504348596E-2</v>
      </c>
      <c r="G1250" s="204">
        <v>2.1562985198219649E-2</v>
      </c>
      <c r="H1250" s="204">
        <v>0</v>
      </c>
      <c r="I1250" s="209">
        <v>2.677</v>
      </c>
      <c r="J1250" s="207">
        <v>0.62045937155450515</v>
      </c>
      <c r="K1250" s="209">
        <v>5.7480000000000002</v>
      </c>
      <c r="L1250" s="209">
        <v>10.861000000000001</v>
      </c>
      <c r="M1250" s="212"/>
      <c r="N1250" s="225"/>
    </row>
    <row r="1251" spans="1:14" ht="16.5" customHeight="1" x14ac:dyDescent="0.25">
      <c r="A1251" s="203">
        <v>45169</v>
      </c>
      <c r="B1251" s="128" t="s">
        <v>28</v>
      </c>
      <c r="C1251" s="157" t="str">
        <f t="shared" si="39"/>
        <v>31.08.2023_GRU2</v>
      </c>
      <c r="D1251" s="190">
        <f t="shared" si="40"/>
        <v>0</v>
      </c>
      <c r="E1251" s="204">
        <v>0</v>
      </c>
      <c r="F1251" s="205">
        <v>1.9067112117061413E-2</v>
      </c>
      <c r="G1251" s="204">
        <v>2.7852189214367062E-2</v>
      </c>
      <c r="H1251" s="204">
        <v>8.216441207075955E-3</v>
      </c>
      <c r="I1251" s="209">
        <v>2.8010000000000002</v>
      </c>
      <c r="J1251" s="207">
        <v>0.65679031192855808</v>
      </c>
      <c r="K1251" s="209">
        <v>6.5279999999999996</v>
      </c>
      <c r="L1251" s="209">
        <v>9.9079999999999995</v>
      </c>
      <c r="M1251" s="212"/>
      <c r="N1251" s="225"/>
    </row>
    <row r="1252" spans="1:14" ht="16.5" customHeight="1" x14ac:dyDescent="0.25">
      <c r="A1252" s="203">
        <v>45169</v>
      </c>
      <c r="B1252" s="128" t="s">
        <v>0</v>
      </c>
      <c r="C1252" s="157" t="str">
        <f t="shared" si="39"/>
        <v>31.08.2023_KIN1</v>
      </c>
      <c r="D1252" s="190">
        <f t="shared" si="40"/>
        <v>0</v>
      </c>
      <c r="E1252" s="204">
        <v>1.0585248300197978E-2</v>
      </c>
      <c r="F1252" s="205">
        <v>3.0885687184208532E-2</v>
      </c>
      <c r="G1252" s="204">
        <v>1.707069661525723E-2</v>
      </c>
      <c r="H1252" s="204">
        <v>0</v>
      </c>
      <c r="I1252" s="209">
        <v>5.3529999999999998</v>
      </c>
      <c r="J1252" s="207">
        <v>1.2213992743927207</v>
      </c>
      <c r="K1252" s="209">
        <v>7.3810000000000002</v>
      </c>
      <c r="L1252" s="209">
        <v>8.4990000000000006</v>
      </c>
      <c r="M1252" s="212"/>
      <c r="N1252" s="225"/>
    </row>
    <row r="1253" spans="1:14" ht="16.5" customHeight="1" x14ac:dyDescent="0.25">
      <c r="A1253" s="203">
        <v>45169</v>
      </c>
      <c r="B1253" s="128" t="s">
        <v>2</v>
      </c>
      <c r="C1253" s="157" t="str">
        <f t="shared" si="39"/>
        <v>31.08.2023_KIN2</v>
      </c>
      <c r="D1253" s="190">
        <f t="shared" si="40"/>
        <v>0</v>
      </c>
      <c r="E1253" s="204">
        <v>2.4194853257595322E-2</v>
      </c>
      <c r="F1253" s="205">
        <v>2.5510964198485638E-2</v>
      </c>
      <c r="G1253" s="204">
        <v>1.886761204844219E-2</v>
      </c>
      <c r="H1253" s="204">
        <v>0</v>
      </c>
      <c r="I1253" s="209">
        <v>5.7919999999999998</v>
      </c>
      <c r="J1253" s="207">
        <v>1.3228895520794948</v>
      </c>
      <c r="K1253" s="209">
        <v>8.2650000000000006</v>
      </c>
      <c r="L1253" s="209">
        <v>9.4730000000000008</v>
      </c>
      <c r="M1253" s="212"/>
      <c r="N1253" s="225"/>
    </row>
    <row r="1254" spans="1:14" ht="16.5" customHeight="1" x14ac:dyDescent="0.25">
      <c r="A1254" s="203">
        <v>45169</v>
      </c>
      <c r="B1254" s="128" t="s">
        <v>4</v>
      </c>
      <c r="C1254" s="157" t="str">
        <f t="shared" si="39"/>
        <v>31.08.2023_KIN3</v>
      </c>
      <c r="D1254" s="190">
        <f t="shared" si="40"/>
        <v>0</v>
      </c>
      <c r="E1254" s="204">
        <v>4.385317152939152E-2</v>
      </c>
      <c r="F1254" s="205">
        <v>2.7476918792872784E-2</v>
      </c>
      <c r="G1254" s="204">
        <v>2.8750646930959523E-2</v>
      </c>
      <c r="H1254" s="204">
        <v>2.1568158168574422E-2</v>
      </c>
      <c r="I1254" s="209">
        <v>5.1929999999999996</v>
      </c>
      <c r="J1254" s="207">
        <v>1.2018339255898431</v>
      </c>
      <c r="K1254" s="209">
        <v>9.2080000000000002</v>
      </c>
      <c r="L1254" s="209">
        <v>10.688000000000001</v>
      </c>
      <c r="M1254" s="212"/>
      <c r="N1254" s="225"/>
    </row>
    <row r="1255" spans="1:14" ht="16.5" customHeight="1" x14ac:dyDescent="0.25">
      <c r="A1255" s="203">
        <v>45169</v>
      </c>
      <c r="B1255" s="128" t="s">
        <v>6</v>
      </c>
      <c r="C1255" s="157" t="str">
        <f t="shared" si="39"/>
        <v>31.08.2023_KIN4</v>
      </c>
      <c r="D1255" s="190">
        <f t="shared" si="40"/>
        <v>0</v>
      </c>
      <c r="E1255" s="204">
        <v>6.1999311472587984E-2</v>
      </c>
      <c r="F1255" s="205">
        <v>2.7111665642231324E-2</v>
      </c>
      <c r="G1255" s="204">
        <v>4.8516716695994194E-2</v>
      </c>
      <c r="H1255" s="204">
        <v>2.3622268470343398E-2</v>
      </c>
      <c r="I1255" s="209">
        <v>5.3789999999999996</v>
      </c>
      <c r="J1255" s="207">
        <v>1.2598192749830683</v>
      </c>
      <c r="K1255" s="209">
        <v>13.484</v>
      </c>
      <c r="L1255" s="209">
        <v>11.022</v>
      </c>
      <c r="M1255" s="212"/>
      <c r="N1255" s="225"/>
    </row>
    <row r="1256" spans="1:14" ht="16.5" customHeight="1" x14ac:dyDescent="0.25">
      <c r="A1256" s="203">
        <v>45169</v>
      </c>
      <c r="B1256" s="128" t="s">
        <v>34</v>
      </c>
      <c r="C1256" s="157" t="str">
        <f t="shared" si="39"/>
        <v>31.08.2023_KRE1</v>
      </c>
      <c r="D1256" s="190">
        <f t="shared" si="40"/>
        <v>0</v>
      </c>
      <c r="E1256" s="204">
        <v>0</v>
      </c>
      <c r="F1256" s="205">
        <v>1.1408586515069326E-2</v>
      </c>
      <c r="G1256" s="204">
        <v>9.343960252561849E-2</v>
      </c>
      <c r="H1256" s="204">
        <v>4.5190426638917779E-2</v>
      </c>
      <c r="I1256" s="209">
        <v>5.4790000000000001</v>
      </c>
      <c r="J1256" s="207">
        <v>1.3238548723553358</v>
      </c>
      <c r="K1256" s="209">
        <v>40</v>
      </c>
      <c r="L1256" s="209">
        <v>32</v>
      </c>
      <c r="M1256" s="212"/>
      <c r="N1256" s="225"/>
    </row>
    <row r="1257" spans="1:14" ht="16.5" customHeight="1" x14ac:dyDescent="0.25">
      <c r="A1257" s="203">
        <v>45169</v>
      </c>
      <c r="B1257" s="128" t="s">
        <v>37</v>
      </c>
      <c r="C1257" s="157" t="str">
        <f t="shared" si="39"/>
        <v>31.08.2023_KRE2</v>
      </c>
      <c r="D1257" s="190">
        <f t="shared" si="40"/>
        <v>0</v>
      </c>
      <c r="E1257" s="204">
        <v>3.3267923229193509E-2</v>
      </c>
      <c r="F1257" s="205">
        <v>5.4240891533079691E-2</v>
      </c>
      <c r="G1257" s="204">
        <v>0.12937791118931788</v>
      </c>
      <c r="H1257" s="204">
        <v>6.2650364203954201E-2</v>
      </c>
      <c r="I1257" s="209">
        <v>9.4979999999999993</v>
      </c>
      <c r="J1257" s="207">
        <v>2.2648478176412867</v>
      </c>
      <c r="K1257" s="209">
        <v>40</v>
      </c>
      <c r="L1257" s="209">
        <v>40</v>
      </c>
      <c r="M1257" s="212"/>
      <c r="N1257" s="225"/>
    </row>
    <row r="1258" spans="1:14" ht="16.5" customHeight="1" x14ac:dyDescent="0.25">
      <c r="A1258" s="203">
        <v>45169</v>
      </c>
      <c r="B1258" s="128" t="s">
        <v>18</v>
      </c>
      <c r="C1258" s="157" t="str">
        <f t="shared" si="39"/>
        <v>31.08.2023_ORB1</v>
      </c>
      <c r="D1258" s="190">
        <f t="shared" si="40"/>
        <v>0</v>
      </c>
      <c r="E1258" s="204">
        <v>1.0585248300197978E-2</v>
      </c>
      <c r="F1258" s="205">
        <v>1.8265117368378391E-2</v>
      </c>
      <c r="G1258" s="204">
        <v>2.8750646930959523E-2</v>
      </c>
      <c r="H1258" s="204">
        <v>1.1297606659729445E-2</v>
      </c>
      <c r="I1258" s="209">
        <v>7.0039999999999996</v>
      </c>
      <c r="J1258" s="207">
        <v>1.6077576261829751</v>
      </c>
      <c r="K1258" s="209">
        <v>7.3849999999999998</v>
      </c>
      <c r="L1258" s="209">
        <v>13.153</v>
      </c>
      <c r="M1258" s="212"/>
      <c r="N1258" s="225"/>
    </row>
    <row r="1259" spans="1:14" ht="16.5" customHeight="1" x14ac:dyDescent="0.25">
      <c r="A1259" s="203">
        <v>45169</v>
      </c>
      <c r="B1259" s="128" t="s">
        <v>21</v>
      </c>
      <c r="C1259" s="157" t="str">
        <f t="shared" si="39"/>
        <v>31.08.2023_ORB2</v>
      </c>
      <c r="D1259" s="190">
        <f t="shared" si="40"/>
        <v>0</v>
      </c>
      <c r="E1259" s="204">
        <v>2.8731388243394447E-2</v>
      </c>
      <c r="F1259" s="205">
        <v>1.9682410799116593E-2</v>
      </c>
      <c r="G1259" s="204">
        <v>4.0430597246661822E-2</v>
      </c>
      <c r="H1259" s="204">
        <v>3.4919875130072844E-2</v>
      </c>
      <c r="I1259" s="209">
        <v>7.14</v>
      </c>
      <c r="J1259" s="207">
        <v>1.6547371104394109</v>
      </c>
      <c r="K1259" s="209">
        <v>14.752000000000001</v>
      </c>
      <c r="L1259" s="209">
        <v>15.785</v>
      </c>
      <c r="M1259" s="212"/>
      <c r="N1259" s="225"/>
    </row>
    <row r="1260" spans="1:14" ht="16.5" customHeight="1" x14ac:dyDescent="0.25">
      <c r="A1260" s="203">
        <v>45169</v>
      </c>
      <c r="B1260" s="128" t="s">
        <v>10</v>
      </c>
      <c r="C1260" s="157" t="str">
        <f t="shared" si="39"/>
        <v>31.08.2023_SAL1</v>
      </c>
      <c r="D1260" s="190">
        <f t="shared" si="40"/>
        <v>0</v>
      </c>
      <c r="E1260" s="204">
        <v>6.3511489801187676E-2</v>
      </c>
      <c r="F1260" s="205">
        <v>4.0149495871250523E-2</v>
      </c>
      <c r="G1260" s="204">
        <v>2.7852189214367062E-2</v>
      </c>
      <c r="H1260" s="204">
        <v>4.1082206035379775E-3</v>
      </c>
      <c r="I1260" s="209">
        <v>4.3230000000000004</v>
      </c>
      <c r="J1260" s="207">
        <v>0.999313704165811</v>
      </c>
      <c r="K1260" s="209">
        <v>7.4210000000000003</v>
      </c>
      <c r="L1260" s="209">
        <v>5.976</v>
      </c>
      <c r="M1260" s="212"/>
      <c r="N1260" s="225"/>
    </row>
    <row r="1261" spans="1:14" ht="16.5" customHeight="1" x14ac:dyDescent="0.25">
      <c r="A1261" s="203">
        <v>45169</v>
      </c>
      <c r="B1261" s="128" t="s">
        <v>12</v>
      </c>
      <c r="C1261" s="157" t="str">
        <f t="shared" si="39"/>
        <v>31.08.2023_SAL2</v>
      </c>
      <c r="D1261" s="190">
        <f t="shared" si="40"/>
        <v>0</v>
      </c>
      <c r="E1261" s="204">
        <v>8.3169808072983908E-2</v>
      </c>
      <c r="F1261" s="205">
        <v>3.9657975417772953E-2</v>
      </c>
      <c r="G1261" s="204">
        <v>3.1446020080736985E-2</v>
      </c>
      <c r="H1261" s="204">
        <v>1.4378772112382933E-2</v>
      </c>
      <c r="I1261" s="209">
        <v>4.298</v>
      </c>
      <c r="J1261" s="207">
        <v>0.99958439730210635</v>
      </c>
      <c r="K1261" s="209">
        <v>7.9720000000000004</v>
      </c>
      <c r="L1261" s="209">
        <v>6.5289999999999999</v>
      </c>
      <c r="M1261" s="212"/>
      <c r="N1261" s="225"/>
    </row>
    <row r="1262" spans="1:14" ht="16.5" customHeight="1" x14ac:dyDescent="0.25">
      <c r="A1262" s="203">
        <v>45169</v>
      </c>
      <c r="B1262" s="128" t="s">
        <v>7</v>
      </c>
      <c r="C1262" s="157" t="str">
        <f t="shared" si="39"/>
        <v>31.08.2023_STE1</v>
      </c>
      <c r="D1262" s="190">
        <f t="shared" si="40"/>
        <v>0</v>
      </c>
      <c r="E1262" s="204">
        <v>6.0487133143988257E-2</v>
      </c>
      <c r="F1262" s="205">
        <v>4.3577477470648988E-2</v>
      </c>
      <c r="G1262" s="204">
        <v>2.4258358347997108E-2</v>
      </c>
      <c r="H1262" s="204">
        <v>6.1623309053069775E-3</v>
      </c>
      <c r="I1262" s="209">
        <v>7.9720000000000004</v>
      </c>
      <c r="J1262" s="207">
        <v>1.8213481343177571</v>
      </c>
      <c r="K1262" s="209">
        <v>9.8610000000000007</v>
      </c>
      <c r="L1262" s="209">
        <v>8.4740000000000002</v>
      </c>
      <c r="M1262" s="212"/>
      <c r="N1262" s="225"/>
    </row>
    <row r="1263" spans="1:14" ht="16.5" customHeight="1" x14ac:dyDescent="0.25">
      <c r="A1263" s="203">
        <v>45169</v>
      </c>
      <c r="B1263" s="128" t="s">
        <v>9</v>
      </c>
      <c r="C1263" s="157" t="str">
        <f t="shared" si="39"/>
        <v>31.08.2023_STE2</v>
      </c>
      <c r="D1263" s="190">
        <f t="shared" si="40"/>
        <v>0</v>
      </c>
      <c r="E1263" s="204">
        <v>6.5023668129787382E-2</v>
      </c>
      <c r="F1263" s="205">
        <v>3.7757013383279345E-2</v>
      </c>
      <c r="G1263" s="204">
        <v>2.8750646930959523E-2</v>
      </c>
      <c r="H1263" s="204">
        <v>1.0270551508844955E-2</v>
      </c>
      <c r="I1263" s="209">
        <v>6.6360000000000001</v>
      </c>
      <c r="J1263" s="207">
        <v>1.5243247792422885</v>
      </c>
      <c r="K1263" s="209">
        <v>10.166</v>
      </c>
      <c r="L1263" s="209">
        <v>8.3249999999999993</v>
      </c>
      <c r="M1263" s="212"/>
      <c r="N1263" s="225"/>
    </row>
    <row r="1264" spans="1:14" ht="16.5" customHeight="1" x14ac:dyDescent="0.25">
      <c r="A1264" s="203">
        <v>45180</v>
      </c>
      <c r="B1264" s="128" t="s">
        <v>22</v>
      </c>
      <c r="C1264" s="157" t="str">
        <f t="shared" si="39"/>
        <v>11.09.2023_BIE1</v>
      </c>
      <c r="D1264" s="190">
        <f t="shared" si="40"/>
        <v>0</v>
      </c>
      <c r="E1264" s="204">
        <v>0.10108279379690535</v>
      </c>
      <c r="F1264" s="205">
        <v>1.4351213128871949E-2</v>
      </c>
      <c r="G1264" s="204">
        <v>4.2882727104304345E-2</v>
      </c>
      <c r="H1264" s="204">
        <v>4.9104477611940291E-2</v>
      </c>
      <c r="I1264" s="209">
        <v>3.282</v>
      </c>
      <c r="J1264" s="207">
        <v>0.78955320697817644</v>
      </c>
      <c r="K1264" s="209">
        <v>5.5410000000000004</v>
      </c>
      <c r="L1264" s="209">
        <v>12.282999999999999</v>
      </c>
      <c r="M1264" s="212"/>
      <c r="N1264" s="225"/>
    </row>
    <row r="1265" spans="1:14" ht="16.5" customHeight="1" x14ac:dyDescent="0.25">
      <c r="A1265" s="203">
        <v>45180</v>
      </c>
      <c r="B1265" s="128" t="s">
        <v>25</v>
      </c>
      <c r="C1265" s="157" t="str">
        <f t="shared" si="39"/>
        <v>11.09.2023_BIE2</v>
      </c>
      <c r="D1265" s="190">
        <f t="shared" si="40"/>
        <v>0</v>
      </c>
      <c r="E1265" s="204">
        <v>7.5434920743959353E-3</v>
      </c>
      <c r="F1265" s="205">
        <v>1.5042780233582043E-2</v>
      </c>
      <c r="G1265" s="204">
        <v>2.4121533996171184E-2</v>
      </c>
      <c r="H1265" s="204">
        <v>6.8517875737591416E-3</v>
      </c>
      <c r="I1265" s="209">
        <v>3.331</v>
      </c>
      <c r="J1265" s="207">
        <v>0.77318912665951789</v>
      </c>
      <c r="K1265" s="209">
        <v>5.84</v>
      </c>
      <c r="L1265" s="209">
        <v>12.208</v>
      </c>
      <c r="M1265" s="212"/>
      <c r="N1265" s="225"/>
    </row>
    <row r="1266" spans="1:14" ht="16.5" customHeight="1" x14ac:dyDescent="0.25">
      <c r="A1266" s="203">
        <v>45180</v>
      </c>
      <c r="B1266" s="128" t="s">
        <v>14</v>
      </c>
      <c r="C1266" s="157" t="str">
        <f t="shared" si="39"/>
        <v>11.09.2023_BRA1</v>
      </c>
      <c r="D1266" s="190">
        <f t="shared" si="40"/>
        <v>0</v>
      </c>
      <c r="E1266" s="204">
        <v>2.5647873052946156E-2</v>
      </c>
      <c r="F1266" s="205">
        <v>2.510600945991678E-2</v>
      </c>
      <c r="G1266" s="204">
        <v>2.2334753700158499E-2</v>
      </c>
      <c r="H1266" s="204">
        <v>2.0555362721277379E-2</v>
      </c>
      <c r="I1266" s="209">
        <v>4.117</v>
      </c>
      <c r="J1266" s="207">
        <v>0.95350758308112893</v>
      </c>
      <c r="K1266" s="209">
        <v>5.1760000000000002</v>
      </c>
      <c r="L1266" s="209">
        <v>4.2119999999999997</v>
      </c>
      <c r="M1266" s="212"/>
      <c r="N1266" s="225"/>
    </row>
    <row r="1267" spans="1:14" ht="16.5" customHeight="1" x14ac:dyDescent="0.25">
      <c r="A1267" s="203">
        <v>45180</v>
      </c>
      <c r="B1267" s="128" t="s">
        <v>17</v>
      </c>
      <c r="C1267" s="157" t="str">
        <f t="shared" si="39"/>
        <v>11.09.2023_BRA2</v>
      </c>
      <c r="D1267" s="190">
        <f t="shared" si="40"/>
        <v>0</v>
      </c>
      <c r="E1267" s="204">
        <v>6.6382730254684094E-2</v>
      </c>
      <c r="F1267" s="205">
        <v>4.6834647861409694E-2</v>
      </c>
      <c r="G1267" s="204">
        <v>1.5187632516107802E-2</v>
      </c>
      <c r="H1267" s="204">
        <v>1.0277681360638702E-2</v>
      </c>
      <c r="I1267" s="209">
        <v>8.0730000000000004</v>
      </c>
      <c r="J1267" s="207">
        <v>1.838370594862679</v>
      </c>
      <c r="K1267" s="209">
        <v>8.9770000000000003</v>
      </c>
      <c r="L1267" s="209">
        <v>5.4950000000000001</v>
      </c>
      <c r="M1267" s="212"/>
      <c r="N1267" s="225"/>
    </row>
    <row r="1268" spans="1:14" ht="16.5" customHeight="1" x14ac:dyDescent="0.25">
      <c r="A1268" s="203">
        <v>45180</v>
      </c>
      <c r="B1268" s="128" t="s">
        <v>30</v>
      </c>
      <c r="C1268" s="157" t="str">
        <f t="shared" si="39"/>
        <v>11.09.2023_FAL1</v>
      </c>
      <c r="D1268" s="190">
        <f t="shared" si="40"/>
        <v>0</v>
      </c>
      <c r="E1268" s="204">
        <v>0.20065688917893143</v>
      </c>
      <c r="F1268" s="205">
        <v>0.13036750079430465</v>
      </c>
      <c r="G1268" s="204">
        <v>5.3603408880380433E-2</v>
      </c>
      <c r="H1268" s="204">
        <v>6.0524123568205503E-2</v>
      </c>
      <c r="I1268" s="209">
        <v>12.074999999999999</v>
      </c>
      <c r="J1268" s="207">
        <v>2.7874293303818662</v>
      </c>
      <c r="K1268" s="209">
        <v>45</v>
      </c>
      <c r="L1268" s="209">
        <v>34</v>
      </c>
      <c r="M1268" s="212"/>
      <c r="N1268" s="225"/>
    </row>
    <row r="1269" spans="1:14" ht="16.5" customHeight="1" x14ac:dyDescent="0.25">
      <c r="A1269" s="203">
        <v>45180</v>
      </c>
      <c r="B1269" s="128" t="s">
        <v>32</v>
      </c>
      <c r="C1269" s="157" t="str">
        <f t="shared" si="39"/>
        <v>11.09.2023_FAL2</v>
      </c>
      <c r="D1269" s="190">
        <f t="shared" si="40"/>
        <v>0</v>
      </c>
      <c r="E1269" s="204">
        <v>0.16143073039207265</v>
      </c>
      <c r="F1269" s="205">
        <v>7.5395025392627255E-2</v>
      </c>
      <c r="G1269" s="204">
        <v>6.3430700508450136E-2</v>
      </c>
      <c r="H1269" s="204">
        <v>9.8208955223880581E-2</v>
      </c>
      <c r="I1269" s="209">
        <v>11.781000000000001</v>
      </c>
      <c r="J1269" s="207">
        <v>2.7401274910557167</v>
      </c>
      <c r="K1269" s="209">
        <v>38</v>
      </c>
      <c r="L1269" s="209">
        <v>31</v>
      </c>
      <c r="M1269" s="212"/>
      <c r="N1269" s="225"/>
    </row>
    <row r="1270" spans="1:14" ht="16.5" customHeight="1" x14ac:dyDescent="0.25">
      <c r="A1270" s="203">
        <v>45180</v>
      </c>
      <c r="B1270" s="128" t="s">
        <v>26</v>
      </c>
      <c r="C1270" s="157" t="str">
        <f t="shared" si="39"/>
        <v>11.09.2023_GRU1</v>
      </c>
      <c r="D1270" s="190">
        <f t="shared" si="40"/>
        <v>0</v>
      </c>
      <c r="E1270" s="204">
        <v>0</v>
      </c>
      <c r="F1270" s="205">
        <v>1.8840845166555469E-2</v>
      </c>
      <c r="G1270" s="204">
        <v>2.2334753700158499E-2</v>
      </c>
      <c r="H1270" s="204">
        <v>0</v>
      </c>
      <c r="I1270" s="209">
        <v>2.6349999999999998</v>
      </c>
      <c r="J1270" s="207">
        <v>0.61181482065835902</v>
      </c>
      <c r="K1270" s="209">
        <v>5.149</v>
      </c>
      <c r="L1270" s="209">
        <v>10.561</v>
      </c>
      <c r="M1270" s="212"/>
      <c r="N1270" s="225"/>
    </row>
    <row r="1271" spans="1:14" ht="16.5" customHeight="1" x14ac:dyDescent="0.25">
      <c r="A1271" s="203">
        <v>45180</v>
      </c>
      <c r="B1271" s="128" t="s">
        <v>28</v>
      </c>
      <c r="C1271" s="157" t="str">
        <f t="shared" si="39"/>
        <v>11.09.2023_GRU2</v>
      </c>
      <c r="D1271" s="190">
        <f t="shared" si="40"/>
        <v>0</v>
      </c>
      <c r="E1271" s="204">
        <v>6.0347936595167607E-3</v>
      </c>
      <c r="F1271" s="205">
        <v>2.499623305303934E-2</v>
      </c>
      <c r="G1271" s="204">
        <v>3.8415776364272652E-2</v>
      </c>
      <c r="H1271" s="204">
        <v>0</v>
      </c>
      <c r="I1271" s="209">
        <v>2.8210000000000002</v>
      </c>
      <c r="J1271" s="207">
        <v>0.66700873618909406</v>
      </c>
      <c r="K1271" s="209">
        <v>6.1779999999999999</v>
      </c>
      <c r="L1271" s="209">
        <v>9.2240000000000002</v>
      </c>
      <c r="M1271" s="212"/>
      <c r="N1271" s="225"/>
    </row>
    <row r="1272" spans="1:14" ht="16.5" customHeight="1" x14ac:dyDescent="0.25">
      <c r="A1272" s="203">
        <v>45180</v>
      </c>
      <c r="B1272" s="128" t="s">
        <v>0</v>
      </c>
      <c r="C1272" s="157" t="str">
        <f t="shared" si="39"/>
        <v>11.09.2023_KIN1</v>
      </c>
      <c r="D1272" s="190">
        <f t="shared" si="40"/>
        <v>0</v>
      </c>
      <c r="E1272" s="204">
        <v>2.2630476223187805E-2</v>
      </c>
      <c r="F1272" s="205">
        <v>2.3116249378311492E-2</v>
      </c>
      <c r="G1272" s="204">
        <v>1.1614071924082444E-2</v>
      </c>
      <c r="H1272" s="204">
        <v>0</v>
      </c>
      <c r="I1272" s="209">
        <v>3.6909999999999998</v>
      </c>
      <c r="J1272" s="207">
        <v>0.84131369622377672</v>
      </c>
      <c r="K1272" s="209">
        <v>6.3780000000000001</v>
      </c>
      <c r="L1272" s="209">
        <v>8.9250000000000007</v>
      </c>
      <c r="M1272" s="212"/>
      <c r="N1272" s="225"/>
    </row>
    <row r="1273" spans="1:14" ht="16.5" customHeight="1" x14ac:dyDescent="0.25">
      <c r="A1273" s="203">
        <v>45180</v>
      </c>
      <c r="B1273" s="128" t="s">
        <v>2</v>
      </c>
      <c r="C1273" s="157" t="str">
        <f t="shared" si="39"/>
        <v>11.09.2023_KIN2</v>
      </c>
      <c r="D1273" s="190">
        <f t="shared" si="40"/>
        <v>0</v>
      </c>
      <c r="E1273" s="204">
        <v>2.7156571467825297E-2</v>
      </c>
      <c r="F1273" s="205">
        <v>1.6404209123413435E-2</v>
      </c>
      <c r="G1273" s="204">
        <v>1.4294242368101466E-2</v>
      </c>
      <c r="H1273" s="204">
        <v>1.0277681360638653E-2</v>
      </c>
      <c r="I1273" s="209">
        <v>4.8419999999999996</v>
      </c>
      <c r="J1273" s="207">
        <v>1.1078909163466535</v>
      </c>
      <c r="K1273" s="209">
        <v>8.1359999999999992</v>
      </c>
      <c r="L1273" s="209">
        <v>10.287000000000001</v>
      </c>
      <c r="M1273" s="212"/>
      <c r="N1273" s="225"/>
    </row>
    <row r="1274" spans="1:14" ht="16.5" customHeight="1" x14ac:dyDescent="0.25">
      <c r="A1274" s="203">
        <v>45180</v>
      </c>
      <c r="B1274" s="128" t="s">
        <v>4</v>
      </c>
      <c r="C1274" s="157" t="str">
        <f t="shared" si="39"/>
        <v>11.09.2023_KIN3</v>
      </c>
      <c r="D1274" s="190">
        <f t="shared" si="40"/>
        <v>0</v>
      </c>
      <c r="E1274" s="204">
        <v>6.7891428669563256E-2</v>
      </c>
      <c r="F1274" s="205">
        <v>1.5019406976699042E-2</v>
      </c>
      <c r="G1274" s="204">
        <v>1.6081022664114136E-2</v>
      </c>
      <c r="H1274" s="204">
        <v>1.5987504338771261E-2</v>
      </c>
      <c r="I1274" s="209">
        <v>4.6840000000000002</v>
      </c>
      <c r="J1274" s="207">
        <v>1.075329228984397</v>
      </c>
      <c r="K1274" s="209">
        <v>10.183</v>
      </c>
      <c r="L1274" s="209">
        <v>11.026999999999999</v>
      </c>
      <c r="M1274" s="212"/>
      <c r="N1274" s="225"/>
    </row>
    <row r="1275" spans="1:14" ht="16.5" customHeight="1" x14ac:dyDescent="0.25">
      <c r="A1275" s="203">
        <v>45180</v>
      </c>
      <c r="B1275" s="128" t="s">
        <v>6</v>
      </c>
      <c r="C1275" s="157" t="str">
        <f t="shared" si="39"/>
        <v>11.09.2023_KIN4</v>
      </c>
      <c r="D1275" s="190">
        <f t="shared" si="40"/>
        <v>0</v>
      </c>
      <c r="E1275" s="204">
        <v>5.4313142935650593E-2</v>
      </c>
      <c r="F1275" s="205">
        <v>1.9399408408245191E-2</v>
      </c>
      <c r="G1275" s="204">
        <v>2.4121533996171184E-2</v>
      </c>
      <c r="H1275" s="204">
        <v>2.9691079486289497E-2</v>
      </c>
      <c r="I1275" s="209">
        <v>5.242</v>
      </c>
      <c r="J1275" s="207">
        <v>1.2117801190822877</v>
      </c>
      <c r="K1275" s="209">
        <v>17.372</v>
      </c>
      <c r="L1275" s="209">
        <v>12.066000000000001</v>
      </c>
      <c r="M1275" s="212"/>
      <c r="N1275" s="225"/>
    </row>
    <row r="1276" spans="1:14" ht="16.5" customHeight="1" x14ac:dyDescent="0.25">
      <c r="A1276" s="203">
        <v>45180</v>
      </c>
      <c r="B1276" s="128" t="s">
        <v>34</v>
      </c>
      <c r="C1276" s="157" t="str">
        <f t="shared" si="39"/>
        <v>11.09.2023_KRE1</v>
      </c>
      <c r="D1276" s="190">
        <f t="shared" si="40"/>
        <v>0</v>
      </c>
      <c r="E1276" s="204">
        <v>6.0347936595167607E-3</v>
      </c>
      <c r="F1276" s="205">
        <v>3.5858296563638377E-2</v>
      </c>
      <c r="G1276" s="204">
        <v>9.1125795096646714E-2</v>
      </c>
      <c r="H1276" s="204">
        <v>0.12447414092329052</v>
      </c>
      <c r="I1276" s="209">
        <v>5.5179999999999998</v>
      </c>
      <c r="J1276" s="207">
        <v>1.3550050808386906</v>
      </c>
      <c r="K1276" s="209">
        <v>60</v>
      </c>
      <c r="L1276" s="209">
        <v>32</v>
      </c>
      <c r="M1276" s="212"/>
      <c r="N1276" s="225"/>
    </row>
    <row r="1277" spans="1:14" ht="16.5" customHeight="1" x14ac:dyDescent="0.25">
      <c r="A1277" s="203">
        <v>45180</v>
      </c>
      <c r="B1277" s="128" t="s">
        <v>37</v>
      </c>
      <c r="C1277" s="157" t="str">
        <f t="shared" si="39"/>
        <v>11.09.2023_KRE2</v>
      </c>
      <c r="D1277" s="190">
        <f t="shared" si="40"/>
        <v>0</v>
      </c>
      <c r="E1277" s="204">
        <v>3.6208761957100412E-2</v>
      </c>
      <c r="F1277" s="205">
        <v>5.4088681893612656E-2</v>
      </c>
      <c r="G1277" s="204">
        <v>0.12150106012886229</v>
      </c>
      <c r="H1277" s="204">
        <v>8.2221450885109376E-2</v>
      </c>
      <c r="I1277" s="209">
        <v>9.41</v>
      </c>
      <c r="J1277" s="207">
        <v>2.2448133789014317</v>
      </c>
      <c r="K1277" s="209">
        <v>53</v>
      </c>
      <c r="L1277" s="209">
        <v>38</v>
      </c>
      <c r="M1277" s="212"/>
      <c r="N1277" s="225"/>
    </row>
    <row r="1278" spans="1:14" ht="16.5" customHeight="1" x14ac:dyDescent="0.25">
      <c r="A1278" s="203">
        <v>45180</v>
      </c>
      <c r="B1278" s="128" t="s">
        <v>18</v>
      </c>
      <c r="C1278" s="157" t="str">
        <f t="shared" si="39"/>
        <v>11.09.2023_ORB1</v>
      </c>
      <c r="D1278" s="190">
        <f t="shared" si="40"/>
        <v>0</v>
      </c>
      <c r="E1278" s="204">
        <v>2.7156571467825297E-2</v>
      </c>
      <c r="F1278" s="205">
        <v>1.5585666126700152E-2</v>
      </c>
      <c r="G1278" s="204">
        <v>2.1441363552152162E-2</v>
      </c>
      <c r="H1278" s="204">
        <v>0</v>
      </c>
      <c r="I1278" s="209">
        <v>5.5359999999999996</v>
      </c>
      <c r="J1278" s="207">
        <v>1.2670653243846104</v>
      </c>
      <c r="K1278" s="209">
        <v>5.7859999999999996</v>
      </c>
      <c r="L1278" s="209">
        <v>11.632</v>
      </c>
      <c r="M1278" s="212"/>
      <c r="N1278" s="225"/>
    </row>
    <row r="1279" spans="1:14" ht="16.5" customHeight="1" x14ac:dyDescent="0.25">
      <c r="A1279" s="203">
        <v>45180</v>
      </c>
      <c r="B1279" s="128" t="s">
        <v>21</v>
      </c>
      <c r="C1279" s="157" t="str">
        <f t="shared" si="39"/>
        <v>11.09.2023_ORB2</v>
      </c>
      <c r="D1279" s="190">
        <f t="shared" si="40"/>
        <v>0</v>
      </c>
      <c r="E1279" s="204">
        <v>3.922615878685879E-2</v>
      </c>
      <c r="F1279" s="205">
        <v>1.5069094552490041E-2</v>
      </c>
      <c r="G1279" s="204">
        <v>2.4121533996171184E-2</v>
      </c>
      <c r="H1279" s="204">
        <v>5.7098229781326068E-3</v>
      </c>
      <c r="I1279" s="209">
        <v>6.2039999999999997</v>
      </c>
      <c r="J1279" s="207">
        <v>1.4217659655383792</v>
      </c>
      <c r="K1279" s="209">
        <v>12.407999999999999</v>
      </c>
      <c r="L1279" s="209">
        <v>13.938000000000001</v>
      </c>
      <c r="M1279" s="212"/>
      <c r="N1279" s="225"/>
    </row>
    <row r="1280" spans="1:14" ht="16.5" customHeight="1" x14ac:dyDescent="0.25">
      <c r="A1280" s="203">
        <v>45180</v>
      </c>
      <c r="B1280" s="128" t="s">
        <v>10</v>
      </c>
      <c r="C1280" s="157" t="str">
        <f t="shared" si="39"/>
        <v>11.09.2023_SAL1</v>
      </c>
      <c r="D1280" s="190">
        <f t="shared" si="40"/>
        <v>0</v>
      </c>
      <c r="E1280" s="204">
        <v>6.6382730254684094E-2</v>
      </c>
      <c r="F1280" s="205">
        <v>4.115325098808488E-2</v>
      </c>
      <c r="G1280" s="204">
        <v>1.6081022664114136E-2</v>
      </c>
      <c r="H1280" s="204">
        <v>3.4258937868795829E-3</v>
      </c>
      <c r="I1280" s="209">
        <v>4.3550000000000004</v>
      </c>
      <c r="J1280" s="207">
        <v>0.99719361665187345</v>
      </c>
      <c r="K1280" s="209">
        <v>6.585</v>
      </c>
      <c r="L1280" s="209">
        <v>5.0119999999999996</v>
      </c>
      <c r="M1280" s="212"/>
      <c r="N1280" s="225"/>
    </row>
    <row r="1281" spans="1:14" ht="16.5" customHeight="1" x14ac:dyDescent="0.25">
      <c r="A1281" s="203">
        <v>45180</v>
      </c>
      <c r="B1281" s="128" t="s">
        <v>12</v>
      </c>
      <c r="C1281" s="157" t="str">
        <f t="shared" si="39"/>
        <v>11.09.2023_SAL2</v>
      </c>
      <c r="D1281" s="190">
        <f t="shared" si="40"/>
        <v>0</v>
      </c>
      <c r="E1281" s="204">
        <v>0.11315238111593881</v>
      </c>
      <c r="F1281" s="205">
        <v>4.233145322605894E-2</v>
      </c>
      <c r="G1281" s="204">
        <v>2.4121533996171184E-2</v>
      </c>
      <c r="H1281" s="204">
        <v>1.5987504338771261E-2</v>
      </c>
      <c r="I1281" s="209">
        <v>4.1139999999999999</v>
      </c>
      <c r="J1281" s="207">
        <v>0.9528267056286257</v>
      </c>
      <c r="K1281" s="209">
        <v>7.17</v>
      </c>
      <c r="L1281" s="209">
        <v>5.7009999999999996</v>
      </c>
      <c r="M1281" s="212"/>
      <c r="N1281" s="225"/>
    </row>
    <row r="1282" spans="1:14" ht="16.5" customHeight="1" x14ac:dyDescent="0.25">
      <c r="A1282" s="203">
        <v>45180</v>
      </c>
      <c r="B1282" s="128" t="s">
        <v>7</v>
      </c>
      <c r="C1282" s="157" t="str">
        <f t="shared" si="39"/>
        <v>11.09.2023_STE1</v>
      </c>
      <c r="D1282" s="190">
        <f t="shared" si="40"/>
        <v>0</v>
      </c>
      <c r="E1282" s="204">
        <v>6.3365333424925702E-2</v>
      </c>
      <c r="F1282" s="205">
        <v>4.4600058723951737E-2</v>
      </c>
      <c r="G1282" s="204">
        <v>1.6974412812120452E-2</v>
      </c>
      <c r="H1282" s="204">
        <v>2.3771913513212201E-17</v>
      </c>
      <c r="I1282" s="209">
        <v>6.5270000000000001</v>
      </c>
      <c r="J1282" s="207">
        <v>1.4874339518044835</v>
      </c>
      <c r="K1282" s="209">
        <v>8.7439999999999998</v>
      </c>
      <c r="L1282" s="209">
        <v>7.5179999999999998</v>
      </c>
      <c r="M1282" s="212"/>
      <c r="N1282" s="225"/>
    </row>
    <row r="1283" spans="1:14" ht="16.5" customHeight="1" x14ac:dyDescent="0.25">
      <c r="A1283" s="203">
        <v>45180</v>
      </c>
      <c r="B1283" s="128" t="s">
        <v>9</v>
      </c>
      <c r="C1283" s="157" t="str">
        <f t="shared" si="39"/>
        <v>11.09.2023_STE2</v>
      </c>
      <c r="D1283" s="190">
        <f t="shared" si="40"/>
        <v>0</v>
      </c>
      <c r="E1283" s="204">
        <v>8.1469714403475932E-2</v>
      </c>
      <c r="F1283" s="205">
        <v>4.5806339574405247E-2</v>
      </c>
      <c r="G1283" s="204">
        <v>2.1441363552152162E-2</v>
      </c>
      <c r="H1283" s="204">
        <v>2.5123221103783424E-2</v>
      </c>
      <c r="I1283" s="209">
        <v>5.8479999999999999</v>
      </c>
      <c r="J1283" s="207">
        <v>1.3451855290496575</v>
      </c>
      <c r="K1283" s="209">
        <v>9.9269999999999996</v>
      </c>
      <c r="L1283" s="209">
        <v>7.774</v>
      </c>
      <c r="M1283" s="212"/>
      <c r="N1283" s="225"/>
    </row>
    <row r="1284" spans="1:14" ht="16.5" customHeight="1" x14ac:dyDescent="0.25">
      <c r="A1284" s="203">
        <v>45194</v>
      </c>
      <c r="B1284" s="128" t="s">
        <v>22</v>
      </c>
      <c r="C1284" s="157" t="str">
        <f t="shared" si="39"/>
        <v>25.09.2023_BIE1</v>
      </c>
      <c r="D1284" s="190">
        <f t="shared" si="40"/>
        <v>0</v>
      </c>
      <c r="E1284" s="204">
        <v>7.5139617958307481E-2</v>
      </c>
      <c r="F1284" s="205">
        <v>2.2107660030814505E-2</v>
      </c>
      <c r="G1284" s="204">
        <v>0.20822294999895705</v>
      </c>
      <c r="H1284" s="204">
        <v>7.4343989378000186E-2</v>
      </c>
      <c r="I1284" s="209">
        <v>3.1190000000000002</v>
      </c>
      <c r="J1284" s="207">
        <v>0.88880559601082232</v>
      </c>
      <c r="K1284" s="209">
        <v>5.8319999999999999</v>
      </c>
      <c r="L1284" s="209">
        <v>12.519</v>
      </c>
      <c r="M1284" s="212"/>
      <c r="N1284" s="225"/>
    </row>
    <row r="1285" spans="1:14" ht="16.5" customHeight="1" x14ac:dyDescent="0.25">
      <c r="A1285" s="203">
        <v>45194</v>
      </c>
      <c r="B1285" s="128" t="s">
        <v>25</v>
      </c>
      <c r="C1285" s="157" t="str">
        <f t="shared" ref="C1285:C1348" si="41">CONCATENATE(TEXT(A1285,"TT.MM.JJJJ"),"_",B1285)</f>
        <v>25.09.2023_BIE2</v>
      </c>
      <c r="D1285" s="190">
        <f t="shared" ref="D1285:D1348" si="42">COUNTBLANK(E1285:L1285)</f>
        <v>0</v>
      </c>
      <c r="E1285" s="204">
        <v>3.977979774263337E-2</v>
      </c>
      <c r="F1285" s="205">
        <v>2.7234297470942938E-2</v>
      </c>
      <c r="G1285" s="204">
        <v>0.36846408978076306</v>
      </c>
      <c r="H1285" s="204">
        <v>6.3122255132264313E-2</v>
      </c>
      <c r="I1285" s="209">
        <v>3.2810000000000001</v>
      </c>
      <c r="J1285" s="207">
        <v>1.0464057216488825</v>
      </c>
      <c r="K1285" s="209">
        <v>6.3310000000000004</v>
      </c>
      <c r="L1285" s="209">
        <v>12.590999999999999</v>
      </c>
      <c r="M1285" s="212"/>
      <c r="N1285" s="225"/>
    </row>
    <row r="1286" spans="1:14" ht="16.5" customHeight="1" x14ac:dyDescent="0.25">
      <c r="A1286" s="203">
        <v>45194</v>
      </c>
      <c r="B1286" s="128" t="s">
        <v>14</v>
      </c>
      <c r="C1286" s="157" t="str">
        <f t="shared" si="41"/>
        <v>25.09.2023_BRA1</v>
      </c>
      <c r="D1286" s="190">
        <f t="shared" si="42"/>
        <v>0</v>
      </c>
      <c r="E1286" s="204">
        <v>3.8306471900313624E-2</v>
      </c>
      <c r="F1286" s="205">
        <v>2.3128730273145891E-2</v>
      </c>
      <c r="G1286" s="204">
        <v>4.2549907173699913E-2</v>
      </c>
      <c r="H1286" s="204">
        <v>6.3122255132264313E-2</v>
      </c>
      <c r="I1286" s="209">
        <v>4.6749999999999998</v>
      </c>
      <c r="J1286" s="207">
        <v>1.1081993979963241</v>
      </c>
      <c r="K1286" s="209">
        <v>4.7699999999999996</v>
      </c>
      <c r="L1286" s="209">
        <v>3.665</v>
      </c>
      <c r="M1286" s="212"/>
      <c r="N1286" s="225"/>
    </row>
    <row r="1287" spans="1:14" ht="16.5" customHeight="1" x14ac:dyDescent="0.25">
      <c r="A1287" s="203">
        <v>45194</v>
      </c>
      <c r="B1287" s="128" t="s">
        <v>17</v>
      </c>
      <c r="C1287" s="157" t="str">
        <f t="shared" si="41"/>
        <v>25.09.2023_BRA2</v>
      </c>
      <c r="D1287" s="190">
        <f t="shared" si="42"/>
        <v>0</v>
      </c>
      <c r="E1287" s="204">
        <v>7.2192966273667961E-2</v>
      </c>
      <c r="F1287" s="205">
        <v>4.1899693109158219E-2</v>
      </c>
      <c r="G1287" s="204">
        <v>2.8970149565072271E-2</v>
      </c>
      <c r="H1287" s="204">
        <v>5.8914104790113352E-2</v>
      </c>
      <c r="I1287" s="209">
        <v>7.694</v>
      </c>
      <c r="J1287" s="207">
        <v>1.7782752106391331</v>
      </c>
      <c r="K1287" s="209">
        <v>7.9880000000000004</v>
      </c>
      <c r="L1287" s="209">
        <v>4.9550000000000001</v>
      </c>
      <c r="M1287" s="212"/>
      <c r="N1287" s="225"/>
    </row>
    <row r="1288" spans="1:14" ht="16.5" customHeight="1" x14ac:dyDescent="0.25">
      <c r="A1288" s="203">
        <v>45194</v>
      </c>
      <c r="B1288" s="128" t="s">
        <v>30</v>
      </c>
      <c r="C1288" s="157" t="str">
        <f t="shared" si="41"/>
        <v>25.09.2023_FAL1</v>
      </c>
      <c r="D1288" s="190">
        <f t="shared" si="42"/>
        <v>0</v>
      </c>
      <c r="E1288" s="204">
        <v>0.16206584265517299</v>
      </c>
      <c r="F1288" s="205">
        <v>8.3370742579584642E-2</v>
      </c>
      <c r="G1288" s="204">
        <v>8.3289179999582796E-2</v>
      </c>
      <c r="H1288" s="204">
        <v>0.1178282095802267</v>
      </c>
      <c r="I1288" s="209">
        <v>11.739000000000001</v>
      </c>
      <c r="J1288" s="207">
        <v>2.7520339437845762</v>
      </c>
      <c r="K1288" s="209">
        <v>41</v>
      </c>
      <c r="L1288" s="209">
        <v>29</v>
      </c>
      <c r="M1288" s="212"/>
      <c r="N1288" s="225"/>
    </row>
    <row r="1289" spans="1:14" ht="16.5" customHeight="1" x14ac:dyDescent="0.25">
      <c r="A1289" s="203">
        <v>45194</v>
      </c>
      <c r="B1289" s="128" t="s">
        <v>32</v>
      </c>
      <c r="C1289" s="157" t="str">
        <f t="shared" si="41"/>
        <v>25.09.2023_FAL2</v>
      </c>
      <c r="D1289" s="190">
        <f t="shared" si="42"/>
        <v>0</v>
      </c>
      <c r="E1289" s="204">
        <v>0.16648582018213223</v>
      </c>
      <c r="F1289" s="205">
        <v>6.1972010852469346E-2</v>
      </c>
      <c r="G1289" s="204">
        <v>5.7940299130144521E-2</v>
      </c>
      <c r="H1289" s="204">
        <v>0.16131242978245325</v>
      </c>
      <c r="I1289" s="209">
        <v>11.11</v>
      </c>
      <c r="J1289" s="207">
        <v>2.6035173321188338</v>
      </c>
      <c r="K1289" s="209">
        <v>39</v>
      </c>
      <c r="L1289" s="209">
        <v>29</v>
      </c>
      <c r="M1289" s="212"/>
      <c r="N1289" s="225"/>
    </row>
    <row r="1290" spans="1:14" ht="16.5" customHeight="1" x14ac:dyDescent="0.25">
      <c r="A1290" s="203">
        <v>45194</v>
      </c>
      <c r="B1290" s="128" t="s">
        <v>26</v>
      </c>
      <c r="C1290" s="157" t="str">
        <f t="shared" si="41"/>
        <v>25.09.2023_GRU1</v>
      </c>
      <c r="D1290" s="190">
        <f t="shared" si="42"/>
        <v>0</v>
      </c>
      <c r="E1290" s="204">
        <v>0</v>
      </c>
      <c r="F1290" s="205">
        <v>1.9703716144355347E-2</v>
      </c>
      <c r="G1290" s="204">
        <v>1.9011660652078679E-2</v>
      </c>
      <c r="H1290" s="204">
        <v>5.1900520886528412E-2</v>
      </c>
      <c r="I1290" s="209">
        <v>2.4590000000000001</v>
      </c>
      <c r="J1290" s="207">
        <v>0.58597780796363608</v>
      </c>
      <c r="K1290" s="209">
        <v>5.4359999999999999</v>
      </c>
      <c r="L1290" s="209">
        <v>9.8919999999999995</v>
      </c>
      <c r="M1290" s="212"/>
      <c r="N1290" s="225"/>
    </row>
    <row r="1291" spans="1:14" ht="16.5" customHeight="1" x14ac:dyDescent="0.25">
      <c r="A1291" s="203">
        <v>45194</v>
      </c>
      <c r="B1291" s="128" t="s">
        <v>28</v>
      </c>
      <c r="C1291" s="157" t="str">
        <f t="shared" si="41"/>
        <v>25.09.2023_GRU2</v>
      </c>
      <c r="D1291" s="190">
        <f t="shared" si="42"/>
        <v>0</v>
      </c>
      <c r="E1291" s="204">
        <v>2.9466516846395215E-3</v>
      </c>
      <c r="F1291" s="205">
        <v>1.0605099370768178E-2</v>
      </c>
      <c r="G1291" s="204">
        <v>7.9667911303948749E-2</v>
      </c>
      <c r="H1291" s="204">
        <v>4.3484220202226496E-2</v>
      </c>
      <c r="I1291" s="209">
        <v>2.3439999999999999</v>
      </c>
      <c r="J1291" s="207">
        <v>0.60453938728897105</v>
      </c>
      <c r="K1291" s="209">
        <v>6.5220000000000002</v>
      </c>
      <c r="L1291" s="209">
        <v>8.9269999999999996</v>
      </c>
      <c r="M1291" s="212"/>
      <c r="N1291" s="225"/>
    </row>
    <row r="1292" spans="1:14" ht="16.5" customHeight="1" x14ac:dyDescent="0.25">
      <c r="A1292" s="203">
        <v>45194</v>
      </c>
      <c r="B1292" s="128" t="s">
        <v>0</v>
      </c>
      <c r="C1292" s="157" t="str">
        <f t="shared" si="41"/>
        <v>25.09.2023_KIN1</v>
      </c>
      <c r="D1292" s="190">
        <f t="shared" si="42"/>
        <v>0</v>
      </c>
      <c r="E1292" s="204">
        <v>5.1566404481191395E-2</v>
      </c>
      <c r="F1292" s="205">
        <v>1.9136157106067812E-2</v>
      </c>
      <c r="G1292" s="204">
        <v>3.9833955651974381E-2</v>
      </c>
      <c r="H1292" s="204">
        <v>4.0678786640792546E-2</v>
      </c>
      <c r="I1292" s="209">
        <v>3.4460000000000002</v>
      </c>
      <c r="J1292" s="207">
        <v>0.82166334481699088</v>
      </c>
      <c r="K1292" s="209">
        <v>6.2430000000000003</v>
      </c>
      <c r="L1292" s="209">
        <v>9.7319999999999993</v>
      </c>
      <c r="M1292" s="212"/>
      <c r="N1292" s="225"/>
    </row>
    <row r="1293" spans="1:14" ht="16.5" customHeight="1" x14ac:dyDescent="0.25">
      <c r="A1293" s="203">
        <v>45194</v>
      </c>
      <c r="B1293" s="128" t="s">
        <v>2</v>
      </c>
      <c r="C1293" s="157" t="str">
        <f t="shared" si="41"/>
        <v>25.09.2023_KIN2</v>
      </c>
      <c r="D1293" s="190">
        <f t="shared" si="42"/>
        <v>0</v>
      </c>
      <c r="E1293" s="204">
        <v>0.11786606738558031</v>
      </c>
      <c r="F1293" s="205">
        <v>1.486821201318583E-2</v>
      </c>
      <c r="G1293" s="204">
        <v>2.0822294999895685E-2</v>
      </c>
      <c r="H1293" s="204">
        <v>1.2624451026452845E-2</v>
      </c>
      <c r="I1293" s="209">
        <v>4.9119999999999999</v>
      </c>
      <c r="J1293" s="207">
        <v>1.1294852579594725</v>
      </c>
      <c r="K1293" s="209">
        <v>8.7710000000000008</v>
      </c>
      <c r="L1293" s="209">
        <v>11.396000000000001</v>
      </c>
      <c r="M1293" s="212"/>
      <c r="N1293" s="225"/>
    </row>
    <row r="1294" spans="1:14" ht="16.5" customHeight="1" x14ac:dyDescent="0.25">
      <c r="A1294" s="203">
        <v>45194</v>
      </c>
      <c r="B1294" s="128" t="s">
        <v>4</v>
      </c>
      <c r="C1294" s="157" t="str">
        <f t="shared" si="41"/>
        <v>25.09.2023_KIN3</v>
      </c>
      <c r="D1294" s="190">
        <f t="shared" si="42"/>
        <v>0</v>
      </c>
      <c r="E1294" s="204">
        <v>7.36662921159877E-2</v>
      </c>
      <c r="F1294" s="205">
        <v>1.4698231806131881E-2</v>
      </c>
      <c r="G1294" s="204">
        <v>4.0739272825882904E-2</v>
      </c>
      <c r="H1294" s="204">
        <v>6.5927688693698264E-2</v>
      </c>
      <c r="I1294" s="209">
        <v>4.923</v>
      </c>
      <c r="J1294" s="207">
        <v>1.1636633327793662</v>
      </c>
      <c r="K1294" s="209">
        <v>10.446</v>
      </c>
      <c r="L1294" s="209">
        <v>11.976000000000001</v>
      </c>
      <c r="M1294" s="212"/>
      <c r="N1294" s="225"/>
    </row>
    <row r="1295" spans="1:14" ht="16.5" customHeight="1" x14ac:dyDescent="0.25">
      <c r="A1295" s="203">
        <v>45194</v>
      </c>
      <c r="B1295" s="128" t="s">
        <v>6</v>
      </c>
      <c r="C1295" s="157" t="str">
        <f t="shared" si="41"/>
        <v>25.09.2023_KIN4</v>
      </c>
      <c r="D1295" s="190">
        <f t="shared" si="42"/>
        <v>0</v>
      </c>
      <c r="E1295" s="204">
        <v>0.10313280896238286</v>
      </c>
      <c r="F1295" s="205">
        <v>1.9061511378929478E-2</v>
      </c>
      <c r="G1295" s="204">
        <v>3.9833955651974381E-2</v>
      </c>
      <c r="H1295" s="204">
        <v>6.3122255132264313E-2</v>
      </c>
      <c r="I1295" s="209">
        <v>5.1340000000000003</v>
      </c>
      <c r="J1295" s="207">
        <v>1.2097648187992196</v>
      </c>
      <c r="K1295" s="209">
        <v>18.61</v>
      </c>
      <c r="L1295" s="209">
        <v>12.544</v>
      </c>
      <c r="M1295" s="212"/>
      <c r="N1295" s="225"/>
    </row>
    <row r="1296" spans="1:14" ht="16.5" customHeight="1" x14ac:dyDescent="0.25">
      <c r="A1296" s="203">
        <v>45194</v>
      </c>
      <c r="B1296" s="128" t="s">
        <v>34</v>
      </c>
      <c r="C1296" s="157" t="str">
        <f t="shared" si="41"/>
        <v>25.09.2023_KRE1</v>
      </c>
      <c r="D1296" s="190">
        <f t="shared" si="42"/>
        <v>0</v>
      </c>
      <c r="E1296" s="204">
        <v>1.4733258423197577E-2</v>
      </c>
      <c r="F1296" s="205">
        <v>3.369181267813609E-2</v>
      </c>
      <c r="G1296" s="204">
        <v>7.9667911303948749E-2</v>
      </c>
      <c r="H1296" s="204">
        <v>0.10380104177305682</v>
      </c>
      <c r="I1296" s="209">
        <v>4.7809999999999997</v>
      </c>
      <c r="J1296" s="207">
        <v>1.1733480336162101</v>
      </c>
      <c r="K1296" s="209">
        <v>43</v>
      </c>
      <c r="L1296" s="209">
        <v>28.779</v>
      </c>
      <c r="M1296" s="212"/>
      <c r="N1296" s="225"/>
    </row>
    <row r="1297" spans="1:14" ht="16.5" customHeight="1" x14ac:dyDescent="0.25">
      <c r="A1297" s="203">
        <v>45194</v>
      </c>
      <c r="B1297" s="128" t="s">
        <v>37</v>
      </c>
      <c r="C1297" s="157" t="str">
        <f t="shared" si="41"/>
        <v>25.09.2023_KRE2</v>
      </c>
      <c r="D1297" s="190">
        <f t="shared" si="42"/>
        <v>0</v>
      </c>
      <c r="E1297" s="204">
        <v>5.0093078638871621E-2</v>
      </c>
      <c r="F1297" s="205">
        <v>4.649047279441941E-2</v>
      </c>
      <c r="G1297" s="204">
        <v>0.1113540123907466</v>
      </c>
      <c r="H1297" s="204">
        <v>0.10380104177305682</v>
      </c>
      <c r="I1297" s="209">
        <v>7.7009999999999996</v>
      </c>
      <c r="J1297" s="207">
        <v>1.8574923742490979</v>
      </c>
      <c r="K1297" s="209">
        <v>38</v>
      </c>
      <c r="L1297" s="209">
        <v>34.055999999999997</v>
      </c>
      <c r="M1297" s="212"/>
      <c r="N1297" s="225"/>
    </row>
    <row r="1298" spans="1:14" ht="16.5" customHeight="1" x14ac:dyDescent="0.25">
      <c r="A1298" s="203">
        <v>45194</v>
      </c>
      <c r="B1298" s="128" t="s">
        <v>18</v>
      </c>
      <c r="C1298" s="157" t="str">
        <f t="shared" si="41"/>
        <v>25.09.2023_ORB1</v>
      </c>
      <c r="D1298" s="190">
        <f t="shared" si="42"/>
        <v>0</v>
      </c>
      <c r="E1298" s="204">
        <v>6.3353011219749428E-2</v>
      </c>
      <c r="F1298" s="205">
        <v>1.6030405553354523E-2</v>
      </c>
      <c r="G1298" s="204">
        <v>3.9833955651974381E-2</v>
      </c>
      <c r="H1298" s="204">
        <v>5.7511388009396348E-2</v>
      </c>
      <c r="I1298" s="209">
        <v>5.1040000000000001</v>
      </c>
      <c r="J1298" s="207">
        <v>1.2012804903036625</v>
      </c>
      <c r="K1298" s="209">
        <v>5.8179999999999996</v>
      </c>
      <c r="L1298" s="209">
        <v>10.989000000000001</v>
      </c>
      <c r="M1298" s="212"/>
      <c r="N1298" s="225"/>
    </row>
    <row r="1299" spans="1:14" ht="16.5" customHeight="1" x14ac:dyDescent="0.25">
      <c r="A1299" s="203">
        <v>45194</v>
      </c>
      <c r="B1299" s="128" t="s">
        <v>21</v>
      </c>
      <c r="C1299" s="157" t="str">
        <f t="shared" si="41"/>
        <v>25.09.2023_ORB2</v>
      </c>
      <c r="D1299" s="190">
        <f t="shared" si="42"/>
        <v>0</v>
      </c>
      <c r="E1299" s="204">
        <v>4.4199775269592609E-2</v>
      </c>
      <c r="F1299" s="205">
        <v>1.5775109123713226E-2</v>
      </c>
      <c r="G1299" s="204">
        <v>4.0739272825882904E-2</v>
      </c>
      <c r="H1299" s="204">
        <v>6.7330405474415267E-2</v>
      </c>
      <c r="I1299" s="209">
        <v>5.718</v>
      </c>
      <c r="J1299" s="207">
        <v>1.3436570399032555</v>
      </c>
      <c r="K1299" s="209">
        <v>14.43</v>
      </c>
      <c r="L1299" s="209">
        <v>13.728</v>
      </c>
      <c r="M1299" s="212"/>
      <c r="N1299" s="225"/>
    </row>
    <row r="1300" spans="1:14" ht="16.5" customHeight="1" x14ac:dyDescent="0.25">
      <c r="A1300" s="203">
        <v>45194</v>
      </c>
      <c r="B1300" s="128" t="s">
        <v>10</v>
      </c>
      <c r="C1300" s="157" t="str">
        <f t="shared" si="41"/>
        <v>25.09.2023_SAL1</v>
      </c>
      <c r="D1300" s="190">
        <f t="shared" si="42"/>
        <v>0</v>
      </c>
      <c r="E1300" s="204">
        <v>0.11049943817398161</v>
      </c>
      <c r="F1300" s="205">
        <v>4.3318590395907214E-2</v>
      </c>
      <c r="G1300" s="204">
        <v>5.4319030434510562E-3</v>
      </c>
      <c r="H1300" s="204">
        <v>6.3122255132264313E-2</v>
      </c>
      <c r="I1300" s="209">
        <v>4.6239999999999997</v>
      </c>
      <c r="J1300" s="207">
        <v>1.0678582689692271</v>
      </c>
      <c r="K1300" s="209">
        <v>6.66</v>
      </c>
      <c r="L1300" s="209">
        <v>4.9770000000000003</v>
      </c>
      <c r="M1300" s="212"/>
      <c r="N1300" s="225"/>
    </row>
    <row r="1301" spans="1:14" ht="16.5" customHeight="1" x14ac:dyDescent="0.25">
      <c r="A1301" s="203">
        <v>45194</v>
      </c>
      <c r="B1301" s="128" t="s">
        <v>12</v>
      </c>
      <c r="C1301" s="157" t="str">
        <f t="shared" si="41"/>
        <v>25.09.2023_SAL2</v>
      </c>
      <c r="D1301" s="190">
        <f t="shared" si="42"/>
        <v>0</v>
      </c>
      <c r="E1301" s="204">
        <v>0.16648582018213223</v>
      </c>
      <c r="F1301" s="205">
        <v>4.3206882388315895E-2</v>
      </c>
      <c r="G1301" s="204">
        <v>3.8928638478065901E-2</v>
      </c>
      <c r="H1301" s="204">
        <v>7.0135839035849218E-2</v>
      </c>
      <c r="I1301" s="209">
        <v>4.5659999999999998</v>
      </c>
      <c r="J1301" s="207">
        <v>1.0829029746862977</v>
      </c>
      <c r="K1301" s="209">
        <v>7.3230000000000004</v>
      </c>
      <c r="L1301" s="209">
        <v>5.5529999999999999</v>
      </c>
      <c r="M1301" s="212"/>
      <c r="N1301" s="225"/>
    </row>
    <row r="1302" spans="1:14" ht="16.5" customHeight="1" x14ac:dyDescent="0.25">
      <c r="A1302" s="203">
        <v>45194</v>
      </c>
      <c r="B1302" s="128" t="s">
        <v>7</v>
      </c>
      <c r="C1302" s="157" t="str">
        <f t="shared" si="41"/>
        <v>25.09.2023_STE1</v>
      </c>
      <c r="D1302" s="190">
        <f t="shared" si="42"/>
        <v>0</v>
      </c>
      <c r="E1302" s="204">
        <v>8.5452898854545781E-2</v>
      </c>
      <c r="F1302" s="205">
        <v>2.8660718706220178E-2</v>
      </c>
      <c r="G1302" s="204">
        <v>3.0780783912889315E-2</v>
      </c>
      <c r="H1302" s="204">
        <v>8.6968440404453048E-2</v>
      </c>
      <c r="I1302" s="209">
        <v>6.34</v>
      </c>
      <c r="J1302" s="207">
        <v>1.482394312581655</v>
      </c>
      <c r="K1302" s="209">
        <v>8.5920000000000005</v>
      </c>
      <c r="L1302" s="209">
        <v>7.9480000000000004</v>
      </c>
      <c r="M1302" s="212"/>
      <c r="N1302" s="225"/>
    </row>
    <row r="1303" spans="1:14" ht="16.5" customHeight="1" x14ac:dyDescent="0.25">
      <c r="A1303" s="203">
        <v>45194</v>
      </c>
      <c r="B1303" s="128" t="s">
        <v>9</v>
      </c>
      <c r="C1303" s="157" t="str">
        <f t="shared" si="41"/>
        <v>25.09.2023_STE2</v>
      </c>
      <c r="D1303" s="190">
        <f t="shared" si="42"/>
        <v>0</v>
      </c>
      <c r="E1303" s="204">
        <v>9.4292853908464327E-2</v>
      </c>
      <c r="F1303" s="205">
        <v>3.2380617372938604E-2</v>
      </c>
      <c r="G1303" s="204">
        <v>4.7981810217150929E-2</v>
      </c>
      <c r="H1303" s="204">
        <v>0.11923092636094365</v>
      </c>
      <c r="I1303" s="209">
        <v>5.5259999999999998</v>
      </c>
      <c r="J1303" s="207">
        <v>1.3217148713461049</v>
      </c>
      <c r="K1303" s="209">
        <v>9.4489999999999998</v>
      </c>
      <c r="L1303" s="209">
        <v>7.9269999999999996</v>
      </c>
      <c r="M1303" s="212"/>
      <c r="N1303" s="225"/>
    </row>
    <row r="1304" spans="1:14" ht="16.5" customHeight="1" x14ac:dyDescent="0.25">
      <c r="A1304" s="203">
        <v>45208</v>
      </c>
      <c r="B1304" s="128" t="s">
        <v>22</v>
      </c>
      <c r="C1304" s="157" t="str">
        <f t="shared" si="41"/>
        <v>09.10.2023_BIE1</v>
      </c>
      <c r="D1304" s="190">
        <f t="shared" si="42"/>
        <v>0</v>
      </c>
      <c r="E1304" s="204">
        <v>3.1091580153700962E-2</v>
      </c>
      <c r="F1304" s="205">
        <v>1.5431960056763906E-2</v>
      </c>
      <c r="G1304" s="204">
        <v>1.9778216618562983E-2</v>
      </c>
      <c r="H1304" s="204">
        <v>6.8289529762750434E-2</v>
      </c>
      <c r="I1304" s="209">
        <v>2.7149999999999999</v>
      </c>
      <c r="J1304" s="207">
        <v>0.64938538475841734</v>
      </c>
      <c r="K1304" s="209">
        <v>5.9320000000000004</v>
      </c>
      <c r="L1304" s="209">
        <v>12.241</v>
      </c>
      <c r="M1304" s="212"/>
      <c r="N1304" s="225"/>
    </row>
    <row r="1305" spans="1:14" ht="16.5" customHeight="1" x14ac:dyDescent="0.25">
      <c r="A1305" s="203">
        <v>45208</v>
      </c>
      <c r="B1305" s="128" t="s">
        <v>25</v>
      </c>
      <c r="C1305" s="157" t="str">
        <f t="shared" si="41"/>
        <v>09.10.2023_BIE2</v>
      </c>
      <c r="D1305" s="190">
        <f t="shared" si="42"/>
        <v>0</v>
      </c>
      <c r="E1305" s="204">
        <v>0</v>
      </c>
      <c r="F1305" s="205">
        <v>1.6016691230637401E-2</v>
      </c>
      <c r="G1305" s="204">
        <v>3.2963694364271587E-2</v>
      </c>
      <c r="H1305" s="204">
        <v>2.7873277454183845E-2</v>
      </c>
      <c r="I1305" s="209">
        <v>2.669</v>
      </c>
      <c r="J1305" s="207">
        <v>0.63692902835783949</v>
      </c>
      <c r="K1305" s="209">
        <v>6.3</v>
      </c>
      <c r="L1305" s="209">
        <v>11.952999999999999</v>
      </c>
      <c r="M1305" s="212"/>
      <c r="N1305" s="225"/>
    </row>
    <row r="1306" spans="1:14" ht="16.5" customHeight="1" x14ac:dyDescent="0.25">
      <c r="A1306" s="203">
        <v>45208</v>
      </c>
      <c r="B1306" s="128" t="s">
        <v>14</v>
      </c>
      <c r="C1306" s="157" t="str">
        <f t="shared" si="41"/>
        <v>09.10.2023_BRA1</v>
      </c>
      <c r="D1306" s="190">
        <f t="shared" si="42"/>
        <v>0</v>
      </c>
      <c r="E1306" s="204">
        <v>0</v>
      </c>
      <c r="F1306" s="205">
        <v>3.0982402266289576E-2</v>
      </c>
      <c r="G1306" s="204">
        <v>3.7672793559167521E-2</v>
      </c>
      <c r="H1306" s="204">
        <v>7.1076857508168792E-2</v>
      </c>
      <c r="I1306" s="209">
        <v>4.8179999999999996</v>
      </c>
      <c r="J1306" s="207">
        <v>1.1391335567391196</v>
      </c>
      <c r="K1306" s="209">
        <v>4.6820000000000004</v>
      </c>
      <c r="L1306" s="209">
        <v>3.637</v>
      </c>
      <c r="M1306" s="212"/>
      <c r="N1306" s="225"/>
    </row>
    <row r="1307" spans="1:14" ht="16.5" customHeight="1" x14ac:dyDescent="0.25">
      <c r="A1307" s="203">
        <v>45208</v>
      </c>
      <c r="B1307" s="128" t="s">
        <v>17</v>
      </c>
      <c r="C1307" s="157" t="str">
        <f t="shared" si="41"/>
        <v>09.10.2023_BRA2</v>
      </c>
      <c r="D1307" s="190">
        <f t="shared" si="42"/>
        <v>0</v>
      </c>
      <c r="E1307" s="204">
        <v>3.5533234461372534E-2</v>
      </c>
      <c r="F1307" s="205">
        <v>4.4632168463514428E-2</v>
      </c>
      <c r="G1307" s="204">
        <v>4.7090991948959349E-3</v>
      </c>
      <c r="H1307" s="204">
        <v>5.9927546526495269E-2</v>
      </c>
      <c r="I1307" s="209">
        <v>7.8040000000000003</v>
      </c>
      <c r="J1307" s="207">
        <v>1.7845909899738361</v>
      </c>
      <c r="K1307" s="209">
        <v>7.5220000000000002</v>
      </c>
      <c r="L1307" s="209">
        <v>4.681</v>
      </c>
      <c r="M1307" s="212"/>
      <c r="N1307" s="225"/>
    </row>
    <row r="1308" spans="1:14" ht="16.5" customHeight="1" x14ac:dyDescent="0.25">
      <c r="A1308" s="203">
        <v>45208</v>
      </c>
      <c r="B1308" s="128" t="s">
        <v>30</v>
      </c>
      <c r="C1308" s="157" t="str">
        <f t="shared" si="41"/>
        <v>09.10.2023_FAL1</v>
      </c>
      <c r="D1308" s="190">
        <f t="shared" si="42"/>
        <v>0</v>
      </c>
      <c r="E1308" s="204">
        <v>0.24577153835782672</v>
      </c>
      <c r="F1308" s="205">
        <v>0.18322348576232883</v>
      </c>
      <c r="G1308" s="204">
        <v>0.18553850827890023</v>
      </c>
      <c r="H1308" s="204">
        <v>0.18535729507032253</v>
      </c>
      <c r="I1308" s="209">
        <v>13.669</v>
      </c>
      <c r="J1308" s="207">
        <v>3.2879178547776426</v>
      </c>
      <c r="K1308" s="209">
        <v>43</v>
      </c>
      <c r="L1308" s="209">
        <v>33.070999999999998</v>
      </c>
      <c r="M1308" s="212"/>
      <c r="N1308" s="225"/>
    </row>
    <row r="1309" spans="1:14" ht="16.5" customHeight="1" x14ac:dyDescent="0.25">
      <c r="A1309" s="203">
        <v>45208</v>
      </c>
      <c r="B1309" s="128" t="s">
        <v>32</v>
      </c>
      <c r="C1309" s="157" t="str">
        <f t="shared" si="41"/>
        <v>09.10.2023_FAL2</v>
      </c>
      <c r="D1309" s="190">
        <f t="shared" si="42"/>
        <v>0</v>
      </c>
      <c r="E1309" s="204">
        <v>8.8833086153431315E-2</v>
      </c>
      <c r="F1309" s="205">
        <v>6.8741187773153065E-2</v>
      </c>
      <c r="G1309" s="204">
        <v>0.19684034634665049</v>
      </c>
      <c r="H1309" s="204">
        <v>0.22716721125159828</v>
      </c>
      <c r="I1309" s="209">
        <v>6.1840000000000002</v>
      </c>
      <c r="J1309" s="207">
        <v>1.6187856980002595</v>
      </c>
      <c r="K1309" s="209">
        <v>36</v>
      </c>
      <c r="L1309" s="209">
        <v>31.087</v>
      </c>
      <c r="M1309" s="212"/>
      <c r="N1309" s="225"/>
    </row>
    <row r="1310" spans="1:14" ht="16.5" customHeight="1" x14ac:dyDescent="0.25">
      <c r="A1310" s="203">
        <v>45208</v>
      </c>
      <c r="B1310" s="128" t="s">
        <v>26</v>
      </c>
      <c r="C1310" s="157" t="str">
        <f t="shared" si="41"/>
        <v>09.10.2023_GRU1</v>
      </c>
      <c r="D1310" s="190">
        <f t="shared" si="42"/>
        <v>0</v>
      </c>
      <c r="E1310" s="204">
        <v>0</v>
      </c>
      <c r="F1310" s="205">
        <v>2.2606178947066281E-2</v>
      </c>
      <c r="G1310" s="204">
        <v>0</v>
      </c>
      <c r="H1310" s="204">
        <v>4.3203580053984919E-2</v>
      </c>
      <c r="I1310" s="209">
        <v>2.1949999999999998</v>
      </c>
      <c r="J1310" s="207">
        <v>0.50820666626066668</v>
      </c>
      <c r="K1310" s="209">
        <v>5.3970000000000002</v>
      </c>
      <c r="L1310" s="209">
        <v>10.648999999999999</v>
      </c>
      <c r="M1310" s="212"/>
      <c r="N1310" s="225"/>
    </row>
    <row r="1311" spans="1:14" ht="16.5" customHeight="1" x14ac:dyDescent="0.25">
      <c r="A1311" s="203">
        <v>45208</v>
      </c>
      <c r="B1311" s="128" t="s">
        <v>28</v>
      </c>
      <c r="C1311" s="157" t="str">
        <f t="shared" si="41"/>
        <v>09.10.2023_GRU2</v>
      </c>
      <c r="D1311" s="190">
        <f t="shared" si="42"/>
        <v>0</v>
      </c>
      <c r="E1311" s="204">
        <v>0</v>
      </c>
      <c r="F1311" s="205">
        <v>1.2693394968553061E-2</v>
      </c>
      <c r="G1311" s="204">
        <v>7.5345587118335111E-2</v>
      </c>
      <c r="H1311" s="204">
        <v>2.9266941326893028E-2</v>
      </c>
      <c r="I1311" s="209">
        <v>2.419</v>
      </c>
      <c r="J1311" s="207">
        <v>0.61379494522848854</v>
      </c>
      <c r="K1311" s="209">
        <v>6.4290000000000003</v>
      </c>
      <c r="L1311" s="209">
        <v>9.1479999999999997</v>
      </c>
      <c r="M1311" s="212"/>
      <c r="N1311" s="225"/>
    </row>
    <row r="1312" spans="1:14" ht="16.5" customHeight="1" x14ac:dyDescent="0.25">
      <c r="A1312" s="203">
        <v>45208</v>
      </c>
      <c r="B1312" s="128" t="s">
        <v>0</v>
      </c>
      <c r="C1312" s="157" t="str">
        <f t="shared" si="41"/>
        <v>09.10.2023_KIN1</v>
      </c>
      <c r="D1312" s="190">
        <f t="shared" si="42"/>
        <v>0</v>
      </c>
      <c r="E1312" s="204">
        <v>1.3324962923014681E-2</v>
      </c>
      <c r="F1312" s="205">
        <v>2.2482715140837738E-2</v>
      </c>
      <c r="G1312" s="204">
        <v>4.7090991948959349E-3</v>
      </c>
      <c r="H1312" s="204">
        <v>4.180991618127574E-2</v>
      </c>
      <c r="I1312" s="209">
        <v>3.0379999999999998</v>
      </c>
      <c r="J1312" s="207">
        <v>0.70257865741523406</v>
      </c>
      <c r="K1312" s="209">
        <v>6.3369999999999997</v>
      </c>
      <c r="L1312" s="209">
        <v>9.8780000000000001</v>
      </c>
      <c r="M1312" s="212"/>
      <c r="N1312" s="225"/>
    </row>
    <row r="1313" spans="1:14" ht="16.5" customHeight="1" x14ac:dyDescent="0.25">
      <c r="A1313" s="203">
        <v>45208</v>
      </c>
      <c r="B1313" s="128" t="s">
        <v>2</v>
      </c>
      <c r="C1313" s="157" t="str">
        <f t="shared" si="41"/>
        <v>09.10.2023_KIN2</v>
      </c>
      <c r="D1313" s="190">
        <f t="shared" si="42"/>
        <v>0</v>
      </c>
      <c r="E1313" s="204">
        <v>2.8130477281919905E-2</v>
      </c>
      <c r="F1313" s="205">
        <v>1.9520397644081325E-2</v>
      </c>
      <c r="G1313" s="204">
        <v>8.4763785508127059E-3</v>
      </c>
      <c r="H1313" s="204">
        <v>3.344793294502061E-2</v>
      </c>
      <c r="I1313" s="209">
        <v>4.8289999999999997</v>
      </c>
      <c r="J1313" s="207">
        <v>1.1074912763660318</v>
      </c>
      <c r="K1313" s="209">
        <v>9.2279999999999998</v>
      </c>
      <c r="L1313" s="209">
        <v>11.817</v>
      </c>
      <c r="M1313" s="212"/>
      <c r="N1313" s="225"/>
    </row>
    <row r="1314" spans="1:14" ht="16.5" customHeight="1" x14ac:dyDescent="0.25">
      <c r="A1314" s="203">
        <v>45208</v>
      </c>
      <c r="B1314" s="128" t="s">
        <v>4</v>
      </c>
      <c r="C1314" s="157" t="str">
        <f t="shared" si="41"/>
        <v>09.10.2023_KIN3</v>
      </c>
      <c r="D1314" s="190">
        <f t="shared" si="42"/>
        <v>0</v>
      </c>
      <c r="E1314" s="204">
        <v>3.405268302548202E-2</v>
      </c>
      <c r="F1314" s="205">
        <v>1.8003307021971404E-2</v>
      </c>
      <c r="G1314" s="204">
        <v>4.1440072915084288E-2</v>
      </c>
      <c r="H1314" s="204">
        <v>5.1565563290240084E-2</v>
      </c>
      <c r="I1314" s="209">
        <v>4.82</v>
      </c>
      <c r="J1314" s="207">
        <v>1.1365703379615473</v>
      </c>
      <c r="K1314" s="209">
        <v>10.959</v>
      </c>
      <c r="L1314" s="209">
        <v>12.115</v>
      </c>
      <c r="M1314" s="212"/>
      <c r="N1314" s="225"/>
    </row>
    <row r="1315" spans="1:14" ht="16.5" customHeight="1" x14ac:dyDescent="0.25">
      <c r="A1315" s="203">
        <v>45208</v>
      </c>
      <c r="B1315" s="128" t="s">
        <v>6</v>
      </c>
      <c r="C1315" s="157" t="str">
        <f t="shared" si="41"/>
        <v>09.10.2023_KIN4</v>
      </c>
      <c r="D1315" s="190">
        <f t="shared" si="42"/>
        <v>0</v>
      </c>
      <c r="E1315" s="204">
        <v>5.0338748820277793E-2</v>
      </c>
      <c r="F1315" s="205">
        <v>2.2288495310335023E-2</v>
      </c>
      <c r="G1315" s="204">
        <v>3.3905514203250789E-2</v>
      </c>
      <c r="H1315" s="204">
        <v>4.7384571672112498E-2</v>
      </c>
      <c r="I1315" s="209">
        <v>4.6749999999999998</v>
      </c>
      <c r="J1315" s="207">
        <v>1.0966957755692568</v>
      </c>
      <c r="K1315" s="209">
        <v>20.954999999999998</v>
      </c>
      <c r="L1315" s="209">
        <v>12.994</v>
      </c>
      <c r="M1315" s="212"/>
      <c r="N1315" s="225"/>
    </row>
    <row r="1316" spans="1:14" ht="16.5" customHeight="1" x14ac:dyDescent="0.25">
      <c r="A1316" s="203">
        <v>45208</v>
      </c>
      <c r="B1316" s="128" t="s">
        <v>34</v>
      </c>
      <c r="C1316" s="157" t="str">
        <f t="shared" si="41"/>
        <v>09.10.2023_KRE1</v>
      </c>
      <c r="D1316" s="190">
        <f t="shared" si="42"/>
        <v>0</v>
      </c>
      <c r="E1316" s="204">
        <v>2.9611028717810572E-3</v>
      </c>
      <c r="F1316" s="205">
        <v>4.3387991096514714E-2</v>
      </c>
      <c r="G1316" s="204">
        <v>7.2520127601397547E-2</v>
      </c>
      <c r="H1316" s="204">
        <v>6.9683193635459578E-2</v>
      </c>
      <c r="I1316" s="209">
        <v>4.843</v>
      </c>
      <c r="J1316" s="207">
        <v>1.1714146121835247</v>
      </c>
      <c r="K1316" s="209">
        <v>51</v>
      </c>
      <c r="L1316" s="209">
        <v>33.61</v>
      </c>
      <c r="M1316" s="212"/>
      <c r="N1316" s="225"/>
    </row>
    <row r="1317" spans="1:14" ht="16.5" customHeight="1" x14ac:dyDescent="0.25">
      <c r="A1317" s="203">
        <v>45208</v>
      </c>
      <c r="B1317" s="128" t="s">
        <v>37</v>
      </c>
      <c r="C1317" s="157" t="str">
        <f t="shared" si="41"/>
        <v>09.10.2023_KRE2</v>
      </c>
      <c r="D1317" s="190">
        <f t="shared" si="42"/>
        <v>0</v>
      </c>
      <c r="E1317" s="204">
        <v>1.9247168666576827E-2</v>
      </c>
      <c r="F1317" s="205">
        <v>5.527915096007445E-2</v>
      </c>
      <c r="G1317" s="204">
        <v>0.16199301230442048</v>
      </c>
      <c r="H1317" s="204">
        <v>0.13239806790737321</v>
      </c>
      <c r="I1317" s="209">
        <v>7.8209999999999997</v>
      </c>
      <c r="J1317" s="207">
        <v>1.9326238158986591</v>
      </c>
      <c r="K1317" s="209">
        <v>51</v>
      </c>
      <c r="L1317" s="209">
        <v>36</v>
      </c>
      <c r="M1317" s="212"/>
      <c r="N1317" s="225"/>
    </row>
    <row r="1318" spans="1:14" ht="16.5" customHeight="1" x14ac:dyDescent="0.25">
      <c r="A1318" s="203">
        <v>45208</v>
      </c>
      <c r="B1318" s="128" t="s">
        <v>18</v>
      </c>
      <c r="C1318" s="157" t="str">
        <f t="shared" si="41"/>
        <v>09.10.2023_ORB1</v>
      </c>
      <c r="D1318" s="190">
        <f t="shared" si="42"/>
        <v>0</v>
      </c>
      <c r="E1318" s="204">
        <v>8.883308615343111E-3</v>
      </c>
      <c r="F1318" s="205">
        <v>1.9642404720845507E-2</v>
      </c>
      <c r="G1318" s="204">
        <v>3.3905514203250789E-2</v>
      </c>
      <c r="H1318" s="204">
        <v>3.902258843585734E-2</v>
      </c>
      <c r="I1318" s="209">
        <v>4.7519999999999998</v>
      </c>
      <c r="J1318" s="207">
        <v>1.1115419597729788</v>
      </c>
      <c r="K1318" s="209">
        <v>6.0380000000000003</v>
      </c>
      <c r="L1318" s="209">
        <v>10.461</v>
      </c>
      <c r="M1318" s="212"/>
      <c r="N1318" s="225"/>
    </row>
    <row r="1319" spans="1:14" ht="16.5" customHeight="1" x14ac:dyDescent="0.25">
      <c r="A1319" s="203">
        <v>45208</v>
      </c>
      <c r="B1319" s="128" t="s">
        <v>21</v>
      </c>
      <c r="C1319" s="157" t="str">
        <f t="shared" si="41"/>
        <v>09.10.2023_ORB2</v>
      </c>
      <c r="D1319" s="190">
        <f t="shared" si="42"/>
        <v>0</v>
      </c>
      <c r="E1319" s="204">
        <v>3.1091580153700962E-2</v>
      </c>
      <c r="F1319" s="205">
        <v>1.9363685723156006E-2</v>
      </c>
      <c r="G1319" s="204">
        <v>2.8254595169375649E-2</v>
      </c>
      <c r="H1319" s="204">
        <v>0.10452479045318944</v>
      </c>
      <c r="I1319" s="209">
        <v>5.0739999999999998</v>
      </c>
      <c r="J1319" s="207">
        <v>1.199826363056542</v>
      </c>
      <c r="K1319" s="209">
        <v>15.173999999999999</v>
      </c>
      <c r="L1319" s="209">
        <v>13.438000000000001</v>
      </c>
      <c r="M1319" s="212"/>
      <c r="N1319" s="225"/>
    </row>
    <row r="1320" spans="1:14" ht="16.5" customHeight="1" x14ac:dyDescent="0.25">
      <c r="A1320" s="203">
        <v>45208</v>
      </c>
      <c r="B1320" s="128" t="s">
        <v>10</v>
      </c>
      <c r="C1320" s="157" t="str">
        <f t="shared" si="41"/>
        <v>09.10.2023_SAL1</v>
      </c>
      <c r="D1320" s="190">
        <f t="shared" si="42"/>
        <v>0</v>
      </c>
      <c r="E1320" s="204">
        <v>9.0313637589321857E-2</v>
      </c>
      <c r="F1320" s="205">
        <v>5.9910852820171251E-2</v>
      </c>
      <c r="G1320" s="204">
        <v>4.7090991948959349E-3</v>
      </c>
      <c r="H1320" s="204">
        <v>4.4597243926694133E-2</v>
      </c>
      <c r="I1320" s="209">
        <v>3.6890000000000001</v>
      </c>
      <c r="J1320" s="207">
        <v>0.85046862934732681</v>
      </c>
      <c r="K1320" s="209">
        <v>7.101</v>
      </c>
      <c r="L1320" s="209">
        <v>4.7389999999999999</v>
      </c>
      <c r="M1320" s="212"/>
      <c r="N1320" s="225"/>
    </row>
    <row r="1321" spans="1:14" ht="16.5" customHeight="1" x14ac:dyDescent="0.25">
      <c r="A1321" s="203">
        <v>45208</v>
      </c>
      <c r="B1321" s="128" t="s">
        <v>12</v>
      </c>
      <c r="C1321" s="157" t="str">
        <f t="shared" si="41"/>
        <v>09.10.2023_SAL2</v>
      </c>
      <c r="D1321" s="190">
        <f t="shared" si="42"/>
        <v>0</v>
      </c>
      <c r="E1321" s="204">
        <v>8.8833086153431315E-2</v>
      </c>
      <c r="F1321" s="205">
        <v>4.8108491427909149E-2</v>
      </c>
      <c r="G1321" s="204">
        <v>2.4487315813458879E-2</v>
      </c>
      <c r="H1321" s="204">
        <v>4.5990907799403319E-2</v>
      </c>
      <c r="I1321" s="209">
        <v>4.29</v>
      </c>
      <c r="J1321" s="207">
        <v>1.001998387735521</v>
      </c>
      <c r="K1321" s="209">
        <v>7.5529999999999999</v>
      </c>
      <c r="L1321" s="209">
        <v>5.3959999999999999</v>
      </c>
      <c r="M1321" s="212"/>
      <c r="N1321" s="225"/>
    </row>
    <row r="1322" spans="1:14" ht="16.5" customHeight="1" x14ac:dyDescent="0.25">
      <c r="A1322" s="203">
        <v>45208</v>
      </c>
      <c r="B1322" s="128" t="s">
        <v>7</v>
      </c>
      <c r="C1322" s="157" t="str">
        <f t="shared" si="41"/>
        <v>09.10.2023_STE1</v>
      </c>
      <c r="D1322" s="190">
        <f t="shared" si="42"/>
        <v>0</v>
      </c>
      <c r="E1322" s="204">
        <v>5.6260954563839845E-2</v>
      </c>
      <c r="F1322" s="205">
        <v>4.4821207418229037E-2</v>
      </c>
      <c r="G1322" s="204">
        <v>2.7312775330396447E-2</v>
      </c>
      <c r="H1322" s="204">
        <v>6.689586589004122E-2</v>
      </c>
      <c r="I1322" s="209">
        <v>5.9119999999999999</v>
      </c>
      <c r="J1322" s="207">
        <v>1.3769179832865226</v>
      </c>
      <c r="K1322" s="209">
        <v>8.8699999999999992</v>
      </c>
      <c r="L1322" s="209">
        <v>8.1509999999999998</v>
      </c>
      <c r="M1322" s="212"/>
      <c r="N1322" s="225"/>
    </row>
    <row r="1323" spans="1:14" ht="16.5" customHeight="1" x14ac:dyDescent="0.25">
      <c r="A1323" s="203">
        <v>45208</v>
      </c>
      <c r="B1323" s="128" t="s">
        <v>9</v>
      </c>
      <c r="C1323" s="157" t="str">
        <f t="shared" si="41"/>
        <v>09.10.2023_STE2</v>
      </c>
      <c r="D1323" s="190">
        <f t="shared" si="42"/>
        <v>0</v>
      </c>
      <c r="E1323" s="204">
        <v>5.3299851692058815E-2</v>
      </c>
      <c r="F1323" s="205">
        <v>4.0052566255866041E-2</v>
      </c>
      <c r="G1323" s="204">
        <v>5.4625550660792929E-2</v>
      </c>
      <c r="H1323" s="204">
        <v>0.1156741014348629</v>
      </c>
      <c r="I1323" s="209">
        <v>5.7430000000000003</v>
      </c>
      <c r="J1323" s="207">
        <v>1.3748045840144432</v>
      </c>
      <c r="K1323" s="209">
        <v>9.7759999999999998</v>
      </c>
      <c r="L1323" s="209">
        <v>7.8120000000000003</v>
      </c>
      <c r="M1323" s="212"/>
      <c r="N1323" s="225"/>
    </row>
    <row r="1324" spans="1:14" ht="16.5" customHeight="1" x14ac:dyDescent="0.25">
      <c r="A1324" s="203">
        <v>45222</v>
      </c>
      <c r="B1324" s="128" t="s">
        <v>22</v>
      </c>
      <c r="C1324" s="157" t="str">
        <f t="shared" si="41"/>
        <v>23.10.2023_BIE1</v>
      </c>
      <c r="D1324" s="190">
        <f t="shared" si="42"/>
        <v>0</v>
      </c>
      <c r="E1324" s="204">
        <v>7.4843392412675624E-2</v>
      </c>
      <c r="F1324" s="205">
        <v>7.1122027609095917E-2</v>
      </c>
      <c r="G1324" s="204">
        <v>0.4700184176495944</v>
      </c>
      <c r="H1324" s="204">
        <v>0.10295151869158872</v>
      </c>
      <c r="I1324" s="209">
        <v>2.1240000000000001</v>
      </c>
      <c r="J1324" s="207">
        <v>0.87605607098638782</v>
      </c>
      <c r="K1324" s="209">
        <v>4.4020000000000001</v>
      </c>
      <c r="L1324" s="209">
        <v>7.5720000000000001</v>
      </c>
      <c r="M1324" s="212"/>
      <c r="N1324" s="225"/>
    </row>
    <row r="1325" spans="1:14" ht="16.5" customHeight="1" x14ac:dyDescent="0.25">
      <c r="A1325" s="203">
        <v>45222</v>
      </c>
      <c r="B1325" s="128" t="s">
        <v>25</v>
      </c>
      <c r="C1325" s="157" t="str">
        <f t="shared" si="41"/>
        <v>23.10.2023_BIE2</v>
      </c>
      <c r="D1325" s="190">
        <f t="shared" si="42"/>
        <v>0</v>
      </c>
      <c r="E1325" s="204">
        <v>8.8051049897265813E-3</v>
      </c>
      <c r="F1325" s="205">
        <v>2.1591619179713719E-2</v>
      </c>
      <c r="G1325" s="204">
        <v>4.7001841764959466E-2</v>
      </c>
      <c r="H1325" s="204">
        <v>3.8773948598130825E-2</v>
      </c>
      <c r="I1325" s="209">
        <v>2.2120000000000002</v>
      </c>
      <c r="J1325" s="207">
        <v>0.5479256287627744</v>
      </c>
      <c r="K1325" s="209">
        <v>5.8440000000000003</v>
      </c>
      <c r="L1325" s="209">
        <v>10.603999999999999</v>
      </c>
      <c r="M1325" s="212"/>
      <c r="N1325" s="225"/>
    </row>
    <row r="1326" spans="1:14" ht="16.5" customHeight="1" x14ac:dyDescent="0.25">
      <c r="A1326" s="203">
        <v>45222</v>
      </c>
      <c r="B1326" s="128" t="s">
        <v>14</v>
      </c>
      <c r="C1326" s="157" t="str">
        <f t="shared" si="41"/>
        <v>23.10.2023_BRA1</v>
      </c>
      <c r="D1326" s="190">
        <f t="shared" si="42"/>
        <v>0</v>
      </c>
      <c r="E1326" s="204">
        <v>4.1090489952057226E-2</v>
      </c>
      <c r="F1326" s="205">
        <v>3.7046063535717128E-2</v>
      </c>
      <c r="G1326" s="204">
        <v>5.7002233629844475E-2</v>
      </c>
      <c r="H1326" s="204">
        <v>7.8884929906542042E-2</v>
      </c>
      <c r="I1326" s="209">
        <v>5.7859999999999996</v>
      </c>
      <c r="J1326" s="207">
        <v>1.3751620013012846</v>
      </c>
      <c r="K1326" s="209">
        <v>6.2990000000000004</v>
      </c>
      <c r="L1326" s="209">
        <v>5.31</v>
      </c>
      <c r="M1326" s="212"/>
      <c r="N1326" s="225"/>
    </row>
    <row r="1327" spans="1:14" ht="16.5" customHeight="1" x14ac:dyDescent="0.25">
      <c r="A1327" s="203">
        <v>45222</v>
      </c>
      <c r="B1327" s="128" t="s">
        <v>17</v>
      </c>
      <c r="C1327" s="157" t="str">
        <f t="shared" si="41"/>
        <v>23.10.2023_BRA2</v>
      </c>
      <c r="D1327" s="190">
        <f t="shared" si="42"/>
        <v>0</v>
      </c>
      <c r="E1327" s="204">
        <v>8.0713462405826678E-2</v>
      </c>
      <c r="F1327" s="205">
        <v>6.0714132640405011E-2</v>
      </c>
      <c r="G1327" s="204">
        <v>2.400094047572399E-2</v>
      </c>
      <c r="H1327" s="204">
        <v>8.9581191588785067E-2</v>
      </c>
      <c r="I1327" s="209">
        <v>6.9450000000000003</v>
      </c>
      <c r="J1327" s="207">
        <v>1.6145766340492005</v>
      </c>
      <c r="K1327" s="209">
        <v>8.5540000000000003</v>
      </c>
      <c r="L1327" s="209">
        <v>6.093</v>
      </c>
      <c r="M1327" s="212"/>
      <c r="N1327" s="225"/>
    </row>
    <row r="1328" spans="1:14" ht="16.5" customHeight="1" x14ac:dyDescent="0.25">
      <c r="A1328" s="203">
        <v>45222</v>
      </c>
      <c r="B1328" s="128" t="s">
        <v>30</v>
      </c>
      <c r="C1328" s="157" t="str">
        <f t="shared" si="41"/>
        <v>23.10.2023_FAL1</v>
      </c>
      <c r="D1328" s="190">
        <f t="shared" si="42"/>
        <v>0</v>
      </c>
      <c r="E1328" s="204">
        <v>0.2113225197534371</v>
      </c>
      <c r="F1328" s="205">
        <v>0.13076270989574418</v>
      </c>
      <c r="G1328" s="204">
        <v>0.17500685763548726</v>
      </c>
      <c r="H1328" s="204">
        <v>0.26205841121495327</v>
      </c>
      <c r="I1328" s="209">
        <v>11.317</v>
      </c>
      <c r="J1328" s="207">
        <v>2.7718455481797721</v>
      </c>
      <c r="K1328" s="209">
        <v>36</v>
      </c>
      <c r="L1328" s="209">
        <v>26.457000000000001</v>
      </c>
      <c r="M1328" s="212"/>
      <c r="N1328" s="225"/>
    </row>
    <row r="1329" spans="1:14" ht="16.5" customHeight="1" x14ac:dyDescent="0.25">
      <c r="A1329" s="203">
        <v>45222</v>
      </c>
      <c r="B1329" s="128" t="s">
        <v>32</v>
      </c>
      <c r="C1329" s="157" t="str">
        <f t="shared" si="41"/>
        <v>23.10.2023_FAL2</v>
      </c>
      <c r="D1329" s="190">
        <f t="shared" si="42"/>
        <v>0</v>
      </c>
      <c r="E1329" s="204">
        <v>0.14234919733391241</v>
      </c>
      <c r="F1329" s="205">
        <v>8.3313815555774856E-2</v>
      </c>
      <c r="G1329" s="204">
        <v>7.4002899800148958E-2</v>
      </c>
      <c r="H1329" s="204">
        <v>0.14974766355140182</v>
      </c>
      <c r="I1329" s="209">
        <v>6.274</v>
      </c>
      <c r="J1329" s="207">
        <v>1.5201615678340419</v>
      </c>
      <c r="K1329" s="209">
        <v>33</v>
      </c>
      <c r="L1329" s="209">
        <v>27.062000000000001</v>
      </c>
      <c r="M1329" s="212"/>
      <c r="N1329" s="225"/>
    </row>
    <row r="1330" spans="1:14" ht="16.5" customHeight="1" x14ac:dyDescent="0.25">
      <c r="A1330" s="203">
        <v>45222</v>
      </c>
      <c r="B1330" s="128" t="s">
        <v>26</v>
      </c>
      <c r="C1330" s="157" t="str">
        <f t="shared" si="41"/>
        <v>23.10.2023_GRU1</v>
      </c>
      <c r="D1330" s="190">
        <f t="shared" si="42"/>
        <v>0</v>
      </c>
      <c r="E1330" s="204">
        <v>0</v>
      </c>
      <c r="F1330" s="205">
        <v>2.3292992527331725E-2</v>
      </c>
      <c r="G1330" s="204">
        <v>0</v>
      </c>
      <c r="H1330" s="204">
        <v>0.2206103971962616</v>
      </c>
      <c r="I1330" s="209">
        <v>1.528</v>
      </c>
      <c r="J1330" s="207">
        <v>0.41229419542640183</v>
      </c>
      <c r="K1330" s="209">
        <v>5.9249999999999998</v>
      </c>
      <c r="L1330" s="209">
        <v>9.0050000000000008</v>
      </c>
      <c r="M1330" s="212"/>
      <c r="N1330" s="225"/>
    </row>
    <row r="1331" spans="1:14" ht="16.5" customHeight="1" x14ac:dyDescent="0.25">
      <c r="A1331" s="203">
        <v>45222</v>
      </c>
      <c r="B1331" s="128" t="s">
        <v>28</v>
      </c>
      <c r="C1331" s="157" t="str">
        <f t="shared" si="41"/>
        <v>23.10.2023_GRU2</v>
      </c>
      <c r="D1331" s="190">
        <f t="shared" si="42"/>
        <v>0</v>
      </c>
      <c r="E1331" s="204">
        <v>0</v>
      </c>
      <c r="F1331" s="205">
        <v>1.9134072635330991E-2</v>
      </c>
      <c r="G1331" s="204">
        <v>6.8002664681217961E-2</v>
      </c>
      <c r="H1331" s="204">
        <v>7.62108644859813E-2</v>
      </c>
      <c r="I1331" s="209">
        <v>1.7390000000000001</v>
      </c>
      <c r="J1331" s="207">
        <v>0.46879371679107595</v>
      </c>
      <c r="K1331" s="209">
        <v>6.6760000000000002</v>
      </c>
      <c r="L1331" s="209">
        <v>8.36</v>
      </c>
      <c r="M1331" s="212"/>
      <c r="N1331" s="225"/>
    </row>
    <row r="1332" spans="1:14" ht="16.5" customHeight="1" x14ac:dyDescent="0.25">
      <c r="A1332" s="203">
        <v>45222</v>
      </c>
      <c r="B1332" s="128" t="s">
        <v>0</v>
      </c>
      <c r="C1332" s="157" t="str">
        <f t="shared" si="41"/>
        <v>23.10.2023_KIN1</v>
      </c>
      <c r="D1332" s="190">
        <f t="shared" si="42"/>
        <v>0</v>
      </c>
      <c r="E1332" s="204">
        <v>4.2558007450344944E-2</v>
      </c>
      <c r="F1332" s="205">
        <v>3.8721150234137532E-2</v>
      </c>
      <c r="G1332" s="204">
        <v>1.2000470237861995E-2</v>
      </c>
      <c r="H1332" s="204">
        <v>8.2896028037383163E-2</v>
      </c>
      <c r="I1332" s="209">
        <v>5.28</v>
      </c>
      <c r="J1332" s="207">
        <v>1.2271495408709785</v>
      </c>
      <c r="K1332" s="209">
        <v>6.5519999999999996</v>
      </c>
      <c r="L1332" s="209">
        <v>8.1229999999999993</v>
      </c>
      <c r="M1332" s="212"/>
      <c r="N1332" s="225"/>
    </row>
    <row r="1333" spans="1:14" ht="16.5" customHeight="1" x14ac:dyDescent="0.25">
      <c r="A1333" s="203">
        <v>45222</v>
      </c>
      <c r="B1333" s="128" t="s">
        <v>2</v>
      </c>
      <c r="C1333" s="157" t="str">
        <f t="shared" si="41"/>
        <v>23.10.2023_KIN2</v>
      </c>
      <c r="D1333" s="190">
        <f t="shared" si="42"/>
        <v>0</v>
      </c>
      <c r="E1333" s="204">
        <v>5.1363112440071496E-2</v>
      </c>
      <c r="F1333" s="205">
        <v>2.6357716771223023E-2</v>
      </c>
      <c r="G1333" s="204">
        <v>1.400054861083898E-2</v>
      </c>
      <c r="H1333" s="204">
        <v>3.0751752336448602E-2</v>
      </c>
      <c r="I1333" s="209">
        <v>4.0609999999999999</v>
      </c>
      <c r="J1333" s="207">
        <v>0.93749172698966199</v>
      </c>
      <c r="K1333" s="209">
        <v>7.64</v>
      </c>
      <c r="L1333" s="209">
        <v>9.0180000000000007</v>
      </c>
      <c r="M1333" s="212"/>
      <c r="N1333" s="225"/>
    </row>
    <row r="1334" spans="1:14" ht="16.5" customHeight="1" x14ac:dyDescent="0.25">
      <c r="A1334" s="203">
        <v>45222</v>
      </c>
      <c r="B1334" s="128" t="s">
        <v>4</v>
      </c>
      <c r="C1334" s="157" t="str">
        <f t="shared" si="41"/>
        <v>23.10.2023_KIN3</v>
      </c>
      <c r="D1334" s="190">
        <f t="shared" si="42"/>
        <v>0</v>
      </c>
      <c r="E1334" s="204">
        <v>6.8973322419524571E-2</v>
      </c>
      <c r="F1334" s="205">
        <v>2.9177320583058566E-2</v>
      </c>
      <c r="G1334" s="204">
        <v>3.7001449900074458E-2</v>
      </c>
      <c r="H1334" s="204">
        <v>8.1558995327102826E-2</v>
      </c>
      <c r="I1334" s="209">
        <v>3.944</v>
      </c>
      <c r="J1334" s="207">
        <v>0.94439317196024519</v>
      </c>
      <c r="K1334" s="209">
        <v>9.3010000000000002</v>
      </c>
      <c r="L1334" s="209">
        <v>10.185</v>
      </c>
      <c r="M1334" s="212"/>
      <c r="N1334" s="225"/>
    </row>
    <row r="1335" spans="1:14" ht="16.5" customHeight="1" x14ac:dyDescent="0.25">
      <c r="A1335" s="203">
        <v>45222</v>
      </c>
      <c r="B1335" s="128" t="s">
        <v>6</v>
      </c>
      <c r="C1335" s="157" t="str">
        <f t="shared" si="41"/>
        <v>23.10.2023_KIN4</v>
      </c>
      <c r="D1335" s="190">
        <f t="shared" si="42"/>
        <v>0</v>
      </c>
      <c r="E1335" s="204">
        <v>8.3648497402402169E-2</v>
      </c>
      <c r="F1335" s="205">
        <v>3.5848360444257418E-2</v>
      </c>
      <c r="G1335" s="204">
        <v>4.4001724205493968E-2</v>
      </c>
      <c r="H1335" s="204">
        <v>6.9525700934579451E-2</v>
      </c>
      <c r="I1335" s="209">
        <v>4.0140000000000002</v>
      </c>
      <c r="J1335" s="207">
        <v>0.96197617847785666</v>
      </c>
      <c r="K1335" s="209">
        <v>13.759</v>
      </c>
      <c r="L1335" s="209">
        <v>10.143000000000001</v>
      </c>
      <c r="M1335" s="212"/>
      <c r="N1335" s="225"/>
    </row>
    <row r="1336" spans="1:14" ht="16.5" customHeight="1" x14ac:dyDescent="0.25">
      <c r="A1336" s="203">
        <v>45222</v>
      </c>
      <c r="B1336" s="128" t="s">
        <v>34</v>
      </c>
      <c r="C1336" s="157" t="str">
        <f t="shared" si="41"/>
        <v>23.10.2023_KRE1</v>
      </c>
      <c r="D1336" s="190">
        <f t="shared" si="42"/>
        <v>0</v>
      </c>
      <c r="E1336" s="204">
        <v>2.2012762474316348E-2</v>
      </c>
      <c r="F1336" s="205">
        <v>4.5466857304628336E-2</v>
      </c>
      <c r="G1336" s="204">
        <v>6.3002468748775464E-2</v>
      </c>
      <c r="H1336" s="204">
        <v>7.0862733644859788E-2</v>
      </c>
      <c r="I1336" s="209">
        <v>4.2629999999999999</v>
      </c>
      <c r="J1336" s="207">
        <v>1.0333787562169141</v>
      </c>
      <c r="K1336" s="209">
        <v>43</v>
      </c>
      <c r="L1336" s="209">
        <v>28.395</v>
      </c>
      <c r="M1336" s="212"/>
      <c r="N1336" s="225"/>
    </row>
    <row r="1337" spans="1:14" ht="16.5" customHeight="1" x14ac:dyDescent="0.25">
      <c r="A1337" s="203">
        <v>45222</v>
      </c>
      <c r="B1337" s="128" t="s">
        <v>37</v>
      </c>
      <c r="C1337" s="157" t="str">
        <f t="shared" si="41"/>
        <v>23.10.2023_KRE2</v>
      </c>
      <c r="D1337" s="190">
        <f t="shared" si="42"/>
        <v>0</v>
      </c>
      <c r="E1337" s="204">
        <v>2.9350349965755151E-2</v>
      </c>
      <c r="F1337" s="205">
        <v>5.0967006433485451E-2</v>
      </c>
      <c r="G1337" s="204">
        <v>0.12500489831106237</v>
      </c>
      <c r="H1337" s="204">
        <v>6.6851635514018667E-2</v>
      </c>
      <c r="I1337" s="209">
        <v>6.383</v>
      </c>
      <c r="J1337" s="207">
        <v>1.5591462439217996</v>
      </c>
      <c r="K1337" s="209">
        <v>37</v>
      </c>
      <c r="L1337" s="209">
        <v>31.114999999999998</v>
      </c>
      <c r="M1337" s="212"/>
      <c r="N1337" s="225"/>
    </row>
    <row r="1338" spans="1:14" ht="16.5" customHeight="1" x14ac:dyDescent="0.25">
      <c r="A1338" s="203">
        <v>45222</v>
      </c>
      <c r="B1338" s="128" t="s">
        <v>18</v>
      </c>
      <c r="C1338" s="157" t="str">
        <f t="shared" si="41"/>
        <v>23.10.2023_ORB1</v>
      </c>
      <c r="D1338" s="190">
        <f t="shared" si="42"/>
        <v>0</v>
      </c>
      <c r="E1338" s="204">
        <v>6.6038287422949066E-2</v>
      </c>
      <c r="F1338" s="205">
        <v>4.5199167053945728E-2</v>
      </c>
      <c r="G1338" s="204">
        <v>7.0002743054194946E-2</v>
      </c>
      <c r="H1338" s="204">
        <v>4.9470210280373801E-2</v>
      </c>
      <c r="I1338" s="209">
        <v>1.514</v>
      </c>
      <c r="J1338" s="207">
        <v>0.41138481547401162</v>
      </c>
      <c r="K1338" s="209">
        <v>3.2469999999999999</v>
      </c>
      <c r="L1338" s="209">
        <v>5.0629999999999997</v>
      </c>
      <c r="M1338" s="212"/>
      <c r="N1338" s="225"/>
    </row>
    <row r="1339" spans="1:14" ht="16.5" customHeight="1" x14ac:dyDescent="0.25">
      <c r="A1339" s="203">
        <v>45222</v>
      </c>
      <c r="B1339" s="128" t="s">
        <v>21</v>
      </c>
      <c r="C1339" s="157" t="str">
        <f t="shared" si="41"/>
        <v>23.10.2023_ORB2</v>
      </c>
      <c r="D1339" s="190">
        <f t="shared" si="42"/>
        <v>0</v>
      </c>
      <c r="E1339" s="204">
        <v>0.27295825468152285</v>
      </c>
      <c r="F1339" s="205">
        <v>0.21958508415169775</v>
      </c>
      <c r="G1339" s="204">
        <v>1.3940546259649669</v>
      </c>
      <c r="H1339" s="204">
        <v>0.14841063084112149</v>
      </c>
      <c r="I1339" s="209">
        <v>1.907</v>
      </c>
      <c r="J1339" s="207">
        <v>1.5583871830751166</v>
      </c>
      <c r="K1339" s="209">
        <v>20.170000000000002</v>
      </c>
      <c r="L1339" s="209">
        <v>6.3280000000000003</v>
      </c>
      <c r="M1339" s="212"/>
      <c r="N1339" s="225"/>
    </row>
    <row r="1340" spans="1:14" ht="16.5" customHeight="1" x14ac:dyDescent="0.25">
      <c r="A1340" s="203">
        <v>45222</v>
      </c>
      <c r="B1340" s="128" t="s">
        <v>10</v>
      </c>
      <c r="C1340" s="157" t="str">
        <f t="shared" si="41"/>
        <v>23.10.2023_SAL1</v>
      </c>
      <c r="D1340" s="190">
        <f t="shared" si="42"/>
        <v>0</v>
      </c>
      <c r="E1340" s="204">
        <v>0.10419374237843078</v>
      </c>
      <c r="F1340" s="205">
        <v>5.0893739595990875E-2</v>
      </c>
      <c r="G1340" s="204">
        <v>3.9001528273051485E-2</v>
      </c>
      <c r="H1340" s="204">
        <v>9.3592289719626201E-2</v>
      </c>
      <c r="I1340" s="209">
        <v>4.8079999999999998</v>
      </c>
      <c r="J1340" s="207">
        <v>1.1447614292938819</v>
      </c>
      <c r="K1340" s="209">
        <v>5.8339999999999996</v>
      </c>
      <c r="L1340" s="209">
        <v>5.2069999999999999</v>
      </c>
      <c r="M1340" s="212"/>
      <c r="N1340" s="225"/>
    </row>
    <row r="1341" spans="1:14" ht="16.5" customHeight="1" x14ac:dyDescent="0.25">
      <c r="A1341" s="203">
        <v>45222</v>
      </c>
      <c r="B1341" s="128" t="s">
        <v>12</v>
      </c>
      <c r="C1341" s="157" t="str">
        <f t="shared" si="41"/>
        <v>23.10.2023_SAL2</v>
      </c>
      <c r="D1341" s="190">
        <f t="shared" si="42"/>
        <v>0</v>
      </c>
      <c r="E1341" s="204">
        <v>0.11740139986302053</v>
      </c>
      <c r="F1341" s="205">
        <v>4.1568081830106157E-2</v>
      </c>
      <c r="G1341" s="204">
        <v>3.0001175594654986E-2</v>
      </c>
      <c r="H1341" s="204">
        <v>6.4177570093457939E-2</v>
      </c>
      <c r="I1341" s="209">
        <v>4.8550000000000004</v>
      </c>
      <c r="J1341" s="207">
        <v>1.139433324052447</v>
      </c>
      <c r="K1341" s="209">
        <v>6.1050000000000004</v>
      </c>
      <c r="L1341" s="209">
        <v>5.5510000000000002</v>
      </c>
      <c r="M1341" s="212"/>
      <c r="N1341" s="225"/>
    </row>
    <row r="1342" spans="1:14" ht="16.5" customHeight="1" x14ac:dyDescent="0.25">
      <c r="A1342" s="203">
        <v>45222</v>
      </c>
      <c r="B1342" s="128" t="s">
        <v>7</v>
      </c>
      <c r="C1342" s="157" t="str">
        <f t="shared" si="41"/>
        <v>23.10.2023_STE1</v>
      </c>
      <c r="D1342" s="190">
        <f t="shared" si="42"/>
        <v>0</v>
      </c>
      <c r="E1342" s="204">
        <v>9.3921119890416502E-2</v>
      </c>
      <c r="F1342" s="205">
        <v>7.4521130934538854E-2</v>
      </c>
      <c r="G1342" s="204">
        <v>3.6001410713585986E-2</v>
      </c>
      <c r="H1342" s="204">
        <v>9.3592289719626201E-2</v>
      </c>
      <c r="I1342" s="209">
        <v>5.6859999999999999</v>
      </c>
      <c r="J1342" s="207">
        <v>1.3407457280101327</v>
      </c>
      <c r="K1342" s="209">
        <v>6.8419999999999996</v>
      </c>
      <c r="L1342" s="209">
        <v>6.1589999999999998</v>
      </c>
      <c r="M1342" s="212"/>
      <c r="N1342" s="225"/>
    </row>
    <row r="1343" spans="1:14" ht="16.5" customHeight="1" x14ac:dyDescent="0.25">
      <c r="A1343" s="203">
        <v>45222</v>
      </c>
      <c r="B1343" s="128" t="s">
        <v>9</v>
      </c>
      <c r="C1343" s="157" t="str">
        <f t="shared" si="41"/>
        <v>23.10.2023_STE2</v>
      </c>
      <c r="D1343" s="190">
        <f t="shared" si="42"/>
        <v>0</v>
      </c>
      <c r="E1343" s="204">
        <v>0.11886891736130832</v>
      </c>
      <c r="F1343" s="205">
        <v>7.839217310934489E-2</v>
      </c>
      <c r="G1343" s="204">
        <v>5.6002194443355961E-2</v>
      </c>
      <c r="H1343" s="204">
        <v>0.10161448598130833</v>
      </c>
      <c r="I1343" s="209">
        <v>5.1970000000000001</v>
      </c>
      <c r="J1343" s="207">
        <v>1.2482680642203308</v>
      </c>
      <c r="K1343" s="209">
        <v>7.3170000000000002</v>
      </c>
      <c r="L1343" s="209">
        <v>6.0270000000000001</v>
      </c>
      <c r="M1343" s="212"/>
      <c r="N1343" s="225"/>
    </row>
    <row r="1344" spans="1:14" ht="16.5" customHeight="1" x14ac:dyDescent="0.25">
      <c r="A1344" s="203">
        <v>45236</v>
      </c>
      <c r="B1344" s="128" t="s">
        <v>22</v>
      </c>
      <c r="C1344" s="157" t="str">
        <f t="shared" si="41"/>
        <v>06.11.2023_BIE1</v>
      </c>
      <c r="D1344" s="190">
        <f t="shared" si="42"/>
        <v>0</v>
      </c>
      <c r="E1344" s="204">
        <v>5.5012075618354944E-2</v>
      </c>
      <c r="F1344" s="205">
        <v>3.4962057334570751E-2</v>
      </c>
      <c r="G1344" s="204">
        <v>0.263930728956907</v>
      </c>
      <c r="H1344" s="204">
        <v>0.1205896759008937</v>
      </c>
      <c r="I1344" s="209">
        <v>3.141</v>
      </c>
      <c r="J1344" s="207">
        <v>0.9511107685557757</v>
      </c>
      <c r="K1344" s="209">
        <v>6.1210000000000004</v>
      </c>
      <c r="L1344" s="209">
        <v>10.526</v>
      </c>
      <c r="M1344" s="212"/>
      <c r="N1344" s="225"/>
    </row>
    <row r="1345" spans="1:14" ht="16.5" customHeight="1" x14ac:dyDescent="0.25">
      <c r="A1345" s="203">
        <v>45236</v>
      </c>
      <c r="B1345" s="128" t="s">
        <v>25</v>
      </c>
      <c r="C1345" s="157" t="str">
        <f t="shared" si="41"/>
        <v>06.11.2023_BIE2</v>
      </c>
      <c r="D1345" s="190">
        <f t="shared" si="42"/>
        <v>0</v>
      </c>
      <c r="E1345" s="204">
        <v>3.0401410210143517E-2</v>
      </c>
      <c r="F1345" s="205">
        <v>2.4138868333629843E-2</v>
      </c>
      <c r="G1345" s="204">
        <v>0.12934353604510676</v>
      </c>
      <c r="H1345" s="204">
        <v>6.5146146751057496E-2</v>
      </c>
      <c r="I1345" s="209">
        <v>3.0830000000000002</v>
      </c>
      <c r="J1345" s="207">
        <v>0.81662491668202442</v>
      </c>
      <c r="K1345" s="209">
        <v>5.9189999999999996</v>
      </c>
      <c r="L1345" s="209">
        <v>9.8089999999999993</v>
      </c>
      <c r="M1345" s="212"/>
      <c r="N1345" s="225"/>
    </row>
    <row r="1346" spans="1:14" ht="16.5" customHeight="1" x14ac:dyDescent="0.25">
      <c r="A1346" s="203">
        <v>45236</v>
      </c>
      <c r="B1346" s="128" t="s">
        <v>14</v>
      </c>
      <c r="C1346" s="157" t="str">
        <f t="shared" si="41"/>
        <v>06.11.2023_BRA1</v>
      </c>
      <c r="D1346" s="190">
        <f t="shared" si="42"/>
        <v>0</v>
      </c>
      <c r="E1346" s="204">
        <v>4.9221330816422881E-2</v>
      </c>
      <c r="F1346" s="205">
        <v>3.26848390141221E-2</v>
      </c>
      <c r="G1346" s="204">
        <v>5.2436568666935177E-2</v>
      </c>
      <c r="H1346" s="204">
        <v>6.2373970293565707E-2</v>
      </c>
      <c r="I1346" s="209">
        <v>7.2519999999999998</v>
      </c>
      <c r="J1346" s="207">
        <v>1.6977154664600644</v>
      </c>
      <c r="K1346" s="209">
        <v>4.8220000000000001</v>
      </c>
      <c r="L1346" s="209">
        <v>6.7640000000000002</v>
      </c>
      <c r="M1346" s="212"/>
      <c r="N1346" s="225"/>
    </row>
    <row r="1347" spans="1:14" ht="16.5" customHeight="1" x14ac:dyDescent="0.25">
      <c r="A1347" s="203">
        <v>45236</v>
      </c>
      <c r="B1347" s="128" t="s">
        <v>17</v>
      </c>
      <c r="C1347" s="157" t="str">
        <f t="shared" si="41"/>
        <v>06.11.2023_BRA2</v>
      </c>
      <c r="D1347" s="190">
        <f t="shared" si="42"/>
        <v>0</v>
      </c>
      <c r="E1347" s="204">
        <v>8.9756544429947543E-2</v>
      </c>
      <c r="F1347" s="205">
        <v>4.3172996935395468E-2</v>
      </c>
      <c r="G1347" s="204">
        <v>2.8840112766814332E-2</v>
      </c>
      <c r="H1347" s="204">
        <v>7.4848764352278857E-2</v>
      </c>
      <c r="I1347" s="209">
        <v>8.3049999999999997</v>
      </c>
      <c r="J1347" s="207">
        <v>1.921032115469355</v>
      </c>
      <c r="K1347" s="209">
        <v>5.49</v>
      </c>
      <c r="L1347" s="209">
        <v>7.4480000000000004</v>
      </c>
      <c r="M1347" s="212"/>
      <c r="N1347" s="225"/>
    </row>
    <row r="1348" spans="1:14" ht="16.5" customHeight="1" x14ac:dyDescent="0.25">
      <c r="A1348" s="203">
        <v>45236</v>
      </c>
      <c r="B1348" s="128" t="s">
        <v>30</v>
      </c>
      <c r="C1348" s="157" t="str">
        <f t="shared" si="41"/>
        <v>06.11.2023_FAL1</v>
      </c>
      <c r="D1348" s="190">
        <f t="shared" si="42"/>
        <v>0</v>
      </c>
      <c r="E1348" s="204">
        <v>0</v>
      </c>
      <c r="F1348" s="205">
        <v>0</v>
      </c>
      <c r="G1348" s="204">
        <v>0</v>
      </c>
      <c r="H1348" s="204">
        <v>0</v>
      </c>
      <c r="I1348" s="209">
        <v>0</v>
      </c>
      <c r="J1348" s="207">
        <v>0</v>
      </c>
      <c r="K1348" s="209">
        <v>0</v>
      </c>
      <c r="L1348" s="209">
        <v>0</v>
      </c>
      <c r="M1348" s="212"/>
      <c r="N1348" s="225"/>
    </row>
    <row r="1349" spans="1:14" ht="16.5" customHeight="1" x14ac:dyDescent="0.25">
      <c r="A1349" s="203">
        <v>45236</v>
      </c>
      <c r="B1349" s="128" t="s">
        <v>32</v>
      </c>
      <c r="C1349" s="157" t="str">
        <f t="shared" ref="C1349:C1412" si="43">CONCATENATE(TEXT(A1349,"TT.MM.JJJJ"),"_",B1349)</f>
        <v>06.11.2023_FAL2</v>
      </c>
      <c r="D1349" s="190">
        <f t="shared" ref="D1349:D1412" si="44">COUNTBLANK(E1349:L1349)</f>
        <v>0</v>
      </c>
      <c r="E1349" s="204">
        <v>0.21136218527052167</v>
      </c>
      <c r="F1349" s="205">
        <v>0.11935719092156045</v>
      </c>
      <c r="G1349" s="204">
        <v>7.1663310511478062E-2</v>
      </c>
      <c r="H1349" s="204">
        <v>0.24256544003053332</v>
      </c>
      <c r="I1349" s="209">
        <v>9.9090000000000007</v>
      </c>
      <c r="J1349" s="207">
        <v>2.3676407221963536</v>
      </c>
      <c r="K1349" s="209">
        <v>32</v>
      </c>
      <c r="L1349" s="209">
        <v>27.556999999999999</v>
      </c>
      <c r="M1349" s="212"/>
      <c r="N1349" s="225"/>
    </row>
    <row r="1350" spans="1:14" ht="16.5" customHeight="1" x14ac:dyDescent="0.25">
      <c r="A1350" s="203">
        <v>45236</v>
      </c>
      <c r="B1350" s="128" t="s">
        <v>26</v>
      </c>
      <c r="C1350" s="157" t="str">
        <f t="shared" si="43"/>
        <v>06.11.2023_GRU1</v>
      </c>
      <c r="D1350" s="190">
        <f t="shared" si="44"/>
        <v>0</v>
      </c>
      <c r="E1350" s="204">
        <v>0</v>
      </c>
      <c r="F1350" s="205">
        <v>1.9611503527750443E-2</v>
      </c>
      <c r="G1350" s="204">
        <v>0</v>
      </c>
      <c r="H1350" s="204">
        <v>0.23286282242931194</v>
      </c>
      <c r="I1350" s="209">
        <v>3.069</v>
      </c>
      <c r="J1350" s="207">
        <v>0.76409011628860402</v>
      </c>
      <c r="K1350" s="209">
        <v>5.2309999999999999</v>
      </c>
      <c r="L1350" s="209">
        <v>9.5250000000000004</v>
      </c>
      <c r="M1350" s="212"/>
      <c r="N1350" s="225"/>
    </row>
    <row r="1351" spans="1:14" ht="16.5" customHeight="1" x14ac:dyDescent="0.25">
      <c r="A1351" s="203">
        <v>45236</v>
      </c>
      <c r="B1351" s="128" t="s">
        <v>28</v>
      </c>
      <c r="C1351" s="157" t="str">
        <f t="shared" si="43"/>
        <v>06.11.2023_GRU2</v>
      </c>
      <c r="D1351" s="190">
        <f t="shared" si="44"/>
        <v>0</v>
      </c>
      <c r="E1351" s="204">
        <v>1.1581489603864219E-2</v>
      </c>
      <c r="F1351" s="205">
        <v>1.9199869827466142E-2</v>
      </c>
      <c r="G1351" s="204">
        <v>5.1562625855819583E-2</v>
      </c>
      <c r="H1351" s="204">
        <v>9.009573486848374E-2</v>
      </c>
      <c r="I1351" s="209">
        <v>3.0819999999999999</v>
      </c>
      <c r="J1351" s="207">
        <v>0.76359884983149506</v>
      </c>
      <c r="K1351" s="209">
        <v>5.13</v>
      </c>
      <c r="L1351" s="209">
        <v>8.8780000000000001</v>
      </c>
      <c r="M1351" s="212"/>
      <c r="N1351" s="225"/>
    </row>
    <row r="1352" spans="1:14" ht="16.5" customHeight="1" x14ac:dyDescent="0.25">
      <c r="A1352" s="203">
        <v>45236</v>
      </c>
      <c r="B1352" s="128" t="s">
        <v>0</v>
      </c>
      <c r="C1352" s="157" t="str">
        <f t="shared" si="43"/>
        <v>06.11.2023_KIN1</v>
      </c>
      <c r="D1352" s="190">
        <f t="shared" si="44"/>
        <v>0</v>
      </c>
      <c r="E1352" s="204">
        <v>5.5012075618354944E-2</v>
      </c>
      <c r="F1352" s="205">
        <v>3.157195990050983E-2</v>
      </c>
      <c r="G1352" s="204">
        <v>6.9915424889246836E-3</v>
      </c>
      <c r="H1352" s="204">
        <v>9.8412264240959182E-2</v>
      </c>
      <c r="I1352" s="209">
        <v>7.5419999999999998</v>
      </c>
      <c r="J1352" s="207">
        <v>1.738902016675385</v>
      </c>
      <c r="K1352" s="209">
        <v>6.6619999999999999</v>
      </c>
      <c r="L1352" s="209">
        <v>7.694</v>
      </c>
      <c r="M1352" s="212"/>
      <c r="N1352" s="225"/>
    </row>
    <row r="1353" spans="1:14" ht="16.5" customHeight="1" x14ac:dyDescent="0.25">
      <c r="A1353" s="203">
        <v>45236</v>
      </c>
      <c r="B1353" s="128" t="s">
        <v>2</v>
      </c>
      <c r="C1353" s="157" t="str">
        <f t="shared" si="43"/>
        <v>06.11.2023_KIN2</v>
      </c>
      <c r="D1353" s="190">
        <f t="shared" si="44"/>
        <v>0</v>
      </c>
      <c r="E1353" s="204">
        <v>6.9488937623185199E-2</v>
      </c>
      <c r="F1353" s="205">
        <v>2.2096608562906635E-2</v>
      </c>
      <c r="G1353" s="204">
        <v>2.6218284333467571E-2</v>
      </c>
      <c r="H1353" s="204">
        <v>4.1582646862377115E-2</v>
      </c>
      <c r="I1353" s="209">
        <v>7.3840000000000003</v>
      </c>
      <c r="J1353" s="207">
        <v>1.7008421524393449</v>
      </c>
      <c r="K1353" s="209">
        <v>7.968</v>
      </c>
      <c r="L1353" s="209">
        <v>9.125</v>
      </c>
      <c r="M1353" s="212"/>
      <c r="N1353" s="225"/>
    </row>
    <row r="1354" spans="1:14" ht="16.5" customHeight="1" x14ac:dyDescent="0.25">
      <c r="A1354" s="203">
        <v>45236</v>
      </c>
      <c r="B1354" s="128" t="s">
        <v>4</v>
      </c>
      <c r="C1354" s="157" t="str">
        <f t="shared" si="43"/>
        <v>06.11.2023_KIN3</v>
      </c>
      <c r="D1354" s="190">
        <f t="shared" si="44"/>
        <v>0</v>
      </c>
      <c r="E1354" s="204">
        <v>6.6593565222219125E-2</v>
      </c>
      <c r="F1354" s="205">
        <v>2.3054021817844481E-2</v>
      </c>
      <c r="G1354" s="204">
        <v>4.0201369311316938E-2</v>
      </c>
      <c r="H1354" s="204">
        <v>7.4848764352278857E-2</v>
      </c>
      <c r="I1354" s="209">
        <v>5.7709999999999999</v>
      </c>
      <c r="J1354" s="207">
        <v>1.3574994375635958</v>
      </c>
      <c r="K1354" s="209">
        <v>8.4770000000000003</v>
      </c>
      <c r="L1354" s="209">
        <v>10.071999999999999</v>
      </c>
      <c r="M1354" s="212"/>
      <c r="N1354" s="225"/>
    </row>
    <row r="1355" spans="1:14" ht="16.5" customHeight="1" x14ac:dyDescent="0.25">
      <c r="A1355" s="203">
        <v>45236</v>
      </c>
      <c r="B1355" s="128" t="s">
        <v>6</v>
      </c>
      <c r="C1355" s="157" t="str">
        <f t="shared" si="43"/>
        <v>06.11.2023_KIN4</v>
      </c>
      <c r="D1355" s="190">
        <f t="shared" si="44"/>
        <v>0</v>
      </c>
      <c r="E1355" s="204">
        <v>8.8308858229464549E-2</v>
      </c>
      <c r="F1355" s="205">
        <v>2.6740598682750593E-2</v>
      </c>
      <c r="G1355" s="204">
        <v>2.8840112766814332E-2</v>
      </c>
      <c r="H1355" s="204">
        <v>6.7918323208549347E-2</v>
      </c>
      <c r="I1355" s="209">
        <v>5.9290000000000003</v>
      </c>
      <c r="J1355" s="207">
        <v>1.3822550226631465</v>
      </c>
      <c r="K1355" s="209">
        <v>11.964</v>
      </c>
      <c r="L1355" s="209">
        <v>10.262</v>
      </c>
      <c r="M1355" s="212"/>
      <c r="N1355" s="225"/>
    </row>
    <row r="1356" spans="1:14" ht="16.5" customHeight="1" x14ac:dyDescent="0.25">
      <c r="A1356" s="203">
        <v>45236</v>
      </c>
      <c r="B1356" s="128" t="s">
        <v>34</v>
      </c>
      <c r="C1356" s="157" t="str">
        <f t="shared" si="43"/>
        <v>06.11.2023_KRE1</v>
      </c>
      <c r="D1356" s="190">
        <f t="shared" si="44"/>
        <v>0</v>
      </c>
      <c r="E1356" s="204">
        <v>1.3029175804347265E-2</v>
      </c>
      <c r="F1356" s="205">
        <v>3.3214231568330761E-2</v>
      </c>
      <c r="G1356" s="204">
        <v>9.2637937978252149E-2</v>
      </c>
      <c r="H1356" s="204">
        <v>9.9798352469705101E-2</v>
      </c>
      <c r="I1356" s="209">
        <v>6.0789999999999997</v>
      </c>
      <c r="J1356" s="207">
        <v>1.4753797708701348</v>
      </c>
      <c r="K1356" s="209">
        <v>29</v>
      </c>
      <c r="L1356" s="209">
        <v>31.757999999999999</v>
      </c>
      <c r="M1356" s="212"/>
      <c r="N1356" s="225"/>
    </row>
    <row r="1357" spans="1:14" ht="16.5" customHeight="1" x14ac:dyDescent="0.25">
      <c r="A1357" s="203">
        <v>45236</v>
      </c>
      <c r="B1357" s="128" t="s">
        <v>37</v>
      </c>
      <c r="C1357" s="157" t="str">
        <f t="shared" si="43"/>
        <v>06.11.2023_KRE2</v>
      </c>
      <c r="D1357" s="190">
        <f t="shared" si="44"/>
        <v>0</v>
      </c>
      <c r="E1357" s="204">
        <v>3.6192155012075643E-2</v>
      </c>
      <c r="F1357" s="205">
        <v>3.843807234013908E-2</v>
      </c>
      <c r="G1357" s="204">
        <v>6.0302053966975459E-2</v>
      </c>
      <c r="H1357" s="204">
        <v>9.5640087783467387E-2</v>
      </c>
      <c r="I1357" s="209">
        <v>6.92</v>
      </c>
      <c r="J1357" s="207">
        <v>1.6389619666104933</v>
      </c>
      <c r="K1357" s="209">
        <v>29</v>
      </c>
      <c r="L1357" s="209">
        <v>35.662999999999997</v>
      </c>
      <c r="M1357" s="212"/>
      <c r="N1357" s="225"/>
    </row>
    <row r="1358" spans="1:14" ht="16.5" customHeight="1" x14ac:dyDescent="0.25">
      <c r="A1358" s="203">
        <v>45236</v>
      </c>
      <c r="B1358" s="128" t="s">
        <v>18</v>
      </c>
      <c r="C1358" s="157" t="str">
        <f t="shared" si="43"/>
        <v>06.11.2023_ORB1</v>
      </c>
      <c r="D1358" s="190">
        <f t="shared" si="44"/>
        <v>0</v>
      </c>
      <c r="E1358" s="204">
        <v>4.3430586014490756E-2</v>
      </c>
      <c r="F1358" s="205">
        <v>1.7823026319996691E-2</v>
      </c>
      <c r="G1358" s="204">
        <v>2.0100684655658486E-2</v>
      </c>
      <c r="H1358" s="204">
        <v>5.5443529149836197E-2</v>
      </c>
      <c r="I1358" s="209">
        <v>6.1829999999999998</v>
      </c>
      <c r="J1358" s="207">
        <v>1.4290419730779398</v>
      </c>
      <c r="K1358" s="209">
        <v>6.5019999999999998</v>
      </c>
      <c r="L1358" s="209">
        <v>10.292999999999999</v>
      </c>
      <c r="M1358" s="212"/>
      <c r="N1358" s="225"/>
    </row>
    <row r="1359" spans="1:14" ht="16.5" customHeight="1" x14ac:dyDescent="0.25">
      <c r="A1359" s="203">
        <v>45236</v>
      </c>
      <c r="B1359" s="128" t="s">
        <v>21</v>
      </c>
      <c r="C1359" s="157" t="str">
        <f t="shared" si="43"/>
        <v>06.11.2023_ORB2</v>
      </c>
      <c r="D1359" s="190">
        <f t="shared" si="44"/>
        <v>0</v>
      </c>
      <c r="E1359" s="204">
        <v>4.7773644615939803E-2</v>
      </c>
      <c r="F1359" s="205">
        <v>1.8849704583839097E-2</v>
      </c>
      <c r="G1359" s="204">
        <v>1.4857027788964965E-2</v>
      </c>
      <c r="H1359" s="204">
        <v>7.9007029038516571E-2</v>
      </c>
      <c r="I1359" s="209">
        <v>6.1719999999999997</v>
      </c>
      <c r="J1359" s="207">
        <v>1.4296596634986296</v>
      </c>
      <c r="K1359" s="209">
        <v>11.349</v>
      </c>
      <c r="L1359" s="209">
        <v>12.321999999999999</v>
      </c>
      <c r="M1359" s="212"/>
      <c r="N1359" s="225"/>
    </row>
    <row r="1360" spans="1:14" ht="16.5" customHeight="1" x14ac:dyDescent="0.25">
      <c r="A1360" s="203">
        <v>45236</v>
      </c>
      <c r="B1360" s="128" t="s">
        <v>10</v>
      </c>
      <c r="C1360" s="157" t="str">
        <f t="shared" si="43"/>
        <v>06.11.2023_SAL1</v>
      </c>
      <c r="D1360" s="190">
        <f t="shared" si="44"/>
        <v>0</v>
      </c>
      <c r="E1360" s="204">
        <v>0.10568109263526086</v>
      </c>
      <c r="F1360" s="205">
        <v>3.7554698806021136E-2</v>
      </c>
      <c r="G1360" s="204">
        <v>1.7478856222311726E-2</v>
      </c>
      <c r="H1360" s="204">
        <v>0.14138099933208229</v>
      </c>
      <c r="I1360" s="209">
        <v>6.83</v>
      </c>
      <c r="J1360" s="207">
        <v>1.5993077023147153</v>
      </c>
      <c r="K1360" s="209">
        <v>4.3739999999999997</v>
      </c>
      <c r="L1360" s="209">
        <v>6.399</v>
      </c>
      <c r="M1360" s="212"/>
      <c r="N1360" s="225"/>
    </row>
    <row r="1361" spans="1:14" ht="16.5" customHeight="1" x14ac:dyDescent="0.25">
      <c r="A1361" s="203">
        <v>45236</v>
      </c>
      <c r="B1361" s="128" t="s">
        <v>12</v>
      </c>
      <c r="C1361" s="157" t="str">
        <f t="shared" si="43"/>
        <v>06.11.2023_SAL2</v>
      </c>
      <c r="D1361" s="190">
        <f t="shared" si="44"/>
        <v>0</v>
      </c>
      <c r="E1361" s="204">
        <v>0.12594869944202317</v>
      </c>
      <c r="F1361" s="205">
        <v>3.6818120083406514E-2</v>
      </c>
      <c r="G1361" s="204">
        <v>2.7966169955698734E-2</v>
      </c>
      <c r="H1361" s="204">
        <v>7.9007029038516571E-2</v>
      </c>
      <c r="I1361" s="209">
        <v>6.67</v>
      </c>
      <c r="J1361" s="207">
        <v>1.5523220412996768</v>
      </c>
      <c r="K1361" s="209">
        <v>4.5069999999999997</v>
      </c>
      <c r="L1361" s="209">
        <v>6.4279999999999999</v>
      </c>
      <c r="M1361" s="212"/>
      <c r="N1361" s="225"/>
    </row>
    <row r="1362" spans="1:14" ht="16.5" customHeight="1" x14ac:dyDescent="0.25">
      <c r="A1362" s="203">
        <v>45236</v>
      </c>
      <c r="B1362" s="128" t="s">
        <v>7</v>
      </c>
      <c r="C1362" s="157" t="str">
        <f t="shared" si="43"/>
        <v>06.11.2023_STE1</v>
      </c>
      <c r="D1362" s="190">
        <f t="shared" si="44"/>
        <v>0</v>
      </c>
      <c r="E1362" s="204">
        <v>6.8041251422702176E-2</v>
      </c>
      <c r="F1362" s="205">
        <v>3.9989013427416405E-2</v>
      </c>
      <c r="G1362" s="204">
        <v>2.5344341522351974E-2</v>
      </c>
      <c r="H1362" s="204">
        <v>0.1025705289271969</v>
      </c>
      <c r="I1362" s="209">
        <v>7.4649999999999999</v>
      </c>
      <c r="J1362" s="207">
        <v>1.7370267752805761</v>
      </c>
      <c r="K1362" s="209">
        <v>4.343</v>
      </c>
      <c r="L1362" s="209">
        <v>6.0069999999999997</v>
      </c>
      <c r="M1362" s="212"/>
      <c r="N1362" s="225"/>
    </row>
    <row r="1363" spans="1:14" ht="16.5" customHeight="1" x14ac:dyDescent="0.25">
      <c r="A1363" s="203">
        <v>45236</v>
      </c>
      <c r="B1363" s="128" t="s">
        <v>9</v>
      </c>
      <c r="C1363" s="157" t="str">
        <f t="shared" si="43"/>
        <v>06.11.2023_STE2</v>
      </c>
      <c r="D1363" s="190">
        <f t="shared" si="44"/>
        <v>0</v>
      </c>
      <c r="E1363" s="204">
        <v>7.3831996224634266E-2</v>
      </c>
      <c r="F1363" s="205">
        <v>3.8493596659265286E-2</v>
      </c>
      <c r="G1363" s="204">
        <v>3.7579540877970177E-2</v>
      </c>
      <c r="H1363" s="204">
        <v>9.2867911325975536E-2</v>
      </c>
      <c r="I1363" s="209">
        <v>7.3760000000000003</v>
      </c>
      <c r="J1363" s="207">
        <v>1.7234708932995282</v>
      </c>
      <c r="K1363" s="209">
        <v>4.5110000000000001</v>
      </c>
      <c r="L1363" s="209">
        <v>5.8810000000000002</v>
      </c>
      <c r="M1363" s="212"/>
      <c r="N1363" s="225"/>
    </row>
    <row r="1364" spans="1:14" ht="16.5" customHeight="1" x14ac:dyDescent="0.25">
      <c r="A1364" s="203">
        <v>45250</v>
      </c>
      <c r="B1364" s="128" t="s">
        <v>22</v>
      </c>
      <c r="C1364" s="157" t="str">
        <f t="shared" si="43"/>
        <v>20.11.2023_BIE1</v>
      </c>
      <c r="D1364" s="190">
        <f t="shared" si="44"/>
        <v>0</v>
      </c>
      <c r="E1364" s="204">
        <v>6.2814125376402963E-2</v>
      </c>
      <c r="F1364" s="205">
        <v>2.1676421836936837E-2</v>
      </c>
      <c r="G1364" s="204">
        <v>4.1500901457272921E-2</v>
      </c>
      <c r="H1364" s="204">
        <v>8.6346492330902677E-2</v>
      </c>
      <c r="I1364" s="209">
        <v>3.35</v>
      </c>
      <c r="J1364" s="207">
        <v>0.81517772456270121</v>
      </c>
      <c r="K1364" s="209">
        <v>4.9489999999999998</v>
      </c>
      <c r="L1364" s="209">
        <v>8.7159999999999993</v>
      </c>
      <c r="M1364" s="212"/>
      <c r="N1364" s="225"/>
    </row>
    <row r="1365" spans="1:14" ht="16.5" customHeight="1" x14ac:dyDescent="0.25">
      <c r="A1365" s="203">
        <v>45250</v>
      </c>
      <c r="B1365" s="128" t="s">
        <v>25</v>
      </c>
      <c r="C1365" s="157" t="str">
        <f t="shared" si="43"/>
        <v>20.11.2023_BIE2</v>
      </c>
      <c r="D1365" s="190">
        <f t="shared" si="44"/>
        <v>0</v>
      </c>
      <c r="E1365" s="204">
        <v>1.8558718861210001E-2</v>
      </c>
      <c r="F1365" s="205">
        <v>2.2299478549315875E-2</v>
      </c>
      <c r="G1365" s="204">
        <v>7.5220383891307196E-2</v>
      </c>
      <c r="H1365" s="204">
        <v>3.8094040734221783E-2</v>
      </c>
      <c r="I1365" s="209">
        <v>3.33</v>
      </c>
      <c r="J1365" s="207">
        <v>0.82215270658929485</v>
      </c>
      <c r="K1365" s="209">
        <v>5.1429999999999998</v>
      </c>
      <c r="L1365" s="209">
        <v>8.4879999999999995</v>
      </c>
      <c r="M1365" s="212"/>
      <c r="N1365" s="225"/>
    </row>
    <row r="1366" spans="1:14" ht="16.5" customHeight="1" x14ac:dyDescent="0.25">
      <c r="A1366" s="203">
        <v>45250</v>
      </c>
      <c r="B1366" s="128" t="s">
        <v>14</v>
      </c>
      <c r="C1366" s="157" t="str">
        <f t="shared" si="43"/>
        <v>20.11.2023_BRA1</v>
      </c>
      <c r="D1366" s="190">
        <f t="shared" si="44"/>
        <v>0</v>
      </c>
      <c r="E1366" s="204">
        <v>7.1379687927730653E-2</v>
      </c>
      <c r="F1366" s="205">
        <v>4.6551648270025114E-2</v>
      </c>
      <c r="G1366" s="204">
        <v>5.619913739005708E-2</v>
      </c>
      <c r="H1366" s="204">
        <v>5.7141061101332692E-2</v>
      </c>
      <c r="I1366" s="209">
        <v>5.9109999999999996</v>
      </c>
      <c r="J1366" s="207">
        <v>1.396152234244306</v>
      </c>
      <c r="K1366" s="209">
        <v>3.8279999999999998</v>
      </c>
      <c r="L1366" s="209">
        <v>5.5570000000000004</v>
      </c>
      <c r="M1366" s="212"/>
      <c r="N1366" s="225"/>
    </row>
    <row r="1367" spans="1:14" ht="16.5" customHeight="1" x14ac:dyDescent="0.25">
      <c r="A1367" s="203">
        <v>45250</v>
      </c>
      <c r="B1367" s="128" t="s">
        <v>17</v>
      </c>
      <c r="C1367" s="157" t="str">
        <f t="shared" si="43"/>
        <v>20.11.2023_BRA2</v>
      </c>
      <c r="D1367" s="190">
        <f t="shared" si="44"/>
        <v>0</v>
      </c>
      <c r="E1367" s="204">
        <v>6.9952094169176013E-2</v>
      </c>
      <c r="F1367" s="205">
        <v>5.1229089682022312E-2</v>
      </c>
      <c r="G1367" s="204">
        <v>4.0636299343579721E-2</v>
      </c>
      <c r="H1367" s="204">
        <v>6.0950465174754873E-2</v>
      </c>
      <c r="I1367" s="209">
        <v>6.8719999999999999</v>
      </c>
      <c r="J1367" s="207">
        <v>1.6022886891997503</v>
      </c>
      <c r="K1367" s="209">
        <v>4.2990000000000004</v>
      </c>
      <c r="L1367" s="209">
        <v>6.1210000000000004</v>
      </c>
      <c r="M1367" s="212"/>
      <c r="N1367" s="225"/>
    </row>
    <row r="1368" spans="1:14" ht="16.5" customHeight="1" x14ac:dyDescent="0.25">
      <c r="A1368" s="203">
        <v>45250</v>
      </c>
      <c r="B1368" s="128" t="s">
        <v>30</v>
      </c>
      <c r="C1368" s="157" t="str">
        <f t="shared" si="43"/>
        <v>20.11.2023_FAL1</v>
      </c>
      <c r="D1368" s="190">
        <f t="shared" si="44"/>
        <v>0</v>
      </c>
      <c r="E1368" s="204">
        <v>0.15560771968245277</v>
      </c>
      <c r="F1368" s="205">
        <v>7.2186689995121608E-2</v>
      </c>
      <c r="G1368" s="204">
        <v>9.8564640961023228E-2</v>
      </c>
      <c r="H1368" s="204">
        <v>0.25269047020367108</v>
      </c>
      <c r="I1368" s="209">
        <v>10.66</v>
      </c>
      <c r="J1368" s="207">
        <v>2.5612402717133325</v>
      </c>
      <c r="K1368" s="209">
        <v>22</v>
      </c>
      <c r="L1368" s="209">
        <v>23.492999999999999</v>
      </c>
      <c r="M1368" s="212"/>
      <c r="N1368" s="225"/>
    </row>
    <row r="1369" spans="1:14" ht="16.5" customHeight="1" x14ac:dyDescent="0.25">
      <c r="A1369" s="203">
        <v>45250</v>
      </c>
      <c r="B1369" s="128" t="s">
        <v>32</v>
      </c>
      <c r="C1369" s="157" t="str">
        <f t="shared" si="43"/>
        <v>20.11.2023_FAL2</v>
      </c>
      <c r="D1369" s="190">
        <f t="shared" si="44"/>
        <v>0</v>
      </c>
      <c r="E1369" s="204">
        <v>0.14418696961401589</v>
      </c>
      <c r="F1369" s="205">
        <v>7.2352177655531674E-2</v>
      </c>
      <c r="G1369" s="204">
        <v>5.706373950375028E-2</v>
      </c>
      <c r="H1369" s="204">
        <v>0.14475735479004279</v>
      </c>
      <c r="I1369" s="209">
        <v>11.037000000000001</v>
      </c>
      <c r="J1369" s="207">
        <v>2.5813079897530957</v>
      </c>
      <c r="K1369" s="209">
        <v>25</v>
      </c>
      <c r="L1369" s="209">
        <v>25.417999999999999</v>
      </c>
      <c r="M1369" s="212"/>
      <c r="N1369" s="225"/>
    </row>
    <row r="1370" spans="1:14" ht="16.5" customHeight="1" x14ac:dyDescent="0.25">
      <c r="A1370" s="203">
        <v>45250</v>
      </c>
      <c r="B1370" s="128" t="s">
        <v>26</v>
      </c>
      <c r="C1370" s="157" t="str">
        <f t="shared" si="43"/>
        <v>20.11.2023_GRU1</v>
      </c>
      <c r="D1370" s="190">
        <f t="shared" si="44"/>
        <v>0</v>
      </c>
      <c r="E1370" s="204">
        <v>0</v>
      </c>
      <c r="F1370" s="205">
        <v>2.1995112488175012E-2</v>
      </c>
      <c r="G1370" s="204">
        <v>8.6460211369318776E-3</v>
      </c>
      <c r="H1370" s="204">
        <v>0.22475484033190848</v>
      </c>
      <c r="I1370" s="209">
        <v>4.0359999999999996</v>
      </c>
      <c r="J1370" s="207">
        <v>0.98675148009166569</v>
      </c>
      <c r="K1370" s="209">
        <v>3.968</v>
      </c>
      <c r="L1370" s="209">
        <v>7.8330000000000002</v>
      </c>
      <c r="M1370" s="212"/>
      <c r="N1370" s="225"/>
    </row>
    <row r="1371" spans="1:14" ht="16.5" customHeight="1" x14ac:dyDescent="0.25">
      <c r="A1371" s="203">
        <v>45250</v>
      </c>
      <c r="B1371" s="128" t="s">
        <v>28</v>
      </c>
      <c r="C1371" s="157" t="str">
        <f t="shared" si="43"/>
        <v>20.11.2023_GRU2</v>
      </c>
      <c r="D1371" s="190">
        <f t="shared" si="44"/>
        <v>0</v>
      </c>
      <c r="E1371" s="204">
        <v>2.141390637831924E-2</v>
      </c>
      <c r="F1371" s="205">
        <v>2.2954151555008132E-2</v>
      </c>
      <c r="G1371" s="204">
        <v>5.7928341617443438E-2</v>
      </c>
      <c r="H1371" s="204">
        <v>7.364847875282883E-2</v>
      </c>
      <c r="I1371" s="209">
        <v>3.9849999999999999</v>
      </c>
      <c r="J1371" s="207">
        <v>0.96749500733882732</v>
      </c>
      <c r="K1371" s="209">
        <v>4.2030000000000003</v>
      </c>
      <c r="L1371" s="209">
        <v>7.7009999999999996</v>
      </c>
      <c r="M1371" s="212"/>
      <c r="N1371" s="225"/>
    </row>
    <row r="1372" spans="1:14" ht="16.5" customHeight="1" x14ac:dyDescent="0.25">
      <c r="A1372" s="203">
        <v>45250</v>
      </c>
      <c r="B1372" s="128" t="s">
        <v>0</v>
      </c>
      <c r="C1372" s="157" t="str">
        <f t="shared" si="43"/>
        <v>20.11.2023_KIN1</v>
      </c>
      <c r="D1372" s="190">
        <f t="shared" si="44"/>
        <v>0</v>
      </c>
      <c r="E1372" s="204">
        <v>5.4248562825075286E-2</v>
      </c>
      <c r="F1372" s="205">
        <v>2.7158676573461511E-2</v>
      </c>
      <c r="G1372" s="204">
        <v>2.6802665524488723E-2</v>
      </c>
      <c r="H1372" s="204">
        <v>7.4918280110636185E-2</v>
      </c>
      <c r="I1372" s="209">
        <v>7.6269999999999998</v>
      </c>
      <c r="J1372" s="207">
        <v>1.7663313621327932</v>
      </c>
      <c r="K1372" s="209">
        <v>5.6529999999999996</v>
      </c>
      <c r="L1372" s="209">
        <v>6.6870000000000003</v>
      </c>
      <c r="M1372" s="212"/>
      <c r="N1372" s="225"/>
    </row>
    <row r="1373" spans="1:14" ht="16.5" customHeight="1" x14ac:dyDescent="0.25">
      <c r="A1373" s="203">
        <v>45250</v>
      </c>
      <c r="B1373" s="128" t="s">
        <v>2</v>
      </c>
      <c r="C1373" s="157" t="str">
        <f t="shared" si="43"/>
        <v>20.11.2023_KIN2</v>
      </c>
      <c r="D1373" s="190">
        <f t="shared" si="44"/>
        <v>0</v>
      </c>
      <c r="E1373" s="204">
        <v>5.1393375307966047E-2</v>
      </c>
      <c r="F1373" s="205">
        <v>2.1994718571828314E-2</v>
      </c>
      <c r="G1373" s="204">
        <v>1.3833633819090998E-2</v>
      </c>
      <c r="H1373" s="204">
        <v>4.6982650238873554E-2</v>
      </c>
      <c r="I1373" s="209">
        <v>7.6390000000000002</v>
      </c>
      <c r="J1373" s="207">
        <v>1.7504664761894109</v>
      </c>
      <c r="K1373" s="209">
        <v>6.3890000000000002</v>
      </c>
      <c r="L1373" s="209">
        <v>7.625</v>
      </c>
      <c r="M1373" s="212"/>
      <c r="N1373" s="225"/>
    </row>
    <row r="1374" spans="1:14" ht="16.5" customHeight="1" x14ac:dyDescent="0.25">
      <c r="A1374" s="203">
        <v>45250</v>
      </c>
      <c r="B1374" s="128" t="s">
        <v>4</v>
      </c>
      <c r="C1374" s="157" t="str">
        <f t="shared" si="43"/>
        <v>20.11.2023_KIN3</v>
      </c>
      <c r="D1374" s="190">
        <f t="shared" si="44"/>
        <v>0</v>
      </c>
      <c r="E1374" s="204">
        <v>5.8531344100739124E-2</v>
      </c>
      <c r="F1374" s="205">
        <v>2.0772511220148799E-2</v>
      </c>
      <c r="G1374" s="204">
        <v>5.1011524707897958E-2</v>
      </c>
      <c r="H1374" s="204">
        <v>6.4759869248177046E-2</v>
      </c>
      <c r="I1374" s="209">
        <v>6.8470000000000004</v>
      </c>
      <c r="J1374" s="207">
        <v>1.6058579710130432</v>
      </c>
      <c r="K1374" s="209">
        <v>6.9589999999999996</v>
      </c>
      <c r="L1374" s="209">
        <v>8.8469999999999995</v>
      </c>
      <c r="M1374" s="212"/>
      <c r="N1374" s="225"/>
    </row>
    <row r="1375" spans="1:14" ht="16.5" customHeight="1" x14ac:dyDescent="0.25">
      <c r="A1375" s="203">
        <v>45250</v>
      </c>
      <c r="B1375" s="128" t="s">
        <v>6</v>
      </c>
      <c r="C1375" s="157" t="str">
        <f t="shared" si="43"/>
        <v>20.11.2023_KIN4</v>
      </c>
      <c r="D1375" s="190">
        <f t="shared" si="44"/>
        <v>0</v>
      </c>
      <c r="E1375" s="204">
        <v>7.5662469203394464E-2</v>
      </c>
      <c r="F1375" s="205">
        <v>2.2360089389117141E-2</v>
      </c>
      <c r="G1375" s="204">
        <v>3.7177890888806964E-2</v>
      </c>
      <c r="H1375" s="204">
        <v>5.7141061101332692E-2</v>
      </c>
      <c r="I1375" s="209">
        <v>6.835</v>
      </c>
      <c r="J1375" s="207">
        <v>1.5900863065485504</v>
      </c>
      <c r="K1375" s="209">
        <v>9.08</v>
      </c>
      <c r="L1375" s="209">
        <v>8.7970000000000006</v>
      </c>
      <c r="M1375" s="212"/>
      <c r="N1375" s="225"/>
    </row>
    <row r="1376" spans="1:14" ht="16.5" customHeight="1" x14ac:dyDescent="0.25">
      <c r="A1376" s="203">
        <v>45250</v>
      </c>
      <c r="B1376" s="128" t="s">
        <v>34</v>
      </c>
      <c r="C1376" s="157" t="str">
        <f t="shared" si="43"/>
        <v>20.11.2023_KRE1</v>
      </c>
      <c r="D1376" s="190">
        <f t="shared" si="44"/>
        <v>0</v>
      </c>
      <c r="E1376" s="204">
        <v>1.4275937585546161E-2</v>
      </c>
      <c r="F1376" s="205">
        <v>2.8233920098525662E-2</v>
      </c>
      <c r="G1376" s="204">
        <v>0.13055491916767109</v>
      </c>
      <c r="H1376" s="204">
        <v>7.7457882826251004E-2</v>
      </c>
      <c r="I1376" s="209">
        <v>8.3369999999999997</v>
      </c>
      <c r="J1376" s="207">
        <v>2.0080348316109569</v>
      </c>
      <c r="K1376" s="209">
        <v>28</v>
      </c>
      <c r="L1376" s="209">
        <v>32.537999999999997</v>
      </c>
      <c r="M1376" s="212"/>
      <c r="N1376" s="225"/>
    </row>
    <row r="1377" spans="1:14" ht="16.5" customHeight="1" x14ac:dyDescent="0.25">
      <c r="A1377" s="203">
        <v>45250</v>
      </c>
      <c r="B1377" s="128" t="s">
        <v>37</v>
      </c>
      <c r="C1377" s="157" t="str">
        <f t="shared" si="43"/>
        <v>20.11.2023_KRE2</v>
      </c>
      <c r="D1377" s="190">
        <f t="shared" si="44"/>
        <v>0</v>
      </c>
      <c r="E1377" s="204">
        <v>1.7131125102655399E-2</v>
      </c>
      <c r="F1377" s="205">
        <v>3.0233791622564041E-2</v>
      </c>
      <c r="G1377" s="204">
        <v>0.11845048957596647</v>
      </c>
      <c r="H1377" s="204">
        <v>0.12824993713854665</v>
      </c>
      <c r="I1377" s="209">
        <v>9.8000000000000007</v>
      </c>
      <c r="J1377" s="207">
        <v>2.3445473140126727</v>
      </c>
      <c r="K1377" s="209">
        <v>27</v>
      </c>
      <c r="L1377" s="209">
        <v>35.886000000000003</v>
      </c>
      <c r="M1377" s="212"/>
      <c r="N1377" s="225"/>
    </row>
    <row r="1378" spans="1:14" ht="16.5" customHeight="1" x14ac:dyDescent="0.25">
      <c r="A1378" s="203">
        <v>45250</v>
      </c>
      <c r="B1378" s="128" t="s">
        <v>18</v>
      </c>
      <c r="C1378" s="157" t="str">
        <f t="shared" si="43"/>
        <v>20.11.2023_ORB1</v>
      </c>
      <c r="D1378" s="190">
        <f t="shared" si="44"/>
        <v>0</v>
      </c>
      <c r="E1378" s="204">
        <v>3.9972625239529186E-2</v>
      </c>
      <c r="F1378" s="205">
        <v>2.1537967698200863E-2</v>
      </c>
      <c r="G1378" s="204">
        <v>3.3719482434034241E-2</v>
      </c>
      <c r="H1378" s="204">
        <v>3.5554438018606985E-2</v>
      </c>
      <c r="I1378" s="209">
        <v>6.08</v>
      </c>
      <c r="J1378" s="207">
        <v>1.410296989569968</v>
      </c>
      <c r="K1378" s="209">
        <v>6.9829999999999997</v>
      </c>
      <c r="L1378" s="209">
        <v>10.375</v>
      </c>
      <c r="M1378" s="212"/>
      <c r="N1378" s="225"/>
    </row>
    <row r="1379" spans="1:14" ht="16.5" customHeight="1" x14ac:dyDescent="0.25">
      <c r="A1379" s="203">
        <v>45250</v>
      </c>
      <c r="B1379" s="128" t="s">
        <v>21</v>
      </c>
      <c r="C1379" s="157" t="str">
        <f t="shared" si="43"/>
        <v>20.11.2023_ORB2</v>
      </c>
      <c r="D1379" s="190">
        <f t="shared" si="44"/>
        <v>0</v>
      </c>
      <c r="E1379" s="204">
        <v>5.2820969066520652E-2</v>
      </c>
      <c r="F1379" s="205">
        <v>2.3040268236922578E-2</v>
      </c>
      <c r="G1379" s="204">
        <v>2.5938063410795596E-2</v>
      </c>
      <c r="H1379" s="204">
        <v>5.0792054312295741E-2</v>
      </c>
      <c r="I1379" s="209">
        <v>5.8470000000000004</v>
      </c>
      <c r="J1379" s="207">
        <v>1.356266177793227</v>
      </c>
      <c r="K1379" s="209">
        <v>8.7919999999999998</v>
      </c>
      <c r="L1379" s="209">
        <v>11.03</v>
      </c>
      <c r="M1379" s="212"/>
      <c r="N1379" s="225"/>
    </row>
    <row r="1380" spans="1:14" ht="16.5" customHeight="1" x14ac:dyDescent="0.25">
      <c r="A1380" s="203">
        <v>45250</v>
      </c>
      <c r="B1380" s="128" t="s">
        <v>10</v>
      </c>
      <c r="C1380" s="157" t="str">
        <f t="shared" si="43"/>
        <v>20.11.2023_SAL1</v>
      </c>
      <c r="D1380" s="190">
        <f t="shared" si="44"/>
        <v>0</v>
      </c>
      <c r="E1380" s="204">
        <v>9.5648781823159099E-2</v>
      </c>
      <c r="F1380" s="205">
        <v>4.3882544310889747E-2</v>
      </c>
      <c r="G1380" s="204">
        <v>4.2365503570966086E-2</v>
      </c>
      <c r="H1380" s="204">
        <v>0.11809152627608753</v>
      </c>
      <c r="I1380" s="209">
        <v>5.8230000000000004</v>
      </c>
      <c r="J1380" s="207">
        <v>1.3840903650425742</v>
      </c>
      <c r="K1380" s="209">
        <v>3.7320000000000002</v>
      </c>
      <c r="L1380" s="209">
        <v>5.2320000000000002</v>
      </c>
      <c r="M1380" s="212"/>
      <c r="N1380" s="225"/>
    </row>
    <row r="1381" spans="1:14" ht="16.5" customHeight="1" x14ac:dyDescent="0.25">
      <c r="A1381" s="203">
        <v>45250</v>
      </c>
      <c r="B1381" s="128" t="s">
        <v>12</v>
      </c>
      <c r="C1381" s="157" t="str">
        <f t="shared" si="43"/>
        <v>20.11.2023_SAL2</v>
      </c>
      <c r="D1381" s="190">
        <f t="shared" si="44"/>
        <v>0</v>
      </c>
      <c r="E1381" s="204">
        <v>0.11849028196003289</v>
      </c>
      <c r="F1381" s="205">
        <v>3.8548730595782545E-2</v>
      </c>
      <c r="G1381" s="204">
        <v>4.92823204805116E-2</v>
      </c>
      <c r="H1381" s="204">
        <v>6.0950465174754873E-2</v>
      </c>
      <c r="I1381" s="209">
        <v>5.7169999999999996</v>
      </c>
      <c r="J1381" s="207">
        <v>1.3481223881523665</v>
      </c>
      <c r="K1381" s="209">
        <v>3.8279999999999998</v>
      </c>
      <c r="L1381" s="209">
        <v>5.2539999999999996</v>
      </c>
      <c r="M1381" s="212"/>
      <c r="N1381" s="225"/>
    </row>
    <row r="1382" spans="1:14" ht="16.5" customHeight="1" x14ac:dyDescent="0.25">
      <c r="A1382" s="203">
        <v>45250</v>
      </c>
      <c r="B1382" s="128" t="s">
        <v>7</v>
      </c>
      <c r="C1382" s="157" t="str">
        <f t="shared" si="43"/>
        <v>20.11.2023_STE1</v>
      </c>
      <c r="D1382" s="190">
        <f t="shared" si="44"/>
        <v>0</v>
      </c>
      <c r="E1382" s="204">
        <v>6.5669312893512174E-2</v>
      </c>
      <c r="F1382" s="205">
        <v>3.0394269275893927E-2</v>
      </c>
      <c r="G1382" s="204">
        <v>2.9396471865568284E-2</v>
      </c>
      <c r="H1382" s="204">
        <v>8.3806889615287899E-2</v>
      </c>
      <c r="I1382" s="209">
        <v>7.8840000000000003</v>
      </c>
      <c r="J1382" s="207">
        <v>1.8291001539822693</v>
      </c>
      <c r="K1382" s="209">
        <v>3.9830000000000001</v>
      </c>
      <c r="L1382" s="209">
        <v>5.5</v>
      </c>
      <c r="M1382" s="212"/>
      <c r="N1382" s="225"/>
    </row>
    <row r="1383" spans="1:14" ht="16.5" customHeight="1" x14ac:dyDescent="0.25">
      <c r="A1383" s="203">
        <v>45250</v>
      </c>
      <c r="B1383" s="128" t="s">
        <v>9</v>
      </c>
      <c r="C1383" s="157" t="str">
        <f t="shared" si="43"/>
        <v>20.11.2023_STE2</v>
      </c>
      <c r="D1383" s="190">
        <f t="shared" si="44"/>
        <v>0</v>
      </c>
      <c r="E1383" s="204">
        <v>6.1386531617848336E-2</v>
      </c>
      <c r="F1383" s="205">
        <v>2.8256119719594561E-2</v>
      </c>
      <c r="G1383" s="204">
        <v>4.8417718366818401E-2</v>
      </c>
      <c r="H1383" s="204">
        <v>7.6188081468443594E-2</v>
      </c>
      <c r="I1383" s="209">
        <v>7.8479999999999999</v>
      </c>
      <c r="J1383" s="207">
        <v>1.8334190955377183</v>
      </c>
      <c r="K1383" s="209">
        <v>4.0460000000000003</v>
      </c>
      <c r="L1383" s="209">
        <v>5.508</v>
      </c>
      <c r="M1383" s="212"/>
      <c r="N1383" s="225"/>
    </row>
    <row r="1384" spans="1:14" ht="16.5" customHeight="1" x14ac:dyDescent="0.25">
      <c r="A1384" s="203">
        <v>45264</v>
      </c>
      <c r="B1384" s="128" t="s">
        <v>22</v>
      </c>
      <c r="C1384" s="157" t="str">
        <f t="shared" si="43"/>
        <v>04.12.2023_BIE1</v>
      </c>
      <c r="D1384" s="190">
        <f t="shared" si="44"/>
        <v>0</v>
      </c>
      <c r="E1384" s="204">
        <v>1.8051228798892333E-2</v>
      </c>
      <c r="F1384" s="205">
        <v>1.5390929389545376E-2</v>
      </c>
      <c r="G1384" s="204">
        <v>3.9216473730183443E-2</v>
      </c>
      <c r="H1384" s="204">
        <v>7.2665667897707439E-2</v>
      </c>
      <c r="I1384" s="209">
        <v>3.4329999999999998</v>
      </c>
      <c r="J1384" s="207">
        <v>0.82798597227820703</v>
      </c>
      <c r="K1384" s="209">
        <v>19.012</v>
      </c>
      <c r="L1384" s="209">
        <v>8.8780000000000001</v>
      </c>
      <c r="M1384" s="212"/>
      <c r="N1384" s="225"/>
    </row>
    <row r="1385" spans="1:14" ht="16.5" customHeight="1" x14ac:dyDescent="0.25">
      <c r="A1385" s="203">
        <v>45264</v>
      </c>
      <c r="B1385" s="128" t="s">
        <v>25</v>
      </c>
      <c r="C1385" s="157" t="str">
        <f t="shared" si="43"/>
        <v>04.12.2023_BIE2</v>
      </c>
      <c r="D1385" s="190">
        <f t="shared" si="44"/>
        <v>0</v>
      </c>
      <c r="E1385" s="204">
        <v>1.0529883466020537E-2</v>
      </c>
      <c r="F1385" s="205">
        <v>1.8879050340515898E-2</v>
      </c>
      <c r="G1385" s="204">
        <v>8.2790333430387303E-2</v>
      </c>
      <c r="H1385" s="204">
        <v>2.3400808306041375E-2</v>
      </c>
      <c r="I1385" s="209">
        <v>3.403</v>
      </c>
      <c r="J1385" s="207">
        <v>0.84004585209413563</v>
      </c>
      <c r="K1385" s="209">
        <v>21.285</v>
      </c>
      <c r="L1385" s="209">
        <v>8.7949999999999999</v>
      </c>
      <c r="M1385" s="212"/>
      <c r="N1385" s="225"/>
    </row>
    <row r="1386" spans="1:14" ht="16.5" customHeight="1" x14ac:dyDescent="0.25">
      <c r="A1386" s="203">
        <v>45264</v>
      </c>
      <c r="B1386" s="128" t="s">
        <v>14</v>
      </c>
      <c r="C1386" s="157" t="str">
        <f t="shared" si="43"/>
        <v>04.12.2023_BRA1</v>
      </c>
      <c r="D1386" s="190">
        <f t="shared" si="44"/>
        <v>0</v>
      </c>
      <c r="E1386" s="204">
        <v>1.0529883466020537E-2</v>
      </c>
      <c r="F1386" s="205">
        <v>2.0622024799141669E-2</v>
      </c>
      <c r="G1386" s="204">
        <v>2.7887270208130425E-2</v>
      </c>
      <c r="H1386" s="204">
        <v>2.8327294265208008E-2</v>
      </c>
      <c r="I1386" s="209">
        <v>8.6890000000000001</v>
      </c>
      <c r="J1386" s="207">
        <v>1.9928628611829537</v>
      </c>
      <c r="K1386" s="209">
        <v>8.3469999999999995</v>
      </c>
      <c r="L1386" s="209">
        <v>7.0039999999999996</v>
      </c>
      <c r="M1386" s="212"/>
      <c r="N1386" s="225"/>
    </row>
    <row r="1387" spans="1:14" ht="16.5" customHeight="1" x14ac:dyDescent="0.25">
      <c r="A1387" s="203">
        <v>45264</v>
      </c>
      <c r="B1387" s="128" t="s">
        <v>17</v>
      </c>
      <c r="C1387" s="157" t="str">
        <f t="shared" si="43"/>
        <v>04.12.2023_BRA2</v>
      </c>
      <c r="D1387" s="190">
        <f t="shared" si="44"/>
        <v>0</v>
      </c>
      <c r="E1387" s="204">
        <v>3.6102457597784667E-2</v>
      </c>
      <c r="F1387" s="205">
        <v>2.2927706198861798E-2</v>
      </c>
      <c r="G1387" s="204">
        <v>1.4815112298069302E-2</v>
      </c>
      <c r="H1387" s="204">
        <v>4.3106752142707816E-2</v>
      </c>
      <c r="I1387" s="209">
        <v>10.18</v>
      </c>
      <c r="J1387" s="207">
        <v>2.3239842372381747</v>
      </c>
      <c r="K1387" s="209">
        <v>10.38</v>
      </c>
      <c r="L1387" s="209">
        <v>7.4889999999999999</v>
      </c>
      <c r="M1387" s="212"/>
      <c r="N1387" s="225"/>
    </row>
    <row r="1388" spans="1:14" ht="16.5" customHeight="1" x14ac:dyDescent="0.25">
      <c r="A1388" s="203">
        <v>45264</v>
      </c>
      <c r="B1388" s="128" t="s">
        <v>30</v>
      </c>
      <c r="C1388" s="157" t="str">
        <f t="shared" si="43"/>
        <v>04.12.2023_FAL1</v>
      </c>
      <c r="D1388" s="190">
        <f t="shared" si="44"/>
        <v>0</v>
      </c>
      <c r="E1388" s="204">
        <v>0.20006778585439022</v>
      </c>
      <c r="F1388" s="205">
        <v>0.10135503616800519</v>
      </c>
      <c r="G1388" s="204">
        <v>0.14989407736870117</v>
      </c>
      <c r="H1388" s="204">
        <v>0.1477945787749983</v>
      </c>
      <c r="I1388" s="209">
        <v>14.04</v>
      </c>
      <c r="J1388" s="207">
        <v>3.3326021116440705</v>
      </c>
      <c r="K1388" s="209">
        <v>65</v>
      </c>
      <c r="L1388" s="209">
        <v>28.527999999999999</v>
      </c>
      <c r="M1388" s="212"/>
      <c r="N1388" s="225"/>
    </row>
    <row r="1389" spans="1:14" ht="16.5" customHeight="1" x14ac:dyDescent="0.25">
      <c r="A1389" s="203">
        <v>45264</v>
      </c>
      <c r="B1389" s="128" t="s">
        <v>32</v>
      </c>
      <c r="C1389" s="157" t="str">
        <f t="shared" si="43"/>
        <v>04.12.2023_FAL2</v>
      </c>
      <c r="D1389" s="190">
        <f t="shared" si="44"/>
        <v>0</v>
      </c>
      <c r="E1389" s="204">
        <v>0.12936713972539512</v>
      </c>
      <c r="F1389" s="205">
        <v>4.6976841899815755E-2</v>
      </c>
      <c r="G1389" s="204">
        <v>0.10196283169847693</v>
      </c>
      <c r="H1389" s="204">
        <v>0.13670998536687343</v>
      </c>
      <c r="I1389" s="209">
        <v>14.548999999999999</v>
      </c>
      <c r="J1389" s="207">
        <v>3.4069771042304948</v>
      </c>
      <c r="K1389" s="209">
        <v>58</v>
      </c>
      <c r="L1389" s="209">
        <v>27.3</v>
      </c>
      <c r="M1389" s="212"/>
      <c r="N1389" s="225"/>
    </row>
    <row r="1390" spans="1:14" ht="16.5" customHeight="1" x14ac:dyDescent="0.25">
      <c r="A1390" s="203">
        <v>45264</v>
      </c>
      <c r="B1390" s="128" t="s">
        <v>26</v>
      </c>
      <c r="C1390" s="157" t="str">
        <f t="shared" si="43"/>
        <v>04.12.2023_GRU1</v>
      </c>
      <c r="D1390" s="190">
        <f t="shared" si="44"/>
        <v>0</v>
      </c>
      <c r="E1390" s="204">
        <v>0</v>
      </c>
      <c r="F1390" s="205">
        <v>1.3974770943579316E-2</v>
      </c>
      <c r="G1390" s="204">
        <v>1.4815112298069302E-2</v>
      </c>
      <c r="H1390" s="204">
        <v>0.19952268134624765</v>
      </c>
      <c r="I1390" s="209">
        <v>5.2889999999999997</v>
      </c>
      <c r="J1390" s="207">
        <v>1.2668748968841927</v>
      </c>
      <c r="K1390" s="209">
        <v>8.2870000000000008</v>
      </c>
      <c r="L1390" s="209">
        <v>10.288</v>
      </c>
      <c r="M1390" s="212"/>
      <c r="N1390" s="225"/>
    </row>
    <row r="1391" spans="1:14" ht="16.5" customHeight="1" x14ac:dyDescent="0.25">
      <c r="A1391" s="203">
        <v>45264</v>
      </c>
      <c r="B1391" s="128" t="s">
        <v>28</v>
      </c>
      <c r="C1391" s="157" t="str">
        <f t="shared" si="43"/>
        <v>04.12.2023_GRU2</v>
      </c>
      <c r="D1391" s="190">
        <f t="shared" si="44"/>
        <v>0</v>
      </c>
      <c r="E1391" s="204">
        <v>0</v>
      </c>
      <c r="F1391" s="205">
        <v>1.2822699889170671E-2</v>
      </c>
      <c r="G1391" s="204">
        <v>3.4859087760163034E-2</v>
      </c>
      <c r="H1391" s="204">
        <v>5.2959724061041082E-2</v>
      </c>
      <c r="I1391" s="209">
        <v>5.1180000000000003</v>
      </c>
      <c r="J1391" s="207">
        <v>1.199193981045273</v>
      </c>
      <c r="K1391" s="209">
        <v>10.619</v>
      </c>
      <c r="L1391" s="209">
        <v>10.11</v>
      </c>
      <c r="M1391" s="212"/>
      <c r="N1391" s="225"/>
    </row>
    <row r="1392" spans="1:14" ht="16.5" customHeight="1" x14ac:dyDescent="0.25">
      <c r="A1392" s="203">
        <v>45264</v>
      </c>
      <c r="B1392" s="128" t="s">
        <v>0</v>
      </c>
      <c r="C1392" s="157" t="str">
        <f t="shared" si="43"/>
        <v>04.12.2023_KIN1</v>
      </c>
      <c r="D1392" s="190">
        <f t="shared" si="44"/>
        <v>0</v>
      </c>
      <c r="E1392" s="204">
        <v>4.3623802930656499E-2</v>
      </c>
      <c r="F1392" s="205">
        <v>2.7388509311877009E-2</v>
      </c>
      <c r="G1392" s="204">
        <v>1.6558066686077483E-2</v>
      </c>
      <c r="H1392" s="204">
        <v>6.1581074489582617E-2</v>
      </c>
      <c r="I1392" s="209">
        <v>6.7750000000000004</v>
      </c>
      <c r="J1392" s="207">
        <v>1.5618747813294256</v>
      </c>
      <c r="K1392" s="209">
        <v>19.815999999999999</v>
      </c>
      <c r="L1392" s="209">
        <v>6.734</v>
      </c>
      <c r="M1392" s="212"/>
      <c r="N1392" s="225"/>
    </row>
    <row r="1393" spans="1:14" ht="16.5" customHeight="1" x14ac:dyDescent="0.25">
      <c r="A1393" s="203">
        <v>45264</v>
      </c>
      <c r="B1393" s="128" t="s">
        <v>2</v>
      </c>
      <c r="C1393" s="157" t="str">
        <f t="shared" si="43"/>
        <v>04.12.2023_KIN2</v>
      </c>
      <c r="D1393" s="190">
        <f t="shared" si="44"/>
        <v>0</v>
      </c>
      <c r="E1393" s="204">
        <v>5.5657955463251384E-2</v>
      </c>
      <c r="F1393" s="205">
        <v>1.9269541591777052E-2</v>
      </c>
      <c r="G1393" s="204">
        <v>9.5862491340448375E-3</v>
      </c>
      <c r="H1393" s="204">
        <v>3.8180266183541242E-2</v>
      </c>
      <c r="I1393" s="209">
        <v>7.4249999999999998</v>
      </c>
      <c r="J1393" s="207">
        <v>1.6961523586296736</v>
      </c>
      <c r="K1393" s="209">
        <v>18.591000000000001</v>
      </c>
      <c r="L1393" s="209">
        <v>7.47</v>
      </c>
      <c r="M1393" s="212"/>
      <c r="N1393" s="225"/>
    </row>
    <row r="1394" spans="1:14" ht="16.5" customHeight="1" x14ac:dyDescent="0.25">
      <c r="A1394" s="203">
        <v>45264</v>
      </c>
      <c r="B1394" s="128" t="s">
        <v>4</v>
      </c>
      <c r="C1394" s="157" t="str">
        <f t="shared" si="43"/>
        <v>04.12.2023_KIN3</v>
      </c>
      <c r="D1394" s="190">
        <f t="shared" si="44"/>
        <v>0</v>
      </c>
      <c r="E1394" s="204">
        <v>7.5213453328718108E-2</v>
      </c>
      <c r="F1394" s="205">
        <v>2.0293690647814607E-2</v>
      </c>
      <c r="G1394" s="204">
        <v>3.0501701790142659E-2</v>
      </c>
      <c r="H1394" s="204">
        <v>5.1728102571249407E-2</v>
      </c>
      <c r="I1394" s="209">
        <v>6.5289999999999999</v>
      </c>
      <c r="J1394" s="207">
        <v>1.5141381172508446</v>
      </c>
      <c r="K1394" s="209">
        <v>16.898</v>
      </c>
      <c r="L1394" s="209">
        <v>8.9060000000000006</v>
      </c>
      <c r="M1394" s="212"/>
      <c r="N1394" s="225"/>
    </row>
    <row r="1395" spans="1:14" ht="16.5" customHeight="1" x14ac:dyDescent="0.25">
      <c r="A1395" s="203">
        <v>45264</v>
      </c>
      <c r="B1395" s="128" t="s">
        <v>6</v>
      </c>
      <c r="C1395" s="157" t="str">
        <f t="shared" si="43"/>
        <v>04.12.2023_KIN4</v>
      </c>
      <c r="D1395" s="190">
        <f t="shared" si="44"/>
        <v>0</v>
      </c>
      <c r="E1395" s="204">
        <v>0.13688848505826692</v>
      </c>
      <c r="F1395" s="205">
        <v>2.1046034188298691E-2</v>
      </c>
      <c r="G1395" s="204">
        <v>6.7103743938313906E-2</v>
      </c>
      <c r="H1395" s="204">
        <v>5.4191345550832701E-2</v>
      </c>
      <c r="I1395" s="209">
        <v>6.6189999999999998</v>
      </c>
      <c r="J1395" s="207">
        <v>1.5636374712836123</v>
      </c>
      <c r="K1395" s="209">
        <v>25.312999999999999</v>
      </c>
      <c r="L1395" s="209">
        <v>9.1620000000000008</v>
      </c>
      <c r="M1395" s="212"/>
      <c r="N1395" s="225"/>
    </row>
    <row r="1396" spans="1:14" ht="16.5" customHeight="1" x14ac:dyDescent="0.25">
      <c r="A1396" s="203">
        <v>45264</v>
      </c>
      <c r="B1396" s="128" t="s">
        <v>34</v>
      </c>
      <c r="C1396" s="157" t="str">
        <f t="shared" si="43"/>
        <v>04.12.2023_KRE1</v>
      </c>
      <c r="D1396" s="190">
        <f t="shared" si="44"/>
        <v>0</v>
      </c>
      <c r="E1396" s="204">
        <v>3.1313890367667181E-17</v>
      </c>
      <c r="F1396" s="205">
        <v>2.1751352587532521E-2</v>
      </c>
      <c r="G1396" s="204">
        <v>0.28497304243933291</v>
      </c>
      <c r="H1396" s="204">
        <v>5.911783150999933E-2</v>
      </c>
      <c r="I1396" s="209">
        <v>10.26</v>
      </c>
      <c r="J1396" s="207">
        <v>2.5567033415269367</v>
      </c>
      <c r="K1396" s="209">
        <v>37</v>
      </c>
      <c r="L1396" s="209">
        <v>32</v>
      </c>
      <c r="M1396" s="212"/>
      <c r="N1396" s="225"/>
    </row>
    <row r="1397" spans="1:14" ht="16.5" customHeight="1" x14ac:dyDescent="0.25">
      <c r="A1397" s="203">
        <v>45264</v>
      </c>
      <c r="B1397" s="128" t="s">
        <v>37</v>
      </c>
      <c r="C1397" s="157" t="str">
        <f t="shared" si="43"/>
        <v>04.12.2023_KRE2</v>
      </c>
      <c r="D1397" s="190">
        <f t="shared" si="44"/>
        <v>0</v>
      </c>
      <c r="E1397" s="204">
        <v>1.6546959732317981E-2</v>
      </c>
      <c r="F1397" s="205">
        <v>2.3921184301005042E-2</v>
      </c>
      <c r="G1397" s="204">
        <v>0.13943635104065225</v>
      </c>
      <c r="H1397" s="204">
        <v>5.1728102571249407E-2</v>
      </c>
      <c r="I1397" s="209">
        <v>11.903</v>
      </c>
      <c r="J1397" s="207">
        <v>2.8125501630473728</v>
      </c>
      <c r="K1397" s="209">
        <v>44</v>
      </c>
      <c r="L1397" s="209">
        <v>38</v>
      </c>
      <c r="M1397" s="212"/>
      <c r="N1397" s="225"/>
    </row>
    <row r="1398" spans="1:14" ht="16.5" customHeight="1" x14ac:dyDescent="0.25">
      <c r="A1398" s="203">
        <v>45264</v>
      </c>
      <c r="B1398" s="128" t="s">
        <v>18</v>
      </c>
      <c r="C1398" s="157" t="str">
        <f t="shared" si="43"/>
        <v>04.12.2023_ORB1</v>
      </c>
      <c r="D1398" s="190">
        <f t="shared" si="44"/>
        <v>0</v>
      </c>
      <c r="E1398" s="204">
        <v>2.5572574131764163E-2</v>
      </c>
      <c r="F1398" s="205">
        <v>1.3716917834763474E-2</v>
      </c>
      <c r="G1398" s="204">
        <v>2.7015793014126335E-2</v>
      </c>
      <c r="H1398" s="204">
        <v>2.0937565326458088E-2</v>
      </c>
      <c r="I1398" s="209">
        <v>6.5350000000000001</v>
      </c>
      <c r="J1398" s="207">
        <v>1.5034123848811791</v>
      </c>
      <c r="K1398" s="209">
        <v>21.117000000000001</v>
      </c>
      <c r="L1398" s="209">
        <v>11.771000000000001</v>
      </c>
      <c r="M1398" s="212"/>
      <c r="N1398" s="225"/>
    </row>
    <row r="1399" spans="1:14" ht="16.5" customHeight="1" x14ac:dyDescent="0.25">
      <c r="A1399" s="203">
        <v>45264</v>
      </c>
      <c r="B1399" s="128" t="s">
        <v>21</v>
      </c>
      <c r="C1399" s="157" t="str">
        <f t="shared" si="43"/>
        <v>04.12.2023_ORB2</v>
      </c>
      <c r="D1399" s="190">
        <f t="shared" si="44"/>
        <v>0</v>
      </c>
      <c r="E1399" s="204">
        <v>4.3623802930656499E-2</v>
      </c>
      <c r="F1399" s="205">
        <v>1.3757101875832589E-2</v>
      </c>
      <c r="G1399" s="204">
        <v>1.655806668607741E-2</v>
      </c>
      <c r="H1399" s="204">
        <v>4.0643509163124529E-2</v>
      </c>
      <c r="I1399" s="209">
        <v>6.5389999999999997</v>
      </c>
      <c r="J1399" s="207">
        <v>1.5021950195657854</v>
      </c>
      <c r="K1399" s="209">
        <v>26.945</v>
      </c>
      <c r="L1399" s="209">
        <v>12.7</v>
      </c>
      <c r="M1399" s="212"/>
      <c r="N1399" s="225"/>
    </row>
    <row r="1400" spans="1:14" ht="16.5" customHeight="1" x14ac:dyDescent="0.25">
      <c r="A1400" s="203">
        <v>45264</v>
      </c>
      <c r="B1400" s="128" t="s">
        <v>10</v>
      </c>
      <c r="C1400" s="157" t="str">
        <f t="shared" si="43"/>
        <v>04.12.2023_SAL1</v>
      </c>
      <c r="D1400" s="190">
        <f t="shared" si="44"/>
        <v>0</v>
      </c>
      <c r="E1400" s="204">
        <v>8.4239067728164294E-2</v>
      </c>
      <c r="F1400" s="205">
        <v>2.0696566915160385E-2</v>
      </c>
      <c r="G1400" s="204">
        <v>2.004397546209373E-2</v>
      </c>
      <c r="H1400" s="204">
        <v>8.8676747264998954E-2</v>
      </c>
      <c r="I1400" s="209">
        <v>8.2029999999999994</v>
      </c>
      <c r="J1400" s="207">
        <v>1.8953731922113899</v>
      </c>
      <c r="K1400" s="209">
        <v>7.6909999999999998</v>
      </c>
      <c r="L1400" s="209">
        <v>6.5629999999999997</v>
      </c>
      <c r="M1400" s="212"/>
      <c r="N1400" s="225"/>
    </row>
    <row r="1401" spans="1:14" ht="16.5" customHeight="1" x14ac:dyDescent="0.25">
      <c r="A1401" s="203">
        <v>45264</v>
      </c>
      <c r="B1401" s="128" t="s">
        <v>12</v>
      </c>
      <c r="C1401" s="157" t="str">
        <f t="shared" si="43"/>
        <v>04.12.2023_SAL2</v>
      </c>
      <c r="D1401" s="190">
        <f t="shared" si="44"/>
        <v>0</v>
      </c>
      <c r="E1401" s="204">
        <v>9.025614399446176E-2</v>
      </c>
      <c r="F1401" s="205">
        <v>2.1825729223502364E-2</v>
      </c>
      <c r="G1401" s="204">
        <v>2.9630224596138569E-2</v>
      </c>
      <c r="H1401" s="204">
        <v>5.2959724061041082E-2</v>
      </c>
      <c r="I1401" s="209">
        <v>7.9619999999999997</v>
      </c>
      <c r="J1401" s="207">
        <v>1.8375081010870395</v>
      </c>
      <c r="K1401" s="209">
        <v>8.9640000000000004</v>
      </c>
      <c r="L1401" s="209">
        <v>6.5640000000000001</v>
      </c>
      <c r="M1401" s="212"/>
      <c r="N1401" s="225"/>
    </row>
    <row r="1402" spans="1:14" ht="16.5" customHeight="1" x14ac:dyDescent="0.25">
      <c r="A1402" s="203">
        <v>45264</v>
      </c>
      <c r="B1402" s="128" t="s">
        <v>7</v>
      </c>
      <c r="C1402" s="157" t="str">
        <f t="shared" si="43"/>
        <v>04.12.2023_STE1</v>
      </c>
      <c r="D1402" s="190">
        <f t="shared" si="44"/>
        <v>0</v>
      </c>
      <c r="E1402" s="204">
        <v>5.1145148263528298E-2</v>
      </c>
      <c r="F1402" s="205">
        <v>2.6607175527271671E-2</v>
      </c>
      <c r="G1402" s="204">
        <v>2.7887270208130425E-2</v>
      </c>
      <c r="H1402" s="204">
        <v>8.0055396836457363E-2</v>
      </c>
      <c r="I1402" s="209">
        <v>7.7169999999999996</v>
      </c>
      <c r="J1402" s="207">
        <v>1.7890658420107703</v>
      </c>
      <c r="K1402" s="209">
        <v>9.2420000000000009</v>
      </c>
      <c r="L1402" s="209">
        <v>5.5659999999999998</v>
      </c>
      <c r="M1402" s="212"/>
      <c r="N1402" s="225"/>
    </row>
    <row r="1403" spans="1:14" ht="16.5" customHeight="1" x14ac:dyDescent="0.25">
      <c r="A1403" s="203">
        <v>45264</v>
      </c>
      <c r="B1403" s="128" t="s">
        <v>9</v>
      </c>
      <c r="C1403" s="157" t="str">
        <f t="shared" si="43"/>
        <v>04.12.2023_STE2</v>
      </c>
      <c r="D1403" s="190">
        <f t="shared" si="44"/>
        <v>0</v>
      </c>
      <c r="E1403" s="204">
        <v>6.0170762662974477E-2</v>
      </c>
      <c r="F1403" s="205">
        <v>2.5912894657917861E-2</v>
      </c>
      <c r="G1403" s="204">
        <v>3.6602042148171213E-2</v>
      </c>
      <c r="H1403" s="204">
        <v>7.2665667897707439E-2</v>
      </c>
      <c r="I1403" s="209">
        <v>7.5979999999999999</v>
      </c>
      <c r="J1403" s="207">
        <v>1.7667044422990903</v>
      </c>
      <c r="K1403" s="209">
        <v>12.558</v>
      </c>
      <c r="L1403" s="209">
        <v>5.82</v>
      </c>
      <c r="M1403" s="212"/>
      <c r="N1403" s="225"/>
    </row>
    <row r="1404" spans="1:14" ht="16.5" customHeight="1" x14ac:dyDescent="0.25">
      <c r="A1404" s="203">
        <v>45278</v>
      </c>
      <c r="B1404" s="128" t="s">
        <v>22</v>
      </c>
      <c r="C1404" s="157" t="str">
        <f t="shared" si="43"/>
        <v>18.12.2023_BIE1</v>
      </c>
      <c r="D1404" s="190">
        <f t="shared" si="44"/>
        <v>0</v>
      </c>
      <c r="E1404" s="204">
        <v>1.4968478446072591E-2</v>
      </c>
      <c r="F1404" s="205">
        <v>1.0221375653717286E-2</v>
      </c>
      <c r="G1404" s="204">
        <v>2.5208299951930756E-2</v>
      </c>
      <c r="H1404" s="204">
        <v>8.4608320493066241E-2</v>
      </c>
      <c r="I1404" s="209">
        <v>4.391</v>
      </c>
      <c r="J1404" s="207">
        <v>1.0371281660037888</v>
      </c>
      <c r="K1404" s="209">
        <v>5.1840000000000002</v>
      </c>
      <c r="L1404" s="209">
        <v>10.95</v>
      </c>
      <c r="M1404" s="212"/>
      <c r="N1404" s="225"/>
    </row>
    <row r="1405" spans="1:14" ht="16.5" customHeight="1" x14ac:dyDescent="0.25">
      <c r="A1405" s="203">
        <v>45278</v>
      </c>
      <c r="B1405" s="128" t="s">
        <v>25</v>
      </c>
      <c r="C1405" s="157" t="str">
        <f t="shared" si="43"/>
        <v>18.12.2023_BIE2</v>
      </c>
      <c r="D1405" s="190">
        <f t="shared" si="44"/>
        <v>0</v>
      </c>
      <c r="E1405" s="204">
        <v>1.4968478446072622E-2</v>
      </c>
      <c r="F1405" s="205">
        <v>1.0329647231179288E-2</v>
      </c>
      <c r="G1405" s="204">
        <v>3.0423810286812989E-2</v>
      </c>
      <c r="H1405" s="204">
        <v>2.6859784283513103E-2</v>
      </c>
      <c r="I1405" s="209">
        <v>4.3079999999999998</v>
      </c>
      <c r="J1405" s="207">
        <v>1.0048492057747229</v>
      </c>
      <c r="K1405" s="209">
        <v>5.4909999999999997</v>
      </c>
      <c r="L1405" s="209">
        <v>10.914999999999999</v>
      </c>
      <c r="M1405" s="212"/>
      <c r="N1405" s="225"/>
    </row>
    <row r="1406" spans="1:14" ht="16.5" customHeight="1" x14ac:dyDescent="0.25">
      <c r="A1406" s="203">
        <v>45278</v>
      </c>
      <c r="B1406" s="128" t="s">
        <v>14</v>
      </c>
      <c r="C1406" s="157" t="str">
        <f t="shared" si="43"/>
        <v>18.12.2023_BRA1</v>
      </c>
      <c r="D1406" s="190">
        <f t="shared" si="44"/>
        <v>0</v>
      </c>
      <c r="E1406" s="204">
        <v>3.4427500425966963E-2</v>
      </c>
      <c r="F1406" s="205">
        <v>3.1878585118108559E-2</v>
      </c>
      <c r="G1406" s="204">
        <v>4.3462586124018578E-2</v>
      </c>
      <c r="H1406" s="204">
        <v>3.7603697996918331E-2</v>
      </c>
      <c r="I1406" s="209">
        <v>6.7290000000000001</v>
      </c>
      <c r="J1406" s="207">
        <v>1.565075939354601</v>
      </c>
      <c r="K1406" s="209">
        <v>5.3360000000000003</v>
      </c>
      <c r="L1406" s="209">
        <v>5.97</v>
      </c>
      <c r="M1406" s="212"/>
      <c r="N1406" s="225"/>
    </row>
    <row r="1407" spans="1:14" ht="16.5" customHeight="1" x14ac:dyDescent="0.25">
      <c r="A1407" s="203">
        <v>45278</v>
      </c>
      <c r="B1407" s="128" t="s">
        <v>17</v>
      </c>
      <c r="C1407" s="157" t="str">
        <f t="shared" si="43"/>
        <v>18.12.2023_BRA2</v>
      </c>
      <c r="D1407" s="190">
        <f t="shared" si="44"/>
        <v>0</v>
      </c>
      <c r="E1407" s="204">
        <v>7.1848696541148421E-2</v>
      </c>
      <c r="F1407" s="205">
        <v>3.3364959199651725E-2</v>
      </c>
      <c r="G1407" s="204">
        <v>3.9116327511616727E-2</v>
      </c>
      <c r="H1407" s="204">
        <v>5.3719568567026234E-2</v>
      </c>
      <c r="I1407" s="209">
        <v>7.4960000000000004</v>
      </c>
      <c r="J1407" s="207">
        <v>1.7398498797997264</v>
      </c>
      <c r="K1407" s="209">
        <v>6.0490000000000004</v>
      </c>
      <c r="L1407" s="209">
        <v>6.4539999999999997</v>
      </c>
      <c r="M1407" s="212"/>
      <c r="N1407" s="225"/>
    </row>
    <row r="1408" spans="1:14" ht="16.5" customHeight="1" x14ac:dyDescent="0.25">
      <c r="A1408" s="203">
        <v>45278</v>
      </c>
      <c r="B1408" s="128" t="s">
        <v>30</v>
      </c>
      <c r="C1408" s="157" t="str">
        <f t="shared" si="43"/>
        <v>18.12.2023_FAL1</v>
      </c>
      <c r="D1408" s="190">
        <f t="shared" si="44"/>
        <v>0</v>
      </c>
      <c r="E1408" s="204">
        <v>0.14070369739308228</v>
      </c>
      <c r="F1408" s="205">
        <v>5.2919485725283578E-2</v>
      </c>
      <c r="G1408" s="204">
        <v>0.14255728248678093</v>
      </c>
      <c r="H1408" s="204">
        <v>0.22696517719568571</v>
      </c>
      <c r="I1408" s="209">
        <v>14.725</v>
      </c>
      <c r="J1408" s="207">
        <v>3.5057296024753866</v>
      </c>
      <c r="K1408" s="209">
        <v>28</v>
      </c>
      <c r="L1408" s="209">
        <v>27.417999999999999</v>
      </c>
      <c r="M1408" s="212"/>
      <c r="N1408" s="225"/>
    </row>
    <row r="1409" spans="1:14" ht="16.5" customHeight="1" x14ac:dyDescent="0.25">
      <c r="A1409" s="203">
        <v>45278</v>
      </c>
      <c r="B1409" s="128" t="s">
        <v>32</v>
      </c>
      <c r="C1409" s="157" t="str">
        <f t="shared" si="43"/>
        <v>18.12.2023_FAL2</v>
      </c>
      <c r="D1409" s="190">
        <f t="shared" si="44"/>
        <v>0</v>
      </c>
      <c r="E1409" s="204">
        <v>0.14669108877151135</v>
      </c>
      <c r="F1409" s="205">
        <v>5.4563348788699832E-2</v>
      </c>
      <c r="G1409" s="204">
        <v>9.8225444640282017E-2</v>
      </c>
      <c r="H1409" s="204">
        <v>0.16115870570107865</v>
      </c>
      <c r="I1409" s="209">
        <v>14.97</v>
      </c>
      <c r="J1409" s="207">
        <v>3.5066097434594261</v>
      </c>
      <c r="K1409" s="209">
        <v>30</v>
      </c>
      <c r="L1409" s="209">
        <v>28.908000000000001</v>
      </c>
      <c r="M1409" s="212"/>
      <c r="N1409" s="225"/>
    </row>
    <row r="1410" spans="1:14" ht="16.5" customHeight="1" x14ac:dyDescent="0.25">
      <c r="A1410" s="203">
        <v>45278</v>
      </c>
      <c r="B1410" s="128" t="s">
        <v>26</v>
      </c>
      <c r="C1410" s="157" t="str">
        <f t="shared" si="43"/>
        <v>18.12.2023_GRU1</v>
      </c>
      <c r="D1410" s="190">
        <f t="shared" si="44"/>
        <v>0</v>
      </c>
      <c r="E1410" s="204">
        <v>0</v>
      </c>
      <c r="F1410" s="205">
        <v>1.4350200012119667E-2</v>
      </c>
      <c r="G1410" s="204">
        <v>3.4770068899214299E-3</v>
      </c>
      <c r="H1410" s="204">
        <v>0.22293620955315874</v>
      </c>
      <c r="I1410" s="209">
        <v>5.5460000000000003</v>
      </c>
      <c r="J1410" s="207">
        <v>1.3232478100784144</v>
      </c>
      <c r="K1410" s="209">
        <v>5.2380000000000004</v>
      </c>
      <c r="L1410" s="209">
        <v>10.125999999999999</v>
      </c>
      <c r="M1410" s="212"/>
      <c r="N1410" s="225"/>
    </row>
    <row r="1411" spans="1:14" ht="16.5" customHeight="1" x14ac:dyDescent="0.25">
      <c r="A1411" s="203">
        <v>45278</v>
      </c>
      <c r="B1411" s="128" t="s">
        <v>28</v>
      </c>
      <c r="C1411" s="157" t="str">
        <f t="shared" si="43"/>
        <v>18.12.2023_GRU2</v>
      </c>
      <c r="D1411" s="190">
        <f t="shared" si="44"/>
        <v>0</v>
      </c>
      <c r="E1411" s="204">
        <v>4.4905435338218119E-3</v>
      </c>
      <c r="F1411" s="205">
        <v>1.2042955400585979E-2</v>
      </c>
      <c r="G1411" s="204">
        <v>2.433904822945037E-2</v>
      </c>
      <c r="H1411" s="204">
        <v>6.7149460708782763E-2</v>
      </c>
      <c r="I1411" s="209">
        <v>5.3789999999999996</v>
      </c>
      <c r="J1411" s="207">
        <v>1.2542974108724747</v>
      </c>
      <c r="K1411" s="209">
        <v>5.6609999999999996</v>
      </c>
      <c r="L1411" s="209">
        <v>9.9109999999999996</v>
      </c>
      <c r="M1411" s="212"/>
      <c r="N1411" s="225"/>
    </row>
    <row r="1412" spans="1:14" ht="16.5" customHeight="1" x14ac:dyDescent="0.25">
      <c r="A1412" s="203">
        <v>45278</v>
      </c>
      <c r="B1412" s="128" t="s">
        <v>0</v>
      </c>
      <c r="C1412" s="157" t="str">
        <f t="shared" si="43"/>
        <v>18.12.2023_KIN1</v>
      </c>
      <c r="D1412" s="190">
        <f t="shared" si="44"/>
        <v>0</v>
      </c>
      <c r="E1412" s="204">
        <v>6.5861305162719389E-2</v>
      </c>
      <c r="F1412" s="205">
        <v>2.9681971833217618E-2</v>
      </c>
      <c r="G1412" s="204">
        <v>1.1300272392244782E-2</v>
      </c>
      <c r="H1412" s="204">
        <v>3.7603697996918331E-2</v>
      </c>
      <c r="I1412" s="209">
        <v>5.5179999999999998</v>
      </c>
      <c r="J1412" s="207">
        <v>1.2665736543650157</v>
      </c>
      <c r="K1412" s="209">
        <v>8.5449999999999999</v>
      </c>
      <c r="L1412" s="209">
        <v>6.0369999999999999</v>
      </c>
      <c r="M1412" s="212"/>
      <c r="N1412" s="225"/>
    </row>
    <row r="1413" spans="1:14" ht="16.5" customHeight="1" x14ac:dyDescent="0.25">
      <c r="A1413" s="203">
        <v>45278</v>
      </c>
      <c r="B1413" s="128" t="s">
        <v>2</v>
      </c>
      <c r="C1413" s="157" t="str">
        <f t="shared" ref="C1413:C1476" si="45">CONCATENATE(TEXT(A1413,"TT.MM.JJJJ"),"_",B1413)</f>
        <v>18.12.2023_KIN2</v>
      </c>
      <c r="D1413" s="190">
        <f t="shared" ref="D1413:D1476" si="46">COUNTBLANK(E1413:L1413)</f>
        <v>0</v>
      </c>
      <c r="E1413" s="204">
        <v>4.9395978872039524E-2</v>
      </c>
      <c r="F1413" s="205">
        <v>2.3303348204010595E-2</v>
      </c>
      <c r="G1413" s="204">
        <v>1.8254286172087787E-2</v>
      </c>
      <c r="H1413" s="204">
        <v>3.7603697996918331E-2</v>
      </c>
      <c r="I1413" s="209">
        <v>6.0339999999999998</v>
      </c>
      <c r="J1413" s="207">
        <v>1.3885222965249262</v>
      </c>
      <c r="K1413" s="209">
        <v>9.4600000000000009</v>
      </c>
      <c r="L1413" s="209">
        <v>6.851</v>
      </c>
      <c r="M1413" s="212"/>
      <c r="N1413" s="225"/>
    </row>
    <row r="1414" spans="1:14" ht="16.5" customHeight="1" x14ac:dyDescent="0.25">
      <c r="A1414" s="203">
        <v>45278</v>
      </c>
      <c r="B1414" s="128" t="s">
        <v>4</v>
      </c>
      <c r="C1414" s="157" t="str">
        <f t="shared" si="45"/>
        <v>18.12.2023_KIN3</v>
      </c>
      <c r="D1414" s="190">
        <f t="shared" si="46"/>
        <v>0</v>
      </c>
      <c r="E1414" s="204">
        <v>7.4842392230362931E-2</v>
      </c>
      <c r="F1414" s="205">
        <v>2.6541639490699941E-2</v>
      </c>
      <c r="G1414" s="204">
        <v>5.9978368851145665E-2</v>
      </c>
      <c r="H1414" s="204">
        <v>7.1178428351309719E-2</v>
      </c>
      <c r="I1414" s="209">
        <v>5.5250000000000004</v>
      </c>
      <c r="J1414" s="207">
        <v>1.3161746261407823</v>
      </c>
      <c r="K1414" s="209">
        <v>10.28</v>
      </c>
      <c r="L1414" s="209">
        <v>8.1950000000000003</v>
      </c>
      <c r="M1414" s="212"/>
      <c r="N1414" s="225"/>
    </row>
    <row r="1415" spans="1:14" ht="16.5" customHeight="1" x14ac:dyDescent="0.25">
      <c r="A1415" s="203">
        <v>45278</v>
      </c>
      <c r="B1415" s="128" t="s">
        <v>6</v>
      </c>
      <c r="C1415" s="157" t="str">
        <f t="shared" si="45"/>
        <v>18.12.2023_KIN4</v>
      </c>
      <c r="D1415" s="190">
        <f t="shared" si="46"/>
        <v>0</v>
      </c>
      <c r="E1415" s="204">
        <v>0.11076674050093717</v>
      </c>
      <c r="F1415" s="205">
        <v>3.8673489129136804E-2</v>
      </c>
      <c r="G1415" s="204">
        <v>0.18862762377824066</v>
      </c>
      <c r="H1415" s="204">
        <v>8.1922342064714895E-2</v>
      </c>
      <c r="I1415" s="209">
        <v>5.6879999999999997</v>
      </c>
      <c r="J1415" s="207">
        <v>1.4561572806291685</v>
      </c>
      <c r="K1415" s="209">
        <v>14.224</v>
      </c>
      <c r="L1415" s="209">
        <v>8.0779999999999994</v>
      </c>
      <c r="M1415" s="212"/>
      <c r="N1415" s="225"/>
    </row>
    <row r="1416" spans="1:14" ht="16.5" customHeight="1" x14ac:dyDescent="0.25">
      <c r="A1416" s="203">
        <v>45278</v>
      </c>
      <c r="B1416" s="128" t="s">
        <v>34</v>
      </c>
      <c r="C1416" s="157" t="str">
        <f t="shared" si="45"/>
        <v>18.12.2023_KRE1</v>
      </c>
      <c r="D1416" s="190">
        <f t="shared" si="46"/>
        <v>0</v>
      </c>
      <c r="E1416" s="204">
        <v>1.945902197989437E-2</v>
      </c>
      <c r="F1416" s="205">
        <v>1.9816508504995417E-2</v>
      </c>
      <c r="G1416" s="204">
        <v>0.23643646851466105</v>
      </c>
      <c r="H1416" s="204">
        <v>9.9381201848998443E-2</v>
      </c>
      <c r="I1416" s="209">
        <v>11.747999999999999</v>
      </c>
      <c r="J1416" s="207">
        <v>2.8673679203398765</v>
      </c>
      <c r="K1416" s="209">
        <v>31</v>
      </c>
      <c r="L1416" s="209">
        <v>35.271999999999998</v>
      </c>
      <c r="M1416" s="212"/>
      <c r="N1416" s="225"/>
    </row>
    <row r="1417" spans="1:14" ht="16.5" customHeight="1" x14ac:dyDescent="0.25">
      <c r="A1417" s="203">
        <v>45278</v>
      </c>
      <c r="B1417" s="128" t="s">
        <v>37</v>
      </c>
      <c r="C1417" s="157" t="str">
        <f t="shared" si="45"/>
        <v>18.12.2023_KRE2</v>
      </c>
      <c r="D1417" s="190">
        <f t="shared" si="46"/>
        <v>0</v>
      </c>
      <c r="E1417" s="204">
        <v>2.3949565513716152E-2</v>
      </c>
      <c r="F1417" s="205">
        <v>2.1942492573118064E-2</v>
      </c>
      <c r="G1417" s="204">
        <v>0.18862762377824061</v>
      </c>
      <c r="H1417" s="204">
        <v>9.6695223420647153E-2</v>
      </c>
      <c r="I1417" s="209">
        <v>13.454000000000001</v>
      </c>
      <c r="J1417" s="207">
        <v>3.2147613043579821</v>
      </c>
      <c r="K1417" s="209">
        <v>33</v>
      </c>
      <c r="L1417" s="209">
        <v>38</v>
      </c>
      <c r="M1417" s="212"/>
      <c r="N1417" s="225"/>
    </row>
    <row r="1418" spans="1:14" ht="16.5" customHeight="1" x14ac:dyDescent="0.25">
      <c r="A1418" s="203">
        <v>45278</v>
      </c>
      <c r="B1418" s="128" t="s">
        <v>18</v>
      </c>
      <c r="C1418" s="157" t="str">
        <f t="shared" si="45"/>
        <v>18.12.2023_ORB1</v>
      </c>
      <c r="D1418" s="190">
        <f t="shared" si="46"/>
        <v>0</v>
      </c>
      <c r="E1418" s="204">
        <v>2.245271766910887E-2</v>
      </c>
      <c r="F1418" s="205">
        <v>1.4371224824314067E-2</v>
      </c>
      <c r="G1418" s="204">
        <v>2.3469796506970023E-2</v>
      </c>
      <c r="H1418" s="204">
        <v>2.6859784283513103E-2</v>
      </c>
      <c r="I1418" s="209">
        <v>5.0090000000000003</v>
      </c>
      <c r="J1418" s="207">
        <v>1.1577843536148127</v>
      </c>
      <c r="K1418" s="209">
        <v>7.9509999999999996</v>
      </c>
      <c r="L1418" s="209">
        <v>11.688000000000001</v>
      </c>
      <c r="M1418" s="212"/>
      <c r="N1418" s="225"/>
    </row>
    <row r="1419" spans="1:14" ht="16.5" customHeight="1" x14ac:dyDescent="0.25">
      <c r="A1419" s="203">
        <v>45278</v>
      </c>
      <c r="B1419" s="128" t="s">
        <v>21</v>
      </c>
      <c r="C1419" s="157" t="str">
        <f t="shared" si="45"/>
        <v>18.12.2023_ORB2</v>
      </c>
      <c r="D1419" s="190">
        <f t="shared" si="46"/>
        <v>0</v>
      </c>
      <c r="E1419" s="204">
        <v>6.7358153007326643E-2</v>
      </c>
      <c r="F1419" s="205">
        <v>2.8460746601827284E-2</v>
      </c>
      <c r="G1419" s="204">
        <v>0.13734177215189869</v>
      </c>
      <c r="H1419" s="204">
        <v>5.2376579352850561E-2</v>
      </c>
      <c r="I1419" s="209">
        <v>5.28</v>
      </c>
      <c r="J1419" s="207">
        <v>1.3151841622422031</v>
      </c>
      <c r="K1419" s="209">
        <v>10.731</v>
      </c>
      <c r="L1419" s="209">
        <v>11.788</v>
      </c>
      <c r="M1419" s="212"/>
      <c r="N1419" s="225"/>
    </row>
    <row r="1420" spans="1:14" ht="16.5" customHeight="1" x14ac:dyDescent="0.25">
      <c r="A1420" s="203">
        <v>45278</v>
      </c>
      <c r="B1420" s="128" t="s">
        <v>10</v>
      </c>
      <c r="C1420" s="157" t="str">
        <f t="shared" si="45"/>
        <v>18.12.2023_SAL1</v>
      </c>
      <c r="D1420" s="190">
        <f t="shared" si="46"/>
        <v>0</v>
      </c>
      <c r="E1420" s="204">
        <v>7.9332935764184709E-2</v>
      </c>
      <c r="F1420" s="205">
        <v>2.2526907620621931E-2</v>
      </c>
      <c r="G1420" s="204">
        <v>1.39080275596859E-2</v>
      </c>
      <c r="H1420" s="204">
        <v>8.7294298921417546E-2</v>
      </c>
      <c r="I1420" s="209">
        <v>6.6559999999999997</v>
      </c>
      <c r="J1420" s="207">
        <v>1.5407669136264459</v>
      </c>
      <c r="K1420" s="209">
        <v>4.6219999999999999</v>
      </c>
      <c r="L1420" s="209">
        <v>5.5190000000000001</v>
      </c>
      <c r="M1420" s="212"/>
      <c r="N1420" s="225"/>
    </row>
    <row r="1421" spans="1:14" ht="16.5" customHeight="1" x14ac:dyDescent="0.25">
      <c r="A1421" s="203">
        <v>45278</v>
      </c>
      <c r="B1421" s="128" t="s">
        <v>12</v>
      </c>
      <c r="C1421" s="157" t="str">
        <f t="shared" si="45"/>
        <v>18.12.2023_SAL2</v>
      </c>
      <c r="D1421" s="190">
        <f t="shared" si="46"/>
        <v>0</v>
      </c>
      <c r="E1421" s="204">
        <v>0.11076674050093717</v>
      </c>
      <c r="F1421" s="205">
        <v>2.6347475679712191E-2</v>
      </c>
      <c r="G1421" s="204">
        <v>2.433904822945037E-2</v>
      </c>
      <c r="H1421" s="204">
        <v>4.834761171032359E-2</v>
      </c>
      <c r="I1421" s="209">
        <v>6.6109999999999998</v>
      </c>
      <c r="J1421" s="207">
        <v>1.5268450279448937</v>
      </c>
      <c r="K1421" s="209">
        <v>4.7069999999999999</v>
      </c>
      <c r="L1421" s="209">
        <v>5.5410000000000004</v>
      </c>
      <c r="M1421" s="212"/>
      <c r="N1421" s="225"/>
    </row>
    <row r="1422" spans="1:14" ht="16.5" customHeight="1" x14ac:dyDescent="0.25">
      <c r="A1422" s="203">
        <v>45278</v>
      </c>
      <c r="B1422" s="128" t="s">
        <v>7</v>
      </c>
      <c r="C1422" s="157" t="str">
        <f t="shared" si="45"/>
        <v>18.12.2023_STE1</v>
      </c>
      <c r="D1422" s="190">
        <f t="shared" si="46"/>
        <v>0</v>
      </c>
      <c r="E1422" s="204">
        <v>6.436445731811212E-2</v>
      </c>
      <c r="F1422" s="205">
        <v>2.9124900595246545E-2</v>
      </c>
      <c r="G1422" s="204">
        <v>4.3462586124018578E-2</v>
      </c>
      <c r="H1422" s="204">
        <v>8.8637288135593212E-2</v>
      </c>
      <c r="I1422" s="209">
        <v>6.1639999999999997</v>
      </c>
      <c r="J1422" s="207">
        <v>1.4529965658723203</v>
      </c>
      <c r="K1422" s="209">
        <v>5.4859999999999998</v>
      </c>
      <c r="L1422" s="209">
        <v>4.7960000000000003</v>
      </c>
      <c r="M1422" s="212"/>
      <c r="N1422" s="225"/>
    </row>
    <row r="1423" spans="1:14" ht="16.5" customHeight="1" x14ac:dyDescent="0.25">
      <c r="A1423" s="203">
        <v>45278</v>
      </c>
      <c r="B1423" s="128" t="s">
        <v>9</v>
      </c>
      <c r="C1423" s="157" t="str">
        <f t="shared" si="45"/>
        <v>18.12.2023_STE2</v>
      </c>
      <c r="D1423" s="190">
        <f t="shared" si="46"/>
        <v>0</v>
      </c>
      <c r="E1423" s="204">
        <v>7.3345544385755704E-2</v>
      </c>
      <c r="F1423" s="205">
        <v>3.0323670769212191E-2</v>
      </c>
      <c r="G1423" s="204">
        <v>5.7370613683704552E-2</v>
      </c>
      <c r="H1423" s="204">
        <v>8.4608320493066241E-2</v>
      </c>
      <c r="I1423" s="209">
        <v>5.9870000000000001</v>
      </c>
      <c r="J1423" s="207">
        <v>1.4225904009933736</v>
      </c>
      <c r="K1423" s="209">
        <v>6.6829999999999998</v>
      </c>
      <c r="L1423" s="209">
        <v>4.8650000000000002</v>
      </c>
      <c r="M1423" s="212"/>
      <c r="N1423" s="225"/>
    </row>
    <row r="1424" spans="1:14" ht="16.5" customHeight="1" x14ac:dyDescent="0.25">
      <c r="A1424" s="203">
        <v>45303</v>
      </c>
      <c r="B1424" s="128" t="s">
        <v>22</v>
      </c>
      <c r="C1424" s="157" t="str">
        <f t="shared" si="45"/>
        <v>12.01.2024_BIE1</v>
      </c>
      <c r="D1424" s="190">
        <f t="shared" si="46"/>
        <v>0</v>
      </c>
      <c r="E1424" s="204">
        <v>0.11640284083882479</v>
      </c>
      <c r="F1424" s="205">
        <v>7.5857421261206048E-3</v>
      </c>
      <c r="G1424" s="204">
        <v>3.2304564104426128E-2</v>
      </c>
      <c r="H1424" s="204">
        <v>5.9156385352408414E-2</v>
      </c>
      <c r="I1424" s="209">
        <v>5.4550000000000001</v>
      </c>
      <c r="J1424" s="207">
        <v>1.2752151825019866</v>
      </c>
      <c r="K1424" s="209">
        <v>6.6909999999999998</v>
      </c>
      <c r="L1424" s="209">
        <v>14.819000000000001</v>
      </c>
      <c r="M1424" s="212"/>
      <c r="N1424" s="225"/>
    </row>
    <row r="1425" spans="1:14" ht="16.5" customHeight="1" x14ac:dyDescent="0.25">
      <c r="A1425" s="203">
        <v>45303</v>
      </c>
      <c r="B1425" s="128" t="s">
        <v>25</v>
      </c>
      <c r="C1425" s="157" t="str">
        <f t="shared" si="45"/>
        <v>12.01.2024_BIE2</v>
      </c>
      <c r="D1425" s="190">
        <f t="shared" si="46"/>
        <v>0</v>
      </c>
      <c r="E1425" s="204">
        <v>3.4144833312721959E-2</v>
      </c>
      <c r="F1425" s="205">
        <v>9.0432724131170022E-3</v>
      </c>
      <c r="G1425" s="204">
        <v>4.8062888057804697E-2</v>
      </c>
      <c r="H1425" s="204">
        <v>1.0439362121013263E-2</v>
      </c>
      <c r="I1425" s="209">
        <v>5.4459999999999997</v>
      </c>
      <c r="J1425" s="207">
        <v>1.2705866357457472</v>
      </c>
      <c r="K1425" s="209">
        <v>6.8879999999999999</v>
      </c>
      <c r="L1425" s="209">
        <v>14.956</v>
      </c>
      <c r="M1425" s="212"/>
      <c r="N1425" s="225"/>
    </row>
    <row r="1426" spans="1:14" ht="16.5" customHeight="1" x14ac:dyDescent="0.25">
      <c r="A1426" s="203">
        <v>45303</v>
      </c>
      <c r="B1426" s="128" t="s">
        <v>14</v>
      </c>
      <c r="C1426" s="157" t="str">
        <f t="shared" si="45"/>
        <v>12.01.2024_BRA1</v>
      </c>
      <c r="D1426" s="190">
        <f t="shared" si="46"/>
        <v>0</v>
      </c>
      <c r="E1426" s="204">
        <v>4.1905022701976893E-2</v>
      </c>
      <c r="F1426" s="205">
        <v>1.5138437992867133E-2</v>
      </c>
      <c r="G1426" s="204">
        <v>1.9697904941723261E-2</v>
      </c>
      <c r="H1426" s="204">
        <v>1.5079078619241371E-2</v>
      </c>
      <c r="I1426" s="209">
        <v>9.2840000000000007</v>
      </c>
      <c r="J1426" s="207">
        <v>2.1168631316938269</v>
      </c>
      <c r="K1426" s="209">
        <v>5.3070000000000004</v>
      </c>
      <c r="L1426" s="209">
        <v>8.1820000000000004</v>
      </c>
      <c r="M1426" s="212"/>
      <c r="N1426" s="225"/>
    </row>
    <row r="1427" spans="1:14" ht="16.5" customHeight="1" x14ac:dyDescent="0.25">
      <c r="A1427" s="203">
        <v>45303</v>
      </c>
      <c r="B1427" s="128" t="s">
        <v>17</v>
      </c>
      <c r="C1427" s="157" t="str">
        <f t="shared" si="45"/>
        <v>12.01.2024_BRA2</v>
      </c>
      <c r="D1427" s="190">
        <f t="shared" si="46"/>
        <v>0</v>
      </c>
      <c r="E1427" s="204">
        <v>0.10553857569386778</v>
      </c>
      <c r="F1427" s="205">
        <v>1.9378582213329949E-2</v>
      </c>
      <c r="G1427" s="204">
        <v>1.4182491558040735E-2</v>
      </c>
      <c r="H1427" s="204">
        <v>2.5518440740254632E-2</v>
      </c>
      <c r="I1427" s="209">
        <v>11.962</v>
      </c>
      <c r="J1427" s="207">
        <v>2.7206385921532736</v>
      </c>
      <c r="K1427" s="209">
        <v>6.8890000000000002</v>
      </c>
      <c r="L1427" s="209">
        <v>8.9120000000000008</v>
      </c>
      <c r="M1427" s="212"/>
      <c r="N1427" s="225"/>
    </row>
    <row r="1428" spans="1:14" ht="16.5" customHeight="1" x14ac:dyDescent="0.25">
      <c r="A1428" s="203">
        <v>45303</v>
      </c>
      <c r="B1428" s="128" t="s">
        <v>30</v>
      </c>
      <c r="C1428" s="157" t="str">
        <f t="shared" si="45"/>
        <v>12.01.2024_FAL1</v>
      </c>
      <c r="D1428" s="190">
        <f t="shared" si="46"/>
        <v>0</v>
      </c>
      <c r="E1428" s="204">
        <v>0.14744359839584475</v>
      </c>
      <c r="F1428" s="205">
        <v>6.1615786649802141E-2</v>
      </c>
      <c r="G1428" s="204">
        <v>8.1943284557568732E-2</v>
      </c>
      <c r="H1428" s="204">
        <v>8.5834755217220074E-2</v>
      </c>
      <c r="I1428" s="209">
        <v>22.483000000000001</v>
      </c>
      <c r="J1428" s="207">
        <v>5.1679957422519891</v>
      </c>
      <c r="K1428" s="209">
        <v>35</v>
      </c>
      <c r="L1428" s="209">
        <v>31</v>
      </c>
      <c r="M1428" s="212"/>
      <c r="N1428" s="225"/>
    </row>
    <row r="1429" spans="1:14" ht="16.5" customHeight="1" x14ac:dyDescent="0.25">
      <c r="A1429" s="203">
        <v>45303</v>
      </c>
      <c r="B1429" s="128" t="s">
        <v>32</v>
      </c>
      <c r="C1429" s="157" t="str">
        <f t="shared" si="45"/>
        <v>12.01.2024_FAL2</v>
      </c>
      <c r="D1429" s="190">
        <f t="shared" si="46"/>
        <v>0</v>
      </c>
      <c r="E1429" s="204">
        <v>0.17072416656360964</v>
      </c>
      <c r="F1429" s="205">
        <v>5.836923229392553E-2</v>
      </c>
      <c r="G1429" s="204">
        <v>0.11030826767365019</v>
      </c>
      <c r="H1429" s="204">
        <v>0.1206326289539309</v>
      </c>
      <c r="I1429" s="209">
        <v>24.105</v>
      </c>
      <c r="J1429" s="207">
        <v>5.5669762206509361</v>
      </c>
      <c r="K1429" s="209">
        <v>41</v>
      </c>
      <c r="L1429" s="209">
        <v>36</v>
      </c>
      <c r="M1429" s="212"/>
      <c r="N1429" s="225"/>
    </row>
    <row r="1430" spans="1:14" ht="16.5" customHeight="1" x14ac:dyDescent="0.25">
      <c r="A1430" s="203">
        <v>45303</v>
      </c>
      <c r="B1430" s="128" t="s">
        <v>26</v>
      </c>
      <c r="C1430" s="157" t="str">
        <f t="shared" si="45"/>
        <v>12.01.2024_GRU1</v>
      </c>
      <c r="D1430" s="190">
        <f t="shared" si="46"/>
        <v>0</v>
      </c>
      <c r="E1430" s="204">
        <v>9.3122272671059911E-3</v>
      </c>
      <c r="F1430" s="205">
        <v>1.3449013249362549E-2</v>
      </c>
      <c r="G1430" s="204">
        <v>2.2061653534730052E-2</v>
      </c>
      <c r="H1430" s="204">
        <v>0</v>
      </c>
      <c r="I1430" s="209">
        <v>7.5090000000000003</v>
      </c>
      <c r="J1430" s="207">
        <v>1.7124822025092397</v>
      </c>
      <c r="K1430" s="209">
        <v>5.835</v>
      </c>
      <c r="L1430" s="209">
        <v>13.933</v>
      </c>
      <c r="M1430" s="212"/>
      <c r="N1430" s="225"/>
    </row>
    <row r="1431" spans="1:14" ht="16.5" customHeight="1" x14ac:dyDescent="0.25">
      <c r="A1431" s="203">
        <v>45303</v>
      </c>
      <c r="B1431" s="128" t="s">
        <v>28</v>
      </c>
      <c r="C1431" s="157" t="str">
        <f t="shared" si="45"/>
        <v>12.01.2024_GRU2</v>
      </c>
      <c r="D1431" s="190">
        <f t="shared" si="46"/>
        <v>0</v>
      </c>
      <c r="E1431" s="204">
        <v>2.7936681801317975E-2</v>
      </c>
      <c r="F1431" s="205">
        <v>1.1494582251221779E-2</v>
      </c>
      <c r="G1431" s="204">
        <v>2.3637485930067904E-2</v>
      </c>
      <c r="H1431" s="204">
        <v>1.159929124557021E-3</v>
      </c>
      <c r="I1431" s="209">
        <v>7.2370000000000001</v>
      </c>
      <c r="J1431" s="207">
        <v>1.6533286018718096</v>
      </c>
      <c r="K1431" s="209">
        <v>6.5919999999999996</v>
      </c>
      <c r="L1431" s="209">
        <v>13.916</v>
      </c>
      <c r="M1431" s="212"/>
      <c r="N1431" s="225"/>
    </row>
    <row r="1432" spans="1:14" ht="16.5" customHeight="1" x14ac:dyDescent="0.25">
      <c r="A1432" s="203">
        <v>45303</v>
      </c>
      <c r="B1432" s="128" t="s">
        <v>0</v>
      </c>
      <c r="C1432" s="157" t="str">
        <f t="shared" si="45"/>
        <v>12.01.2024_KIN1</v>
      </c>
      <c r="D1432" s="190">
        <f t="shared" si="46"/>
        <v>0</v>
      </c>
      <c r="E1432" s="204">
        <v>4.5009098457678934E-2</v>
      </c>
      <c r="F1432" s="205">
        <v>1.7821650514778541E-2</v>
      </c>
      <c r="G1432" s="204">
        <v>1.0242910569696076E-2</v>
      </c>
      <c r="H1432" s="204">
        <v>8.1195038718991953E-3</v>
      </c>
      <c r="I1432" s="209">
        <v>7.0730000000000004</v>
      </c>
      <c r="J1432" s="207">
        <v>1.608004010582063</v>
      </c>
      <c r="K1432" s="209">
        <v>6.2480000000000002</v>
      </c>
      <c r="L1432" s="209">
        <v>10.028</v>
      </c>
      <c r="M1432" s="212"/>
      <c r="N1432" s="225"/>
    </row>
    <row r="1433" spans="1:14" ht="16.5" customHeight="1" x14ac:dyDescent="0.25">
      <c r="A1433" s="203">
        <v>45303</v>
      </c>
      <c r="B1433" s="128" t="s">
        <v>2</v>
      </c>
      <c r="C1433" s="157" t="str">
        <f t="shared" si="45"/>
        <v>12.01.2024_KIN2</v>
      </c>
      <c r="D1433" s="190">
        <f t="shared" si="46"/>
        <v>0</v>
      </c>
      <c r="E1433" s="204">
        <v>4.6561136335529892E-2</v>
      </c>
      <c r="F1433" s="205">
        <v>1.1627085675356114E-2</v>
      </c>
      <c r="G1433" s="204">
        <v>1.3394575360371794E-2</v>
      </c>
      <c r="H1433" s="204">
        <v>1.2759220370127304E-2</v>
      </c>
      <c r="I1433" s="209">
        <v>7.9320000000000004</v>
      </c>
      <c r="J1433" s="207">
        <v>1.8058861384632605</v>
      </c>
      <c r="K1433" s="209">
        <v>7.0890000000000004</v>
      </c>
      <c r="L1433" s="209">
        <v>10.012</v>
      </c>
      <c r="M1433" s="212"/>
      <c r="N1433" s="225"/>
    </row>
    <row r="1434" spans="1:14" ht="16.5" customHeight="1" x14ac:dyDescent="0.25">
      <c r="A1434" s="203">
        <v>45303</v>
      </c>
      <c r="B1434" s="128" t="s">
        <v>4</v>
      </c>
      <c r="C1434" s="157" t="str">
        <f t="shared" si="45"/>
        <v>12.01.2024_KIN3</v>
      </c>
      <c r="D1434" s="190">
        <f t="shared" si="46"/>
        <v>0</v>
      </c>
      <c r="E1434" s="204">
        <v>9.7778386304612816E-2</v>
      </c>
      <c r="F1434" s="205">
        <v>1.0832066169384221E-2</v>
      </c>
      <c r="G1434" s="204">
        <v>1.8909988744054317E-2</v>
      </c>
      <c r="H1434" s="204">
        <v>2.2038653366583547E-2</v>
      </c>
      <c r="I1434" s="209">
        <v>8.657</v>
      </c>
      <c r="J1434" s="207">
        <v>1.9767496751773268</v>
      </c>
      <c r="K1434" s="209">
        <v>9.2439999999999998</v>
      </c>
      <c r="L1434" s="209">
        <v>11.632</v>
      </c>
      <c r="M1434" s="212"/>
      <c r="N1434" s="225"/>
    </row>
    <row r="1435" spans="1:14" ht="16.5" customHeight="1" x14ac:dyDescent="0.25">
      <c r="A1435" s="203">
        <v>45303</v>
      </c>
      <c r="B1435" s="128" t="s">
        <v>6</v>
      </c>
      <c r="C1435" s="157" t="str">
        <f t="shared" si="45"/>
        <v>12.01.2024_KIN4</v>
      </c>
      <c r="D1435" s="190">
        <f t="shared" si="46"/>
        <v>0</v>
      </c>
      <c r="E1435" s="204">
        <v>0.10398653781601683</v>
      </c>
      <c r="F1435" s="205">
        <v>1.2687115544943955E-2</v>
      </c>
      <c r="G1435" s="204">
        <v>3.3092480302095037E-2</v>
      </c>
      <c r="H1435" s="204">
        <v>3.4797873736710824E-2</v>
      </c>
      <c r="I1435" s="209">
        <v>9.1829999999999998</v>
      </c>
      <c r="J1435" s="207">
        <v>2.1104544026889149</v>
      </c>
      <c r="K1435" s="209">
        <v>13.282999999999999</v>
      </c>
      <c r="L1435" s="209">
        <v>11.993</v>
      </c>
      <c r="M1435" s="212"/>
      <c r="N1435" s="225"/>
    </row>
    <row r="1436" spans="1:14" ht="16.5" customHeight="1" x14ac:dyDescent="0.25">
      <c r="A1436" s="203">
        <v>45303</v>
      </c>
      <c r="B1436" s="128" t="s">
        <v>34</v>
      </c>
      <c r="C1436" s="157" t="str">
        <f t="shared" si="45"/>
        <v>12.01.2024_KRE1</v>
      </c>
      <c r="D1436" s="190">
        <f t="shared" si="46"/>
        <v>0</v>
      </c>
      <c r="E1436" s="204">
        <v>4.3457060579827948E-2</v>
      </c>
      <c r="F1436" s="205">
        <v>1.3979026676913493E-2</v>
      </c>
      <c r="G1436" s="204">
        <v>0.42783849533422896</v>
      </c>
      <c r="H1436" s="204">
        <v>5.9156385352408414E-2</v>
      </c>
      <c r="I1436" s="209">
        <v>17.803000000000001</v>
      </c>
      <c r="J1436" s="207">
        <v>4.3713860847626158</v>
      </c>
      <c r="K1436" s="209">
        <v>40</v>
      </c>
      <c r="L1436" s="209">
        <v>41</v>
      </c>
      <c r="M1436" s="212"/>
      <c r="N1436" s="225"/>
    </row>
    <row r="1437" spans="1:14" ht="16.5" customHeight="1" x14ac:dyDescent="0.25">
      <c r="A1437" s="203">
        <v>45303</v>
      </c>
      <c r="B1437" s="128" t="s">
        <v>37</v>
      </c>
      <c r="C1437" s="157" t="str">
        <f t="shared" si="45"/>
        <v>12.01.2024_KRE2</v>
      </c>
      <c r="D1437" s="190">
        <f t="shared" si="46"/>
        <v>0</v>
      </c>
      <c r="E1437" s="204">
        <v>2.6384643923466955E-2</v>
      </c>
      <c r="F1437" s="205">
        <v>1.8815437560462514E-2</v>
      </c>
      <c r="G1437" s="204">
        <v>0.37426019389274179</v>
      </c>
      <c r="H1437" s="204">
        <v>3.8277661110381916E-2</v>
      </c>
      <c r="I1437" s="209">
        <v>19.93</v>
      </c>
      <c r="J1437" s="207">
        <v>4.8038520318808295</v>
      </c>
      <c r="K1437" s="209">
        <v>43</v>
      </c>
      <c r="L1437" s="209">
        <v>49</v>
      </c>
      <c r="M1437" s="212"/>
      <c r="N1437" s="225"/>
    </row>
    <row r="1438" spans="1:14" ht="16.5" customHeight="1" x14ac:dyDescent="0.25">
      <c r="A1438" s="203">
        <v>45303</v>
      </c>
      <c r="B1438" s="128" t="s">
        <v>18</v>
      </c>
      <c r="C1438" s="157" t="str">
        <f t="shared" si="45"/>
        <v>12.01.2024_ORB1</v>
      </c>
      <c r="D1438" s="190">
        <f t="shared" si="46"/>
        <v>0</v>
      </c>
      <c r="E1438" s="204">
        <v>5.1217249969082855E-2</v>
      </c>
      <c r="F1438" s="205">
        <v>1.3680893496091412E-2</v>
      </c>
      <c r="G1438" s="204">
        <v>3.2304564104426128E-2</v>
      </c>
      <c r="H1438" s="204">
        <v>0</v>
      </c>
      <c r="I1438" s="209">
        <v>7.2050000000000001</v>
      </c>
      <c r="J1438" s="207">
        <v>1.6524775209814457</v>
      </c>
      <c r="K1438" s="209">
        <v>6.8140000000000001</v>
      </c>
      <c r="L1438" s="209">
        <v>16.994</v>
      </c>
      <c r="M1438" s="212"/>
      <c r="N1438" s="225"/>
    </row>
    <row r="1439" spans="1:14" ht="16.5" customHeight="1" x14ac:dyDescent="0.25">
      <c r="A1439" s="203">
        <v>45303</v>
      </c>
      <c r="B1439" s="128" t="s">
        <v>21</v>
      </c>
      <c r="C1439" s="157" t="str">
        <f t="shared" si="45"/>
        <v>12.01.2024_ORB2</v>
      </c>
      <c r="D1439" s="190">
        <f t="shared" si="46"/>
        <v>0</v>
      </c>
      <c r="E1439" s="204">
        <v>5.7425401480486839E-2</v>
      </c>
      <c r="F1439" s="205">
        <v>1.4078404951101091E-2</v>
      </c>
      <c r="G1439" s="204">
        <v>1.1818742965033944E-2</v>
      </c>
      <c r="H1439" s="204">
        <v>0</v>
      </c>
      <c r="I1439" s="209">
        <v>6.6020000000000003</v>
      </c>
      <c r="J1439" s="207">
        <v>1.5000177353029478</v>
      </c>
      <c r="K1439" s="209">
        <v>8.2260000000000009</v>
      </c>
      <c r="L1439" s="209">
        <v>17.641999999999999</v>
      </c>
      <c r="M1439" s="212"/>
      <c r="N1439" s="225"/>
    </row>
    <row r="1440" spans="1:14" ht="16.5" customHeight="1" x14ac:dyDescent="0.25">
      <c r="A1440" s="203">
        <v>45303</v>
      </c>
      <c r="B1440" s="128" t="s">
        <v>10</v>
      </c>
      <c r="C1440" s="157" t="str">
        <f t="shared" si="45"/>
        <v>12.01.2024_SAL1</v>
      </c>
      <c r="D1440" s="190">
        <f t="shared" si="46"/>
        <v>0</v>
      </c>
      <c r="E1440" s="204">
        <v>9.0018196915357812E-2</v>
      </c>
      <c r="F1440" s="205">
        <v>1.8682933055747551E-2</v>
      </c>
      <c r="G1440" s="204">
        <v>3.7819977488108621E-2</v>
      </c>
      <c r="H1440" s="204">
        <v>2.2038653366583547E-2</v>
      </c>
      <c r="I1440" s="209">
        <v>9.9329999999999998</v>
      </c>
      <c r="J1440" s="207">
        <v>2.2796432123371972</v>
      </c>
      <c r="K1440" s="209">
        <v>6.0410000000000004</v>
      </c>
      <c r="L1440" s="209">
        <v>8.3659999999999997</v>
      </c>
      <c r="M1440" s="212"/>
      <c r="N1440" s="225"/>
    </row>
    <row r="1441" spans="1:14" ht="16.5" customHeight="1" x14ac:dyDescent="0.25">
      <c r="A1441" s="203">
        <v>45303</v>
      </c>
      <c r="B1441" s="128" t="s">
        <v>12</v>
      </c>
      <c r="C1441" s="157" t="str">
        <f t="shared" si="45"/>
        <v>12.01.2024_SAL2</v>
      </c>
      <c r="D1441" s="190">
        <f t="shared" si="46"/>
        <v>0</v>
      </c>
      <c r="E1441" s="204">
        <v>0.13347525749518577</v>
      </c>
      <c r="F1441" s="205">
        <v>2.4910685260200349E-2</v>
      </c>
      <c r="G1441" s="204">
        <v>5.279038524381828E-2</v>
      </c>
      <c r="H1441" s="204">
        <v>4.2917377608610044E-2</v>
      </c>
      <c r="I1441" s="209">
        <v>9.9380000000000006</v>
      </c>
      <c r="J1441" s="207">
        <v>2.2987534618509136</v>
      </c>
      <c r="K1441" s="209">
        <v>6.4340000000000002</v>
      </c>
      <c r="L1441" s="209">
        <v>8.5820000000000007</v>
      </c>
      <c r="M1441" s="212"/>
      <c r="N1441" s="225"/>
    </row>
    <row r="1442" spans="1:14" ht="16.5" customHeight="1" x14ac:dyDescent="0.25">
      <c r="A1442" s="203">
        <v>45303</v>
      </c>
      <c r="B1442" s="128" t="s">
        <v>7</v>
      </c>
      <c r="C1442" s="157" t="str">
        <f t="shared" si="45"/>
        <v>12.01.2024_STE1</v>
      </c>
      <c r="D1442" s="190">
        <f t="shared" si="46"/>
        <v>0</v>
      </c>
      <c r="E1442" s="204">
        <v>9.7778386304612816E-2</v>
      </c>
      <c r="F1442" s="205">
        <v>2.0041108720719937E-2</v>
      </c>
      <c r="G1442" s="204">
        <v>3.8607893685777529E-2</v>
      </c>
      <c r="H1442" s="204">
        <v>1.2759220370127304E-2</v>
      </c>
      <c r="I1442" s="209">
        <v>10.112</v>
      </c>
      <c r="J1442" s="207">
        <v>2.3178606280097545</v>
      </c>
      <c r="K1442" s="209">
        <v>6.399</v>
      </c>
      <c r="L1442" s="209">
        <v>7.5860000000000003</v>
      </c>
      <c r="M1442" s="212"/>
      <c r="N1442" s="225"/>
    </row>
    <row r="1443" spans="1:14" ht="16.5" customHeight="1" x14ac:dyDescent="0.25">
      <c r="A1443" s="203">
        <v>45303</v>
      </c>
      <c r="B1443" s="128" t="s">
        <v>9</v>
      </c>
      <c r="C1443" s="157" t="str">
        <f t="shared" si="45"/>
        <v>12.01.2024_STE2</v>
      </c>
      <c r="D1443" s="190">
        <f t="shared" si="46"/>
        <v>0</v>
      </c>
      <c r="E1443" s="204">
        <v>9.9330424182463795E-2</v>
      </c>
      <c r="F1443" s="205">
        <v>1.8914815449717581E-2</v>
      </c>
      <c r="G1443" s="204">
        <v>3.1516647906757185E-2</v>
      </c>
      <c r="H1443" s="204">
        <v>1.7398936868355436E-2</v>
      </c>
      <c r="I1443" s="209">
        <v>9.8510000000000009</v>
      </c>
      <c r="J1443" s="207">
        <v>2.2548148382626891</v>
      </c>
      <c r="K1443" s="209">
        <v>6.8369999999999997</v>
      </c>
      <c r="L1443" s="209">
        <v>7.7210000000000001</v>
      </c>
      <c r="M1443" s="212"/>
      <c r="N1443" s="225"/>
    </row>
    <row r="1444" spans="1:14" ht="16.5" customHeight="1" x14ac:dyDescent="0.25">
      <c r="A1444" s="203">
        <v>45317</v>
      </c>
      <c r="B1444" s="128" t="s">
        <v>22</v>
      </c>
      <c r="C1444" s="157" t="str">
        <f t="shared" si="45"/>
        <v>26.01.2024_BIE1</v>
      </c>
      <c r="D1444" s="190">
        <f t="shared" si="46"/>
        <v>0</v>
      </c>
      <c r="E1444" s="204">
        <v>0.11679740175875096</v>
      </c>
      <c r="F1444" s="205">
        <v>1.7556641440420469E-2</v>
      </c>
      <c r="G1444" s="204">
        <v>4.1505400540054055E-2</v>
      </c>
      <c r="H1444" s="204">
        <v>5.9351127165696682E-2</v>
      </c>
      <c r="I1444" s="209">
        <v>4.2270000000000003</v>
      </c>
      <c r="J1444" s="207">
        <v>1.005050469130943</v>
      </c>
      <c r="K1444" s="209">
        <v>11.797000000000001</v>
      </c>
      <c r="L1444" s="209">
        <v>11.074</v>
      </c>
      <c r="M1444" s="212"/>
      <c r="N1444" s="225"/>
    </row>
    <row r="1445" spans="1:14" ht="16.5" customHeight="1" x14ac:dyDescent="0.25">
      <c r="A1445" s="203">
        <v>45317</v>
      </c>
      <c r="B1445" s="128" t="s">
        <v>25</v>
      </c>
      <c r="C1445" s="157" t="str">
        <f t="shared" si="45"/>
        <v>26.01.2024_BIE2</v>
      </c>
      <c r="D1445" s="190">
        <f t="shared" si="46"/>
        <v>0</v>
      </c>
      <c r="E1445" s="204">
        <v>0</v>
      </c>
      <c r="F1445" s="205">
        <v>2.2128064420810643E-2</v>
      </c>
      <c r="G1445" s="204">
        <v>7.6500150015001531E-2</v>
      </c>
      <c r="H1445" s="204">
        <v>8.6855308047360819E-3</v>
      </c>
      <c r="I1445" s="209">
        <v>3.9780000000000002</v>
      </c>
      <c r="J1445" s="207">
        <v>0.96055677133865047</v>
      </c>
      <c r="K1445" s="209">
        <v>12.705</v>
      </c>
      <c r="L1445" s="209">
        <v>10.234999999999999</v>
      </c>
      <c r="M1445" s="212"/>
      <c r="N1445" s="225"/>
    </row>
    <row r="1446" spans="1:14" ht="16.5" customHeight="1" x14ac:dyDescent="0.25">
      <c r="A1446" s="203">
        <v>45317</v>
      </c>
      <c r="B1446" s="128" t="s">
        <v>14</v>
      </c>
      <c r="C1446" s="157" t="str">
        <f t="shared" si="45"/>
        <v>26.01.2024_BRA1</v>
      </c>
      <c r="D1446" s="190">
        <f t="shared" si="46"/>
        <v>0</v>
      </c>
      <c r="E1446" s="204">
        <v>0</v>
      </c>
      <c r="F1446" s="205">
        <v>2.2293697052893538E-2</v>
      </c>
      <c r="G1446" s="204">
        <v>2.604260426042606E-2</v>
      </c>
      <c r="H1446" s="204">
        <v>0</v>
      </c>
      <c r="I1446" s="209">
        <v>10.452999999999999</v>
      </c>
      <c r="J1446" s="207">
        <v>2.3808002134732607</v>
      </c>
      <c r="K1446" s="209">
        <v>11.875</v>
      </c>
      <c r="L1446" s="209">
        <v>8.0579999999999998</v>
      </c>
      <c r="M1446" s="212"/>
      <c r="N1446" s="225"/>
    </row>
    <row r="1447" spans="1:14" ht="16.5" customHeight="1" x14ac:dyDescent="0.25">
      <c r="A1447" s="203">
        <v>45317</v>
      </c>
      <c r="B1447" s="128" t="s">
        <v>17</v>
      </c>
      <c r="C1447" s="157" t="str">
        <f t="shared" si="45"/>
        <v>26.01.2024_BRA2</v>
      </c>
      <c r="D1447" s="190">
        <f t="shared" si="46"/>
        <v>0</v>
      </c>
      <c r="E1447" s="204">
        <v>4.0044823460143202E-2</v>
      </c>
      <c r="F1447" s="205">
        <v>2.3121856229466501E-2</v>
      </c>
      <c r="G1447" s="204">
        <v>1.7904290429042902E-2</v>
      </c>
      <c r="H1447" s="204">
        <v>8.6855308047360819E-3</v>
      </c>
      <c r="I1447" s="209">
        <v>12.327999999999999</v>
      </c>
      <c r="J1447" s="207">
        <v>2.8010721723287491</v>
      </c>
      <c r="K1447" s="209">
        <v>14.715</v>
      </c>
      <c r="L1447" s="209">
        <v>8.8330000000000002</v>
      </c>
      <c r="M1447" s="212"/>
      <c r="N1447" s="225"/>
    </row>
    <row r="1448" spans="1:14" ht="16.5" customHeight="1" x14ac:dyDescent="0.25">
      <c r="A1448" s="203">
        <v>45317</v>
      </c>
      <c r="B1448" s="128" t="s">
        <v>30</v>
      </c>
      <c r="C1448" s="157" t="str">
        <f t="shared" si="45"/>
        <v>26.01.2024_FAL1</v>
      </c>
      <c r="D1448" s="190">
        <f t="shared" si="46"/>
        <v>0</v>
      </c>
      <c r="E1448" s="204">
        <v>2.6696548973428779E-2</v>
      </c>
      <c r="F1448" s="205">
        <v>3.4384926092921271E-2</v>
      </c>
      <c r="G1448" s="204">
        <v>0.14160666066606667</v>
      </c>
      <c r="H1448" s="204">
        <v>0.24029968559769885</v>
      </c>
      <c r="I1448" s="209">
        <v>17.882000000000001</v>
      </c>
      <c r="J1448" s="207">
        <v>4.2221227352208137</v>
      </c>
      <c r="K1448" s="209">
        <v>37</v>
      </c>
      <c r="L1448" s="209">
        <v>28</v>
      </c>
      <c r="M1448" s="212"/>
      <c r="N1448" s="225"/>
    </row>
    <row r="1449" spans="1:14" ht="16.5" customHeight="1" x14ac:dyDescent="0.25">
      <c r="A1449" s="203">
        <v>45317</v>
      </c>
      <c r="B1449" s="128" t="s">
        <v>32</v>
      </c>
      <c r="C1449" s="157" t="str">
        <f t="shared" si="45"/>
        <v>26.01.2024_FAL2</v>
      </c>
      <c r="D1449" s="190">
        <f t="shared" si="46"/>
        <v>0</v>
      </c>
      <c r="E1449" s="204">
        <v>6.5072838122732735E-2</v>
      </c>
      <c r="F1449" s="205">
        <v>3.1635396867335561E-2</v>
      </c>
      <c r="G1449" s="204">
        <v>8.7079957995799637E-2</v>
      </c>
      <c r="H1449" s="204">
        <v>0.21713827011840267</v>
      </c>
      <c r="I1449" s="209">
        <v>19.338999999999999</v>
      </c>
      <c r="J1449" s="207">
        <v>4.5018243929217059</v>
      </c>
      <c r="K1449" s="209">
        <v>42</v>
      </c>
      <c r="L1449" s="209">
        <v>33</v>
      </c>
      <c r="M1449" s="212"/>
      <c r="N1449" s="225"/>
    </row>
    <row r="1450" spans="1:14" ht="16.5" customHeight="1" x14ac:dyDescent="0.25">
      <c r="A1450" s="203">
        <v>45317</v>
      </c>
      <c r="B1450" s="128" t="s">
        <v>26</v>
      </c>
      <c r="C1450" s="157" t="str">
        <f t="shared" si="45"/>
        <v>26.01.2024_GRU1</v>
      </c>
      <c r="D1450" s="190">
        <f t="shared" si="46"/>
        <v>0</v>
      </c>
      <c r="E1450" s="204">
        <v>0</v>
      </c>
      <c r="F1450" s="205">
        <v>1.6463479283477821E-2</v>
      </c>
      <c r="G1450" s="204">
        <v>4.0691569156915727E-2</v>
      </c>
      <c r="H1450" s="204">
        <v>3.0133988376590896E-17</v>
      </c>
      <c r="I1450" s="209">
        <v>7.5110000000000001</v>
      </c>
      <c r="J1450" s="207">
        <v>1.7281061665346533</v>
      </c>
      <c r="K1450" s="209">
        <v>11.548999999999999</v>
      </c>
      <c r="L1450" s="209">
        <v>11.052</v>
      </c>
      <c r="M1450" s="212"/>
      <c r="N1450" s="225"/>
    </row>
    <row r="1451" spans="1:14" ht="16.5" customHeight="1" x14ac:dyDescent="0.25">
      <c r="A1451" s="203">
        <v>45317</v>
      </c>
      <c r="B1451" s="128" t="s">
        <v>28</v>
      </c>
      <c r="C1451" s="157" t="str">
        <f t="shared" si="45"/>
        <v>26.01.2024_GRU2</v>
      </c>
      <c r="D1451" s="190">
        <f t="shared" si="46"/>
        <v>0</v>
      </c>
      <c r="E1451" s="204">
        <v>0</v>
      </c>
      <c r="F1451" s="205">
        <v>1.4740925531479784E-2</v>
      </c>
      <c r="G1451" s="204">
        <v>2.8484098409841004E-2</v>
      </c>
      <c r="H1451" s="204">
        <v>0</v>
      </c>
      <c r="I1451" s="209">
        <v>7.4980000000000002</v>
      </c>
      <c r="J1451" s="207">
        <v>1.7148094409564234</v>
      </c>
      <c r="K1451" s="209">
        <v>10.305999999999999</v>
      </c>
      <c r="L1451" s="209">
        <v>11.401999999999999</v>
      </c>
      <c r="M1451" s="212"/>
      <c r="N1451" s="225"/>
    </row>
    <row r="1452" spans="1:14" ht="16.5" customHeight="1" x14ac:dyDescent="0.25">
      <c r="A1452" s="203">
        <v>45317</v>
      </c>
      <c r="B1452" s="128" t="s">
        <v>0</v>
      </c>
      <c r="C1452" s="157" t="str">
        <f t="shared" si="45"/>
        <v>26.01.2024_KIN1</v>
      </c>
      <c r="D1452" s="190">
        <f t="shared" si="46"/>
        <v>0</v>
      </c>
      <c r="E1452" s="204">
        <v>0</v>
      </c>
      <c r="F1452" s="205">
        <v>2.9217142705693467E-2</v>
      </c>
      <c r="G1452" s="204">
        <v>2.4414941494149443E-2</v>
      </c>
      <c r="H1452" s="204">
        <v>0</v>
      </c>
      <c r="I1452" s="209">
        <v>8.5449999999999999</v>
      </c>
      <c r="J1452" s="207">
        <v>1.9481356713029581</v>
      </c>
      <c r="K1452" s="209">
        <v>19.445</v>
      </c>
      <c r="L1452" s="209">
        <v>8.4619999999999997</v>
      </c>
      <c r="M1452" s="212"/>
      <c r="N1452" s="225"/>
    </row>
    <row r="1453" spans="1:14" ht="16.5" customHeight="1" x14ac:dyDescent="0.25">
      <c r="A1453" s="203">
        <v>45317</v>
      </c>
      <c r="B1453" s="128" t="s">
        <v>2</v>
      </c>
      <c r="C1453" s="157" t="str">
        <f t="shared" si="45"/>
        <v>26.01.2024_KIN2</v>
      </c>
      <c r="D1453" s="190">
        <f t="shared" si="46"/>
        <v>0</v>
      </c>
      <c r="E1453" s="204">
        <v>0</v>
      </c>
      <c r="F1453" s="205">
        <v>1.7722271994791892E-2</v>
      </c>
      <c r="G1453" s="204">
        <v>5.8595859585958664E-2</v>
      </c>
      <c r="H1453" s="204">
        <v>1.0133119272192119E-2</v>
      </c>
      <c r="I1453" s="209">
        <v>9.2449999999999992</v>
      </c>
      <c r="J1453" s="207">
        <v>2.1367522771723197</v>
      </c>
      <c r="K1453" s="209">
        <v>19.254999999999999</v>
      </c>
      <c r="L1453" s="209">
        <v>9.5510000000000002</v>
      </c>
      <c r="M1453" s="212"/>
      <c r="N1453" s="225"/>
    </row>
    <row r="1454" spans="1:14" ht="16.5" customHeight="1" x14ac:dyDescent="0.25">
      <c r="A1454" s="203">
        <v>45317</v>
      </c>
      <c r="B1454" s="128" t="s">
        <v>4</v>
      </c>
      <c r="C1454" s="157" t="str">
        <f t="shared" si="45"/>
        <v>26.01.2024_KIN3</v>
      </c>
      <c r="D1454" s="190">
        <f t="shared" si="46"/>
        <v>0</v>
      </c>
      <c r="E1454" s="204">
        <v>5.0056029325179045E-3</v>
      </c>
      <c r="F1454" s="205">
        <v>1.7854777872271466E-2</v>
      </c>
      <c r="G1454" s="204">
        <v>4.0691569156915727E-2</v>
      </c>
      <c r="H1454" s="204">
        <v>1.5923473142016184E-2</v>
      </c>
      <c r="I1454" s="209">
        <v>8.5220000000000002</v>
      </c>
      <c r="J1454" s="207">
        <v>1.9613086379327402</v>
      </c>
      <c r="K1454" s="209">
        <v>19.739000000000001</v>
      </c>
      <c r="L1454" s="209">
        <v>10.831</v>
      </c>
      <c r="M1454" s="212"/>
      <c r="N1454" s="225"/>
    </row>
    <row r="1455" spans="1:14" ht="16.5" customHeight="1" x14ac:dyDescent="0.25">
      <c r="A1455" s="203">
        <v>45317</v>
      </c>
      <c r="B1455" s="128" t="s">
        <v>6</v>
      </c>
      <c r="C1455" s="157" t="str">
        <f t="shared" si="45"/>
        <v>26.01.2024_KIN4</v>
      </c>
      <c r="D1455" s="190">
        <f t="shared" si="46"/>
        <v>0</v>
      </c>
      <c r="E1455" s="204">
        <v>5.5061632257696919E-2</v>
      </c>
      <c r="F1455" s="205">
        <v>2.4513166728002165E-2</v>
      </c>
      <c r="G1455" s="204">
        <v>7.9755475547554799E-2</v>
      </c>
      <c r="H1455" s="204">
        <v>5.2113184828416606E-2</v>
      </c>
      <c r="I1455" s="209">
        <v>8.6170000000000009</v>
      </c>
      <c r="J1455" s="207">
        <v>2.0241169783289323</v>
      </c>
      <c r="K1455" s="209">
        <v>25.643999999999998</v>
      </c>
      <c r="L1455" s="209">
        <v>10.811999999999999</v>
      </c>
      <c r="M1455" s="212"/>
      <c r="N1455" s="225"/>
    </row>
    <row r="1456" spans="1:14" ht="16.5" customHeight="1" x14ac:dyDescent="0.25">
      <c r="A1456" s="203">
        <v>45317</v>
      </c>
      <c r="B1456" s="128" t="s">
        <v>34</v>
      </c>
      <c r="C1456" s="157" t="str">
        <f t="shared" si="45"/>
        <v>26.01.2024_KRE1</v>
      </c>
      <c r="D1456" s="190">
        <f t="shared" si="46"/>
        <v>0</v>
      </c>
      <c r="E1456" s="204">
        <v>0</v>
      </c>
      <c r="F1456" s="205">
        <v>1.7854776740668224E-2</v>
      </c>
      <c r="G1456" s="204">
        <v>0.23845259525952595</v>
      </c>
      <c r="H1456" s="204">
        <v>0.13317813900595357</v>
      </c>
      <c r="I1456" s="209">
        <v>16.341999999999999</v>
      </c>
      <c r="J1456" s="207">
        <v>3.9168696801134315</v>
      </c>
      <c r="K1456" s="209">
        <v>41</v>
      </c>
      <c r="L1456" s="209">
        <v>38</v>
      </c>
      <c r="M1456" s="212"/>
      <c r="N1456" s="225"/>
    </row>
    <row r="1457" spans="1:14" ht="16.5" customHeight="1" x14ac:dyDescent="0.25">
      <c r="A1457" s="203">
        <v>45317</v>
      </c>
      <c r="B1457" s="128" t="s">
        <v>37</v>
      </c>
      <c r="C1457" s="157" t="str">
        <f t="shared" si="45"/>
        <v>26.01.2024_KRE2</v>
      </c>
      <c r="D1457" s="190">
        <f t="shared" si="46"/>
        <v>0</v>
      </c>
      <c r="E1457" s="204">
        <v>0</v>
      </c>
      <c r="F1457" s="205">
        <v>2.1631171060292519E-2</v>
      </c>
      <c r="G1457" s="204">
        <v>0.18799504950495055</v>
      </c>
      <c r="H1457" s="204">
        <v>0.12304501973376142</v>
      </c>
      <c r="I1457" s="209">
        <v>19.427</v>
      </c>
      <c r="J1457" s="207">
        <v>4.5714138222480427</v>
      </c>
      <c r="K1457" s="209">
        <v>42</v>
      </c>
      <c r="L1457" s="209">
        <v>45</v>
      </c>
      <c r="M1457" s="212"/>
      <c r="N1457" s="225"/>
    </row>
    <row r="1458" spans="1:14" ht="16.5" customHeight="1" x14ac:dyDescent="0.25">
      <c r="A1458" s="203">
        <v>45317</v>
      </c>
      <c r="B1458" s="128" t="s">
        <v>18</v>
      </c>
      <c r="C1458" s="157" t="str">
        <f t="shared" si="45"/>
        <v>26.01.2024_ORB1</v>
      </c>
      <c r="D1458" s="190">
        <f t="shared" si="46"/>
        <v>0</v>
      </c>
      <c r="E1458" s="204">
        <v>0</v>
      </c>
      <c r="F1458" s="205">
        <v>1.0500807087311888E-2</v>
      </c>
      <c r="G1458" s="204">
        <v>5.6968196819681804E-3</v>
      </c>
      <c r="H1458" s="204">
        <v>0</v>
      </c>
      <c r="I1458" s="209">
        <v>6.86</v>
      </c>
      <c r="J1458" s="207">
        <v>1.5538917235148515</v>
      </c>
      <c r="K1458" s="209">
        <v>11.526</v>
      </c>
      <c r="L1458" s="209">
        <v>15.874000000000001</v>
      </c>
      <c r="M1458" s="212"/>
      <c r="N1458" s="225"/>
    </row>
    <row r="1459" spans="1:14" ht="16.5" customHeight="1" x14ac:dyDescent="0.25">
      <c r="A1459" s="203">
        <v>45317</v>
      </c>
      <c r="B1459" s="128" t="s">
        <v>21</v>
      </c>
      <c r="C1459" s="157" t="str">
        <f t="shared" si="45"/>
        <v>26.01.2024_ORB2</v>
      </c>
      <c r="D1459" s="190">
        <f t="shared" si="46"/>
        <v>0</v>
      </c>
      <c r="E1459" s="204">
        <v>0</v>
      </c>
      <c r="F1459" s="205">
        <v>1.103082256934705E-2</v>
      </c>
      <c r="G1459" s="204">
        <v>0</v>
      </c>
      <c r="H1459" s="204">
        <v>0</v>
      </c>
      <c r="I1459" s="209">
        <v>7.0419999999999998</v>
      </c>
      <c r="J1459" s="207">
        <v>1.5905765399999998</v>
      </c>
      <c r="K1459" s="209">
        <v>14.205</v>
      </c>
      <c r="L1459" s="209">
        <v>16.864999999999998</v>
      </c>
      <c r="M1459" s="212"/>
      <c r="N1459" s="225"/>
    </row>
    <row r="1460" spans="1:14" ht="16.5" customHeight="1" x14ac:dyDescent="0.25">
      <c r="A1460" s="203">
        <v>45317</v>
      </c>
      <c r="B1460" s="128" t="s">
        <v>10</v>
      </c>
      <c r="C1460" s="157" t="str">
        <f t="shared" si="45"/>
        <v>26.01.2024_SAL1</v>
      </c>
      <c r="D1460" s="190">
        <f t="shared" si="46"/>
        <v>0</v>
      </c>
      <c r="E1460" s="204">
        <v>1.5016808797553681E-2</v>
      </c>
      <c r="F1460" s="205">
        <v>2.2989352030850941E-2</v>
      </c>
      <c r="G1460" s="204">
        <v>3.3367086708670897E-2</v>
      </c>
      <c r="H1460" s="204">
        <v>1.5923473142016184E-2</v>
      </c>
      <c r="I1460" s="209">
        <v>10.108000000000001</v>
      </c>
      <c r="J1460" s="207">
        <v>2.3138510705565025</v>
      </c>
      <c r="K1460" s="209">
        <v>10.678000000000001</v>
      </c>
      <c r="L1460" s="209">
        <v>7.8150000000000004</v>
      </c>
      <c r="M1460" s="212"/>
      <c r="N1460" s="225"/>
    </row>
    <row r="1461" spans="1:14" ht="16.5" customHeight="1" x14ac:dyDescent="0.25">
      <c r="A1461" s="203">
        <v>45317</v>
      </c>
      <c r="B1461" s="128" t="s">
        <v>12</v>
      </c>
      <c r="C1461" s="157" t="str">
        <f t="shared" si="45"/>
        <v>26.01.2024_SAL2</v>
      </c>
      <c r="D1461" s="190">
        <f t="shared" si="46"/>
        <v>0</v>
      </c>
      <c r="E1461" s="204">
        <v>6.1735769501054152E-2</v>
      </c>
      <c r="F1461" s="205">
        <v>2.4413788300775993E-2</v>
      </c>
      <c r="G1461" s="204">
        <v>5.0457545754575506E-2</v>
      </c>
      <c r="H1461" s="204">
        <v>4.4875242491136502E-2</v>
      </c>
      <c r="I1461" s="209">
        <v>10.029999999999999</v>
      </c>
      <c r="J1461" s="207">
        <v>2.3183181472793968</v>
      </c>
      <c r="K1461" s="209">
        <v>10.913</v>
      </c>
      <c r="L1461" s="209">
        <v>7.968</v>
      </c>
      <c r="M1461" s="212"/>
      <c r="N1461" s="225"/>
    </row>
    <row r="1462" spans="1:14" ht="16.5" customHeight="1" x14ac:dyDescent="0.25">
      <c r="A1462" s="203">
        <v>45317</v>
      </c>
      <c r="B1462" s="128" t="s">
        <v>7</v>
      </c>
      <c r="C1462" s="157" t="str">
        <f t="shared" si="45"/>
        <v>26.01.2024_STE1</v>
      </c>
      <c r="D1462" s="190">
        <f t="shared" si="46"/>
        <v>0</v>
      </c>
      <c r="E1462" s="204">
        <v>2.6696548973428779E-2</v>
      </c>
      <c r="F1462" s="205">
        <v>2.3188109924168702E-2</v>
      </c>
      <c r="G1462" s="204">
        <v>2.2787278727872791E-2</v>
      </c>
      <c r="H1462" s="204">
        <v>0</v>
      </c>
      <c r="I1462" s="209">
        <v>8.8130000000000006</v>
      </c>
      <c r="J1462" s="207">
        <v>2.0074049674415719</v>
      </c>
      <c r="K1462" s="209">
        <v>12.057</v>
      </c>
      <c r="L1462" s="209">
        <v>6.6059999999999999</v>
      </c>
      <c r="M1462" s="212"/>
      <c r="N1462" s="225"/>
    </row>
    <row r="1463" spans="1:14" ht="16.5" customHeight="1" x14ac:dyDescent="0.25">
      <c r="A1463" s="203">
        <v>45317</v>
      </c>
      <c r="B1463" s="128" t="s">
        <v>9</v>
      </c>
      <c r="C1463" s="157" t="str">
        <f t="shared" si="45"/>
        <v>26.01.2024_STE2</v>
      </c>
      <c r="D1463" s="190">
        <f t="shared" si="46"/>
        <v>0</v>
      </c>
      <c r="E1463" s="204">
        <v>3.8376289149303917E-2</v>
      </c>
      <c r="F1463" s="205">
        <v>2.3353743609029556E-2</v>
      </c>
      <c r="G1463" s="204">
        <v>1.8718121812181229E-2</v>
      </c>
      <c r="H1463" s="204">
        <v>0</v>
      </c>
      <c r="I1463" s="209">
        <v>9.0549999999999997</v>
      </c>
      <c r="J1463" s="207">
        <v>2.0597872844059406</v>
      </c>
      <c r="K1463" s="209">
        <v>14.336</v>
      </c>
      <c r="L1463" s="209">
        <v>6.8540000000000001</v>
      </c>
      <c r="M1463" s="212"/>
      <c r="N1463" s="225"/>
    </row>
    <row r="1464" spans="1:14" ht="16.5" customHeight="1" x14ac:dyDescent="0.25">
      <c r="A1464" s="203">
        <v>45332</v>
      </c>
      <c r="B1464" s="128" t="s">
        <v>22</v>
      </c>
      <c r="C1464" s="157" t="str">
        <f t="shared" si="45"/>
        <v>10.02.2024_BIE1</v>
      </c>
      <c r="D1464" s="190">
        <f t="shared" si="46"/>
        <v>0</v>
      </c>
      <c r="E1464" s="204">
        <v>4.8594235794533341E-2</v>
      </c>
      <c r="F1464" s="205">
        <v>2.5076317099223179E-2</v>
      </c>
      <c r="G1464" s="204">
        <v>9.0134994807892069E-2</v>
      </c>
      <c r="H1464" s="204">
        <v>9.3010526315789446E-2</v>
      </c>
      <c r="I1464" s="209">
        <v>5.2850000000000001</v>
      </c>
      <c r="J1464" s="207">
        <v>1.2920289268552221</v>
      </c>
      <c r="K1464" s="209">
        <v>10.897</v>
      </c>
      <c r="L1464" s="209">
        <v>11.343</v>
      </c>
      <c r="M1464" s="212">
        <v>11.05</v>
      </c>
      <c r="N1464" s="225"/>
    </row>
    <row r="1465" spans="1:14" ht="16.5" customHeight="1" x14ac:dyDescent="0.25">
      <c r="A1465" s="203">
        <v>45332</v>
      </c>
      <c r="B1465" s="128" t="s">
        <v>25</v>
      </c>
      <c r="C1465" s="157" t="str">
        <f t="shared" si="45"/>
        <v>10.02.2024_BIE2</v>
      </c>
      <c r="D1465" s="190">
        <f t="shared" si="46"/>
        <v>0</v>
      </c>
      <c r="E1465" s="204">
        <v>0</v>
      </c>
      <c r="F1465" s="205">
        <v>1.9544213259300263E-2</v>
      </c>
      <c r="G1465" s="204">
        <v>4.5902080689204254E-2</v>
      </c>
      <c r="H1465" s="204">
        <v>2.5726315789473694E-2</v>
      </c>
      <c r="I1465" s="209">
        <v>5.1760000000000002</v>
      </c>
      <c r="J1465" s="207">
        <v>1.2125780034764655</v>
      </c>
      <c r="K1465" s="209">
        <v>10.569000000000001</v>
      </c>
      <c r="L1465" s="209">
        <v>10.95</v>
      </c>
      <c r="M1465" s="212">
        <v>9.875</v>
      </c>
      <c r="N1465" s="225"/>
    </row>
    <row r="1466" spans="1:14" ht="16.5" customHeight="1" x14ac:dyDescent="0.25">
      <c r="A1466" s="203">
        <v>45332</v>
      </c>
      <c r="B1466" s="128" t="s">
        <v>14</v>
      </c>
      <c r="C1466" s="157" t="str">
        <f t="shared" si="45"/>
        <v>10.02.2024_BRA1</v>
      </c>
      <c r="D1466" s="190">
        <f t="shared" si="46"/>
        <v>0</v>
      </c>
      <c r="E1466" s="204">
        <v>1.8432296335857475E-2</v>
      </c>
      <c r="F1466" s="205">
        <v>3.4583687093569876E-2</v>
      </c>
      <c r="G1466" s="204">
        <v>4.7571247259720797E-2</v>
      </c>
      <c r="H1466" s="204">
        <v>6.0357894736842131E-2</v>
      </c>
      <c r="I1466" s="209">
        <v>8.4390000000000001</v>
      </c>
      <c r="J1466" s="207">
        <v>1.9614314888373319</v>
      </c>
      <c r="K1466" s="209">
        <v>6.3490000000000002</v>
      </c>
      <c r="L1466" s="209">
        <v>6.617</v>
      </c>
      <c r="M1466" s="212">
        <v>15.43</v>
      </c>
      <c r="N1466" s="225"/>
    </row>
    <row r="1467" spans="1:14" ht="16.5" customHeight="1" x14ac:dyDescent="0.25">
      <c r="A1467" s="203">
        <v>45332</v>
      </c>
      <c r="B1467" s="128" t="s">
        <v>17</v>
      </c>
      <c r="C1467" s="157" t="str">
        <f t="shared" si="45"/>
        <v>10.02.2024_BRA2</v>
      </c>
      <c r="D1467" s="190">
        <f t="shared" si="46"/>
        <v>0</v>
      </c>
      <c r="E1467" s="204">
        <v>7.5404848646689684E-2</v>
      </c>
      <c r="F1467" s="205">
        <v>3.5345608501750461E-2</v>
      </c>
      <c r="G1467" s="204">
        <v>4.5902080689204254E-2</v>
      </c>
      <c r="H1467" s="204">
        <v>4.9473684210526309E-2</v>
      </c>
      <c r="I1467" s="209">
        <v>9.4700000000000006</v>
      </c>
      <c r="J1467" s="207">
        <v>2.1896936697922555</v>
      </c>
      <c r="K1467" s="209">
        <v>7.3380000000000001</v>
      </c>
      <c r="L1467" s="209">
        <v>7.1689999999999996</v>
      </c>
      <c r="M1467" s="212">
        <v>15.17</v>
      </c>
      <c r="N1467" s="225"/>
    </row>
    <row r="1468" spans="1:14" ht="16.5" customHeight="1" x14ac:dyDescent="0.25">
      <c r="A1468" s="203">
        <v>45332</v>
      </c>
      <c r="B1468" s="128" t="s">
        <v>30</v>
      </c>
      <c r="C1468" s="157" t="str">
        <f t="shared" si="45"/>
        <v>10.02.2024_FAL1</v>
      </c>
      <c r="D1468" s="190">
        <f t="shared" si="46"/>
        <v>0</v>
      </c>
      <c r="E1468" s="204">
        <v>0.11394510462166436</v>
      </c>
      <c r="F1468" s="205">
        <v>7.8842668220488313E-2</v>
      </c>
      <c r="G1468" s="204">
        <v>0.17025499019268495</v>
      </c>
      <c r="H1468" s="204">
        <v>0.16919999999999999</v>
      </c>
      <c r="I1468" s="209">
        <v>14.881</v>
      </c>
      <c r="J1468" s="207">
        <v>3.5448857073347178</v>
      </c>
      <c r="K1468" s="209">
        <v>26</v>
      </c>
      <c r="L1468" s="209">
        <v>21.693999999999999</v>
      </c>
      <c r="M1468" s="212">
        <v>14.02</v>
      </c>
      <c r="N1468" s="225"/>
    </row>
    <row r="1469" spans="1:14" ht="16.5" customHeight="1" x14ac:dyDescent="0.25">
      <c r="A1469" s="203">
        <v>45332</v>
      </c>
      <c r="B1469" s="128" t="s">
        <v>32</v>
      </c>
      <c r="C1469" s="157" t="str">
        <f t="shared" si="45"/>
        <v>10.02.2024_FAL2</v>
      </c>
      <c r="D1469" s="190">
        <f t="shared" si="46"/>
        <v>0</v>
      </c>
      <c r="E1469" s="204">
        <v>0.19605260648139322</v>
      </c>
      <c r="F1469" s="205">
        <v>9.8223397529571016E-2</v>
      </c>
      <c r="G1469" s="204">
        <v>0.12852582592977196</v>
      </c>
      <c r="H1469" s="204">
        <v>0.1662315789473684</v>
      </c>
      <c r="I1469" s="209">
        <v>14.269</v>
      </c>
      <c r="J1469" s="207">
        <v>3.373347252786735</v>
      </c>
      <c r="K1469" s="209">
        <v>29</v>
      </c>
      <c r="L1469" s="209">
        <v>26.073</v>
      </c>
      <c r="M1469" s="212">
        <v>13.96</v>
      </c>
      <c r="N1469" s="225"/>
    </row>
    <row r="1470" spans="1:14" ht="16.5" customHeight="1" x14ac:dyDescent="0.25">
      <c r="A1470" s="203">
        <v>45332</v>
      </c>
      <c r="B1470" s="128" t="s">
        <v>26</v>
      </c>
      <c r="C1470" s="157" t="str">
        <f t="shared" si="45"/>
        <v>10.02.2024_GRU1</v>
      </c>
      <c r="D1470" s="190">
        <f t="shared" si="46"/>
        <v>0</v>
      </c>
      <c r="E1470" s="204">
        <v>0</v>
      </c>
      <c r="F1470" s="205">
        <v>1.8086659932327803E-2</v>
      </c>
      <c r="G1470" s="204">
        <v>4.8405830544979031E-2</v>
      </c>
      <c r="H1470" s="204">
        <v>5.7389473684210553E-2</v>
      </c>
      <c r="I1470" s="209">
        <v>7.3239999999999998</v>
      </c>
      <c r="J1470" s="207">
        <v>1.7093307486230285</v>
      </c>
      <c r="K1470" s="209">
        <v>8.077</v>
      </c>
      <c r="L1470" s="209">
        <v>9.3539999999999992</v>
      </c>
      <c r="M1470" s="212">
        <v>18.59</v>
      </c>
      <c r="N1470" s="225"/>
    </row>
    <row r="1471" spans="1:14" ht="16.5" customHeight="1" x14ac:dyDescent="0.25">
      <c r="A1471" s="203">
        <v>45332</v>
      </c>
      <c r="B1471" s="128" t="s">
        <v>28</v>
      </c>
      <c r="C1471" s="157" t="str">
        <f t="shared" si="45"/>
        <v>10.02.2024_GRU2</v>
      </c>
      <c r="D1471" s="190">
        <f t="shared" si="46"/>
        <v>0</v>
      </c>
      <c r="E1471" s="204">
        <v>0</v>
      </c>
      <c r="F1471" s="205">
        <v>1.6728488051746926E-2</v>
      </c>
      <c r="G1471" s="204">
        <v>5.1744163686012083E-2</v>
      </c>
      <c r="H1471" s="204">
        <v>5.6400000000000013E-2</v>
      </c>
      <c r="I1471" s="209">
        <v>7.3239999999999998</v>
      </c>
      <c r="J1471" s="207">
        <v>1.7116216856605513</v>
      </c>
      <c r="K1471" s="209">
        <v>8.1869999999999994</v>
      </c>
      <c r="L1471" s="209">
        <v>9.7189999999999994</v>
      </c>
      <c r="M1471" s="212">
        <v>18.68</v>
      </c>
      <c r="N1471" s="225"/>
    </row>
    <row r="1472" spans="1:14" ht="16.5" customHeight="1" x14ac:dyDescent="0.25">
      <c r="A1472" s="203">
        <v>45332</v>
      </c>
      <c r="B1472" s="128" t="s">
        <v>0</v>
      </c>
      <c r="C1472" s="157" t="str">
        <f t="shared" si="45"/>
        <v>10.02.2024_KIN1</v>
      </c>
      <c r="D1472" s="190">
        <f t="shared" si="46"/>
        <v>0</v>
      </c>
      <c r="E1472" s="204">
        <v>6.5350868827131051E-2</v>
      </c>
      <c r="F1472" s="205">
        <v>6.1682043067023094E-2</v>
      </c>
      <c r="G1472" s="204">
        <v>5.0909580400753815E-2</v>
      </c>
      <c r="H1472" s="204">
        <v>5.3431578947368427E-2</v>
      </c>
      <c r="I1472" s="209">
        <v>6.8979999999999997</v>
      </c>
      <c r="J1472" s="207">
        <v>1.6138492842959073</v>
      </c>
      <c r="K1472" s="209">
        <v>12.167999999999999</v>
      </c>
      <c r="L1472" s="209">
        <v>5.7050000000000001</v>
      </c>
      <c r="M1472" s="212">
        <v>10.98</v>
      </c>
      <c r="N1472" s="225"/>
    </row>
    <row r="1473" spans="1:14" ht="16.5" customHeight="1" x14ac:dyDescent="0.25">
      <c r="A1473" s="203">
        <v>45332</v>
      </c>
      <c r="B1473" s="128" t="s">
        <v>2</v>
      </c>
      <c r="C1473" s="157" t="str">
        <f t="shared" si="45"/>
        <v>10.02.2024_KIN2</v>
      </c>
      <c r="D1473" s="190">
        <f t="shared" si="46"/>
        <v>0</v>
      </c>
      <c r="E1473" s="204">
        <v>5.1945562401052865E-2</v>
      </c>
      <c r="F1473" s="205">
        <v>6.0920096353833081E-2</v>
      </c>
      <c r="G1473" s="204">
        <v>8.5962078381600734E-2</v>
      </c>
      <c r="H1473" s="204">
        <v>7.6189473684210543E-2</v>
      </c>
      <c r="I1473" s="209">
        <v>7.1390000000000002</v>
      </c>
      <c r="J1473" s="207">
        <v>1.7024305095056871</v>
      </c>
      <c r="K1473" s="209">
        <v>11.798999999999999</v>
      </c>
      <c r="L1473" s="209">
        <v>6.0010000000000003</v>
      </c>
      <c r="M1473" s="212">
        <v>14.66</v>
      </c>
      <c r="N1473" s="225"/>
    </row>
    <row r="1474" spans="1:14" ht="16.5" customHeight="1" x14ac:dyDescent="0.25">
      <c r="A1474" s="203">
        <v>45332</v>
      </c>
      <c r="B1474" s="128" t="s">
        <v>4</v>
      </c>
      <c r="C1474" s="157" t="str">
        <f t="shared" si="45"/>
        <v>10.02.2024_KIN3</v>
      </c>
      <c r="D1474" s="190">
        <f t="shared" si="46"/>
        <v>0</v>
      </c>
      <c r="E1474" s="204">
        <v>7.3729185343429898E-2</v>
      </c>
      <c r="F1474" s="205">
        <v>5.3068761220556551E-2</v>
      </c>
      <c r="G1474" s="204">
        <v>6.1759163109111205E-2</v>
      </c>
      <c r="H1474" s="204">
        <v>7.7178947368421041E-2</v>
      </c>
      <c r="I1474" s="209">
        <v>7.26</v>
      </c>
      <c r="J1474" s="207">
        <v>1.7112687030889095</v>
      </c>
      <c r="K1474" s="209">
        <v>12.003</v>
      </c>
      <c r="L1474" s="209">
        <v>7.3019999999999996</v>
      </c>
      <c r="M1474" s="212">
        <v>7.4009999999999998</v>
      </c>
      <c r="N1474" s="225"/>
    </row>
    <row r="1475" spans="1:14" ht="16.5" customHeight="1" x14ac:dyDescent="0.25">
      <c r="A1475" s="203">
        <v>45332</v>
      </c>
      <c r="B1475" s="128" t="s">
        <v>6</v>
      </c>
      <c r="C1475" s="157" t="str">
        <f t="shared" si="45"/>
        <v>10.02.2024_KIN4</v>
      </c>
      <c r="D1475" s="190">
        <f t="shared" si="46"/>
        <v>0</v>
      </c>
      <c r="E1475" s="204">
        <v>8.5458828466248318E-2</v>
      </c>
      <c r="F1475" s="205">
        <v>5.5023305995147695E-2</v>
      </c>
      <c r="G1475" s="204">
        <v>0.10766124379831546</v>
      </c>
      <c r="H1475" s="204">
        <v>0.10290526315789474</v>
      </c>
      <c r="I1475" s="209">
        <v>7.3620000000000001</v>
      </c>
      <c r="J1475" s="207">
        <v>1.7777823265653749</v>
      </c>
      <c r="K1475" s="209">
        <v>14.815</v>
      </c>
      <c r="L1475" s="209">
        <v>7.2830000000000004</v>
      </c>
      <c r="M1475" s="212">
        <v>14.22</v>
      </c>
      <c r="N1475" s="225"/>
    </row>
    <row r="1476" spans="1:14" ht="16.5" customHeight="1" x14ac:dyDescent="0.25">
      <c r="A1476" s="203">
        <v>45332</v>
      </c>
      <c r="B1476" s="128" t="s">
        <v>34</v>
      </c>
      <c r="C1476" s="157" t="str">
        <f t="shared" si="45"/>
        <v>10.02.2024_KRE1</v>
      </c>
      <c r="D1476" s="190">
        <f t="shared" si="46"/>
        <v>0</v>
      </c>
      <c r="E1476" s="204">
        <v>7.2053522040170168E-2</v>
      </c>
      <c r="F1476" s="205">
        <v>7.0759230310210641E-2</v>
      </c>
      <c r="G1476" s="204">
        <v>0.11684165993615635</v>
      </c>
      <c r="H1476" s="204">
        <v>0.1009263157894737</v>
      </c>
      <c r="I1476" s="209">
        <v>13.973000000000001</v>
      </c>
      <c r="J1476" s="207">
        <v>3.277534907365931</v>
      </c>
      <c r="K1476" s="209">
        <v>26</v>
      </c>
      <c r="L1476" s="209">
        <v>27.684000000000001</v>
      </c>
      <c r="M1476" s="212">
        <v>9.4930000000000003</v>
      </c>
      <c r="N1476" s="225"/>
    </row>
    <row r="1477" spans="1:14" ht="16.5" customHeight="1" x14ac:dyDescent="0.25">
      <c r="A1477" s="203">
        <v>45332</v>
      </c>
      <c r="B1477" s="128" t="s">
        <v>37</v>
      </c>
      <c r="C1477" s="157" t="str">
        <f t="shared" ref="C1477:C1540" si="47">CONCATENATE(TEXT(A1477,"TT.MM.JJJJ"),"_",B1477)</f>
        <v>10.02.2024_KRE2</v>
      </c>
      <c r="D1477" s="190">
        <f t="shared" ref="D1477:D1540" si="48">COUNTBLANK(E1477:L1477)</f>
        <v>0</v>
      </c>
      <c r="E1477" s="204">
        <v>0.10053979819558627</v>
      </c>
      <c r="F1477" s="205">
        <v>8.6793678827141951E-2</v>
      </c>
      <c r="G1477" s="204">
        <v>0.1460520749201954</v>
      </c>
      <c r="H1477" s="204">
        <v>0.10983157894736845</v>
      </c>
      <c r="I1477" s="209">
        <v>14.939</v>
      </c>
      <c r="J1477" s="207">
        <v>3.5211181298653087</v>
      </c>
      <c r="K1477" s="209">
        <v>28</v>
      </c>
      <c r="L1477" s="209">
        <v>32.243000000000002</v>
      </c>
      <c r="M1477" s="212">
        <v>6.681</v>
      </c>
      <c r="N1477" s="225"/>
    </row>
    <row r="1478" spans="1:14" ht="16.5" customHeight="1" x14ac:dyDescent="0.25">
      <c r="A1478" s="203">
        <v>45332</v>
      </c>
      <c r="B1478" s="128" t="s">
        <v>18</v>
      </c>
      <c r="C1478" s="157" t="str">
        <f t="shared" si="47"/>
        <v>10.02.2024_ORB1</v>
      </c>
      <c r="D1478" s="190">
        <f t="shared" si="48"/>
        <v>0</v>
      </c>
      <c r="E1478" s="204">
        <v>0</v>
      </c>
      <c r="F1478" s="205">
        <v>1.5535950533093581E-2</v>
      </c>
      <c r="G1478" s="204">
        <v>2.0864582131456481E-2</v>
      </c>
      <c r="H1478" s="204">
        <v>1.1873684210526305E-2</v>
      </c>
      <c r="I1478" s="209">
        <v>7.73</v>
      </c>
      <c r="J1478" s="207">
        <v>1.7657911825371493</v>
      </c>
      <c r="K1478" s="209">
        <v>11.826000000000001</v>
      </c>
      <c r="L1478" s="209">
        <v>14.329000000000001</v>
      </c>
      <c r="M1478" s="212">
        <v>4.5030000000000001</v>
      </c>
      <c r="N1478" s="225"/>
    </row>
    <row r="1479" spans="1:14" ht="16.5" customHeight="1" x14ac:dyDescent="0.25">
      <c r="A1479" s="203">
        <v>45332</v>
      </c>
      <c r="B1479" s="128" t="s">
        <v>21</v>
      </c>
      <c r="C1479" s="157" t="str">
        <f t="shared" si="47"/>
        <v>10.02.2024_ORB2</v>
      </c>
      <c r="D1479" s="190">
        <f t="shared" si="48"/>
        <v>0</v>
      </c>
      <c r="E1479" s="204">
        <v>2.8486276155416074E-2</v>
      </c>
      <c r="F1479" s="205">
        <v>3.2794833714218208E-2</v>
      </c>
      <c r="G1479" s="204">
        <v>0.14939040806122841</v>
      </c>
      <c r="H1479" s="204">
        <v>6.2336842105263177E-2</v>
      </c>
      <c r="I1479" s="209">
        <v>7.27</v>
      </c>
      <c r="J1479" s="207">
        <v>1.7770535095344104</v>
      </c>
      <c r="K1479" s="209">
        <v>17.689</v>
      </c>
      <c r="L1479" s="209">
        <v>15.609</v>
      </c>
      <c r="M1479" s="212">
        <v>12.77</v>
      </c>
      <c r="N1479" s="225"/>
    </row>
    <row r="1480" spans="1:14" ht="16.5" customHeight="1" x14ac:dyDescent="0.25">
      <c r="A1480" s="203">
        <v>45332</v>
      </c>
      <c r="B1480" s="128" t="s">
        <v>10</v>
      </c>
      <c r="C1480" s="157" t="str">
        <f t="shared" si="47"/>
        <v>10.02.2024_SAL1</v>
      </c>
      <c r="D1480" s="190">
        <f t="shared" si="48"/>
        <v>0</v>
      </c>
      <c r="E1480" s="204">
        <v>3.8540255974974708E-2</v>
      </c>
      <c r="F1480" s="205">
        <v>2.5871354353771723E-2</v>
      </c>
      <c r="G1480" s="204">
        <v>2.754124841352255E-2</v>
      </c>
      <c r="H1480" s="204">
        <v>7.2231578947368466E-2</v>
      </c>
      <c r="I1480" s="209">
        <v>7.6130000000000004</v>
      </c>
      <c r="J1480" s="207">
        <v>1.7629247181911425</v>
      </c>
      <c r="K1480" s="209">
        <v>5.7110000000000003</v>
      </c>
      <c r="L1480" s="209">
        <v>6.1779999999999999</v>
      </c>
      <c r="M1480" s="212">
        <v>7.9189999999999996</v>
      </c>
      <c r="N1480" s="225"/>
    </row>
    <row r="1481" spans="1:14" ht="16.5" customHeight="1" x14ac:dyDescent="0.25">
      <c r="A1481" s="203">
        <v>45332</v>
      </c>
      <c r="B1481" s="128" t="s">
        <v>12</v>
      </c>
      <c r="C1481" s="157" t="str">
        <f t="shared" si="47"/>
        <v>10.02.2024_SAL2</v>
      </c>
      <c r="D1481" s="190">
        <f t="shared" si="48"/>
        <v>0</v>
      </c>
      <c r="E1481" s="204">
        <v>6.1999542220611499E-2</v>
      </c>
      <c r="F1481" s="205">
        <v>2.9150891891074279E-2</v>
      </c>
      <c r="G1481" s="204">
        <v>4.5902080689204254E-2</v>
      </c>
      <c r="H1481" s="204">
        <v>0.10290526315789474</v>
      </c>
      <c r="I1481" s="209">
        <v>7.5469999999999997</v>
      </c>
      <c r="J1481" s="207">
        <v>1.771612904002781</v>
      </c>
      <c r="K1481" s="209">
        <v>5.7770000000000001</v>
      </c>
      <c r="L1481" s="209">
        <v>6.2750000000000004</v>
      </c>
      <c r="M1481" s="212">
        <v>7.9189999999999996</v>
      </c>
      <c r="N1481" s="225"/>
    </row>
    <row r="1482" spans="1:14" ht="16.5" customHeight="1" x14ac:dyDescent="0.25">
      <c r="A1482" s="203">
        <v>45332</v>
      </c>
      <c r="B1482" s="128" t="s">
        <v>7</v>
      </c>
      <c r="C1482" s="157" t="str">
        <f t="shared" si="47"/>
        <v>10.02.2024_STE1</v>
      </c>
      <c r="D1482" s="190">
        <f t="shared" si="48"/>
        <v>0</v>
      </c>
      <c r="E1482" s="204">
        <v>1.6756633032597713E-2</v>
      </c>
      <c r="F1482" s="205">
        <v>3.2529820507615763E-2</v>
      </c>
      <c r="G1482" s="204">
        <v>4.6736663974462522E-2</v>
      </c>
      <c r="H1482" s="204">
        <v>5.1452631578947389E-2</v>
      </c>
      <c r="I1482" s="209">
        <v>7.4530000000000003</v>
      </c>
      <c r="J1482" s="207">
        <v>1.7353644158937409</v>
      </c>
      <c r="K1482" s="209">
        <v>6.4409999999999998</v>
      </c>
      <c r="L1482" s="209">
        <v>5.3170000000000002</v>
      </c>
      <c r="M1482" s="212">
        <v>12.82</v>
      </c>
      <c r="N1482" s="225"/>
    </row>
    <row r="1483" spans="1:14" ht="16.5" customHeight="1" x14ac:dyDescent="0.25">
      <c r="A1483" s="203">
        <v>45332</v>
      </c>
      <c r="B1483" s="128" t="s">
        <v>9</v>
      </c>
      <c r="C1483" s="157" t="str">
        <f t="shared" si="47"/>
        <v>10.02.2024_STE2</v>
      </c>
      <c r="D1483" s="190">
        <f t="shared" si="48"/>
        <v>0</v>
      </c>
      <c r="E1483" s="204">
        <v>4.3567245884754024E-2</v>
      </c>
      <c r="F1483" s="205">
        <v>3.3357990750003182E-2</v>
      </c>
      <c r="G1483" s="204">
        <v>3.2548748125072115E-2</v>
      </c>
      <c r="H1483" s="204">
        <v>5.7389473684210553E-2</v>
      </c>
      <c r="I1483" s="209">
        <v>7.4539999999999997</v>
      </c>
      <c r="J1483" s="207">
        <v>1.7263809826947949</v>
      </c>
      <c r="K1483" s="209">
        <v>7.4160000000000004</v>
      </c>
      <c r="L1483" s="209">
        <v>5.4050000000000002</v>
      </c>
      <c r="M1483" s="212">
        <v>10.97</v>
      </c>
      <c r="N1483" s="225"/>
    </row>
    <row r="1484" spans="1:14" ht="16.5" customHeight="1" x14ac:dyDescent="0.25">
      <c r="A1484" s="203">
        <v>45345</v>
      </c>
      <c r="B1484" s="128" t="s">
        <v>22</v>
      </c>
      <c r="C1484" s="157" t="str">
        <f t="shared" si="47"/>
        <v>23.02.2024_BIE1</v>
      </c>
      <c r="D1484" s="190">
        <f t="shared" si="48"/>
        <v>0</v>
      </c>
      <c r="E1484" s="204">
        <v>8.2956584140653031E-2</v>
      </c>
      <c r="F1484" s="205">
        <v>6.4293353943401157E-3</v>
      </c>
      <c r="G1484" s="204">
        <v>1.7591504195208951E-2</v>
      </c>
      <c r="H1484" s="204">
        <v>7.0980940279542562E-2</v>
      </c>
      <c r="I1484" s="209">
        <v>4.2640000000000002</v>
      </c>
      <c r="J1484" s="207">
        <v>0.99837945436064446</v>
      </c>
      <c r="K1484" s="209">
        <v>6.1749999999999998</v>
      </c>
      <c r="L1484" s="209">
        <v>12.577999999999999</v>
      </c>
      <c r="M1484" s="212"/>
      <c r="N1484" s="225"/>
    </row>
    <row r="1485" spans="1:14" ht="16.5" customHeight="1" x14ac:dyDescent="0.25">
      <c r="A1485" s="203">
        <v>45345</v>
      </c>
      <c r="B1485" s="128" t="s">
        <v>25</v>
      </c>
      <c r="C1485" s="157" t="str">
        <f t="shared" si="47"/>
        <v>23.02.2024_BIE2</v>
      </c>
      <c r="D1485" s="190">
        <f t="shared" si="48"/>
        <v>0</v>
      </c>
      <c r="E1485" s="204">
        <v>0</v>
      </c>
      <c r="F1485" s="205">
        <v>6.7318937236129257E-3</v>
      </c>
      <c r="G1485" s="204">
        <v>1.7591504195208951E-2</v>
      </c>
      <c r="H1485" s="204">
        <v>4.453706056755613E-2</v>
      </c>
      <c r="I1485" s="209">
        <v>4.7380000000000004</v>
      </c>
      <c r="J1485" s="207">
        <v>1.0973909951823302</v>
      </c>
      <c r="K1485" s="209">
        <v>7.4619999999999997</v>
      </c>
      <c r="L1485" s="209">
        <v>14.29</v>
      </c>
      <c r="M1485" s="212"/>
      <c r="N1485" s="225"/>
    </row>
    <row r="1486" spans="1:14" ht="16.5" customHeight="1" x14ac:dyDescent="0.25">
      <c r="A1486" s="203">
        <v>45345</v>
      </c>
      <c r="B1486" s="128" t="s">
        <v>14</v>
      </c>
      <c r="C1486" s="157" t="str">
        <f t="shared" si="47"/>
        <v>23.02.2024_BRA1</v>
      </c>
      <c r="D1486" s="190">
        <f t="shared" si="48"/>
        <v>0</v>
      </c>
      <c r="E1486" s="204">
        <v>0</v>
      </c>
      <c r="F1486" s="205">
        <v>1.2404881196707799E-2</v>
      </c>
      <c r="G1486" s="204">
        <v>1.0554902517125379E-2</v>
      </c>
      <c r="H1486" s="204">
        <v>0.42866920796272745</v>
      </c>
      <c r="I1486" s="209">
        <v>5.3719999999999999</v>
      </c>
      <c r="J1486" s="207">
        <v>1.352077756619775</v>
      </c>
      <c r="K1486" s="209">
        <v>7.3719999999999999</v>
      </c>
      <c r="L1486" s="209">
        <v>13.89</v>
      </c>
      <c r="M1486" s="212"/>
      <c r="N1486" s="225"/>
    </row>
    <row r="1487" spans="1:14" ht="16.5" customHeight="1" x14ac:dyDescent="0.25">
      <c r="A1487" s="203">
        <v>45345</v>
      </c>
      <c r="B1487" s="128" t="s">
        <v>17</v>
      </c>
      <c r="C1487" s="157" t="str">
        <f t="shared" si="47"/>
        <v>23.02.2024_BRA2</v>
      </c>
      <c r="D1487" s="190">
        <f t="shared" si="48"/>
        <v>0</v>
      </c>
      <c r="E1487" s="204">
        <v>6.5063987561296771E-3</v>
      </c>
      <c r="F1487" s="205">
        <v>1.6565098086357817E-2</v>
      </c>
      <c r="G1487" s="204">
        <v>2.2868955453771642E-2</v>
      </c>
      <c r="H1487" s="204">
        <v>3.0619229140194843E-2</v>
      </c>
      <c r="I1487" s="209">
        <v>7.4109999999999996</v>
      </c>
      <c r="J1487" s="207">
        <v>1.7010021095320311</v>
      </c>
      <c r="K1487" s="209">
        <v>5.5039999999999996</v>
      </c>
      <c r="L1487" s="209">
        <v>6.6120000000000001</v>
      </c>
      <c r="M1487" s="212"/>
      <c r="N1487" s="225"/>
    </row>
    <row r="1488" spans="1:14" ht="16.5" customHeight="1" x14ac:dyDescent="0.25">
      <c r="A1488" s="203">
        <v>45345</v>
      </c>
      <c r="B1488" s="128" t="s">
        <v>30</v>
      </c>
      <c r="C1488" s="157" t="str">
        <f t="shared" si="47"/>
        <v>23.02.2024_FAL1</v>
      </c>
      <c r="D1488" s="190">
        <f t="shared" si="48"/>
        <v>0</v>
      </c>
      <c r="E1488" s="204">
        <v>2.2772395646453735E-2</v>
      </c>
      <c r="F1488" s="205">
        <v>1.4484988206623349E-2</v>
      </c>
      <c r="G1488" s="204">
        <v>9.1475821815086567E-2</v>
      </c>
      <c r="H1488" s="204">
        <v>0.1057755188479457</v>
      </c>
      <c r="I1488" s="209">
        <v>11.212999999999999</v>
      </c>
      <c r="J1488" s="207">
        <v>2.6359137275944531</v>
      </c>
      <c r="K1488" s="209">
        <v>23</v>
      </c>
      <c r="L1488" s="209">
        <v>19.774999999999999</v>
      </c>
      <c r="M1488" s="212"/>
      <c r="N1488" s="225"/>
    </row>
    <row r="1489" spans="1:14" ht="16.5" customHeight="1" x14ac:dyDescent="0.25">
      <c r="A1489" s="203">
        <v>45345</v>
      </c>
      <c r="B1489" s="128" t="s">
        <v>32</v>
      </c>
      <c r="C1489" s="157" t="str">
        <f t="shared" si="47"/>
        <v>23.02.2024_FAL2</v>
      </c>
      <c r="D1489" s="190">
        <f t="shared" si="48"/>
        <v>0</v>
      </c>
      <c r="E1489" s="204">
        <v>8.94629828967827E-2</v>
      </c>
      <c r="F1489" s="205">
        <v>1.8569573924884356E-2</v>
      </c>
      <c r="G1489" s="204">
        <v>9.7632848283409721E-2</v>
      </c>
      <c r="H1489" s="204">
        <v>0.19763320626853026</v>
      </c>
      <c r="I1489" s="209">
        <v>17.766999999999999</v>
      </c>
      <c r="J1489" s="207">
        <v>4.1490126500120388</v>
      </c>
      <c r="K1489" s="209">
        <v>38</v>
      </c>
      <c r="L1489" s="209">
        <v>29</v>
      </c>
      <c r="M1489" s="212"/>
      <c r="N1489" s="225"/>
    </row>
    <row r="1490" spans="1:14" ht="16.5" customHeight="1" x14ac:dyDescent="0.25">
      <c r="A1490" s="203">
        <v>45345</v>
      </c>
      <c r="B1490" s="128" t="s">
        <v>26</v>
      </c>
      <c r="C1490" s="157" t="str">
        <f t="shared" si="47"/>
        <v>23.02.2024_GRU1</v>
      </c>
      <c r="D1490" s="190">
        <f t="shared" si="48"/>
        <v>0</v>
      </c>
      <c r="E1490" s="204">
        <v>0</v>
      </c>
      <c r="F1490" s="205">
        <v>1.0476060944243052E-2</v>
      </c>
      <c r="G1490" s="204">
        <v>1.0554902517125379E-2</v>
      </c>
      <c r="H1490" s="204">
        <v>2.0876747141041919E-2</v>
      </c>
      <c r="I1490" s="209">
        <v>6.0759999999999996</v>
      </c>
      <c r="J1490" s="207">
        <v>1.3869378219226127</v>
      </c>
      <c r="K1490" s="209">
        <v>7.5609999999999999</v>
      </c>
      <c r="L1490" s="209">
        <v>11.076000000000001</v>
      </c>
      <c r="M1490" s="212"/>
      <c r="N1490" s="225"/>
    </row>
    <row r="1491" spans="1:14" ht="16.5" customHeight="1" x14ac:dyDescent="0.25">
      <c r="A1491" s="203">
        <v>45345</v>
      </c>
      <c r="B1491" s="128" t="s">
        <v>28</v>
      </c>
      <c r="C1491" s="157" t="str">
        <f t="shared" si="47"/>
        <v>23.02.2024_GRU2</v>
      </c>
      <c r="D1491" s="190">
        <f t="shared" si="48"/>
        <v>0</v>
      </c>
      <c r="E1491" s="204">
        <v>1.7892596579356528E-2</v>
      </c>
      <c r="F1491" s="205">
        <v>8.5472465266743965E-3</v>
      </c>
      <c r="G1491" s="204">
        <v>7.9161768878440331E-3</v>
      </c>
      <c r="H1491" s="204">
        <v>1.9484963998305797E-2</v>
      </c>
      <c r="I1491" s="209">
        <v>5.3129999999999997</v>
      </c>
      <c r="J1491" s="207">
        <v>1.2121263394809263</v>
      </c>
      <c r="K1491" s="209">
        <v>6.9390000000000001</v>
      </c>
      <c r="L1491" s="209">
        <v>9.6449999999999996</v>
      </c>
      <c r="M1491" s="212"/>
      <c r="N1491" s="225"/>
    </row>
    <row r="1492" spans="1:14" ht="16.5" customHeight="1" x14ac:dyDescent="0.25">
      <c r="A1492" s="203">
        <v>45345</v>
      </c>
      <c r="B1492" s="128" t="s">
        <v>0</v>
      </c>
      <c r="C1492" s="157" t="str">
        <f t="shared" si="47"/>
        <v>23.02.2024_KIN1</v>
      </c>
      <c r="D1492" s="190">
        <f t="shared" si="48"/>
        <v>0</v>
      </c>
      <c r="E1492" s="204">
        <v>1.4639397201291688E-2</v>
      </c>
      <c r="F1492" s="205">
        <v>2.6058035342648288E-2</v>
      </c>
      <c r="G1492" s="204">
        <v>9.8512423493170131E-2</v>
      </c>
      <c r="H1492" s="204">
        <v>7.5156289707750942E-2</v>
      </c>
      <c r="I1492" s="209">
        <v>4.3550000000000004</v>
      </c>
      <c r="J1492" s="207">
        <v>1.0830390941197365</v>
      </c>
      <c r="K1492" s="209">
        <v>7.8840000000000003</v>
      </c>
      <c r="L1492" s="209">
        <v>5.117</v>
      </c>
      <c r="M1492" s="212"/>
      <c r="N1492" s="225"/>
    </row>
    <row r="1493" spans="1:14" ht="16.5" customHeight="1" x14ac:dyDescent="0.25">
      <c r="A1493" s="203">
        <v>45345</v>
      </c>
      <c r="B1493" s="128" t="s">
        <v>2</v>
      </c>
      <c r="C1493" s="157" t="str">
        <f t="shared" si="47"/>
        <v>23.02.2024_KIN2</v>
      </c>
      <c r="D1493" s="190">
        <f t="shared" si="48"/>
        <v>0</v>
      </c>
      <c r="E1493" s="204">
        <v>5.6930989116134423E-2</v>
      </c>
      <c r="F1493" s="205">
        <v>2.0611873291439264E-2</v>
      </c>
      <c r="G1493" s="204">
        <v>8.7077945766284331E-2</v>
      </c>
      <c r="H1493" s="204">
        <v>2.9227445997458697E-2</v>
      </c>
      <c r="I1493" s="209">
        <v>3.8010000000000002</v>
      </c>
      <c r="J1493" s="207">
        <v>0.93504532004198837</v>
      </c>
      <c r="K1493" s="209">
        <v>6.407</v>
      </c>
      <c r="L1493" s="209">
        <v>5.0979999999999999</v>
      </c>
      <c r="M1493" s="212"/>
      <c r="N1493" s="225"/>
    </row>
    <row r="1494" spans="1:14" ht="16.5" customHeight="1" x14ac:dyDescent="0.25">
      <c r="A1494" s="203">
        <v>45345</v>
      </c>
      <c r="B1494" s="128" t="s">
        <v>4</v>
      </c>
      <c r="C1494" s="157" t="str">
        <f t="shared" si="47"/>
        <v>23.02.2024_KIN3</v>
      </c>
      <c r="D1494" s="190">
        <f t="shared" si="48"/>
        <v>0</v>
      </c>
      <c r="E1494" s="204">
        <v>4.717139098193994E-2</v>
      </c>
      <c r="F1494" s="205">
        <v>2.480995410400778E-2</v>
      </c>
      <c r="G1494" s="204">
        <v>0.10027157391269106</v>
      </c>
      <c r="H1494" s="204">
        <v>3.3402795425667084E-2</v>
      </c>
      <c r="I1494" s="209">
        <v>4.7</v>
      </c>
      <c r="J1494" s="207">
        <v>1.1496183554948096</v>
      </c>
      <c r="K1494" s="209">
        <v>8.2550000000000008</v>
      </c>
      <c r="L1494" s="209">
        <v>7.4969999999999999</v>
      </c>
      <c r="M1494" s="212"/>
      <c r="N1494" s="225"/>
    </row>
    <row r="1495" spans="1:14" ht="16.5" customHeight="1" x14ac:dyDescent="0.25">
      <c r="A1495" s="203">
        <v>45345</v>
      </c>
      <c r="B1495" s="128" t="s">
        <v>6</v>
      </c>
      <c r="C1495" s="157" t="str">
        <f t="shared" si="47"/>
        <v>23.02.2024_KIN4</v>
      </c>
      <c r="D1495" s="190">
        <f t="shared" si="48"/>
        <v>0</v>
      </c>
      <c r="E1495" s="204">
        <v>8.2956584140653031E-2</v>
      </c>
      <c r="F1495" s="205">
        <v>3.059653080954973E-2</v>
      </c>
      <c r="G1495" s="204">
        <v>0.159203112966641</v>
      </c>
      <c r="H1495" s="204">
        <v>8.4898771706903881E-2</v>
      </c>
      <c r="I1495" s="209">
        <v>5.5010000000000003</v>
      </c>
      <c r="J1495" s="207">
        <v>1.391977926233634</v>
      </c>
      <c r="K1495" s="209">
        <v>12.086</v>
      </c>
      <c r="L1495" s="209">
        <v>8.1120000000000001</v>
      </c>
      <c r="M1495" s="212"/>
      <c r="N1495" s="225"/>
    </row>
    <row r="1496" spans="1:14" ht="16.5" customHeight="1" x14ac:dyDescent="0.25">
      <c r="A1496" s="203">
        <v>45345</v>
      </c>
      <c r="B1496" s="128" t="s">
        <v>34</v>
      </c>
      <c r="C1496" s="157" t="str">
        <f t="shared" si="47"/>
        <v>23.02.2024_KRE1</v>
      </c>
      <c r="D1496" s="190">
        <f t="shared" si="48"/>
        <v>0</v>
      </c>
      <c r="E1496" s="204">
        <v>0</v>
      </c>
      <c r="F1496" s="205">
        <v>1.2745263117504502E-2</v>
      </c>
      <c r="G1496" s="204">
        <v>0.20054314782538205</v>
      </c>
      <c r="H1496" s="204">
        <v>0.12247691656077926</v>
      </c>
      <c r="I1496" s="209">
        <v>15.114000000000001</v>
      </c>
      <c r="J1496" s="207">
        <v>3.6068070261018601</v>
      </c>
      <c r="K1496" s="209">
        <v>37</v>
      </c>
      <c r="L1496" s="209">
        <v>36</v>
      </c>
      <c r="M1496" s="212"/>
      <c r="N1496" s="225"/>
    </row>
    <row r="1497" spans="1:14" ht="16.5" customHeight="1" x14ac:dyDescent="0.25">
      <c r="A1497" s="203">
        <v>45345</v>
      </c>
      <c r="B1497" s="128" t="s">
        <v>37</v>
      </c>
      <c r="C1497" s="157" t="str">
        <f t="shared" si="47"/>
        <v>23.02.2024_KRE2</v>
      </c>
      <c r="D1497" s="190">
        <f t="shared" si="48"/>
        <v>0</v>
      </c>
      <c r="E1497" s="204">
        <v>1.6265996890324125E-2</v>
      </c>
      <c r="F1497" s="205">
        <v>1.4636267196518062E-2</v>
      </c>
      <c r="G1497" s="204">
        <v>0.13897288314215073</v>
      </c>
      <c r="H1497" s="204">
        <v>8.2115205421431581E-2</v>
      </c>
      <c r="I1497" s="209">
        <v>17.262</v>
      </c>
      <c r="J1497" s="207">
        <v>4.0318789683216032</v>
      </c>
      <c r="K1497" s="209">
        <v>37</v>
      </c>
      <c r="L1497" s="209">
        <v>40</v>
      </c>
      <c r="M1497" s="212"/>
      <c r="N1497" s="225"/>
    </row>
    <row r="1498" spans="1:14" ht="16.5" customHeight="1" x14ac:dyDescent="0.25">
      <c r="A1498" s="203">
        <v>45345</v>
      </c>
      <c r="B1498" s="128" t="s">
        <v>18</v>
      </c>
      <c r="C1498" s="157" t="str">
        <f t="shared" si="47"/>
        <v>23.02.2024_ORB1</v>
      </c>
      <c r="D1498" s="190">
        <f t="shared" si="48"/>
        <v>0</v>
      </c>
      <c r="E1498" s="204">
        <v>9.7595981341944485E-3</v>
      </c>
      <c r="F1498" s="205">
        <v>2.2805461766470952E-2</v>
      </c>
      <c r="G1498" s="204">
        <v>5.4533663005147739E-2</v>
      </c>
      <c r="H1498" s="204">
        <v>1.5309614570097408E-2</v>
      </c>
      <c r="I1498" s="209">
        <v>6.2249999999999996</v>
      </c>
      <c r="J1498" s="207">
        <v>1.4530466061427332</v>
      </c>
      <c r="K1498" s="209">
        <v>4.68</v>
      </c>
      <c r="L1498" s="209">
        <v>6.3170000000000002</v>
      </c>
      <c r="M1498" s="212"/>
      <c r="N1498" s="225"/>
    </row>
    <row r="1499" spans="1:14" ht="16.5" customHeight="1" x14ac:dyDescent="0.25">
      <c r="A1499" s="203">
        <v>45345</v>
      </c>
      <c r="B1499" s="128" t="s">
        <v>21</v>
      </c>
      <c r="C1499" s="157" t="str">
        <f t="shared" si="47"/>
        <v>23.02.2024_ORB2</v>
      </c>
      <c r="D1499" s="190">
        <f t="shared" si="48"/>
        <v>0</v>
      </c>
      <c r="E1499" s="204">
        <v>1.4639397201291688E-2</v>
      </c>
      <c r="F1499" s="205">
        <v>1.1988861549438191E-2</v>
      </c>
      <c r="G1499" s="204">
        <v>1.2314052936646263E-2</v>
      </c>
      <c r="H1499" s="204">
        <v>5.567132570944538E-3</v>
      </c>
      <c r="I1499" s="209">
        <v>6.5149999999999997</v>
      </c>
      <c r="J1499" s="207">
        <v>1.4827997024760002</v>
      </c>
      <c r="K1499" s="209">
        <v>11.308</v>
      </c>
      <c r="L1499" s="209">
        <v>16.760000000000002</v>
      </c>
      <c r="M1499" s="212"/>
      <c r="N1499" s="225"/>
    </row>
    <row r="1500" spans="1:14" ht="16.5" customHeight="1" x14ac:dyDescent="0.25">
      <c r="A1500" s="203">
        <v>45345</v>
      </c>
      <c r="B1500" s="128" t="s">
        <v>10</v>
      </c>
      <c r="C1500" s="157" t="str">
        <f t="shared" si="47"/>
        <v>23.02.2024_SAL1</v>
      </c>
      <c r="D1500" s="190">
        <f t="shared" si="48"/>
        <v>0</v>
      </c>
      <c r="E1500" s="204">
        <v>3.090539409161578E-2</v>
      </c>
      <c r="F1500" s="205">
        <v>1.5014470013780871E-2</v>
      </c>
      <c r="G1500" s="204">
        <v>1.4073203356167184E-2</v>
      </c>
      <c r="H1500" s="204">
        <v>3.2011012282930962E-2</v>
      </c>
      <c r="I1500" s="209">
        <v>5.633</v>
      </c>
      <c r="J1500" s="207">
        <v>1.2929991643635685</v>
      </c>
      <c r="K1500" s="209">
        <v>4.415</v>
      </c>
      <c r="L1500" s="209">
        <v>5.601</v>
      </c>
      <c r="M1500" s="212"/>
      <c r="N1500" s="225"/>
    </row>
    <row r="1501" spans="1:14" ht="16.5" customHeight="1" x14ac:dyDescent="0.25">
      <c r="A1501" s="203">
        <v>45345</v>
      </c>
      <c r="B1501" s="128" t="s">
        <v>12</v>
      </c>
      <c r="C1501" s="157" t="str">
        <f t="shared" si="47"/>
        <v>23.02.2024_SAL2</v>
      </c>
      <c r="D1501" s="190">
        <f t="shared" si="48"/>
        <v>0</v>
      </c>
      <c r="E1501" s="204">
        <v>8.7836383207750265E-2</v>
      </c>
      <c r="F1501" s="205">
        <v>1.9325980311289875E-2</v>
      </c>
      <c r="G1501" s="204">
        <v>2.5507681083052985E-2</v>
      </c>
      <c r="H1501" s="204">
        <v>0.11273443456162639</v>
      </c>
      <c r="I1501" s="209">
        <v>6.6680000000000001</v>
      </c>
      <c r="J1501" s="207">
        <v>1.560229617886467</v>
      </c>
      <c r="K1501" s="209">
        <v>5.3559999999999999</v>
      </c>
      <c r="L1501" s="209">
        <v>6.843</v>
      </c>
      <c r="M1501" s="212"/>
      <c r="N1501" s="225"/>
    </row>
    <row r="1502" spans="1:14" ht="16.5" customHeight="1" x14ac:dyDescent="0.25">
      <c r="A1502" s="203">
        <v>45345</v>
      </c>
      <c r="B1502" s="128" t="s">
        <v>7</v>
      </c>
      <c r="C1502" s="157" t="str">
        <f t="shared" si="47"/>
        <v>23.02.2024_STE1</v>
      </c>
      <c r="D1502" s="190">
        <f t="shared" si="48"/>
        <v>0</v>
      </c>
      <c r="E1502" s="204">
        <v>3.4158593469680622E-2</v>
      </c>
      <c r="F1502" s="205">
        <v>2.2540721368579465E-2</v>
      </c>
      <c r="G1502" s="204">
        <v>4.3978760488022364E-2</v>
      </c>
      <c r="H1502" s="204">
        <v>4.1753494282083865E-2</v>
      </c>
      <c r="I1502" s="209">
        <v>4.6059999999999999</v>
      </c>
      <c r="J1502" s="207">
        <v>1.0872181390655249</v>
      </c>
      <c r="K1502" s="209">
        <v>4.4359999999999999</v>
      </c>
      <c r="L1502" s="209">
        <v>4.0549999999999997</v>
      </c>
      <c r="M1502" s="212"/>
      <c r="N1502" s="225"/>
    </row>
    <row r="1503" spans="1:14" ht="16.5" customHeight="1" x14ac:dyDescent="0.25">
      <c r="A1503" s="203">
        <v>45345</v>
      </c>
      <c r="B1503" s="128" t="s">
        <v>9</v>
      </c>
      <c r="C1503" s="157" t="str">
        <f t="shared" si="47"/>
        <v>23.02.2024_STE2</v>
      </c>
      <c r="D1503" s="190">
        <f t="shared" si="48"/>
        <v>0</v>
      </c>
      <c r="E1503" s="204">
        <v>4.0664992225810263E-2</v>
      </c>
      <c r="F1503" s="205">
        <v>2.9461904090136437E-2</v>
      </c>
      <c r="G1503" s="204">
        <v>5.1894937375866396E-2</v>
      </c>
      <c r="H1503" s="204">
        <v>7.7939855993223187E-2</v>
      </c>
      <c r="I1503" s="209">
        <v>5.53</v>
      </c>
      <c r="J1503" s="207">
        <v>1.3130857890801233</v>
      </c>
      <c r="K1503" s="209">
        <v>6.2460000000000004</v>
      </c>
      <c r="L1503" s="209">
        <v>5.2880000000000003</v>
      </c>
      <c r="M1503" s="212"/>
      <c r="N1503" s="225"/>
    </row>
    <row r="1504" spans="1:14" ht="16.5" customHeight="1" x14ac:dyDescent="0.25">
      <c r="A1504" s="203">
        <v>45359</v>
      </c>
      <c r="B1504" s="128" t="s">
        <v>22</v>
      </c>
      <c r="C1504" s="157" t="str">
        <f t="shared" si="47"/>
        <v>08.03.2024_BIE1</v>
      </c>
      <c r="D1504" s="190">
        <f t="shared" si="48"/>
        <v>0</v>
      </c>
      <c r="E1504" s="204">
        <v>9.659491556875123E-2</v>
      </c>
      <c r="F1504" s="205">
        <v>5.0300051030273008E-3</v>
      </c>
      <c r="G1504" s="204">
        <v>7.7403245942571511E-3</v>
      </c>
      <c r="H1504" s="204">
        <v>3.8954434652165769E-2</v>
      </c>
      <c r="I1504" s="209">
        <v>3.7440000000000002</v>
      </c>
      <c r="J1504" s="207">
        <v>0.86352724227404654</v>
      </c>
      <c r="K1504" s="209">
        <v>4.7190000000000003</v>
      </c>
      <c r="L1504" s="209">
        <v>12.577999999999999</v>
      </c>
      <c r="M1504" s="212"/>
      <c r="N1504" s="225"/>
    </row>
    <row r="1505" spans="1:14" ht="16.5" customHeight="1" x14ac:dyDescent="0.25">
      <c r="A1505" s="203">
        <v>45359</v>
      </c>
      <c r="B1505" s="128" t="s">
        <v>25</v>
      </c>
      <c r="C1505" s="157" t="str">
        <f t="shared" si="47"/>
        <v>08.03.2024_BIE2</v>
      </c>
      <c r="D1505" s="190">
        <f t="shared" si="48"/>
        <v>0</v>
      </c>
      <c r="E1505" s="204">
        <v>0</v>
      </c>
      <c r="F1505" s="205">
        <v>5.3325635223103593E-3</v>
      </c>
      <c r="G1505" s="204">
        <v>5.1602163961714216E-3</v>
      </c>
      <c r="H1505" s="204">
        <v>1.6231014438402643E-3</v>
      </c>
      <c r="I1505" s="209">
        <v>1.6719999999999999</v>
      </c>
      <c r="J1505" s="207">
        <v>0.38215564966404031</v>
      </c>
      <c r="K1505" s="209">
        <v>2.2440000000000002</v>
      </c>
      <c r="L1505" s="209">
        <v>7.1790000000000003</v>
      </c>
      <c r="M1505" s="212"/>
      <c r="N1505" s="225"/>
    </row>
    <row r="1506" spans="1:14" ht="16.5" customHeight="1" x14ac:dyDescent="0.25">
      <c r="A1506" s="203">
        <v>45359</v>
      </c>
      <c r="B1506" s="128" t="s">
        <v>14</v>
      </c>
      <c r="C1506" s="157" t="str">
        <f t="shared" si="47"/>
        <v>08.03.2024_BRA1</v>
      </c>
      <c r="D1506" s="190">
        <f t="shared" si="48"/>
        <v>0</v>
      </c>
      <c r="E1506" s="204">
        <v>0</v>
      </c>
      <c r="F1506" s="205">
        <v>1.4976649752703412E-2</v>
      </c>
      <c r="G1506" s="204">
        <v>3.6981550839228723E-2</v>
      </c>
      <c r="H1506" s="204">
        <v>0</v>
      </c>
      <c r="I1506" s="209">
        <v>8.5090000000000003</v>
      </c>
      <c r="J1506" s="207">
        <v>1.9496553279419984</v>
      </c>
      <c r="K1506" s="209">
        <v>6.8150000000000004</v>
      </c>
      <c r="L1506" s="209">
        <v>7.415</v>
      </c>
      <c r="M1506" s="212"/>
      <c r="N1506" s="225"/>
    </row>
    <row r="1507" spans="1:14" ht="16.5" customHeight="1" x14ac:dyDescent="0.25">
      <c r="A1507" s="203">
        <v>45359</v>
      </c>
      <c r="B1507" s="128" t="s">
        <v>17</v>
      </c>
      <c r="C1507" s="157" t="str">
        <f t="shared" si="47"/>
        <v>08.03.2024_BRA2</v>
      </c>
      <c r="D1507" s="190">
        <f t="shared" si="48"/>
        <v>0</v>
      </c>
      <c r="E1507" s="204">
        <v>4.9962887363147156E-2</v>
      </c>
      <c r="F1507" s="205">
        <v>2.4545207998154472E-2</v>
      </c>
      <c r="G1507" s="204">
        <v>0</v>
      </c>
      <c r="H1507" s="204">
        <v>3.4085130320645043E-2</v>
      </c>
      <c r="I1507" s="209">
        <v>11.103999999999999</v>
      </c>
      <c r="J1507" s="207">
        <v>2.515766460306478</v>
      </c>
      <c r="K1507" s="209">
        <v>9.3170000000000002</v>
      </c>
      <c r="L1507" s="209">
        <v>8.3079999999999998</v>
      </c>
      <c r="M1507" s="212"/>
      <c r="N1507" s="225"/>
    </row>
    <row r="1508" spans="1:14" ht="16.5" customHeight="1" x14ac:dyDescent="0.25">
      <c r="A1508" s="203">
        <v>45359</v>
      </c>
      <c r="B1508" s="128" t="s">
        <v>30</v>
      </c>
      <c r="C1508" s="157" t="str">
        <f t="shared" si="47"/>
        <v>08.03.2024_FAL1</v>
      </c>
      <c r="D1508" s="190">
        <f t="shared" si="48"/>
        <v>0</v>
      </c>
      <c r="E1508" s="204">
        <v>9.1598626832436511E-2</v>
      </c>
      <c r="F1508" s="205">
        <v>4.5422460877978098E-2</v>
      </c>
      <c r="G1508" s="204">
        <v>0.17286724927174368</v>
      </c>
      <c r="H1508" s="204">
        <v>0.21911869491843253</v>
      </c>
      <c r="I1508" s="209">
        <v>18.433</v>
      </c>
      <c r="J1508" s="207">
        <v>4.3644020870549332</v>
      </c>
      <c r="K1508" s="209">
        <v>37</v>
      </c>
      <c r="L1508" s="209">
        <v>31.257999999999999</v>
      </c>
      <c r="M1508" s="212"/>
      <c r="N1508" s="225"/>
    </row>
    <row r="1509" spans="1:14" ht="16.5" customHeight="1" x14ac:dyDescent="0.25">
      <c r="A1509" s="203">
        <v>45359</v>
      </c>
      <c r="B1509" s="128" t="s">
        <v>32</v>
      </c>
      <c r="C1509" s="157" t="str">
        <f t="shared" si="47"/>
        <v>08.03.2024_FAL2</v>
      </c>
      <c r="D1509" s="190">
        <f t="shared" si="48"/>
        <v>0</v>
      </c>
      <c r="E1509" s="204">
        <v>0.10325663388383748</v>
      </c>
      <c r="F1509" s="205">
        <v>2.6284957983967908E-2</v>
      </c>
      <c r="G1509" s="204">
        <v>8.5143570536828944E-2</v>
      </c>
      <c r="H1509" s="204">
        <v>0.22398799924995325</v>
      </c>
      <c r="I1509" s="209">
        <v>15.208</v>
      </c>
      <c r="J1509" s="207">
        <v>3.5693372374577903</v>
      </c>
      <c r="K1509" s="209">
        <v>30</v>
      </c>
      <c r="L1509" s="209">
        <v>26.959</v>
      </c>
      <c r="M1509" s="212"/>
      <c r="N1509" s="225"/>
    </row>
    <row r="1510" spans="1:14" ht="16.5" customHeight="1" x14ac:dyDescent="0.25">
      <c r="A1510" s="203">
        <v>45359</v>
      </c>
      <c r="B1510" s="128" t="s">
        <v>26</v>
      </c>
      <c r="C1510" s="157" t="str">
        <f t="shared" si="47"/>
        <v>08.03.2024_GRU1</v>
      </c>
      <c r="D1510" s="190">
        <f t="shared" si="48"/>
        <v>0</v>
      </c>
      <c r="E1510" s="204">
        <v>0</v>
      </c>
      <c r="F1510" s="205">
        <v>1.6792019012135576E-2</v>
      </c>
      <c r="G1510" s="204">
        <v>0</v>
      </c>
      <c r="H1510" s="204">
        <v>1.2984811550721944E-2</v>
      </c>
      <c r="I1510" s="209">
        <v>4.5750000000000002</v>
      </c>
      <c r="J1510" s="207">
        <v>1.0373084758766173</v>
      </c>
      <c r="K1510" s="209">
        <v>4.4029999999999996</v>
      </c>
      <c r="L1510" s="209">
        <v>11.862</v>
      </c>
      <c r="M1510" s="212"/>
      <c r="N1510" s="225"/>
    </row>
    <row r="1511" spans="1:14" ht="16.5" customHeight="1" x14ac:dyDescent="0.25">
      <c r="A1511" s="203">
        <v>45359</v>
      </c>
      <c r="B1511" s="128" t="s">
        <v>28</v>
      </c>
      <c r="C1511" s="157" t="str">
        <f t="shared" si="47"/>
        <v>08.03.2024_GRU2</v>
      </c>
      <c r="D1511" s="190">
        <f t="shared" si="48"/>
        <v>0</v>
      </c>
      <c r="E1511" s="204">
        <v>0</v>
      </c>
      <c r="F1511" s="205">
        <v>9.4171040543751822E-3</v>
      </c>
      <c r="G1511" s="204">
        <v>8.6003606602857025E-3</v>
      </c>
      <c r="H1511" s="204">
        <v>4.0577536096005999E-2</v>
      </c>
      <c r="I1511" s="209">
        <v>6.367</v>
      </c>
      <c r="J1511" s="207">
        <v>1.4571462149135344</v>
      </c>
      <c r="K1511" s="209">
        <v>7.2030000000000003</v>
      </c>
      <c r="L1511" s="209">
        <v>14.688000000000001</v>
      </c>
      <c r="M1511" s="212"/>
      <c r="N1511" s="225"/>
    </row>
    <row r="1512" spans="1:14" ht="16.5" customHeight="1" x14ac:dyDescent="0.25">
      <c r="A1512" s="203">
        <v>45359</v>
      </c>
      <c r="B1512" s="128" t="s">
        <v>0</v>
      </c>
      <c r="C1512" s="157" t="str">
        <f t="shared" si="47"/>
        <v>08.03.2024_KIN1</v>
      </c>
      <c r="D1512" s="190">
        <f t="shared" si="48"/>
        <v>0</v>
      </c>
      <c r="E1512" s="204">
        <v>7.4944331044720758E-2</v>
      </c>
      <c r="F1512" s="205">
        <v>9.0010839623403897E-3</v>
      </c>
      <c r="G1512" s="204">
        <v>0</v>
      </c>
      <c r="H1512" s="204">
        <v>2.1100318769923163E-2</v>
      </c>
      <c r="I1512" s="209">
        <v>5.5030000000000001</v>
      </c>
      <c r="J1512" s="207">
        <v>1.2473831738347714</v>
      </c>
      <c r="K1512" s="209">
        <v>7.1710000000000003</v>
      </c>
      <c r="L1512" s="209">
        <v>10.314</v>
      </c>
      <c r="M1512" s="212"/>
      <c r="N1512" s="225"/>
    </row>
    <row r="1513" spans="1:14" ht="16.5" customHeight="1" x14ac:dyDescent="0.25">
      <c r="A1513" s="203">
        <v>45359</v>
      </c>
      <c r="B1513" s="128" t="s">
        <v>2</v>
      </c>
      <c r="C1513" s="157" t="str">
        <f t="shared" si="47"/>
        <v>08.03.2024_KIN2</v>
      </c>
      <c r="D1513" s="190">
        <f t="shared" si="48"/>
        <v>0</v>
      </c>
      <c r="E1513" s="204">
        <v>4.996288736314719E-3</v>
      </c>
      <c r="F1513" s="205">
        <v>8.7363450363823914E-3</v>
      </c>
      <c r="G1513" s="204">
        <v>4.3001803301428694E-3</v>
      </c>
      <c r="H1513" s="204">
        <v>5.518544909056821E-2</v>
      </c>
      <c r="I1513" s="209">
        <v>7.0629999999999997</v>
      </c>
      <c r="J1513" s="207">
        <v>1.615460067000176</v>
      </c>
      <c r="K1513" s="209">
        <v>8.6950000000000003</v>
      </c>
      <c r="L1513" s="209">
        <v>10.763999999999999</v>
      </c>
      <c r="M1513" s="212"/>
      <c r="N1513" s="225"/>
    </row>
    <row r="1514" spans="1:14" ht="16.5" customHeight="1" x14ac:dyDescent="0.25">
      <c r="A1514" s="203">
        <v>45359</v>
      </c>
      <c r="B1514" s="128" t="s">
        <v>4</v>
      </c>
      <c r="C1514" s="157" t="str">
        <f t="shared" si="47"/>
        <v>08.03.2024_KIN3</v>
      </c>
      <c r="D1514" s="190">
        <f t="shared" si="48"/>
        <v>0</v>
      </c>
      <c r="E1514" s="204">
        <v>5.1628316941918717E-2</v>
      </c>
      <c r="F1514" s="205">
        <v>8.1690466533584413E-3</v>
      </c>
      <c r="G1514" s="204">
        <v>6.0202524622000458E-3</v>
      </c>
      <c r="H1514" s="204">
        <v>8.6024376523532758E-2</v>
      </c>
      <c r="I1514" s="209">
        <v>7.7050000000000001</v>
      </c>
      <c r="J1514" s="207">
        <v>1.7711931372669631</v>
      </c>
      <c r="K1514" s="209">
        <v>10.97</v>
      </c>
      <c r="L1514" s="209">
        <v>12.507</v>
      </c>
      <c r="M1514" s="212"/>
      <c r="N1514" s="225"/>
    </row>
    <row r="1515" spans="1:14" ht="16.5" customHeight="1" x14ac:dyDescent="0.25">
      <c r="A1515" s="203">
        <v>45359</v>
      </c>
      <c r="B1515" s="128" t="s">
        <v>6</v>
      </c>
      <c r="C1515" s="157" t="str">
        <f t="shared" si="47"/>
        <v>08.03.2024_KIN4</v>
      </c>
      <c r="D1515" s="190">
        <f t="shared" si="48"/>
        <v>0</v>
      </c>
      <c r="E1515" s="204">
        <v>0.10658749304138053</v>
      </c>
      <c r="F1515" s="205">
        <v>2.3864436696001242E-2</v>
      </c>
      <c r="G1515" s="204">
        <v>1.9780829518657207E-2</v>
      </c>
      <c r="H1515" s="204">
        <v>0.10550159384961559</v>
      </c>
      <c r="I1515" s="209">
        <v>8.2050000000000001</v>
      </c>
      <c r="J1515" s="207">
        <v>1.9007429265604576</v>
      </c>
      <c r="K1515" s="209">
        <v>15.093</v>
      </c>
      <c r="L1515" s="209">
        <v>12.763999999999999</v>
      </c>
      <c r="M1515" s="212"/>
      <c r="N1515" s="225"/>
    </row>
    <row r="1516" spans="1:14" ht="16.5" customHeight="1" x14ac:dyDescent="0.25">
      <c r="A1516" s="203">
        <v>45359</v>
      </c>
      <c r="B1516" s="128" t="s">
        <v>34</v>
      </c>
      <c r="C1516" s="157" t="str">
        <f t="shared" si="47"/>
        <v>08.03.2024_KRE1</v>
      </c>
      <c r="D1516" s="190">
        <f t="shared" si="48"/>
        <v>0</v>
      </c>
      <c r="E1516" s="204">
        <v>3.164316199665991E-2</v>
      </c>
      <c r="F1516" s="205">
        <v>1.266962214529236E-2</v>
      </c>
      <c r="G1516" s="204">
        <v>0.17888750173394372</v>
      </c>
      <c r="H1516" s="204">
        <v>0.14770223138946184</v>
      </c>
      <c r="I1516" s="209">
        <v>14.222</v>
      </c>
      <c r="J1516" s="207">
        <v>3.3961954405679111</v>
      </c>
      <c r="K1516" s="209">
        <v>35</v>
      </c>
      <c r="L1516" s="209">
        <v>33</v>
      </c>
      <c r="M1516" s="212"/>
      <c r="N1516" s="225"/>
    </row>
    <row r="1517" spans="1:14" ht="16.5" customHeight="1" x14ac:dyDescent="0.25">
      <c r="A1517" s="203">
        <v>45359</v>
      </c>
      <c r="B1517" s="128" t="s">
        <v>37</v>
      </c>
      <c r="C1517" s="157" t="str">
        <f t="shared" si="47"/>
        <v>08.03.2024_KRE2</v>
      </c>
      <c r="D1517" s="190">
        <f t="shared" si="48"/>
        <v>0</v>
      </c>
      <c r="E1517" s="204">
        <v>0</v>
      </c>
      <c r="F1517" s="205">
        <v>1.5090109778766046E-2</v>
      </c>
      <c r="G1517" s="204">
        <v>0.16082674434734359</v>
      </c>
      <c r="H1517" s="204">
        <v>0.17691805737858621</v>
      </c>
      <c r="I1517" s="209">
        <v>16.997</v>
      </c>
      <c r="J1517" s="207">
        <v>4.0178554512871791</v>
      </c>
      <c r="K1517" s="209">
        <v>38</v>
      </c>
      <c r="L1517" s="209">
        <v>41</v>
      </c>
      <c r="M1517" s="212"/>
      <c r="N1517" s="225"/>
    </row>
    <row r="1518" spans="1:14" ht="16.5" customHeight="1" x14ac:dyDescent="0.25">
      <c r="A1518" s="203">
        <v>45359</v>
      </c>
      <c r="B1518" s="128" t="s">
        <v>18</v>
      </c>
      <c r="C1518" s="157" t="str">
        <f t="shared" si="47"/>
        <v>08.03.2024_ORB1</v>
      </c>
      <c r="D1518" s="190">
        <f t="shared" si="48"/>
        <v>0</v>
      </c>
      <c r="E1518" s="204">
        <v>0</v>
      </c>
      <c r="F1518" s="205">
        <v>1.0702981314059579E-2</v>
      </c>
      <c r="G1518" s="204">
        <v>2.580108198085729E-3</v>
      </c>
      <c r="H1518" s="204">
        <v>3.4085130320645043E-2</v>
      </c>
      <c r="I1518" s="209">
        <v>7.1059999999999999</v>
      </c>
      <c r="J1518" s="207">
        <v>1.6174128661408518</v>
      </c>
      <c r="K1518" s="209">
        <v>8.0350000000000001</v>
      </c>
      <c r="L1518" s="209">
        <v>17.366</v>
      </c>
      <c r="M1518" s="212"/>
      <c r="N1518" s="225"/>
    </row>
    <row r="1519" spans="1:14" ht="16.5" customHeight="1" x14ac:dyDescent="0.25">
      <c r="A1519" s="203">
        <v>45359</v>
      </c>
      <c r="B1519" s="128" t="s">
        <v>21</v>
      </c>
      <c r="C1519" s="157" t="str">
        <f t="shared" si="47"/>
        <v>08.03.2024_ORB2</v>
      </c>
      <c r="D1519" s="190">
        <f t="shared" si="48"/>
        <v>0</v>
      </c>
      <c r="E1519" s="204">
        <v>2.997773241788828E-2</v>
      </c>
      <c r="F1519" s="205">
        <v>1.0665160687641508E-2</v>
      </c>
      <c r="G1519" s="204">
        <v>8.600360660285882E-4</v>
      </c>
      <c r="H1519" s="204">
        <v>6.1677854865929131E-2</v>
      </c>
      <c r="I1519" s="209">
        <v>6.5220000000000002</v>
      </c>
      <c r="J1519" s="207">
        <v>1.4925697723188427</v>
      </c>
      <c r="K1519" s="209">
        <v>10.163</v>
      </c>
      <c r="L1519" s="209">
        <v>18.311</v>
      </c>
      <c r="M1519" s="212"/>
      <c r="N1519" s="225"/>
    </row>
    <row r="1520" spans="1:14" ht="16.5" customHeight="1" x14ac:dyDescent="0.25">
      <c r="A1520" s="203">
        <v>45359</v>
      </c>
      <c r="B1520" s="128" t="s">
        <v>10</v>
      </c>
      <c r="C1520" s="157" t="str">
        <f t="shared" si="47"/>
        <v>08.03.2024_SAL1</v>
      </c>
      <c r="D1520" s="190">
        <f t="shared" si="48"/>
        <v>0</v>
      </c>
      <c r="E1520" s="204">
        <v>3.1643161996659841E-2</v>
      </c>
      <c r="F1520" s="205">
        <v>1.9968926555151145E-2</v>
      </c>
      <c r="G1520" s="204">
        <v>1.2040504924400021E-2</v>
      </c>
      <c r="H1520" s="204">
        <v>0.12010950684417776</v>
      </c>
      <c r="I1520" s="209">
        <v>8.0739999999999998</v>
      </c>
      <c r="J1520" s="207">
        <v>1.8695910510274572</v>
      </c>
      <c r="K1520" s="209">
        <v>7.6820000000000004</v>
      </c>
      <c r="L1520" s="209">
        <v>7.4420000000000002</v>
      </c>
      <c r="M1520" s="212"/>
      <c r="N1520" s="225"/>
    </row>
    <row r="1521" spans="1:14" ht="16.5" customHeight="1" x14ac:dyDescent="0.25">
      <c r="A1521" s="203">
        <v>45359</v>
      </c>
      <c r="B1521" s="128" t="s">
        <v>12</v>
      </c>
      <c r="C1521" s="157" t="str">
        <f t="shared" si="47"/>
        <v>08.03.2024_SAL2</v>
      </c>
      <c r="D1521" s="190">
        <f t="shared" si="48"/>
        <v>0</v>
      </c>
      <c r="E1521" s="204">
        <v>7.3278901465949162E-2</v>
      </c>
      <c r="F1521" s="205">
        <v>1.8834315064079156E-2</v>
      </c>
      <c r="G1521" s="204">
        <v>6.0202524622000458E-3</v>
      </c>
      <c r="H1521" s="204">
        <v>0.12660191261953876</v>
      </c>
      <c r="I1521" s="209">
        <v>8.0850000000000009</v>
      </c>
      <c r="J1521" s="207">
        <v>1.8693775681313924</v>
      </c>
      <c r="K1521" s="209">
        <v>8.3559999999999999</v>
      </c>
      <c r="L1521" s="209">
        <v>7.9029999999999996</v>
      </c>
      <c r="M1521" s="212"/>
      <c r="N1521" s="225"/>
    </row>
    <row r="1522" spans="1:14" ht="16.5" customHeight="1" x14ac:dyDescent="0.25">
      <c r="A1522" s="203">
        <v>45359</v>
      </c>
      <c r="B1522" s="128" t="s">
        <v>7</v>
      </c>
      <c r="C1522" s="157" t="str">
        <f t="shared" si="47"/>
        <v>08.03.2024_STE1</v>
      </c>
      <c r="D1522" s="190">
        <f t="shared" si="48"/>
        <v>0</v>
      </c>
      <c r="E1522" s="204">
        <v>6.162089441454819E-2</v>
      </c>
      <c r="F1522" s="205">
        <v>1.2442701621923321E-2</v>
      </c>
      <c r="G1522" s="204">
        <v>5.1602163961714581E-3</v>
      </c>
      <c r="H1522" s="204">
        <v>4.0577536096005999E-2</v>
      </c>
      <c r="I1522" s="209">
        <v>9.3550000000000004</v>
      </c>
      <c r="J1522" s="207">
        <v>2.1293745372938924</v>
      </c>
      <c r="K1522" s="209">
        <v>8.68</v>
      </c>
      <c r="L1522" s="209">
        <v>7.91</v>
      </c>
      <c r="M1522" s="212"/>
      <c r="N1522" s="225"/>
    </row>
    <row r="1523" spans="1:14" ht="16.5" customHeight="1" x14ac:dyDescent="0.25">
      <c r="A1523" s="203">
        <v>45359</v>
      </c>
      <c r="B1523" s="128" t="s">
        <v>9</v>
      </c>
      <c r="C1523" s="157" t="str">
        <f t="shared" si="47"/>
        <v>08.03.2024_STE2</v>
      </c>
      <c r="D1523" s="190">
        <f t="shared" si="48"/>
        <v>0</v>
      </c>
      <c r="E1523" s="204">
        <v>7.6609760623492354E-2</v>
      </c>
      <c r="F1523" s="205">
        <v>1.5392671274350518E-2</v>
      </c>
      <c r="G1523" s="204">
        <v>1.3760577056457161E-2</v>
      </c>
      <c r="H1523" s="204">
        <v>5.8431651978248671E-2</v>
      </c>
      <c r="I1523" s="209">
        <v>9.2230000000000008</v>
      </c>
      <c r="J1523" s="207">
        <v>2.1116734769233458</v>
      </c>
      <c r="K1523" s="209">
        <v>9.9830000000000005</v>
      </c>
      <c r="L1523" s="209">
        <v>8.5380000000000003</v>
      </c>
      <c r="M1523" s="212"/>
      <c r="N1523" s="225"/>
    </row>
    <row r="1524" spans="1:14" ht="16.5" customHeight="1" x14ac:dyDescent="0.25">
      <c r="A1524" s="203">
        <v>45371</v>
      </c>
      <c r="B1524" s="128" t="s">
        <v>22</v>
      </c>
      <c r="C1524" s="157" t="str">
        <f t="shared" si="47"/>
        <v>20.03.2024_BIE1</v>
      </c>
      <c r="D1524" s="190">
        <f t="shared" si="48"/>
        <v>0</v>
      </c>
      <c r="E1524" s="204">
        <v>2.5432411589732279E-2</v>
      </c>
      <c r="F1524" s="205">
        <v>9.292423275993205E-3</v>
      </c>
      <c r="G1524" s="204">
        <v>0.115312743601849</v>
      </c>
      <c r="H1524" s="204">
        <v>4.3528265107212492E-2</v>
      </c>
      <c r="I1524" s="209">
        <v>4.2789999999999999</v>
      </c>
      <c r="J1524" s="207">
        <v>1.0692891025912905</v>
      </c>
      <c r="K1524" s="209">
        <v>6.9610000000000003</v>
      </c>
      <c r="L1524" s="209">
        <v>15.336</v>
      </c>
      <c r="M1524" s="212"/>
      <c r="N1524" s="225"/>
    </row>
    <row r="1525" spans="1:14" ht="16.5" customHeight="1" x14ac:dyDescent="0.25">
      <c r="A1525" s="203">
        <v>45371</v>
      </c>
      <c r="B1525" s="128" t="s">
        <v>25</v>
      </c>
      <c r="C1525" s="157" t="str">
        <f t="shared" si="47"/>
        <v>20.03.2024_BIE2</v>
      </c>
      <c r="D1525" s="190">
        <f t="shared" si="48"/>
        <v>0</v>
      </c>
      <c r="E1525" s="204">
        <v>0</v>
      </c>
      <c r="F1525" s="205">
        <v>1.2977385438761303E-2</v>
      </c>
      <c r="G1525" s="204">
        <v>8.2910815647610436E-2</v>
      </c>
      <c r="H1525" s="204">
        <v>1.9691358024691345E-2</v>
      </c>
      <c r="I1525" s="209">
        <v>4.4390000000000001</v>
      </c>
      <c r="J1525" s="207">
        <v>1.0730113831928303</v>
      </c>
      <c r="K1525" s="209">
        <v>7.2649999999999997</v>
      </c>
      <c r="L1525" s="209">
        <v>15.507999999999999</v>
      </c>
      <c r="M1525" s="212"/>
      <c r="N1525" s="225"/>
    </row>
    <row r="1526" spans="1:14" ht="16.5" customHeight="1" x14ac:dyDescent="0.25">
      <c r="A1526" s="203">
        <v>45371</v>
      </c>
      <c r="B1526" s="128" t="s">
        <v>14</v>
      </c>
      <c r="C1526" s="157" t="str">
        <f t="shared" si="47"/>
        <v>20.03.2024_BRA1</v>
      </c>
      <c r="D1526" s="190">
        <f t="shared" si="48"/>
        <v>0</v>
      </c>
      <c r="E1526" s="204">
        <v>0</v>
      </c>
      <c r="F1526" s="205">
        <v>1.2336520368097363E-2</v>
      </c>
      <c r="G1526" s="204">
        <v>3.4307923716252596E-2</v>
      </c>
      <c r="H1526" s="204">
        <v>2.2800519818063671E-2</v>
      </c>
      <c r="I1526" s="209">
        <v>8.3019999999999996</v>
      </c>
      <c r="J1526" s="207">
        <v>1.9087541179450422</v>
      </c>
      <c r="K1526" s="209">
        <v>7.3479999999999999</v>
      </c>
      <c r="L1526" s="209">
        <v>7.5140000000000002</v>
      </c>
      <c r="M1526" s="212"/>
      <c r="N1526" s="225"/>
    </row>
    <row r="1527" spans="1:14" ht="16.5" customHeight="1" x14ac:dyDescent="0.25">
      <c r="A1527" s="203">
        <v>45371</v>
      </c>
      <c r="B1527" s="128" t="s">
        <v>17</v>
      </c>
      <c r="C1527" s="157" t="str">
        <f t="shared" si="47"/>
        <v>20.03.2024_BRA2</v>
      </c>
      <c r="D1527" s="190">
        <f t="shared" si="48"/>
        <v>0</v>
      </c>
      <c r="E1527" s="204">
        <v>2.5432411589732279E-2</v>
      </c>
      <c r="F1527" s="205">
        <v>2.0347367805565609E-2</v>
      </c>
      <c r="G1527" s="204">
        <v>2.8589936430210498E-3</v>
      </c>
      <c r="H1527" s="204">
        <v>3.8346328784925304E-2</v>
      </c>
      <c r="I1527" s="209">
        <v>10.840999999999999</v>
      </c>
      <c r="J1527" s="207">
        <v>2.4625511897724395</v>
      </c>
      <c r="K1527" s="209">
        <v>10.103</v>
      </c>
      <c r="L1527" s="209">
        <v>8.3620000000000001</v>
      </c>
      <c r="M1527" s="212"/>
      <c r="N1527" s="225"/>
    </row>
    <row r="1528" spans="1:14" ht="16.5" customHeight="1" x14ac:dyDescent="0.25">
      <c r="A1528" s="203">
        <v>45371</v>
      </c>
      <c r="B1528" s="128" t="s">
        <v>30</v>
      </c>
      <c r="C1528" s="157" t="str">
        <f t="shared" si="47"/>
        <v>20.03.2024_FAL1</v>
      </c>
      <c r="D1528" s="190">
        <f t="shared" si="48"/>
        <v>0</v>
      </c>
      <c r="E1528" s="204">
        <v>5.6219015093092461E-2</v>
      </c>
      <c r="F1528" s="205">
        <v>2.4128521920664513E-2</v>
      </c>
      <c r="G1528" s="204">
        <v>0.14199668427004533</v>
      </c>
      <c r="H1528" s="204">
        <v>0.13369395711500981</v>
      </c>
      <c r="I1528" s="209">
        <v>16.829000000000001</v>
      </c>
      <c r="J1528" s="207">
        <v>3.9521283606125124</v>
      </c>
      <c r="K1528" s="209">
        <v>36</v>
      </c>
      <c r="L1528" s="209">
        <v>31.91</v>
      </c>
      <c r="M1528" s="212"/>
      <c r="N1528" s="225"/>
    </row>
    <row r="1529" spans="1:14" ht="16.5" customHeight="1" x14ac:dyDescent="0.25">
      <c r="A1529" s="203">
        <v>45371</v>
      </c>
      <c r="B1529" s="128" t="s">
        <v>32</v>
      </c>
      <c r="C1529" s="157" t="str">
        <f t="shared" si="47"/>
        <v>20.03.2024_FAL2</v>
      </c>
      <c r="D1529" s="190">
        <f t="shared" si="48"/>
        <v>0</v>
      </c>
      <c r="E1529" s="204">
        <v>8.8344166574859537E-2</v>
      </c>
      <c r="F1529" s="205">
        <v>2.7557211916947381E-2</v>
      </c>
      <c r="G1529" s="204">
        <v>8.4816811409624465E-2</v>
      </c>
      <c r="H1529" s="204">
        <v>0.15338531513970111</v>
      </c>
      <c r="I1529" s="209">
        <v>18.722000000000001</v>
      </c>
      <c r="J1529" s="207">
        <v>4.3412957050857415</v>
      </c>
      <c r="K1529" s="209">
        <v>41</v>
      </c>
      <c r="L1529" s="209">
        <v>34.968000000000004</v>
      </c>
      <c r="M1529" s="212"/>
      <c r="N1529" s="225"/>
    </row>
    <row r="1530" spans="1:14" ht="16.5" customHeight="1" x14ac:dyDescent="0.25">
      <c r="A1530" s="203">
        <v>45371</v>
      </c>
      <c r="B1530" s="128" t="s">
        <v>26</v>
      </c>
      <c r="C1530" s="157" t="str">
        <f t="shared" si="47"/>
        <v>20.03.2024_GRU1</v>
      </c>
      <c r="D1530" s="190">
        <f t="shared" si="48"/>
        <v>0</v>
      </c>
      <c r="E1530" s="204">
        <v>0</v>
      </c>
      <c r="F1530" s="205">
        <v>9.516725233807883E-3</v>
      </c>
      <c r="G1530" s="204">
        <v>0</v>
      </c>
      <c r="H1530" s="204">
        <v>1.8654970760233914E-2</v>
      </c>
      <c r="I1530" s="209">
        <v>5.9379999999999997</v>
      </c>
      <c r="J1530" s="207">
        <v>1.3468955658479531</v>
      </c>
      <c r="K1530" s="209">
        <v>7.0179999999999998</v>
      </c>
      <c r="L1530" s="209">
        <v>13.887</v>
      </c>
      <c r="M1530" s="212"/>
      <c r="N1530" s="225"/>
    </row>
    <row r="1531" spans="1:14" ht="16.5" customHeight="1" x14ac:dyDescent="0.25">
      <c r="A1531" s="203">
        <v>45371</v>
      </c>
      <c r="B1531" s="128" t="s">
        <v>28</v>
      </c>
      <c r="C1531" s="157" t="str">
        <f t="shared" si="47"/>
        <v>20.03.2024_GRU2</v>
      </c>
      <c r="D1531" s="190">
        <f t="shared" si="48"/>
        <v>0</v>
      </c>
      <c r="E1531" s="204">
        <v>0</v>
      </c>
      <c r="F1531" s="205">
        <v>7.6902724470570213E-3</v>
      </c>
      <c r="G1531" s="204">
        <v>2.7636938549203467E-2</v>
      </c>
      <c r="H1531" s="204">
        <v>3.2128005198180661E-2</v>
      </c>
      <c r="I1531" s="209">
        <v>5.5979999999999999</v>
      </c>
      <c r="J1531" s="207">
        <v>1.2956614375966569</v>
      </c>
      <c r="K1531" s="209">
        <v>8.0690000000000008</v>
      </c>
      <c r="L1531" s="209">
        <v>13.778</v>
      </c>
      <c r="M1531" s="212"/>
      <c r="N1531" s="225"/>
    </row>
    <row r="1532" spans="1:14" ht="16.5" customHeight="1" x14ac:dyDescent="0.25">
      <c r="A1532" s="203">
        <v>45371</v>
      </c>
      <c r="B1532" s="128" t="s">
        <v>0</v>
      </c>
      <c r="C1532" s="157" t="str">
        <f t="shared" si="47"/>
        <v>20.03.2024_KIN1</v>
      </c>
      <c r="D1532" s="190">
        <f t="shared" si="48"/>
        <v>0</v>
      </c>
      <c r="E1532" s="204">
        <v>2.8109507546546217E-2</v>
      </c>
      <c r="F1532" s="205">
        <v>6.8891994101910213E-3</v>
      </c>
      <c r="G1532" s="204">
        <v>3.81199152402804E-3</v>
      </c>
      <c r="H1532" s="204">
        <v>2.2800519818063671E-2</v>
      </c>
      <c r="I1532" s="209">
        <v>4.7060000000000004</v>
      </c>
      <c r="J1532" s="207">
        <v>1.0728458115571022</v>
      </c>
      <c r="K1532" s="209">
        <v>7.8760000000000003</v>
      </c>
      <c r="L1532" s="209">
        <v>10.811999999999999</v>
      </c>
      <c r="M1532" s="212"/>
      <c r="N1532" s="225"/>
    </row>
    <row r="1533" spans="1:14" ht="16.5" customHeight="1" x14ac:dyDescent="0.25">
      <c r="A1533" s="203">
        <v>45371</v>
      </c>
      <c r="B1533" s="128" t="s">
        <v>2</v>
      </c>
      <c r="C1533" s="157" t="str">
        <f t="shared" si="47"/>
        <v>20.03.2024_KIN2</v>
      </c>
      <c r="D1533" s="190">
        <f t="shared" si="48"/>
        <v>0</v>
      </c>
      <c r="E1533" s="204">
        <v>9.3698358488487673E-3</v>
      </c>
      <c r="F1533" s="205">
        <v>6.0240397119417444E-3</v>
      </c>
      <c r="G1533" s="204">
        <v>2.1918951263161367E-2</v>
      </c>
      <c r="H1533" s="204">
        <v>4.4564652371669948E-2</v>
      </c>
      <c r="I1533" s="209">
        <v>6.4770000000000003</v>
      </c>
      <c r="J1533" s="207">
        <v>1.4935475448808873</v>
      </c>
      <c r="K1533" s="209">
        <v>9.6509999999999998</v>
      </c>
      <c r="L1533" s="209">
        <v>11.852</v>
      </c>
      <c r="M1533" s="212"/>
      <c r="N1533" s="225"/>
    </row>
    <row r="1534" spans="1:14" ht="16.5" customHeight="1" x14ac:dyDescent="0.25">
      <c r="A1534" s="203">
        <v>45371</v>
      </c>
      <c r="B1534" s="128" t="s">
        <v>4</v>
      </c>
      <c r="C1534" s="157" t="str">
        <f t="shared" si="47"/>
        <v>20.03.2024_KIN3</v>
      </c>
      <c r="D1534" s="190">
        <f t="shared" si="48"/>
        <v>0</v>
      </c>
      <c r="E1534" s="204">
        <v>3.8817891373801941E-2</v>
      </c>
      <c r="F1534" s="205">
        <v>5.4793105706604029E-3</v>
      </c>
      <c r="G1534" s="204">
        <v>8.576980929063149E-3</v>
      </c>
      <c r="H1534" s="204">
        <v>5.803768680961665E-2</v>
      </c>
      <c r="I1534" s="209">
        <v>6.9550000000000001</v>
      </c>
      <c r="J1534" s="207">
        <v>1.595255363670796</v>
      </c>
      <c r="K1534" s="209">
        <v>11.797000000000001</v>
      </c>
      <c r="L1534" s="209">
        <v>13.218999999999999</v>
      </c>
      <c r="M1534" s="212"/>
      <c r="N1534" s="225"/>
    </row>
    <row r="1535" spans="1:14" ht="16.5" customHeight="1" x14ac:dyDescent="0.25">
      <c r="A1535" s="203">
        <v>45371</v>
      </c>
      <c r="B1535" s="128" t="s">
        <v>6</v>
      </c>
      <c r="C1535" s="157" t="str">
        <f t="shared" si="47"/>
        <v>20.03.2024_KIN4</v>
      </c>
      <c r="D1535" s="190">
        <f t="shared" si="48"/>
        <v>0</v>
      </c>
      <c r="E1535" s="204">
        <v>6.0234659028313355E-2</v>
      </c>
      <c r="F1535" s="205">
        <v>6.536726148333177E-3</v>
      </c>
      <c r="G1535" s="204">
        <v>1.9059957620140316E-2</v>
      </c>
      <c r="H1535" s="204">
        <v>7.4619883040935669E-2</v>
      </c>
      <c r="I1535" s="209">
        <v>7.5170000000000003</v>
      </c>
      <c r="J1535" s="207">
        <v>1.7353826798842755</v>
      </c>
      <c r="K1535" s="209">
        <v>17.690000000000001</v>
      </c>
      <c r="L1535" s="209">
        <v>14.037000000000001</v>
      </c>
      <c r="M1535" s="212"/>
      <c r="N1535" s="225"/>
    </row>
    <row r="1536" spans="1:14" ht="16.5" customHeight="1" x14ac:dyDescent="0.25">
      <c r="A1536" s="203">
        <v>45371</v>
      </c>
      <c r="B1536" s="128" t="s">
        <v>34</v>
      </c>
      <c r="C1536" s="157" t="str">
        <f t="shared" si="47"/>
        <v>20.03.2024_KRE1</v>
      </c>
      <c r="D1536" s="190">
        <f t="shared" si="48"/>
        <v>0</v>
      </c>
      <c r="E1536" s="204">
        <v>0</v>
      </c>
      <c r="F1536" s="205">
        <v>9.3244668646343103E-3</v>
      </c>
      <c r="G1536" s="204">
        <v>0.14485567791306639</v>
      </c>
      <c r="H1536" s="204">
        <v>0.13369395711500981</v>
      </c>
      <c r="I1536" s="209">
        <v>13.313000000000001</v>
      </c>
      <c r="J1536" s="207">
        <v>3.1601894205863821</v>
      </c>
      <c r="K1536" s="209">
        <v>46</v>
      </c>
      <c r="L1536" s="209">
        <v>40</v>
      </c>
      <c r="M1536" s="212"/>
      <c r="N1536" s="225"/>
    </row>
    <row r="1537" spans="1:14" ht="16.5" customHeight="1" x14ac:dyDescent="0.25">
      <c r="A1537" s="203">
        <v>45371</v>
      </c>
      <c r="B1537" s="128" t="s">
        <v>37</v>
      </c>
      <c r="C1537" s="157" t="str">
        <f t="shared" si="47"/>
        <v>20.03.2024_KRE2</v>
      </c>
      <c r="D1537" s="190">
        <f t="shared" si="48"/>
        <v>0</v>
      </c>
      <c r="E1537" s="204">
        <v>0</v>
      </c>
      <c r="F1537" s="205">
        <v>1.5989454724289663E-2</v>
      </c>
      <c r="G1537" s="204">
        <v>9.1487796576673511E-2</v>
      </c>
      <c r="H1537" s="204">
        <v>0.10363872644574398</v>
      </c>
      <c r="I1537" s="209">
        <v>15.760999999999999</v>
      </c>
      <c r="J1537" s="207">
        <v>3.6625292394302278</v>
      </c>
      <c r="K1537" s="209">
        <v>47</v>
      </c>
      <c r="L1537" s="209">
        <v>46</v>
      </c>
      <c r="M1537" s="212"/>
      <c r="N1537" s="225"/>
    </row>
    <row r="1538" spans="1:14" ht="16.5" customHeight="1" x14ac:dyDescent="0.25">
      <c r="A1538" s="203">
        <v>45371</v>
      </c>
      <c r="B1538" s="128" t="s">
        <v>18</v>
      </c>
      <c r="C1538" s="157" t="str">
        <f t="shared" si="47"/>
        <v>20.03.2024_ORB1</v>
      </c>
      <c r="D1538" s="190">
        <f t="shared" si="48"/>
        <v>0</v>
      </c>
      <c r="E1538" s="204">
        <v>0</v>
      </c>
      <c r="F1538" s="205">
        <v>7.7223157082147598E-3</v>
      </c>
      <c r="G1538" s="204">
        <v>0</v>
      </c>
      <c r="H1538" s="204">
        <v>1.1400259909031835E-2</v>
      </c>
      <c r="I1538" s="209">
        <v>5.9569999999999999</v>
      </c>
      <c r="J1538" s="207">
        <v>1.3489783991293047</v>
      </c>
      <c r="K1538" s="209">
        <v>8.1189999999999998</v>
      </c>
      <c r="L1538" s="209">
        <v>17.100999999999999</v>
      </c>
      <c r="M1538" s="212"/>
      <c r="N1538" s="225"/>
    </row>
    <row r="1539" spans="1:14" ht="16.5" customHeight="1" x14ac:dyDescent="0.25">
      <c r="A1539" s="203">
        <v>45371</v>
      </c>
      <c r="B1539" s="128" t="s">
        <v>21</v>
      </c>
      <c r="C1539" s="157" t="str">
        <f t="shared" si="47"/>
        <v>20.03.2024_ORB2</v>
      </c>
      <c r="D1539" s="190">
        <f t="shared" si="48"/>
        <v>0</v>
      </c>
      <c r="E1539" s="204">
        <v>3.3463699460174065E-2</v>
      </c>
      <c r="F1539" s="205">
        <v>5.9279111890450887E-3</v>
      </c>
      <c r="G1539" s="204">
        <v>2.8589936430210893E-3</v>
      </c>
      <c r="H1539" s="204">
        <v>4.2491877842755037E-2</v>
      </c>
      <c r="I1539" s="209">
        <v>6.44</v>
      </c>
      <c r="J1539" s="207">
        <v>1.469759432183096</v>
      </c>
      <c r="K1539" s="209">
        <v>11.037000000000001</v>
      </c>
      <c r="L1539" s="209">
        <v>17.783999999999999</v>
      </c>
      <c r="M1539" s="212"/>
      <c r="N1539" s="225"/>
    </row>
    <row r="1540" spans="1:14" ht="16.5" customHeight="1" x14ac:dyDescent="0.25">
      <c r="A1540" s="203">
        <v>45371</v>
      </c>
      <c r="B1540" s="128" t="s">
        <v>10</v>
      </c>
      <c r="C1540" s="157" t="str">
        <f t="shared" si="47"/>
        <v>20.03.2024_SAL1</v>
      </c>
      <c r="D1540" s="190">
        <f t="shared" si="48"/>
        <v>0</v>
      </c>
      <c r="E1540" s="204">
        <v>2.8109507546546217E-2</v>
      </c>
      <c r="F1540" s="205">
        <v>2.1148456422641369E-2</v>
      </c>
      <c r="G1540" s="204">
        <v>1.3341970334098218E-2</v>
      </c>
      <c r="H1540" s="204">
        <v>9.4311241065627022E-2</v>
      </c>
      <c r="I1540" s="209">
        <v>6.7370000000000001</v>
      </c>
      <c r="J1540" s="207">
        <v>1.5607591538871539</v>
      </c>
      <c r="K1540" s="209">
        <v>8.0739999999999998</v>
      </c>
      <c r="L1540" s="209">
        <v>6.9329999999999998</v>
      </c>
      <c r="M1540" s="212"/>
      <c r="N1540" s="225"/>
    </row>
    <row r="1541" spans="1:14" ht="16.5" customHeight="1" x14ac:dyDescent="0.25">
      <c r="A1541" s="203">
        <v>45371</v>
      </c>
      <c r="B1541" s="128" t="s">
        <v>12</v>
      </c>
      <c r="C1541" s="157" t="str">
        <f t="shared" ref="C1541:C1604" si="49">CONCATENATE(TEXT(A1541,"TT.MM.JJJJ"),"_",B1541)</f>
        <v>20.03.2024_SAL2</v>
      </c>
      <c r="D1541" s="190">
        <f t="shared" ref="D1541:D1604" si="50">COUNTBLANK(E1541:L1541)</f>
        <v>0</v>
      </c>
      <c r="E1541" s="204">
        <v>5.3541919136278551E-2</v>
      </c>
      <c r="F1541" s="205">
        <v>1.7335278538808532E-2</v>
      </c>
      <c r="G1541" s="204">
        <v>9.5299788100701392E-3</v>
      </c>
      <c r="H1541" s="204">
        <v>7.6692657569850539E-2</v>
      </c>
      <c r="I1541" s="209">
        <v>6.3159999999999998</v>
      </c>
      <c r="J1541" s="207">
        <v>1.4573439328433722</v>
      </c>
      <c r="K1541" s="209">
        <v>8.5619999999999994</v>
      </c>
      <c r="L1541" s="209">
        <v>7.1829999999999998</v>
      </c>
      <c r="M1541" s="212"/>
      <c r="N1541" s="225"/>
    </row>
    <row r="1542" spans="1:14" ht="16.5" customHeight="1" x14ac:dyDescent="0.25">
      <c r="A1542" s="203">
        <v>45371</v>
      </c>
      <c r="B1542" s="128" t="s">
        <v>7</v>
      </c>
      <c r="C1542" s="157" t="str">
        <f t="shared" si="49"/>
        <v>20.03.2024_STE1</v>
      </c>
      <c r="D1542" s="190">
        <f t="shared" si="50"/>
        <v>0</v>
      </c>
      <c r="E1542" s="204">
        <v>3.7479343395394958E-2</v>
      </c>
      <c r="F1542" s="205">
        <v>1.6053543610795789E-2</v>
      </c>
      <c r="G1542" s="204">
        <v>2.8589936430210498E-3</v>
      </c>
      <c r="H1542" s="204">
        <v>2.798245614035088E-2</v>
      </c>
      <c r="I1542" s="209">
        <v>6.9119999999999999</v>
      </c>
      <c r="J1542" s="207">
        <v>1.5719526787457991</v>
      </c>
      <c r="K1542" s="209">
        <v>9.0150000000000006</v>
      </c>
      <c r="L1542" s="209">
        <v>8.2970000000000006</v>
      </c>
      <c r="M1542" s="212"/>
      <c r="N1542" s="225"/>
    </row>
    <row r="1543" spans="1:14" ht="16.5" customHeight="1" x14ac:dyDescent="0.25">
      <c r="A1543" s="203">
        <v>45371</v>
      </c>
      <c r="B1543" s="128" t="s">
        <v>9</v>
      </c>
      <c r="C1543" s="157" t="str">
        <f t="shared" si="49"/>
        <v>20.03.2024_STE2</v>
      </c>
      <c r="D1543" s="190">
        <f t="shared" si="50"/>
        <v>0</v>
      </c>
      <c r="E1543" s="204">
        <v>6.2911754985127258E-2</v>
      </c>
      <c r="F1543" s="205">
        <v>1.0830491916144803E-2</v>
      </c>
      <c r="G1543" s="204">
        <v>1.1435974572084199E-2</v>
      </c>
      <c r="H1543" s="204">
        <v>2.798245614035088E-2</v>
      </c>
      <c r="I1543" s="209">
        <v>7.032</v>
      </c>
      <c r="J1543" s="207">
        <v>1.6057170186674075</v>
      </c>
      <c r="K1543" s="209">
        <v>10.827</v>
      </c>
      <c r="L1543" s="209">
        <v>8.7230000000000008</v>
      </c>
      <c r="M1543" s="212"/>
      <c r="N1543" s="225"/>
    </row>
    <row r="1544" spans="1:14" ht="16.5" customHeight="1" x14ac:dyDescent="0.25">
      <c r="A1544" s="203">
        <v>45387</v>
      </c>
      <c r="B1544" s="128" t="s">
        <v>22</v>
      </c>
      <c r="C1544" s="157" t="str">
        <f t="shared" si="49"/>
        <v>05.04.2024_BIE1</v>
      </c>
      <c r="D1544" s="190">
        <f t="shared" si="50"/>
        <v>0</v>
      </c>
      <c r="E1544" s="204">
        <v>6.306554706103526E-2</v>
      </c>
      <c r="F1544" s="205">
        <v>1.051006125599485E-2</v>
      </c>
      <c r="G1544" s="204">
        <v>0</v>
      </c>
      <c r="H1544" s="204">
        <v>2.2089459133763374E-2</v>
      </c>
      <c r="I1544" s="209">
        <v>3.3180000000000001</v>
      </c>
      <c r="J1544" s="207">
        <v>0.75322800986248184</v>
      </c>
      <c r="K1544" s="209">
        <v>6.4539999999999997</v>
      </c>
      <c r="L1544" s="209">
        <v>11.053000000000001</v>
      </c>
      <c r="M1544" s="212"/>
      <c r="N1544" s="225"/>
    </row>
    <row r="1545" spans="1:14" ht="16.5" customHeight="1" x14ac:dyDescent="0.25">
      <c r="A1545" s="203">
        <v>45387</v>
      </c>
      <c r="B1545" s="128" t="s">
        <v>25</v>
      </c>
      <c r="C1545" s="157" t="str">
        <f t="shared" si="49"/>
        <v>05.04.2024_BIE2</v>
      </c>
      <c r="D1545" s="190">
        <f t="shared" si="50"/>
        <v>0</v>
      </c>
      <c r="E1545" s="204">
        <v>0</v>
      </c>
      <c r="F1545" s="205">
        <v>5.7676964668296497E-3</v>
      </c>
      <c r="G1545" s="204">
        <v>0</v>
      </c>
      <c r="H1545" s="204">
        <v>2.3316651307861359E-2</v>
      </c>
      <c r="I1545" s="209">
        <v>3.5150000000000001</v>
      </c>
      <c r="J1545" s="207">
        <v>0.79883146501258417</v>
      </c>
      <c r="K1545" s="209">
        <v>7.2590000000000003</v>
      </c>
      <c r="L1545" s="209">
        <v>11.938000000000001</v>
      </c>
      <c r="M1545" s="212"/>
      <c r="N1545" s="225"/>
    </row>
    <row r="1546" spans="1:14" ht="16.5" customHeight="1" x14ac:dyDescent="0.25">
      <c r="A1546" s="203">
        <v>45387</v>
      </c>
      <c r="B1546" s="128" t="s">
        <v>14</v>
      </c>
      <c r="C1546" s="157" t="str">
        <f t="shared" si="49"/>
        <v>05.04.2024_BRA1</v>
      </c>
      <c r="D1546" s="190">
        <f t="shared" si="50"/>
        <v>0</v>
      </c>
      <c r="E1546" s="204">
        <v>0</v>
      </c>
      <c r="F1546" s="205">
        <v>1.3970726310403955E-2</v>
      </c>
      <c r="G1546" s="204">
        <v>0.10295775567501689</v>
      </c>
      <c r="H1546" s="204">
        <v>1.1044729566881725E-2</v>
      </c>
      <c r="I1546" s="209">
        <v>6.4720000000000004</v>
      </c>
      <c r="J1546" s="207">
        <v>1.5451388756207312</v>
      </c>
      <c r="K1546" s="209">
        <v>5.1740000000000004</v>
      </c>
      <c r="L1546" s="209">
        <v>6.3289999999999997</v>
      </c>
      <c r="M1546" s="212"/>
      <c r="N1546" s="225"/>
    </row>
    <row r="1547" spans="1:14" ht="16.5" customHeight="1" x14ac:dyDescent="0.25">
      <c r="A1547" s="203">
        <v>45387</v>
      </c>
      <c r="B1547" s="128" t="s">
        <v>17</v>
      </c>
      <c r="C1547" s="157" t="str">
        <f t="shared" si="49"/>
        <v>05.04.2024_BRA2</v>
      </c>
      <c r="D1547" s="190">
        <f t="shared" si="50"/>
        <v>0</v>
      </c>
      <c r="E1547" s="204">
        <v>2.8976062163178377E-2</v>
      </c>
      <c r="F1547" s="205">
        <v>2.1148457301931226E-2</v>
      </c>
      <c r="G1547" s="204">
        <v>0</v>
      </c>
      <c r="H1547" s="204">
        <v>4.1724533919330807E-2</v>
      </c>
      <c r="I1547" s="209">
        <v>8.3119999999999994</v>
      </c>
      <c r="J1547" s="207">
        <v>1.8901344743517401</v>
      </c>
      <c r="K1547" s="209">
        <v>6.8579999999999997</v>
      </c>
      <c r="L1547" s="209">
        <v>8.1850000000000005</v>
      </c>
      <c r="M1547" s="212"/>
      <c r="N1547" s="225"/>
    </row>
    <row r="1548" spans="1:14" ht="16.5" customHeight="1" x14ac:dyDescent="0.25">
      <c r="A1548" s="203">
        <v>45387</v>
      </c>
      <c r="B1548" s="128" t="s">
        <v>30</v>
      </c>
      <c r="C1548" s="157" t="str">
        <f t="shared" si="49"/>
        <v>05.04.2024_FAL1</v>
      </c>
      <c r="D1548" s="190">
        <f t="shared" si="50"/>
        <v>0</v>
      </c>
      <c r="E1548" s="204">
        <v>0.1022684546935706</v>
      </c>
      <c r="F1548" s="205">
        <v>3.2235634709640609E-2</v>
      </c>
      <c r="G1548" s="204">
        <v>0.1095697216357978</v>
      </c>
      <c r="H1548" s="204">
        <v>0.1398999078471681</v>
      </c>
      <c r="I1548" s="209">
        <v>12.093</v>
      </c>
      <c r="J1548" s="207">
        <v>2.8591182300970504</v>
      </c>
      <c r="K1548" s="209">
        <v>25</v>
      </c>
      <c r="L1548" s="209">
        <v>22.547999999999998</v>
      </c>
      <c r="M1548" s="212"/>
      <c r="N1548" s="225"/>
    </row>
    <row r="1549" spans="1:14" ht="16.5" customHeight="1" x14ac:dyDescent="0.25">
      <c r="A1549" s="203">
        <v>45387</v>
      </c>
      <c r="B1549" s="128" t="s">
        <v>32</v>
      </c>
      <c r="C1549" s="157" t="str">
        <f t="shared" si="49"/>
        <v>05.04.2024_FAL2</v>
      </c>
      <c r="D1549" s="190">
        <f t="shared" si="50"/>
        <v>0</v>
      </c>
      <c r="E1549" s="204">
        <v>9.5450557713999268E-2</v>
      </c>
      <c r="F1549" s="205">
        <v>2.4192605872382058E-2</v>
      </c>
      <c r="G1549" s="204">
        <v>7.2731625568589947E-2</v>
      </c>
      <c r="H1549" s="204">
        <v>0.1619893669809315</v>
      </c>
      <c r="I1549" s="209">
        <v>11.207000000000001</v>
      </c>
      <c r="J1549" s="207">
        <v>2.637118132715099</v>
      </c>
      <c r="K1549" s="209">
        <v>23</v>
      </c>
      <c r="L1549" s="209">
        <v>19.414999999999999</v>
      </c>
      <c r="M1549" s="212"/>
      <c r="N1549" s="225"/>
    </row>
    <row r="1550" spans="1:14" ht="16.5" customHeight="1" x14ac:dyDescent="0.25">
      <c r="A1550" s="203">
        <v>45387</v>
      </c>
      <c r="B1550" s="128" t="s">
        <v>26</v>
      </c>
      <c r="C1550" s="157" t="str">
        <f t="shared" si="49"/>
        <v>05.04.2024_GRU1</v>
      </c>
      <c r="D1550" s="190">
        <f t="shared" si="50"/>
        <v>0</v>
      </c>
      <c r="E1550" s="204">
        <v>0</v>
      </c>
      <c r="F1550" s="205">
        <v>1.2881255919961023E-2</v>
      </c>
      <c r="G1550" s="204">
        <v>0</v>
      </c>
      <c r="H1550" s="204">
        <v>2.0862266959665417E-2</v>
      </c>
      <c r="I1550" s="209">
        <v>4.569</v>
      </c>
      <c r="J1550" s="207">
        <v>1.03835154717587</v>
      </c>
      <c r="K1550" s="209">
        <v>6.3810000000000002</v>
      </c>
      <c r="L1550" s="209">
        <v>10.061</v>
      </c>
      <c r="M1550" s="212"/>
      <c r="N1550" s="225"/>
    </row>
    <row r="1551" spans="1:14" ht="16.5" customHeight="1" x14ac:dyDescent="0.25">
      <c r="A1551" s="203">
        <v>45387</v>
      </c>
      <c r="B1551" s="128" t="s">
        <v>28</v>
      </c>
      <c r="C1551" s="157" t="str">
        <f t="shared" si="49"/>
        <v>05.04.2024_GRU2</v>
      </c>
      <c r="D1551" s="190">
        <f t="shared" si="50"/>
        <v>0</v>
      </c>
      <c r="E1551" s="204">
        <v>0</v>
      </c>
      <c r="F1551" s="205">
        <v>1.28171688817419E-2</v>
      </c>
      <c r="G1551" s="204">
        <v>0</v>
      </c>
      <c r="H1551" s="204">
        <v>4.4178918267526748E-2</v>
      </c>
      <c r="I1551" s="209">
        <v>4.5810000000000004</v>
      </c>
      <c r="J1551" s="207">
        <v>1.0481607416665486</v>
      </c>
      <c r="K1551" s="209">
        <v>6.7480000000000002</v>
      </c>
      <c r="L1551" s="209">
        <v>10.089</v>
      </c>
      <c r="M1551" s="212"/>
      <c r="N1551" s="225"/>
    </row>
    <row r="1552" spans="1:14" ht="16.5" customHeight="1" x14ac:dyDescent="0.25">
      <c r="A1552" s="203">
        <v>45387</v>
      </c>
      <c r="B1552" s="128" t="s">
        <v>0</v>
      </c>
      <c r="C1552" s="157" t="str">
        <f t="shared" si="49"/>
        <v>05.04.2024_KIN1</v>
      </c>
      <c r="D1552" s="190">
        <f t="shared" si="50"/>
        <v>0</v>
      </c>
      <c r="E1552" s="204">
        <v>1.0226845469357071E-2</v>
      </c>
      <c r="F1552" s="205">
        <v>1.2721039192471395E-2</v>
      </c>
      <c r="G1552" s="204">
        <v>0</v>
      </c>
      <c r="H1552" s="204">
        <v>3.6815765222939258E-3</v>
      </c>
      <c r="I1552" s="209">
        <v>4.7789999999999999</v>
      </c>
      <c r="J1552" s="207">
        <v>1.0805535859722124</v>
      </c>
      <c r="K1552" s="209">
        <v>6.9370000000000003</v>
      </c>
      <c r="L1552" s="209">
        <v>7.0010000000000003</v>
      </c>
      <c r="M1552" s="212"/>
      <c r="N1552" s="225"/>
    </row>
    <row r="1553" spans="1:14" ht="16.5" customHeight="1" x14ac:dyDescent="0.25">
      <c r="A1553" s="203">
        <v>45387</v>
      </c>
      <c r="B1553" s="128" t="s">
        <v>2</v>
      </c>
      <c r="C1553" s="157" t="str">
        <f t="shared" si="49"/>
        <v>05.04.2024_KIN2</v>
      </c>
      <c r="D1553" s="190">
        <f t="shared" si="50"/>
        <v>0</v>
      </c>
      <c r="E1553" s="204">
        <v>0</v>
      </c>
      <c r="F1553" s="205">
        <v>8.9079069234462589E-3</v>
      </c>
      <c r="G1553" s="204">
        <v>0</v>
      </c>
      <c r="H1553" s="204">
        <v>3.3134188700645079E-2</v>
      </c>
      <c r="I1553" s="209">
        <v>5.1319999999999997</v>
      </c>
      <c r="J1553" s="207">
        <v>1.1692525437499113</v>
      </c>
      <c r="K1553" s="209">
        <v>7.7089999999999996</v>
      </c>
      <c r="L1553" s="209">
        <v>7.298</v>
      </c>
      <c r="M1553" s="212"/>
      <c r="N1553" s="225"/>
    </row>
    <row r="1554" spans="1:14" ht="16.5" customHeight="1" x14ac:dyDescent="0.25">
      <c r="A1554" s="203">
        <v>45387</v>
      </c>
      <c r="B1554" s="128" t="s">
        <v>4</v>
      </c>
      <c r="C1554" s="157" t="str">
        <f t="shared" si="49"/>
        <v>05.04.2024_KIN3</v>
      </c>
      <c r="D1554" s="190">
        <f t="shared" si="50"/>
        <v>0</v>
      </c>
      <c r="E1554" s="204">
        <v>2.3862639428499807E-2</v>
      </c>
      <c r="F1554" s="205">
        <v>1.3169644597484082E-2</v>
      </c>
      <c r="G1554" s="204">
        <v>0</v>
      </c>
      <c r="H1554" s="204">
        <v>4.2951726093428795E-2</v>
      </c>
      <c r="I1554" s="209">
        <v>5.7220000000000004</v>
      </c>
      <c r="J1554" s="207">
        <v>1.3055047930091443</v>
      </c>
      <c r="K1554" s="209">
        <v>9.8629999999999995</v>
      </c>
      <c r="L1554" s="209">
        <v>10.605</v>
      </c>
      <c r="M1554" s="212"/>
      <c r="N1554" s="225"/>
    </row>
    <row r="1555" spans="1:14" ht="16.5" customHeight="1" x14ac:dyDescent="0.25">
      <c r="A1555" s="203">
        <v>45387</v>
      </c>
      <c r="B1555" s="128" t="s">
        <v>6</v>
      </c>
      <c r="C1555" s="157" t="str">
        <f t="shared" si="49"/>
        <v>05.04.2024_KIN4</v>
      </c>
      <c r="D1555" s="190">
        <f t="shared" si="50"/>
        <v>0</v>
      </c>
      <c r="E1555" s="204">
        <v>6.4770021305928058E-2</v>
      </c>
      <c r="F1555" s="205">
        <v>1.5572891947897738E-2</v>
      </c>
      <c r="G1555" s="204">
        <v>8.2177291226848304E-2</v>
      </c>
      <c r="H1555" s="204">
        <v>5.8905224356702354E-2</v>
      </c>
      <c r="I1555" s="209">
        <v>5.742</v>
      </c>
      <c r="J1555" s="207">
        <v>1.3786890804201333</v>
      </c>
      <c r="K1555" s="209">
        <v>13.387</v>
      </c>
      <c r="L1555" s="209">
        <v>9.9969999999999999</v>
      </c>
      <c r="M1555" s="212"/>
      <c r="N1555" s="225"/>
    </row>
    <row r="1556" spans="1:14" ht="16.5" customHeight="1" x14ac:dyDescent="0.25">
      <c r="A1556" s="203">
        <v>45387</v>
      </c>
      <c r="B1556" s="128" t="s">
        <v>34</v>
      </c>
      <c r="C1556" s="157" t="str">
        <f t="shared" si="49"/>
        <v>05.04.2024_KRE1</v>
      </c>
      <c r="D1556" s="190">
        <f t="shared" si="50"/>
        <v>0</v>
      </c>
      <c r="E1556" s="204">
        <v>5.7952124326356685E-2</v>
      </c>
      <c r="F1556" s="205">
        <v>1.928993094586804E-2</v>
      </c>
      <c r="G1556" s="204">
        <v>0.17191111498030343</v>
      </c>
      <c r="H1556" s="204">
        <v>7.7313106968171855E-2</v>
      </c>
      <c r="I1556" s="209">
        <v>7.2249999999999996</v>
      </c>
      <c r="J1556" s="207">
        <v>1.7889359870875157</v>
      </c>
      <c r="K1556" s="209">
        <v>23</v>
      </c>
      <c r="L1556" s="209">
        <v>22.853999999999999</v>
      </c>
      <c r="M1556" s="212"/>
      <c r="N1556" s="225"/>
    </row>
    <row r="1557" spans="1:14" ht="16.5" customHeight="1" x14ac:dyDescent="0.25">
      <c r="A1557" s="203">
        <v>45387</v>
      </c>
      <c r="B1557" s="128" t="s">
        <v>37</v>
      </c>
      <c r="C1557" s="157" t="str">
        <f t="shared" si="49"/>
        <v>05.04.2024_KRE2</v>
      </c>
      <c r="D1557" s="190">
        <f t="shared" si="50"/>
        <v>0</v>
      </c>
      <c r="E1557" s="204">
        <v>0</v>
      </c>
      <c r="F1557" s="205">
        <v>1.6726452848810344E-2</v>
      </c>
      <c r="G1557" s="204">
        <v>0.27675800378697191</v>
      </c>
      <c r="H1557" s="204">
        <v>0.12394640958389452</v>
      </c>
      <c r="I1557" s="209">
        <v>8.98</v>
      </c>
      <c r="J1557" s="207">
        <v>2.2809479067583625</v>
      </c>
      <c r="K1557" s="209">
        <v>32</v>
      </c>
      <c r="L1557" s="209">
        <v>28.890999999999998</v>
      </c>
      <c r="M1557" s="212"/>
      <c r="N1557" s="225"/>
    </row>
    <row r="1558" spans="1:14" ht="16.5" customHeight="1" x14ac:dyDescent="0.25">
      <c r="A1558" s="203">
        <v>45387</v>
      </c>
      <c r="B1558" s="128" t="s">
        <v>18</v>
      </c>
      <c r="C1558" s="157" t="str">
        <f t="shared" si="49"/>
        <v>05.04.2024_ORB1</v>
      </c>
      <c r="D1558" s="190">
        <f t="shared" si="50"/>
        <v>0</v>
      </c>
      <c r="E1558" s="204">
        <v>1.3635793959142772E-2</v>
      </c>
      <c r="F1558" s="205">
        <v>1.1952003203576171E-2</v>
      </c>
      <c r="G1558" s="204">
        <v>0</v>
      </c>
      <c r="H1558" s="204">
        <v>3.6815765222938973E-2</v>
      </c>
      <c r="I1558" s="209">
        <v>6.85</v>
      </c>
      <c r="J1558" s="207">
        <v>1.5584180597221238</v>
      </c>
      <c r="K1558" s="209">
        <v>9.593</v>
      </c>
      <c r="L1558" s="209">
        <v>15.228999999999999</v>
      </c>
      <c r="M1558" s="212"/>
      <c r="N1558" s="225"/>
    </row>
    <row r="1559" spans="1:14" ht="16.5" customHeight="1" x14ac:dyDescent="0.25">
      <c r="A1559" s="203">
        <v>45387</v>
      </c>
      <c r="B1559" s="128" t="s">
        <v>21</v>
      </c>
      <c r="C1559" s="157" t="str">
        <f t="shared" si="49"/>
        <v>05.04.2024_ORB2</v>
      </c>
      <c r="D1559" s="190">
        <f t="shared" si="50"/>
        <v>0</v>
      </c>
      <c r="E1559" s="204">
        <v>5.6247650081463853E-2</v>
      </c>
      <c r="F1559" s="205">
        <v>9.3565093855929697E-3</v>
      </c>
      <c r="G1559" s="204">
        <v>0</v>
      </c>
      <c r="H1559" s="204">
        <v>7.3631530445878255E-3</v>
      </c>
      <c r="I1559" s="209">
        <v>6.0419999999999998</v>
      </c>
      <c r="J1559" s="207">
        <v>1.3669482519444245</v>
      </c>
      <c r="K1559" s="209">
        <v>12.728</v>
      </c>
      <c r="L1559" s="209">
        <v>15.081</v>
      </c>
      <c r="M1559" s="212"/>
      <c r="N1559" s="225"/>
    </row>
    <row r="1560" spans="1:14" ht="16.5" customHeight="1" x14ac:dyDescent="0.25">
      <c r="A1560" s="203">
        <v>45387</v>
      </c>
      <c r="B1560" s="128" t="s">
        <v>10</v>
      </c>
      <c r="C1560" s="157" t="str">
        <f t="shared" si="49"/>
        <v>05.04.2024_SAL1</v>
      </c>
      <c r="D1560" s="190">
        <f t="shared" si="50"/>
        <v>0</v>
      </c>
      <c r="E1560" s="204">
        <v>2.2158165183606939E-2</v>
      </c>
      <c r="F1560" s="205">
        <v>2.0475543268238718E-2</v>
      </c>
      <c r="G1560" s="204">
        <v>0</v>
      </c>
      <c r="H1560" s="204">
        <v>2.699822783015526E-2</v>
      </c>
      <c r="I1560" s="209">
        <v>6.1980000000000004</v>
      </c>
      <c r="J1560" s="207">
        <v>1.4081618704628909</v>
      </c>
      <c r="K1560" s="209">
        <v>5.5229999999999997</v>
      </c>
      <c r="L1560" s="209">
        <v>6.8319999999999999</v>
      </c>
      <c r="M1560" s="212"/>
      <c r="N1560" s="225"/>
    </row>
    <row r="1561" spans="1:14" ht="16.5" customHeight="1" x14ac:dyDescent="0.25">
      <c r="A1561" s="203">
        <v>45387</v>
      </c>
      <c r="B1561" s="128" t="s">
        <v>12</v>
      </c>
      <c r="C1561" s="157" t="str">
        <f t="shared" si="49"/>
        <v>05.04.2024_SAL2</v>
      </c>
      <c r="D1561" s="190">
        <f t="shared" si="50"/>
        <v>0</v>
      </c>
      <c r="E1561" s="204">
        <v>8.1814763754856523E-2</v>
      </c>
      <c r="F1561" s="205">
        <v>1.8713151253573125E-2</v>
      </c>
      <c r="G1561" s="204">
        <v>0</v>
      </c>
      <c r="H1561" s="204">
        <v>5.6450840008506413E-2</v>
      </c>
      <c r="I1561" s="209">
        <v>6.01</v>
      </c>
      <c r="J1561" s="207">
        <v>1.3746651582405898</v>
      </c>
      <c r="K1561" s="209">
        <v>5.7380000000000004</v>
      </c>
      <c r="L1561" s="209">
        <v>6.9329999999999998</v>
      </c>
      <c r="M1561" s="212"/>
      <c r="N1561" s="225"/>
    </row>
    <row r="1562" spans="1:14" ht="16.5" customHeight="1" x14ac:dyDescent="0.25">
      <c r="A1562" s="203">
        <v>45387</v>
      </c>
      <c r="B1562" s="128" t="s">
        <v>7</v>
      </c>
      <c r="C1562" s="157" t="str">
        <f t="shared" si="49"/>
        <v>05.04.2024_STE1</v>
      </c>
      <c r="D1562" s="190">
        <f t="shared" si="50"/>
        <v>0</v>
      </c>
      <c r="E1562" s="204">
        <v>4.7725278856999613E-2</v>
      </c>
      <c r="F1562" s="205">
        <v>1.6053542614876303E-2</v>
      </c>
      <c r="G1562" s="204">
        <v>0</v>
      </c>
      <c r="H1562" s="204">
        <v>6.1359608704898419E-3</v>
      </c>
      <c r="I1562" s="209">
        <v>5.0519999999999996</v>
      </c>
      <c r="J1562" s="207">
        <v>1.1429633332870204</v>
      </c>
      <c r="K1562" s="209">
        <v>6.0940000000000003</v>
      </c>
      <c r="L1562" s="209">
        <v>6.24</v>
      </c>
      <c r="M1562" s="212"/>
      <c r="N1562" s="225"/>
    </row>
    <row r="1563" spans="1:14" ht="16.5" customHeight="1" x14ac:dyDescent="0.25">
      <c r="A1563" s="203">
        <v>45387</v>
      </c>
      <c r="B1563" s="128" t="s">
        <v>9</v>
      </c>
      <c r="C1563" s="157" t="str">
        <f t="shared" si="49"/>
        <v>05.04.2024_STE2</v>
      </c>
      <c r="D1563" s="190">
        <f t="shared" si="50"/>
        <v>0</v>
      </c>
      <c r="E1563" s="204">
        <v>6.8178969795713792E-2</v>
      </c>
      <c r="F1563" s="205">
        <v>1.6085584969838192E-2</v>
      </c>
      <c r="G1563" s="204">
        <v>1.1334798789910122E-2</v>
      </c>
      <c r="H1563" s="204">
        <v>1.2271921740979659E-2</v>
      </c>
      <c r="I1563" s="209">
        <v>4.5039999999999996</v>
      </c>
      <c r="J1563" s="207">
        <v>1.0298560244864186</v>
      </c>
      <c r="K1563" s="209">
        <v>18.542000000000002</v>
      </c>
      <c r="L1563" s="209">
        <v>5.4980000000000002</v>
      </c>
      <c r="M1563" s="212"/>
      <c r="N1563" s="225"/>
    </row>
    <row r="1564" spans="1:14" ht="16.5" customHeight="1" x14ac:dyDescent="0.25">
      <c r="A1564" s="203">
        <v>45401</v>
      </c>
      <c r="B1564" s="128" t="s">
        <v>22</v>
      </c>
      <c r="C1564" s="157" t="str">
        <f t="shared" si="49"/>
        <v>19.04.2024_BIE1</v>
      </c>
      <c r="D1564" s="190">
        <f t="shared" si="50"/>
        <v>0</v>
      </c>
      <c r="E1564" s="204">
        <v>3.2844191045892111E-2</v>
      </c>
      <c r="F1564" s="205">
        <v>6.2241442310099877E-2</v>
      </c>
      <c r="G1564" s="204">
        <v>0.2338746423927178</v>
      </c>
      <c r="H1564" s="204">
        <v>6.2335056248099714E-2</v>
      </c>
      <c r="I1564" s="209">
        <v>2.883</v>
      </c>
      <c r="J1564" s="207">
        <v>0.85176243894625547</v>
      </c>
      <c r="K1564" s="209">
        <v>4.117</v>
      </c>
      <c r="L1564" s="209">
        <v>6.8680000000000003</v>
      </c>
      <c r="M1564" s="212"/>
      <c r="N1564" s="225"/>
    </row>
    <row r="1565" spans="1:14" ht="16.5" customHeight="1" x14ac:dyDescent="0.25">
      <c r="A1565" s="203">
        <v>45401</v>
      </c>
      <c r="B1565" s="128" t="s">
        <v>25</v>
      </c>
      <c r="C1565" s="157" t="str">
        <f t="shared" si="49"/>
        <v>19.04.2024_BIE2</v>
      </c>
      <c r="D1565" s="190">
        <f t="shared" si="50"/>
        <v>0</v>
      </c>
      <c r="E1565" s="204">
        <v>0</v>
      </c>
      <c r="F1565" s="205">
        <v>4.7950669874641388E-2</v>
      </c>
      <c r="G1565" s="204">
        <v>0.24200156046814042</v>
      </c>
      <c r="H1565" s="204">
        <v>5.6223776223776202E-2</v>
      </c>
      <c r="I1565" s="209">
        <v>2.39</v>
      </c>
      <c r="J1565" s="207">
        <v>0.744858420359235</v>
      </c>
      <c r="K1565" s="209">
        <v>3.66</v>
      </c>
      <c r="L1565" s="209">
        <v>5.8959999999999999</v>
      </c>
      <c r="M1565" s="212"/>
      <c r="N1565" s="225"/>
    </row>
    <row r="1566" spans="1:14" ht="16.5" customHeight="1" x14ac:dyDescent="0.25">
      <c r="A1566" s="203">
        <v>45401</v>
      </c>
      <c r="B1566" s="128" t="s">
        <v>14</v>
      </c>
      <c r="C1566" s="157" t="str">
        <f t="shared" si="49"/>
        <v>19.04.2024_BRA1</v>
      </c>
      <c r="D1566" s="190">
        <f t="shared" si="50"/>
        <v>0</v>
      </c>
      <c r="E1566" s="204">
        <v>0</v>
      </c>
      <c r="F1566" s="205">
        <v>3.5226826177421421E-2</v>
      </c>
      <c r="G1566" s="204">
        <v>4.9664499349804922E-2</v>
      </c>
      <c r="H1566" s="204">
        <v>4.6445728184858634E-2</v>
      </c>
      <c r="I1566" s="209">
        <v>6.444</v>
      </c>
      <c r="J1566" s="207">
        <v>1.50821066904601</v>
      </c>
      <c r="K1566" s="209">
        <v>6.3710000000000004</v>
      </c>
      <c r="L1566" s="209">
        <v>6.6849999999999996</v>
      </c>
      <c r="M1566" s="212"/>
      <c r="N1566" s="225"/>
    </row>
    <row r="1567" spans="1:14" ht="16.5" customHeight="1" x14ac:dyDescent="0.25">
      <c r="A1567" s="203">
        <v>45401</v>
      </c>
      <c r="B1567" s="128" t="s">
        <v>17</v>
      </c>
      <c r="C1567" s="157" t="str">
        <f t="shared" si="49"/>
        <v>19.04.2024_BRA2</v>
      </c>
      <c r="D1567" s="190">
        <f t="shared" si="50"/>
        <v>0</v>
      </c>
      <c r="E1567" s="204">
        <v>0</v>
      </c>
      <c r="F1567" s="205">
        <v>6.6597570017797161E-2</v>
      </c>
      <c r="G1567" s="204">
        <v>0.32778569570871269</v>
      </c>
      <c r="H1567" s="204">
        <v>0.14544846457889934</v>
      </c>
      <c r="I1567" s="209">
        <v>8.2669999999999995</v>
      </c>
      <c r="J1567" s="207">
        <v>2.1660713899019042</v>
      </c>
      <c r="K1567" s="209">
        <v>8.7439999999999998</v>
      </c>
      <c r="L1567" s="209">
        <v>6.8869999999999996</v>
      </c>
      <c r="M1567" s="212"/>
      <c r="N1567" s="225"/>
    </row>
    <row r="1568" spans="1:14" ht="16.5" customHeight="1" x14ac:dyDescent="0.25">
      <c r="A1568" s="203">
        <v>45401</v>
      </c>
      <c r="B1568" s="128" t="s">
        <v>30</v>
      </c>
      <c r="C1568" s="157" t="str">
        <f t="shared" si="49"/>
        <v>19.04.2024_FAL1</v>
      </c>
      <c r="D1568" s="190">
        <f t="shared" si="50"/>
        <v>0</v>
      </c>
      <c r="E1568" s="204">
        <v>4.926628656883791E-3</v>
      </c>
      <c r="F1568" s="205">
        <v>5.3029906142886975E-2</v>
      </c>
      <c r="G1568" s="204">
        <v>0.19685201560468146</v>
      </c>
      <c r="H1568" s="204">
        <v>0.19556096077835206</v>
      </c>
      <c r="I1568" s="209">
        <v>15.417</v>
      </c>
      <c r="J1568" s="207">
        <v>3.6946299461058483</v>
      </c>
      <c r="K1568" s="209">
        <v>36</v>
      </c>
      <c r="L1568" s="209">
        <v>30.347000000000001</v>
      </c>
      <c r="M1568" s="212"/>
      <c r="N1568" s="225"/>
    </row>
    <row r="1569" spans="1:14" ht="16.5" customHeight="1" x14ac:dyDescent="0.25">
      <c r="A1569" s="203">
        <v>45401</v>
      </c>
      <c r="B1569" s="128" t="s">
        <v>32</v>
      </c>
      <c r="C1569" s="157" t="str">
        <f t="shared" si="49"/>
        <v>19.04.2024_FAL2</v>
      </c>
      <c r="D1569" s="190">
        <f t="shared" si="50"/>
        <v>0</v>
      </c>
      <c r="E1569" s="204">
        <v>6.4046172539489701E-2</v>
      </c>
      <c r="F1569" s="205">
        <v>6.1294460899260321E-2</v>
      </c>
      <c r="G1569" s="204">
        <v>0.10474694408322498</v>
      </c>
      <c r="H1569" s="204">
        <v>0.21145028884159314</v>
      </c>
      <c r="I1569" s="209">
        <v>18.266999999999999</v>
      </c>
      <c r="J1569" s="207">
        <v>4.2716782850490054</v>
      </c>
      <c r="K1569" s="209">
        <v>39</v>
      </c>
      <c r="L1569" s="209">
        <v>30.911000000000001</v>
      </c>
      <c r="M1569" s="212"/>
      <c r="N1569" s="225"/>
    </row>
    <row r="1570" spans="1:14" ht="16.5" customHeight="1" x14ac:dyDescent="0.25">
      <c r="A1570" s="203">
        <v>45401</v>
      </c>
      <c r="B1570" s="128" t="s">
        <v>26</v>
      </c>
      <c r="C1570" s="157" t="str">
        <f t="shared" si="49"/>
        <v>19.04.2024_GRU1</v>
      </c>
      <c r="D1570" s="190">
        <f t="shared" si="50"/>
        <v>0</v>
      </c>
      <c r="E1570" s="204">
        <v>0</v>
      </c>
      <c r="F1570" s="205">
        <v>4.2527096555326244E-2</v>
      </c>
      <c r="G1570" s="204">
        <v>3.0701690507152112E-2</v>
      </c>
      <c r="H1570" s="204">
        <v>1.1000304043782336E-2</v>
      </c>
      <c r="I1570" s="209">
        <v>3.952</v>
      </c>
      <c r="J1570" s="207">
        <v>0.91982683822802802</v>
      </c>
      <c r="K1570" s="209">
        <v>7.2229999999999999</v>
      </c>
      <c r="L1570" s="209">
        <v>11.775</v>
      </c>
      <c r="M1570" s="212"/>
      <c r="N1570" s="225"/>
    </row>
    <row r="1571" spans="1:14" ht="16.5" customHeight="1" x14ac:dyDescent="0.25">
      <c r="A1571" s="203">
        <v>45401</v>
      </c>
      <c r="B1571" s="128" t="s">
        <v>28</v>
      </c>
      <c r="C1571" s="157" t="str">
        <f t="shared" si="49"/>
        <v>19.04.2024_GRU2</v>
      </c>
      <c r="D1571" s="190">
        <f t="shared" si="50"/>
        <v>0</v>
      </c>
      <c r="E1571" s="204">
        <v>0</v>
      </c>
      <c r="F1571" s="205">
        <v>2.1297846754969051E-2</v>
      </c>
      <c r="G1571" s="204">
        <v>5.0567490247074118E-2</v>
      </c>
      <c r="H1571" s="204">
        <v>2.56673761021587E-2</v>
      </c>
      <c r="I1571" s="209">
        <v>4.2060000000000004</v>
      </c>
      <c r="J1571" s="207">
        <v>0.99708880315625281</v>
      </c>
      <c r="K1571" s="209">
        <v>7.9580000000000002</v>
      </c>
      <c r="L1571" s="209">
        <v>12.01</v>
      </c>
      <c r="M1571" s="212"/>
      <c r="N1571" s="225"/>
    </row>
    <row r="1572" spans="1:14" ht="16.5" customHeight="1" x14ac:dyDescent="0.25">
      <c r="A1572" s="203">
        <v>45401</v>
      </c>
      <c r="B1572" s="128" t="s">
        <v>0</v>
      </c>
      <c r="C1572" s="157" t="str">
        <f t="shared" si="49"/>
        <v>19.04.2024_KIN1</v>
      </c>
      <c r="D1572" s="190">
        <f t="shared" si="50"/>
        <v>0</v>
      </c>
      <c r="E1572" s="204">
        <v>0</v>
      </c>
      <c r="F1572" s="205">
        <v>2.2279241250390699E-2</v>
      </c>
      <c r="G1572" s="204">
        <v>1.4447854356306918E-2</v>
      </c>
      <c r="H1572" s="204">
        <v>2.56673761021587E-2</v>
      </c>
      <c r="I1572" s="209">
        <v>4.6529999999999996</v>
      </c>
      <c r="J1572" s="207">
        <v>1.0700061570834309</v>
      </c>
      <c r="K1572" s="209">
        <v>8.0960000000000001</v>
      </c>
      <c r="L1572" s="209">
        <v>9.42</v>
      </c>
      <c r="M1572" s="212"/>
      <c r="N1572" s="225"/>
    </row>
    <row r="1573" spans="1:14" ht="16.5" customHeight="1" x14ac:dyDescent="0.25">
      <c r="A1573" s="203">
        <v>45401</v>
      </c>
      <c r="B1573" s="128" t="s">
        <v>2</v>
      </c>
      <c r="C1573" s="157" t="str">
        <f t="shared" si="49"/>
        <v>19.04.2024_KIN2</v>
      </c>
      <c r="D1573" s="190">
        <f t="shared" si="50"/>
        <v>0</v>
      </c>
      <c r="E1573" s="204">
        <v>0</v>
      </c>
      <c r="F1573" s="205">
        <v>2.4345337449066879E-2</v>
      </c>
      <c r="G1573" s="204">
        <v>1.8962808842652813E-2</v>
      </c>
      <c r="H1573" s="204">
        <v>0.11855883247187589</v>
      </c>
      <c r="I1573" s="209">
        <v>6.0229999999999997</v>
      </c>
      <c r="J1573" s="207">
        <v>1.4112346779842939</v>
      </c>
      <c r="K1573" s="209">
        <v>9.7070000000000007</v>
      </c>
      <c r="L1573" s="209">
        <v>10.614000000000001</v>
      </c>
      <c r="M1573" s="212"/>
      <c r="N1573" s="225"/>
    </row>
    <row r="1574" spans="1:14" ht="16.5" customHeight="1" x14ac:dyDescent="0.25">
      <c r="A1574" s="203">
        <v>45401</v>
      </c>
      <c r="B1574" s="128" t="s">
        <v>4</v>
      </c>
      <c r="C1574" s="157" t="str">
        <f t="shared" si="49"/>
        <v>19.04.2024_KIN3</v>
      </c>
      <c r="D1574" s="190">
        <f t="shared" si="50"/>
        <v>0</v>
      </c>
      <c r="E1574" s="204">
        <v>0</v>
      </c>
      <c r="F1574" s="205">
        <v>1.3429492003245143E-2</v>
      </c>
      <c r="G1574" s="204">
        <v>1.8962808842652813E-2</v>
      </c>
      <c r="H1574" s="204">
        <v>2.56673761021587E-2</v>
      </c>
      <c r="I1574" s="209">
        <v>6.4059999999999997</v>
      </c>
      <c r="J1574" s="207">
        <v>1.4694620840925336</v>
      </c>
      <c r="K1574" s="209">
        <v>11.382999999999999</v>
      </c>
      <c r="L1574" s="209">
        <v>11.920999999999999</v>
      </c>
      <c r="M1574" s="212"/>
      <c r="N1574" s="225"/>
    </row>
    <row r="1575" spans="1:14" ht="16.5" customHeight="1" x14ac:dyDescent="0.25">
      <c r="A1575" s="203">
        <v>45401</v>
      </c>
      <c r="B1575" s="128" t="s">
        <v>6</v>
      </c>
      <c r="C1575" s="157" t="str">
        <f t="shared" si="49"/>
        <v>19.04.2024_KIN4</v>
      </c>
      <c r="D1575" s="190">
        <f t="shared" si="50"/>
        <v>0</v>
      </c>
      <c r="E1575" s="204">
        <v>4.926628656883791E-3</v>
      </c>
      <c r="F1575" s="205">
        <v>1.7355055535616823E-2</v>
      </c>
      <c r="G1575" s="204">
        <v>2.6186736020806217E-2</v>
      </c>
      <c r="H1575" s="204">
        <v>4.6445728184858634E-2</v>
      </c>
      <c r="I1575" s="209">
        <v>6.2809999999999997</v>
      </c>
      <c r="J1575" s="207">
        <v>1.4531636105986758</v>
      </c>
      <c r="K1575" s="209">
        <v>16.364000000000001</v>
      </c>
      <c r="L1575" s="209">
        <v>12.317</v>
      </c>
      <c r="M1575" s="212"/>
      <c r="N1575" s="225"/>
    </row>
    <row r="1576" spans="1:14" ht="16.5" customHeight="1" x14ac:dyDescent="0.25">
      <c r="A1576" s="203">
        <v>45401</v>
      </c>
      <c r="B1576" s="128" t="s">
        <v>34</v>
      </c>
      <c r="C1576" s="157" t="str">
        <f t="shared" si="49"/>
        <v>19.04.2024_KRE1</v>
      </c>
      <c r="D1576" s="190">
        <f t="shared" si="50"/>
        <v>0</v>
      </c>
      <c r="E1576" s="204">
        <v>0</v>
      </c>
      <c r="F1576" s="205">
        <v>2.7547792073794999E-2</v>
      </c>
      <c r="G1576" s="204">
        <v>0.19504603381014307</v>
      </c>
      <c r="H1576" s="204">
        <v>0.15644876862268164</v>
      </c>
      <c r="I1576" s="209">
        <v>11.167999999999999</v>
      </c>
      <c r="J1576" s="207">
        <v>2.7215982824004135</v>
      </c>
      <c r="K1576" s="209">
        <v>45</v>
      </c>
      <c r="L1576" s="209">
        <v>33</v>
      </c>
      <c r="M1576" s="212"/>
      <c r="N1576" s="225"/>
    </row>
    <row r="1577" spans="1:14" ht="16.5" customHeight="1" x14ac:dyDescent="0.25">
      <c r="A1577" s="203">
        <v>45401</v>
      </c>
      <c r="B1577" s="128" t="s">
        <v>37</v>
      </c>
      <c r="C1577" s="157" t="str">
        <f t="shared" si="49"/>
        <v>19.04.2024_KRE2</v>
      </c>
      <c r="D1577" s="190">
        <f t="shared" si="50"/>
        <v>0</v>
      </c>
      <c r="E1577" s="204">
        <v>0</v>
      </c>
      <c r="F1577" s="205">
        <v>2.751335700760103E-2</v>
      </c>
      <c r="G1577" s="204">
        <v>0.10294096228868667</v>
      </c>
      <c r="H1577" s="204">
        <v>0.1234478564913347</v>
      </c>
      <c r="I1577" s="209">
        <v>12.521000000000001</v>
      </c>
      <c r="J1577" s="207">
        <v>2.945634597716329</v>
      </c>
      <c r="K1577" s="209">
        <v>46</v>
      </c>
      <c r="L1577" s="209">
        <v>39</v>
      </c>
      <c r="M1577" s="212"/>
      <c r="N1577" s="225"/>
    </row>
    <row r="1578" spans="1:14" ht="16.5" customHeight="1" x14ac:dyDescent="0.25">
      <c r="A1578" s="203">
        <v>45401</v>
      </c>
      <c r="B1578" s="128" t="s">
        <v>18</v>
      </c>
      <c r="C1578" s="157" t="str">
        <f t="shared" si="49"/>
        <v>19.04.2024_ORB1</v>
      </c>
      <c r="D1578" s="190">
        <f t="shared" si="50"/>
        <v>0</v>
      </c>
      <c r="E1578" s="204">
        <v>0</v>
      </c>
      <c r="F1578" s="205">
        <v>4.3594592414201397E-2</v>
      </c>
      <c r="G1578" s="204">
        <v>8.0366189856957107E-2</v>
      </c>
      <c r="H1578" s="204">
        <v>3.666768014594101E-2</v>
      </c>
      <c r="I1578" s="209">
        <v>4.0990000000000002</v>
      </c>
      <c r="J1578" s="207">
        <v>0.99940814798246036</v>
      </c>
      <c r="K1578" s="209">
        <v>6.734</v>
      </c>
      <c r="L1578" s="209">
        <v>8.9359999999999999</v>
      </c>
      <c r="M1578" s="212"/>
      <c r="N1578" s="225"/>
    </row>
    <row r="1579" spans="1:14" ht="16.5" customHeight="1" x14ac:dyDescent="0.25">
      <c r="A1579" s="203">
        <v>45401</v>
      </c>
      <c r="B1579" s="128" t="s">
        <v>21</v>
      </c>
      <c r="C1579" s="157" t="str">
        <f t="shared" si="49"/>
        <v>19.04.2024_ORB2</v>
      </c>
      <c r="D1579" s="190">
        <f t="shared" si="50"/>
        <v>0</v>
      </c>
      <c r="E1579" s="204">
        <v>0.1527254883633985</v>
      </c>
      <c r="F1579" s="205">
        <v>0.23332704911765587</v>
      </c>
      <c r="G1579" s="204">
        <v>0.83526657997399212</v>
      </c>
      <c r="H1579" s="204">
        <v>9.0446944359987833E-2</v>
      </c>
      <c r="I1579" s="209">
        <v>3.5259999999999998</v>
      </c>
      <c r="J1579" s="207">
        <v>1.4725303388944035</v>
      </c>
      <c r="K1579" s="209">
        <v>18.763000000000002</v>
      </c>
      <c r="L1579" s="209">
        <v>9.2230000000000008</v>
      </c>
      <c r="M1579" s="212"/>
      <c r="N1579" s="225"/>
    </row>
    <row r="1580" spans="1:14" ht="16.5" customHeight="1" x14ac:dyDescent="0.25">
      <c r="A1580" s="203">
        <v>45401</v>
      </c>
      <c r="B1580" s="128" t="s">
        <v>10</v>
      </c>
      <c r="C1580" s="157" t="str">
        <f t="shared" si="49"/>
        <v>19.04.2024_SAL1</v>
      </c>
      <c r="D1580" s="190">
        <f t="shared" si="50"/>
        <v>0</v>
      </c>
      <c r="E1580" s="204">
        <v>2.955977194130292E-2</v>
      </c>
      <c r="F1580" s="205">
        <v>8.9566431281692199E-2</v>
      </c>
      <c r="G1580" s="204">
        <v>3.7925617685305592E-2</v>
      </c>
      <c r="H1580" s="204">
        <v>5.3779264214046815E-2</v>
      </c>
      <c r="I1580" s="209">
        <v>5.4370000000000003</v>
      </c>
      <c r="J1580" s="207">
        <v>1.2738771498664294</v>
      </c>
      <c r="K1580" s="209">
        <v>6.8840000000000003</v>
      </c>
      <c r="L1580" s="209">
        <v>6.71</v>
      </c>
      <c r="M1580" s="212"/>
      <c r="N1580" s="225"/>
    </row>
    <row r="1581" spans="1:14" ht="16.5" customHeight="1" x14ac:dyDescent="0.25">
      <c r="A1581" s="203">
        <v>45401</v>
      </c>
      <c r="B1581" s="128" t="s">
        <v>12</v>
      </c>
      <c r="C1581" s="157" t="str">
        <f t="shared" si="49"/>
        <v>19.04.2024_SAL2</v>
      </c>
      <c r="D1581" s="190">
        <f t="shared" si="50"/>
        <v>0</v>
      </c>
      <c r="E1581" s="204">
        <v>2.1348724179829866E-2</v>
      </c>
      <c r="F1581" s="205">
        <v>3.953122555584658E-2</v>
      </c>
      <c r="G1581" s="204">
        <v>3.8828608582574746E-2</v>
      </c>
      <c r="H1581" s="204">
        <v>4.0334448160535115E-2</v>
      </c>
      <c r="I1581" s="209">
        <v>5.2169999999999996</v>
      </c>
      <c r="J1581" s="207">
        <v>1.2207936390207583</v>
      </c>
      <c r="K1581" s="209">
        <v>7.3550000000000004</v>
      </c>
      <c r="L1581" s="209">
        <v>6.9080000000000004</v>
      </c>
      <c r="M1581" s="212"/>
      <c r="N1581" s="225"/>
    </row>
    <row r="1582" spans="1:14" ht="16.5" customHeight="1" x14ac:dyDescent="0.25">
      <c r="A1582" s="203">
        <v>45401</v>
      </c>
      <c r="B1582" s="128" t="s">
        <v>7</v>
      </c>
      <c r="C1582" s="157" t="str">
        <f t="shared" si="49"/>
        <v>19.04.2024_STE1</v>
      </c>
      <c r="D1582" s="190">
        <f t="shared" si="50"/>
        <v>0</v>
      </c>
      <c r="E1582" s="204">
        <v>0</v>
      </c>
      <c r="F1582" s="205">
        <v>2.7702749556699231E-2</v>
      </c>
      <c r="G1582" s="204">
        <v>3.0701690507152112E-2</v>
      </c>
      <c r="H1582" s="204">
        <v>4.2778960170264529E-2</v>
      </c>
      <c r="I1582" s="209">
        <v>4.9290000000000003</v>
      </c>
      <c r="J1582" s="207">
        <v>1.1501768400857355</v>
      </c>
      <c r="K1582" s="209">
        <v>6.8460000000000001</v>
      </c>
      <c r="L1582" s="209">
        <v>6.4809999999999999</v>
      </c>
      <c r="M1582" s="212"/>
      <c r="N1582" s="225"/>
    </row>
    <row r="1583" spans="1:14" ht="16.5" customHeight="1" x14ac:dyDescent="0.25">
      <c r="A1583" s="203">
        <v>45401</v>
      </c>
      <c r="B1583" s="128" t="s">
        <v>9</v>
      </c>
      <c r="C1583" s="157" t="str">
        <f t="shared" si="49"/>
        <v>19.04.2024_STE2</v>
      </c>
      <c r="D1583" s="190">
        <f t="shared" si="50"/>
        <v>0</v>
      </c>
      <c r="E1583" s="204">
        <v>4.926628656883791E-3</v>
      </c>
      <c r="F1583" s="205">
        <v>2.3846030898882251E-2</v>
      </c>
      <c r="G1583" s="204">
        <v>3.25076723016905E-2</v>
      </c>
      <c r="H1583" s="204">
        <v>3.0556400121617523E-2</v>
      </c>
      <c r="I1583" s="209">
        <v>5.5620000000000003</v>
      </c>
      <c r="J1583" s="207">
        <v>1.290833718482566</v>
      </c>
      <c r="K1583" s="209">
        <v>9.42</v>
      </c>
      <c r="L1583" s="209">
        <v>7.7080000000000002</v>
      </c>
      <c r="M1583" s="212"/>
      <c r="N1583" s="225"/>
    </row>
    <row r="1584" spans="1:14" ht="16.5" customHeight="1" x14ac:dyDescent="0.25">
      <c r="A1584" s="203">
        <v>45411</v>
      </c>
      <c r="B1584" s="128" t="s">
        <v>22</v>
      </c>
      <c r="C1584" s="157" t="str">
        <f t="shared" si="49"/>
        <v>29.04.2024_BIE1</v>
      </c>
      <c r="D1584" s="190">
        <f t="shared" si="50"/>
        <v>0</v>
      </c>
      <c r="E1584" s="204">
        <v>0.18833778252358069</v>
      </c>
      <c r="F1584" s="205">
        <v>7.1836511414004101E-2</v>
      </c>
      <c r="G1584" s="204">
        <v>0.62728007171394118</v>
      </c>
      <c r="H1584" s="204">
        <v>4.746139985160587E-2</v>
      </c>
      <c r="I1584" s="209">
        <v>3.9129999999999998</v>
      </c>
      <c r="J1584" s="207">
        <v>1.3853556360699795</v>
      </c>
      <c r="K1584" s="209">
        <v>6.6769999999999996</v>
      </c>
      <c r="L1584" s="209">
        <v>15.031000000000001</v>
      </c>
      <c r="M1584" s="212">
        <v>4.8739999999999997</v>
      </c>
      <c r="N1584" s="225"/>
    </row>
    <row r="1585" spans="1:14" ht="16.5" customHeight="1" x14ac:dyDescent="0.25">
      <c r="A1585" s="203">
        <v>45411</v>
      </c>
      <c r="B1585" s="128" t="s">
        <v>25</v>
      </c>
      <c r="C1585" s="157" t="str">
        <f t="shared" si="49"/>
        <v>29.04.2024_BIE2</v>
      </c>
      <c r="D1585" s="190">
        <f t="shared" si="50"/>
        <v>0</v>
      </c>
      <c r="E1585" s="204">
        <v>6.9898558462359872E-2</v>
      </c>
      <c r="F1585" s="205">
        <v>7.1928630791868689E-2</v>
      </c>
      <c r="G1585" s="204">
        <v>0.6676258037384214</v>
      </c>
      <c r="H1585" s="204">
        <v>7.1192099777408827E-2</v>
      </c>
      <c r="I1585" s="209">
        <v>4.1269999999999998</v>
      </c>
      <c r="J1585" s="207">
        <v>1.472244685122079</v>
      </c>
      <c r="K1585" s="209">
        <v>6.899</v>
      </c>
      <c r="L1585" s="209">
        <v>14.831</v>
      </c>
      <c r="M1585" s="212">
        <v>6.351</v>
      </c>
      <c r="N1585" s="225"/>
    </row>
    <row r="1586" spans="1:14" ht="16.5" customHeight="1" x14ac:dyDescent="0.25">
      <c r="A1586" s="203">
        <v>45411</v>
      </c>
      <c r="B1586" s="128" t="s">
        <v>14</v>
      </c>
      <c r="C1586" s="157" t="str">
        <f t="shared" si="49"/>
        <v>29.04.2024_BRA1</v>
      </c>
      <c r="D1586" s="190">
        <f t="shared" si="50"/>
        <v>0</v>
      </c>
      <c r="E1586" s="204">
        <v>1.9416266239544689E-3</v>
      </c>
      <c r="F1586" s="205">
        <v>5.6467902357745722E-2</v>
      </c>
      <c r="G1586" s="204">
        <v>4.6109408027977299E-2</v>
      </c>
      <c r="H1586" s="204">
        <v>0</v>
      </c>
      <c r="I1586" s="209">
        <v>4.2279999999999998</v>
      </c>
      <c r="J1586" s="207">
        <v>0.99078185423964404</v>
      </c>
      <c r="K1586" s="209">
        <v>5.7759999999999998</v>
      </c>
      <c r="L1586" s="209">
        <v>5.1029999999999998</v>
      </c>
      <c r="M1586" s="212">
        <v>9.9130000000000003</v>
      </c>
      <c r="N1586" s="225"/>
    </row>
    <row r="1587" spans="1:14" ht="16.5" customHeight="1" x14ac:dyDescent="0.25">
      <c r="A1587" s="203">
        <v>45411</v>
      </c>
      <c r="B1587" s="128" t="s">
        <v>17</v>
      </c>
      <c r="C1587" s="157" t="str">
        <f t="shared" si="49"/>
        <v>29.04.2024_BRA2</v>
      </c>
      <c r="D1587" s="190">
        <f t="shared" si="50"/>
        <v>0</v>
      </c>
      <c r="E1587" s="204">
        <v>4.271578572699767E-2</v>
      </c>
      <c r="F1587" s="205">
        <v>6.0951036406650241E-2</v>
      </c>
      <c r="G1587" s="204">
        <v>5.7636760034971632E-2</v>
      </c>
      <c r="H1587" s="204">
        <v>0</v>
      </c>
      <c r="I1587" s="209">
        <v>5.3470000000000004</v>
      </c>
      <c r="J1587" s="207">
        <v>1.2524812577995552</v>
      </c>
      <c r="K1587" s="209">
        <v>7.2560000000000002</v>
      </c>
      <c r="L1587" s="209">
        <v>5.5940000000000003</v>
      </c>
      <c r="M1587" s="212">
        <v>7.2679999999999998</v>
      </c>
      <c r="N1587" s="225"/>
    </row>
    <row r="1588" spans="1:14" ht="16.5" customHeight="1" x14ac:dyDescent="0.25">
      <c r="A1588" s="203">
        <v>45411</v>
      </c>
      <c r="B1588" s="128" t="s">
        <v>30</v>
      </c>
      <c r="C1588" s="157" t="str">
        <f t="shared" si="49"/>
        <v>29.04.2024_FAL1</v>
      </c>
      <c r="D1588" s="190">
        <f t="shared" si="50"/>
        <v>0</v>
      </c>
      <c r="E1588" s="204">
        <v>8.3489944830040991E-2</v>
      </c>
      <c r="F1588" s="205">
        <v>7.5214248274961981E-2</v>
      </c>
      <c r="G1588" s="204">
        <v>0.30451421551810004</v>
      </c>
      <c r="H1588" s="204">
        <v>0.2497968413242414</v>
      </c>
      <c r="I1588" s="209">
        <v>15.587</v>
      </c>
      <c r="J1588" s="207">
        <v>3.8331385815488144</v>
      </c>
      <c r="K1588" s="209">
        <v>36</v>
      </c>
      <c r="L1588" s="209">
        <v>30</v>
      </c>
      <c r="M1588" s="212">
        <v>6.3639999999999999</v>
      </c>
      <c r="N1588" s="225"/>
    </row>
    <row r="1589" spans="1:14" ht="16.5" customHeight="1" x14ac:dyDescent="0.25">
      <c r="A1589" s="203">
        <v>45411</v>
      </c>
      <c r="B1589" s="128" t="s">
        <v>32</v>
      </c>
      <c r="C1589" s="157" t="str">
        <f t="shared" si="49"/>
        <v>29.04.2024_FAL2</v>
      </c>
      <c r="D1589" s="190">
        <f t="shared" si="50"/>
        <v>0</v>
      </c>
      <c r="E1589" s="204">
        <v>0.12038085068517525</v>
      </c>
      <c r="F1589" s="205">
        <v>6.2946958206944847E-2</v>
      </c>
      <c r="G1589" s="204">
        <v>9.0297590721455559E-2</v>
      </c>
      <c r="H1589" s="204">
        <v>0.19983747305939306</v>
      </c>
      <c r="I1589" s="209">
        <v>17.518999999999998</v>
      </c>
      <c r="J1589" s="207">
        <v>4.0879722248922343</v>
      </c>
      <c r="K1589" s="209">
        <v>38</v>
      </c>
      <c r="L1589" s="209">
        <v>31</v>
      </c>
      <c r="M1589" s="212">
        <v>6.16</v>
      </c>
      <c r="N1589" s="225"/>
    </row>
    <row r="1590" spans="1:14" ht="16.5" customHeight="1" x14ac:dyDescent="0.25">
      <c r="A1590" s="203">
        <v>45411</v>
      </c>
      <c r="B1590" s="128" t="s">
        <v>26</v>
      </c>
      <c r="C1590" s="157" t="str">
        <f t="shared" si="49"/>
        <v>29.04.2024_GRU1</v>
      </c>
      <c r="D1590" s="190">
        <f t="shared" si="50"/>
        <v>0</v>
      </c>
      <c r="E1590" s="204">
        <v>0</v>
      </c>
      <c r="F1590" s="205">
        <v>2.3228650649517013E-2</v>
      </c>
      <c r="G1590" s="204">
        <v>2.9778992684735297E-2</v>
      </c>
      <c r="H1590" s="204">
        <v>0</v>
      </c>
      <c r="I1590" s="209">
        <v>3.65</v>
      </c>
      <c r="J1590" s="207">
        <v>0.84754859002977001</v>
      </c>
      <c r="K1590" s="209">
        <v>5.9980000000000002</v>
      </c>
      <c r="L1590" s="209">
        <v>13.349</v>
      </c>
      <c r="M1590" s="212">
        <v>7.9029999999999996</v>
      </c>
      <c r="N1590" s="225"/>
    </row>
    <row r="1591" spans="1:14" ht="16.5" customHeight="1" x14ac:dyDescent="0.25">
      <c r="A1591" s="203">
        <v>45411</v>
      </c>
      <c r="B1591" s="128" t="s">
        <v>28</v>
      </c>
      <c r="C1591" s="157" t="str">
        <f t="shared" si="49"/>
        <v>29.04.2024_GRU2</v>
      </c>
      <c r="D1591" s="190">
        <f t="shared" si="50"/>
        <v>0</v>
      </c>
      <c r="E1591" s="204">
        <v>0</v>
      </c>
      <c r="F1591" s="205">
        <v>2.1892955476510698E-2</v>
      </c>
      <c r="G1591" s="204">
        <v>4.8030633362476344E-2</v>
      </c>
      <c r="H1591" s="204">
        <v>0</v>
      </c>
      <c r="I1591" s="209">
        <v>3.6240000000000001</v>
      </c>
      <c r="J1591" s="207">
        <v>0.85584818649962924</v>
      </c>
      <c r="K1591" s="209">
        <v>6.9939999999999998</v>
      </c>
      <c r="L1591" s="209">
        <v>12.454000000000001</v>
      </c>
      <c r="M1591" s="212">
        <v>8.843</v>
      </c>
      <c r="N1591" s="225"/>
    </row>
    <row r="1592" spans="1:14" ht="16.5" customHeight="1" x14ac:dyDescent="0.25">
      <c r="A1592" s="203">
        <v>45411</v>
      </c>
      <c r="B1592" s="128" t="s">
        <v>0</v>
      </c>
      <c r="C1592" s="157" t="str">
        <f t="shared" si="49"/>
        <v>29.04.2024_KIN1</v>
      </c>
      <c r="D1592" s="190">
        <f t="shared" si="50"/>
        <v>0</v>
      </c>
      <c r="E1592" s="204">
        <v>5.8248798718633261E-3</v>
      </c>
      <c r="F1592" s="205">
        <v>1.8607456114151079E-2</v>
      </c>
      <c r="G1592" s="204">
        <v>2.7857767350236297E-2</v>
      </c>
      <c r="H1592" s="204">
        <v>0</v>
      </c>
      <c r="I1592" s="209">
        <v>3.82</v>
      </c>
      <c r="J1592" s="207">
        <v>0.88445467776978492</v>
      </c>
      <c r="K1592" s="209">
        <v>6.5430000000000001</v>
      </c>
      <c r="L1592" s="209">
        <v>9.5150000000000006</v>
      </c>
      <c r="M1592" s="212">
        <v>5.9340000000000002</v>
      </c>
      <c r="N1592" s="225"/>
    </row>
    <row r="1593" spans="1:14" ht="16.5" customHeight="1" x14ac:dyDescent="0.25">
      <c r="A1593" s="203">
        <v>45411</v>
      </c>
      <c r="B1593" s="128" t="s">
        <v>2</v>
      </c>
      <c r="C1593" s="157" t="str">
        <f t="shared" si="49"/>
        <v>29.04.2024_KIN2</v>
      </c>
      <c r="D1593" s="190">
        <f t="shared" si="50"/>
        <v>0</v>
      </c>
      <c r="E1593" s="204">
        <v>3.8832532479088975E-3</v>
      </c>
      <c r="F1593" s="205">
        <v>2.5700459036547888E-2</v>
      </c>
      <c r="G1593" s="204">
        <v>5.2833696698723967E-2</v>
      </c>
      <c r="H1593" s="204">
        <v>0</v>
      </c>
      <c r="I1593" s="209">
        <v>5.0279999999999996</v>
      </c>
      <c r="J1593" s="207">
        <v>1.1766991971495921</v>
      </c>
      <c r="K1593" s="209">
        <v>8.0690000000000008</v>
      </c>
      <c r="L1593" s="209">
        <v>10.510999999999999</v>
      </c>
      <c r="M1593" s="212">
        <v>4.3540000000000001</v>
      </c>
      <c r="N1593" s="225"/>
    </row>
    <row r="1594" spans="1:14" ht="16.5" customHeight="1" x14ac:dyDescent="0.25">
      <c r="A1594" s="203">
        <v>45411</v>
      </c>
      <c r="B1594" s="128" t="s">
        <v>4</v>
      </c>
      <c r="C1594" s="157" t="str">
        <f t="shared" si="49"/>
        <v>29.04.2024_KIN3</v>
      </c>
      <c r="D1594" s="190">
        <f t="shared" si="50"/>
        <v>0</v>
      </c>
      <c r="E1594" s="204">
        <v>2.3299519487453263E-2</v>
      </c>
      <c r="F1594" s="205">
        <v>1.6780476356643328E-2</v>
      </c>
      <c r="G1594" s="204">
        <v>3.746389402273155E-2</v>
      </c>
      <c r="H1594" s="204">
        <v>0</v>
      </c>
      <c r="I1594" s="209">
        <v>5.3280000000000003</v>
      </c>
      <c r="J1594" s="207">
        <v>1.2325256990697109</v>
      </c>
      <c r="K1594" s="209">
        <v>9.7010000000000005</v>
      </c>
      <c r="L1594" s="209">
        <v>11.759</v>
      </c>
      <c r="M1594" s="212">
        <v>4.1989999999999998</v>
      </c>
      <c r="N1594" s="225"/>
    </row>
    <row r="1595" spans="1:14" ht="16.5" customHeight="1" x14ac:dyDescent="0.25">
      <c r="A1595" s="203">
        <v>45411</v>
      </c>
      <c r="B1595" s="128" t="s">
        <v>6</v>
      </c>
      <c r="C1595" s="157" t="str">
        <f t="shared" si="49"/>
        <v>29.04.2024_KIN4</v>
      </c>
      <c r="D1595" s="190">
        <f t="shared" si="50"/>
        <v>0</v>
      </c>
      <c r="E1595" s="204">
        <v>4.271578572699767E-2</v>
      </c>
      <c r="F1595" s="205">
        <v>2.1954366668363087E-2</v>
      </c>
      <c r="G1595" s="204">
        <v>3.4582056020982965E-2</v>
      </c>
      <c r="H1595" s="204">
        <v>0</v>
      </c>
      <c r="I1595" s="209">
        <v>5.7489999999999997</v>
      </c>
      <c r="J1595" s="207">
        <v>1.3253792506797328</v>
      </c>
      <c r="K1595" s="209">
        <v>12.83</v>
      </c>
      <c r="L1595" s="209">
        <v>12.36</v>
      </c>
      <c r="M1595" s="212">
        <v>7.7249999999999996</v>
      </c>
      <c r="N1595" s="225"/>
    </row>
    <row r="1596" spans="1:14" ht="16.5" customHeight="1" x14ac:dyDescent="0.25">
      <c r="A1596" s="203">
        <v>45411</v>
      </c>
      <c r="B1596" s="128" t="s">
        <v>34</v>
      </c>
      <c r="C1596" s="157" t="str">
        <f t="shared" si="49"/>
        <v>29.04.2024_KRE1</v>
      </c>
      <c r="D1596" s="190">
        <f t="shared" si="50"/>
        <v>0</v>
      </c>
      <c r="E1596" s="204">
        <v>0</v>
      </c>
      <c r="F1596" s="205">
        <v>3.0429145978838851E-2</v>
      </c>
      <c r="G1596" s="204">
        <v>0.16522537876691865</v>
      </c>
      <c r="H1596" s="204">
        <v>0.16611489948062053</v>
      </c>
      <c r="I1596" s="209">
        <v>9.23</v>
      </c>
      <c r="J1596" s="207">
        <v>2.2636496355055997</v>
      </c>
      <c r="K1596" s="209">
        <v>49</v>
      </c>
      <c r="L1596" s="209">
        <v>34</v>
      </c>
      <c r="M1596" s="212">
        <v>5.9119999999999999</v>
      </c>
      <c r="N1596" s="225"/>
    </row>
    <row r="1597" spans="1:14" ht="16.5" customHeight="1" x14ac:dyDescent="0.25">
      <c r="A1597" s="203">
        <v>45411</v>
      </c>
      <c r="B1597" s="128" t="s">
        <v>37</v>
      </c>
      <c r="C1597" s="157" t="str">
        <f t="shared" si="49"/>
        <v>29.04.2024_KRE2</v>
      </c>
      <c r="D1597" s="190">
        <f t="shared" si="50"/>
        <v>0</v>
      </c>
      <c r="E1597" s="204">
        <v>0</v>
      </c>
      <c r="F1597" s="205">
        <v>3.3484377924216484E-2</v>
      </c>
      <c r="G1597" s="204">
        <v>0.17675273077391299</v>
      </c>
      <c r="H1597" s="204">
        <v>3.4971557785393778E-2</v>
      </c>
      <c r="I1597" s="209">
        <v>10.547000000000001</v>
      </c>
      <c r="J1597" s="207">
        <v>2.5301447086863988</v>
      </c>
      <c r="K1597" s="209">
        <v>49</v>
      </c>
      <c r="L1597" s="209">
        <v>40</v>
      </c>
      <c r="M1597" s="212">
        <v>5.5469999999999997</v>
      </c>
      <c r="N1597" s="225"/>
    </row>
    <row r="1598" spans="1:14" ht="16.5" customHeight="1" x14ac:dyDescent="0.25">
      <c r="A1598" s="203">
        <v>45411</v>
      </c>
      <c r="B1598" s="128" t="s">
        <v>18</v>
      </c>
      <c r="C1598" s="157" t="str">
        <f t="shared" si="49"/>
        <v>29.04.2024_ORB1</v>
      </c>
      <c r="D1598" s="190">
        <f t="shared" si="50"/>
        <v>0</v>
      </c>
      <c r="E1598" s="204">
        <v>0</v>
      </c>
      <c r="F1598" s="205">
        <v>2.0357674376224922E-2</v>
      </c>
      <c r="G1598" s="204">
        <v>4.7070020695226804E-2</v>
      </c>
      <c r="H1598" s="204">
        <v>0</v>
      </c>
      <c r="I1598" s="209">
        <v>4.9980000000000002</v>
      </c>
      <c r="J1598" s="207">
        <v>1.1654476603696367</v>
      </c>
      <c r="K1598" s="209">
        <v>7.6349999999999998</v>
      </c>
      <c r="L1598" s="209">
        <v>15.183999999999999</v>
      </c>
      <c r="M1598" s="212">
        <v>5.2869999999999999</v>
      </c>
      <c r="N1598" s="225"/>
    </row>
    <row r="1599" spans="1:14" ht="16.5" customHeight="1" x14ac:dyDescent="0.25">
      <c r="A1599" s="203">
        <v>45411</v>
      </c>
      <c r="B1599" s="128" t="s">
        <v>21</v>
      </c>
      <c r="C1599" s="157" t="str">
        <f t="shared" si="49"/>
        <v>29.04.2024_ORB2</v>
      </c>
      <c r="D1599" s="190">
        <f t="shared" si="50"/>
        <v>0</v>
      </c>
      <c r="E1599" s="204">
        <v>0</v>
      </c>
      <c r="F1599" s="205">
        <v>1.8699572704901087E-2</v>
      </c>
      <c r="G1599" s="204">
        <v>3.266083068648392E-2</v>
      </c>
      <c r="H1599" s="204">
        <v>0</v>
      </c>
      <c r="I1599" s="209">
        <v>5.3479999999999999</v>
      </c>
      <c r="J1599" s="207">
        <v>1.2333135684197478</v>
      </c>
      <c r="K1599" s="209">
        <v>9.9250000000000007</v>
      </c>
      <c r="L1599" s="209">
        <v>16.257999999999999</v>
      </c>
      <c r="M1599" s="212">
        <v>8.16</v>
      </c>
      <c r="N1599" s="225"/>
    </row>
    <row r="1600" spans="1:14" ht="16.5" customHeight="1" x14ac:dyDescent="0.25">
      <c r="A1600" s="203">
        <v>45411</v>
      </c>
      <c r="B1600" s="128" t="s">
        <v>10</v>
      </c>
      <c r="C1600" s="157" t="str">
        <f t="shared" si="49"/>
        <v>29.04.2024_SAL1</v>
      </c>
      <c r="D1600" s="190">
        <f t="shared" si="50"/>
        <v>0</v>
      </c>
      <c r="E1600" s="204">
        <v>5.242391884676989E-2</v>
      </c>
      <c r="F1600" s="205">
        <v>4.7517028121006784E-2</v>
      </c>
      <c r="G1600" s="204">
        <v>4.2266957358979174E-2</v>
      </c>
      <c r="H1600" s="204">
        <v>0</v>
      </c>
      <c r="I1600" s="209">
        <v>5.093</v>
      </c>
      <c r="J1600" s="207">
        <v>1.1831757797196738</v>
      </c>
      <c r="K1600" s="209">
        <v>6.492</v>
      </c>
      <c r="L1600" s="209">
        <v>6.1449999999999996</v>
      </c>
      <c r="M1600" s="212">
        <v>5.3460000000000001</v>
      </c>
      <c r="N1600" s="225"/>
    </row>
    <row r="1601" spans="1:14" ht="16.5" customHeight="1" x14ac:dyDescent="0.25">
      <c r="A1601" s="203">
        <v>45411</v>
      </c>
      <c r="B1601" s="128" t="s">
        <v>12</v>
      </c>
      <c r="C1601" s="157" t="str">
        <f t="shared" si="49"/>
        <v>29.04.2024_SAL2</v>
      </c>
      <c r="D1601" s="190">
        <f t="shared" si="50"/>
        <v>0</v>
      </c>
      <c r="E1601" s="204">
        <v>0.10096458444563089</v>
      </c>
      <c r="F1601" s="205">
        <v>4.3325642928890865E-2</v>
      </c>
      <c r="G1601" s="204">
        <v>4.9951858696975382E-2</v>
      </c>
      <c r="H1601" s="204">
        <v>0</v>
      </c>
      <c r="I1601" s="209">
        <v>4.7939999999999996</v>
      </c>
      <c r="J1601" s="207">
        <v>1.1216078987596143</v>
      </c>
      <c r="K1601" s="209">
        <v>6.5869999999999997</v>
      </c>
      <c r="L1601" s="209">
        <v>6.4219999999999997</v>
      </c>
      <c r="M1601" s="212">
        <v>6.1909999999999998</v>
      </c>
      <c r="N1601" s="225"/>
    </row>
    <row r="1602" spans="1:14" ht="16.5" customHeight="1" x14ac:dyDescent="0.25">
      <c r="A1602" s="203">
        <v>45411</v>
      </c>
      <c r="B1602" s="128" t="s">
        <v>7</v>
      </c>
      <c r="C1602" s="157" t="str">
        <f t="shared" si="49"/>
        <v>29.04.2024_STE1</v>
      </c>
      <c r="D1602" s="190">
        <f t="shared" si="50"/>
        <v>0</v>
      </c>
      <c r="E1602" s="204">
        <v>9.7081331197722241E-3</v>
      </c>
      <c r="F1602" s="205">
        <v>2.252242125182111E-2</v>
      </c>
      <c r="G1602" s="204">
        <v>3.746389402273155E-2</v>
      </c>
      <c r="H1602" s="204">
        <v>0</v>
      </c>
      <c r="I1602" s="209">
        <v>5.5979999999999999</v>
      </c>
      <c r="J1602" s="207">
        <v>1.2935105990697107</v>
      </c>
      <c r="K1602" s="209">
        <v>7.1360000000000001</v>
      </c>
      <c r="L1602" s="209">
        <v>7.617</v>
      </c>
      <c r="M1602" s="212">
        <v>7.0529999999999999</v>
      </c>
      <c r="N1602" s="225"/>
    </row>
    <row r="1603" spans="1:14" ht="16.5" customHeight="1" x14ac:dyDescent="0.25">
      <c r="A1603" s="203">
        <v>45411</v>
      </c>
      <c r="B1603" s="128" t="s">
        <v>9</v>
      </c>
      <c r="C1603" s="157" t="str">
        <f t="shared" si="49"/>
        <v>29.04.2024_STE2</v>
      </c>
      <c r="D1603" s="190">
        <f t="shared" si="50"/>
        <v>0</v>
      </c>
      <c r="E1603" s="204">
        <v>2.1357892863498835E-2</v>
      </c>
      <c r="F1603" s="205">
        <v>2.7619567549037834E-2</v>
      </c>
      <c r="G1603" s="204">
        <v>5.2833696698723967E-2</v>
      </c>
      <c r="H1603" s="204">
        <v>0</v>
      </c>
      <c r="I1603" s="209">
        <v>5.5350000000000001</v>
      </c>
      <c r="J1603" s="207">
        <v>1.2912152871495923</v>
      </c>
      <c r="K1603" s="209">
        <v>8.3379999999999992</v>
      </c>
      <c r="L1603" s="209">
        <v>7.4509999999999996</v>
      </c>
      <c r="M1603" s="212">
        <v>3.8580000000000001</v>
      </c>
      <c r="N1603" s="225"/>
    </row>
    <row r="1604" spans="1:14" ht="16.5" customHeight="1" x14ac:dyDescent="0.25">
      <c r="A1604" s="203">
        <v>45425</v>
      </c>
      <c r="B1604" s="128" t="s">
        <v>22</v>
      </c>
      <c r="C1604" s="157" t="str">
        <f t="shared" si="49"/>
        <v>13.05.2024_BIE1</v>
      </c>
      <c r="D1604" s="190">
        <f t="shared" si="50"/>
        <v>0</v>
      </c>
      <c r="E1604" s="204">
        <v>0.14952518465041376</v>
      </c>
      <c r="F1604" s="205">
        <v>1.7502056317280686E-2</v>
      </c>
      <c r="G1604" s="204">
        <v>7.7194047980564826E-2</v>
      </c>
      <c r="H1604" s="204">
        <v>2.0632546601977147E-2</v>
      </c>
      <c r="I1604" s="209">
        <v>3.585</v>
      </c>
      <c r="J1604" s="207">
        <v>0.8759659351294008</v>
      </c>
      <c r="K1604" s="209">
        <v>5.7350000000000003</v>
      </c>
      <c r="L1604" s="209">
        <v>14.004</v>
      </c>
      <c r="M1604" s="212">
        <v>6.2110000000000003</v>
      </c>
      <c r="N1604" s="225"/>
    </row>
    <row r="1605" spans="1:14" ht="16.5" customHeight="1" x14ac:dyDescent="0.25">
      <c r="A1605" s="203">
        <v>45425</v>
      </c>
      <c r="B1605" s="128" t="s">
        <v>25</v>
      </c>
      <c r="C1605" s="157" t="str">
        <f t="shared" ref="C1605:C1668" si="51">CONCATENATE(TEXT(A1605,"TT.MM.JJJJ"),"_",B1605)</f>
        <v>13.05.2024_BIE2</v>
      </c>
      <c r="D1605" s="190">
        <f t="shared" ref="D1605:D1668" si="52">COUNTBLANK(E1605:L1605)</f>
        <v>0</v>
      </c>
      <c r="E1605" s="204">
        <v>0</v>
      </c>
      <c r="F1605" s="205">
        <v>2.2307481580002769E-2</v>
      </c>
      <c r="G1605" s="204">
        <v>3.3890069845126013E-2</v>
      </c>
      <c r="H1605" s="204">
        <v>0</v>
      </c>
      <c r="I1605" s="209">
        <v>3.6459999999999999</v>
      </c>
      <c r="J1605" s="207">
        <v>0.84983732033404191</v>
      </c>
      <c r="K1605" s="209">
        <v>5.9950000000000001</v>
      </c>
      <c r="L1605" s="209">
        <v>14.132</v>
      </c>
      <c r="M1605" s="212">
        <v>3.9710000000000001</v>
      </c>
      <c r="N1605" s="225"/>
    </row>
    <row r="1606" spans="1:14" ht="16.5" customHeight="1" x14ac:dyDescent="0.25">
      <c r="A1606" s="203">
        <v>45425</v>
      </c>
      <c r="B1606" s="128" t="s">
        <v>14</v>
      </c>
      <c r="C1606" s="157" t="str">
        <f t="shared" si="51"/>
        <v>13.05.2024_BRA1</v>
      </c>
      <c r="D1606" s="190">
        <f t="shared" si="52"/>
        <v>0</v>
      </c>
      <c r="E1606" s="204">
        <v>0</v>
      </c>
      <c r="F1606" s="205">
        <v>3.1611320944762288E-2</v>
      </c>
      <c r="G1606" s="204">
        <v>4.0479805648344941E-2</v>
      </c>
      <c r="H1606" s="204">
        <v>0</v>
      </c>
      <c r="I1606" s="209">
        <v>5.5730000000000004</v>
      </c>
      <c r="J1606" s="207">
        <v>1.2902056742878834</v>
      </c>
      <c r="K1606" s="209">
        <v>5.4279999999999999</v>
      </c>
      <c r="L1606" s="209">
        <v>6.4210000000000003</v>
      </c>
      <c r="M1606" s="212">
        <v>3.6970000000000001</v>
      </c>
      <c r="N1606" s="225"/>
    </row>
    <row r="1607" spans="1:14" ht="16.5" customHeight="1" x14ac:dyDescent="0.25">
      <c r="A1607" s="203">
        <v>45425</v>
      </c>
      <c r="B1607" s="128" t="s">
        <v>17</v>
      </c>
      <c r="C1607" s="157" t="str">
        <f t="shared" si="51"/>
        <v>13.05.2024_BRA2</v>
      </c>
      <c r="D1607" s="190">
        <f t="shared" si="52"/>
        <v>0</v>
      </c>
      <c r="E1607" s="204">
        <v>0</v>
      </c>
      <c r="F1607" s="205">
        <v>5.1769838602113684E-2</v>
      </c>
      <c r="G1607" s="204">
        <v>6.8721530519283314E-2</v>
      </c>
      <c r="H1607" s="204">
        <v>1.8053478276730015E-2</v>
      </c>
      <c r="I1607" s="209">
        <v>8.2850000000000001</v>
      </c>
      <c r="J1607" s="207">
        <v>1.9301909126942687</v>
      </c>
      <c r="K1607" s="209">
        <v>7.8070000000000004</v>
      </c>
      <c r="L1607" s="209">
        <v>7.0860000000000003</v>
      </c>
      <c r="M1607" s="212">
        <v>5.9790000000000001</v>
      </c>
      <c r="N1607" s="225"/>
    </row>
    <row r="1608" spans="1:14" ht="16.5" customHeight="1" x14ac:dyDescent="0.25">
      <c r="A1608" s="203">
        <v>45425</v>
      </c>
      <c r="B1608" s="128" t="s">
        <v>30</v>
      </c>
      <c r="C1608" s="157" t="str">
        <f t="shared" si="51"/>
        <v>13.05.2024_FAL1</v>
      </c>
      <c r="D1608" s="190">
        <f t="shared" si="52"/>
        <v>0</v>
      </c>
      <c r="E1608" s="204">
        <v>4.186705170211584E-2</v>
      </c>
      <c r="F1608" s="205">
        <v>6.9211094023707231E-2</v>
      </c>
      <c r="G1608" s="204">
        <v>0.28147585788035218</v>
      </c>
      <c r="H1608" s="204">
        <v>0.27724984496406818</v>
      </c>
      <c r="I1608" s="209">
        <v>11.516</v>
      </c>
      <c r="J1608" s="207">
        <v>2.9040908241848253</v>
      </c>
      <c r="K1608" s="209">
        <v>35</v>
      </c>
      <c r="L1608" s="209">
        <v>28</v>
      </c>
      <c r="M1608" s="212">
        <v>7.1079999999999997</v>
      </c>
      <c r="N1608" s="225"/>
    </row>
    <row r="1609" spans="1:14" ht="16.5" customHeight="1" x14ac:dyDescent="0.25">
      <c r="A1609" s="203">
        <v>45425</v>
      </c>
      <c r="B1609" s="128" t="s">
        <v>32</v>
      </c>
      <c r="C1609" s="157" t="str">
        <f t="shared" si="51"/>
        <v>13.05.2024_FAL2</v>
      </c>
      <c r="D1609" s="190">
        <f t="shared" si="52"/>
        <v>0</v>
      </c>
      <c r="E1609" s="204">
        <v>5.5822735602821166E-2</v>
      </c>
      <c r="F1609" s="205">
        <v>6.1611225201122145E-2</v>
      </c>
      <c r="G1609" s="204">
        <v>0.15532948679016093</v>
      </c>
      <c r="H1609" s="204">
        <v>0.2192208076460074</v>
      </c>
      <c r="I1609" s="209">
        <v>15.945</v>
      </c>
      <c r="J1609" s="207">
        <v>3.7888507180855187</v>
      </c>
      <c r="K1609" s="209">
        <v>33</v>
      </c>
      <c r="L1609" s="209">
        <v>27</v>
      </c>
      <c r="M1609" s="212">
        <v>8.4529999999999994</v>
      </c>
      <c r="N1609" s="225"/>
    </row>
    <row r="1610" spans="1:14" ht="16.5" customHeight="1" x14ac:dyDescent="0.25">
      <c r="A1610" s="203">
        <v>45425</v>
      </c>
      <c r="B1610" s="128" t="s">
        <v>26</v>
      </c>
      <c r="C1610" s="157" t="str">
        <f t="shared" si="51"/>
        <v>13.05.2024_GRU1</v>
      </c>
      <c r="D1610" s="190">
        <f t="shared" si="52"/>
        <v>0</v>
      </c>
      <c r="E1610" s="204">
        <v>0</v>
      </c>
      <c r="F1610" s="205">
        <v>4.017827304068352E-2</v>
      </c>
      <c r="G1610" s="204">
        <v>3.8597023990282392E-2</v>
      </c>
      <c r="H1610" s="204">
        <v>0</v>
      </c>
      <c r="I1610" s="209">
        <v>4.2450000000000001</v>
      </c>
      <c r="J1610" s="207">
        <v>0.98878835315821434</v>
      </c>
      <c r="K1610" s="209">
        <v>6.29</v>
      </c>
      <c r="L1610" s="209">
        <v>13.289</v>
      </c>
      <c r="M1610" s="212">
        <v>8.8000000000000007</v>
      </c>
      <c r="N1610" s="225"/>
    </row>
    <row r="1611" spans="1:14" ht="16.5" customHeight="1" x14ac:dyDescent="0.25">
      <c r="A1611" s="203">
        <v>45425</v>
      </c>
      <c r="B1611" s="128" t="s">
        <v>28</v>
      </c>
      <c r="C1611" s="157" t="str">
        <f t="shared" si="51"/>
        <v>13.05.2024_GRU2</v>
      </c>
      <c r="D1611" s="190">
        <f t="shared" si="52"/>
        <v>0</v>
      </c>
      <c r="E1611" s="204">
        <v>0</v>
      </c>
      <c r="F1611" s="205">
        <v>2.5669754063236423E-2</v>
      </c>
      <c r="G1611" s="204">
        <v>9.1314910416034012E-2</v>
      </c>
      <c r="H1611" s="204">
        <v>0</v>
      </c>
      <c r="I1611" s="209">
        <v>4.1260000000000003</v>
      </c>
      <c r="J1611" s="207">
        <v>1.0028447347889462</v>
      </c>
      <c r="K1611" s="209">
        <v>7.0119999999999996</v>
      </c>
      <c r="L1611" s="209">
        <v>12.12</v>
      </c>
      <c r="M1611" s="212">
        <v>7.1929999999999996</v>
      </c>
      <c r="N1611" s="225"/>
    </row>
    <row r="1612" spans="1:14" ht="16.5" customHeight="1" x14ac:dyDescent="0.25">
      <c r="A1612" s="203">
        <v>45425</v>
      </c>
      <c r="B1612" s="128" t="s">
        <v>0</v>
      </c>
      <c r="C1612" s="157" t="str">
        <f t="shared" si="51"/>
        <v>13.05.2024_KIN1</v>
      </c>
      <c r="D1612" s="190">
        <f t="shared" si="52"/>
        <v>0</v>
      </c>
      <c r="E1612" s="204">
        <v>0</v>
      </c>
      <c r="F1612" s="205">
        <v>1.9375095157560154E-2</v>
      </c>
      <c r="G1612" s="204">
        <v>2.9183115699969592E-2</v>
      </c>
      <c r="H1612" s="204">
        <v>0</v>
      </c>
      <c r="I1612" s="209">
        <v>4.17</v>
      </c>
      <c r="J1612" s="207">
        <v>0.9645382975098693</v>
      </c>
      <c r="K1612" s="209">
        <v>6.48</v>
      </c>
      <c r="L1612" s="209">
        <v>9.7720000000000002</v>
      </c>
      <c r="M1612" s="212">
        <v>3.7570000000000001</v>
      </c>
      <c r="N1612" s="225"/>
    </row>
    <row r="1613" spans="1:14" ht="16.5" customHeight="1" x14ac:dyDescent="0.25">
      <c r="A1613" s="203">
        <v>45425</v>
      </c>
      <c r="B1613" s="128" t="s">
        <v>2</v>
      </c>
      <c r="C1613" s="157" t="str">
        <f t="shared" si="51"/>
        <v>13.05.2024_KIN2</v>
      </c>
      <c r="D1613" s="190">
        <f t="shared" si="52"/>
        <v>0</v>
      </c>
      <c r="E1613" s="204">
        <v>0</v>
      </c>
      <c r="F1613" s="205">
        <v>1.4968850835644429E-2</v>
      </c>
      <c r="G1613" s="204">
        <v>6.2131794716064385E-2</v>
      </c>
      <c r="H1613" s="204">
        <v>0</v>
      </c>
      <c r="I1613" s="209">
        <v>5.7560000000000002</v>
      </c>
      <c r="J1613" s="207">
        <v>1.3483524372790767</v>
      </c>
      <c r="K1613" s="209">
        <v>8.6609999999999996</v>
      </c>
      <c r="L1613" s="209">
        <v>11.281000000000001</v>
      </c>
      <c r="M1613" s="212">
        <v>5.8410000000000002</v>
      </c>
      <c r="N1613" s="225"/>
    </row>
    <row r="1614" spans="1:14" ht="16.5" customHeight="1" x14ac:dyDescent="0.25">
      <c r="A1614" s="203">
        <v>45425</v>
      </c>
      <c r="B1614" s="128" t="s">
        <v>4</v>
      </c>
      <c r="C1614" s="157" t="str">
        <f t="shared" si="51"/>
        <v>13.05.2024_KIN3</v>
      </c>
      <c r="D1614" s="190">
        <f t="shared" si="52"/>
        <v>0</v>
      </c>
      <c r="E1614" s="204">
        <v>0</v>
      </c>
      <c r="F1614" s="205">
        <v>2.0373026992563058E-2</v>
      </c>
      <c r="G1614" s="204">
        <v>3.3890069845126013E-2</v>
      </c>
      <c r="H1614" s="204">
        <v>0</v>
      </c>
      <c r="I1614" s="209">
        <v>6.2</v>
      </c>
      <c r="J1614" s="207">
        <v>1.4267093003340419</v>
      </c>
      <c r="K1614" s="209">
        <v>10.314</v>
      </c>
      <c r="L1614" s="209">
        <v>12.743</v>
      </c>
      <c r="M1614" s="212">
        <v>4.141</v>
      </c>
      <c r="N1614" s="225"/>
    </row>
    <row r="1615" spans="1:14" ht="16.5" customHeight="1" x14ac:dyDescent="0.25">
      <c r="A1615" s="203">
        <v>45425</v>
      </c>
      <c r="B1615" s="128" t="s">
        <v>6</v>
      </c>
      <c r="C1615" s="157" t="str">
        <f t="shared" si="51"/>
        <v>13.05.2024_KIN4</v>
      </c>
      <c r="D1615" s="190">
        <f t="shared" si="52"/>
        <v>0</v>
      </c>
      <c r="E1615" s="204">
        <v>3.1898706058754903E-2</v>
      </c>
      <c r="F1615" s="205">
        <v>2.0910375312105871E-2</v>
      </c>
      <c r="G1615" s="204">
        <v>3.2948679016094717E-2</v>
      </c>
      <c r="H1615" s="204">
        <v>3.3527888228212878E-2</v>
      </c>
      <c r="I1615" s="209">
        <v>6.6559999999999997</v>
      </c>
      <c r="J1615" s="207">
        <v>1.5391826053402866</v>
      </c>
      <c r="K1615" s="209">
        <v>15.042999999999999</v>
      </c>
      <c r="L1615" s="209">
        <v>13.113</v>
      </c>
      <c r="M1615" s="212">
        <v>4.3140000000000001</v>
      </c>
      <c r="N1615" s="225"/>
    </row>
    <row r="1616" spans="1:14" ht="16.5" customHeight="1" x14ac:dyDescent="0.25">
      <c r="A1616" s="203">
        <v>45425</v>
      </c>
      <c r="B1616" s="128" t="s">
        <v>34</v>
      </c>
      <c r="C1616" s="157" t="str">
        <f t="shared" si="51"/>
        <v>13.05.2024_KRE1</v>
      </c>
      <c r="D1616" s="190">
        <f t="shared" si="52"/>
        <v>0</v>
      </c>
      <c r="E1616" s="204">
        <v>0</v>
      </c>
      <c r="F1616" s="205">
        <v>4.4262178472858259E-2</v>
      </c>
      <c r="G1616" s="204">
        <v>0.42550865472213784</v>
      </c>
      <c r="H1616" s="204">
        <v>0.37267537299821252</v>
      </c>
      <c r="I1616" s="209">
        <v>10.167</v>
      </c>
      <c r="J1616" s="207">
        <v>2.7402845226144983</v>
      </c>
      <c r="K1616" s="209">
        <v>50</v>
      </c>
      <c r="L1616" s="209">
        <v>33</v>
      </c>
      <c r="M1616" s="212">
        <v>6.4950000000000001</v>
      </c>
      <c r="N1616" s="225"/>
    </row>
    <row r="1617" spans="1:14" ht="16.5" customHeight="1" x14ac:dyDescent="0.25">
      <c r="A1617" s="203">
        <v>45425</v>
      </c>
      <c r="B1617" s="128" t="s">
        <v>37</v>
      </c>
      <c r="C1617" s="157" t="str">
        <f t="shared" si="51"/>
        <v>13.05.2024_KRE2</v>
      </c>
      <c r="D1617" s="190">
        <f t="shared" si="52"/>
        <v>0</v>
      </c>
      <c r="E1617" s="204">
        <v>0</v>
      </c>
      <c r="F1617" s="205">
        <v>8.2061867904224164E-2</v>
      </c>
      <c r="G1617" s="204">
        <v>2.8542969936228366</v>
      </c>
      <c r="H1617" s="204">
        <v>0.18440338525517092</v>
      </c>
      <c r="I1617" s="209">
        <v>21.677</v>
      </c>
      <c r="J1617" s="207">
        <v>7.1686586732191335</v>
      </c>
      <c r="K1617" s="209">
        <v>54</v>
      </c>
      <c r="L1617" s="209">
        <v>38</v>
      </c>
      <c r="M1617" s="212">
        <v>6.4359999999999999</v>
      </c>
      <c r="N1617" s="225"/>
    </row>
    <row r="1618" spans="1:14" ht="16.5" customHeight="1" x14ac:dyDescent="0.25">
      <c r="A1618" s="203">
        <v>45425</v>
      </c>
      <c r="B1618" s="128" t="s">
        <v>18</v>
      </c>
      <c r="C1618" s="157" t="str">
        <f t="shared" si="51"/>
        <v>13.05.2024_ORB1</v>
      </c>
      <c r="D1618" s="190">
        <f t="shared" si="52"/>
        <v>0</v>
      </c>
      <c r="E1618" s="204">
        <v>0</v>
      </c>
      <c r="F1618" s="205">
        <v>2.2338186918238401E-2</v>
      </c>
      <c r="G1618" s="204">
        <v>6.495596720315823E-2</v>
      </c>
      <c r="H1618" s="204">
        <v>0</v>
      </c>
      <c r="I1618" s="209">
        <v>5.5279999999999996</v>
      </c>
      <c r="J1618" s="207">
        <v>1.2990470189735803</v>
      </c>
      <c r="K1618" s="209">
        <v>7.4770000000000003</v>
      </c>
      <c r="L1618" s="209">
        <v>15.086</v>
      </c>
      <c r="M1618" s="212">
        <v>3.8370000000000002</v>
      </c>
      <c r="N1618" s="225"/>
    </row>
    <row r="1619" spans="1:14" ht="16.5" customHeight="1" x14ac:dyDescent="0.25">
      <c r="A1619" s="203">
        <v>45425</v>
      </c>
      <c r="B1619" s="128" t="s">
        <v>21</v>
      </c>
      <c r="C1619" s="157" t="str">
        <f t="shared" si="51"/>
        <v>13.05.2024_ORB2</v>
      </c>
      <c r="D1619" s="190">
        <f t="shared" si="52"/>
        <v>0</v>
      </c>
      <c r="E1619" s="204">
        <v>0</v>
      </c>
      <c r="F1619" s="205">
        <v>2.1509134668743893E-2</v>
      </c>
      <c r="G1619" s="204">
        <v>3.1065897358032175E-2</v>
      </c>
      <c r="H1619" s="204">
        <v>0</v>
      </c>
      <c r="I1619" s="209">
        <v>5.6390000000000002</v>
      </c>
      <c r="J1619" s="207">
        <v>1.2978032886395385</v>
      </c>
      <c r="K1619" s="209">
        <v>10.632</v>
      </c>
      <c r="L1619" s="209">
        <v>16.401</v>
      </c>
      <c r="M1619" s="212">
        <v>3.8359999999999999</v>
      </c>
      <c r="N1619" s="225"/>
    </row>
    <row r="1620" spans="1:14" ht="16.5" customHeight="1" x14ac:dyDescent="0.25">
      <c r="A1620" s="203">
        <v>45425</v>
      </c>
      <c r="B1620" s="128" t="s">
        <v>10</v>
      </c>
      <c r="C1620" s="157" t="str">
        <f t="shared" si="51"/>
        <v>13.05.2024_SAL1</v>
      </c>
      <c r="D1620" s="190">
        <f t="shared" si="52"/>
        <v>0</v>
      </c>
      <c r="E1620" s="204">
        <v>4.3860720830788055E-2</v>
      </c>
      <c r="F1620" s="205">
        <v>5.7204855075955581E-2</v>
      </c>
      <c r="G1620" s="204">
        <v>4.0479805648344941E-2</v>
      </c>
      <c r="H1620" s="204">
        <v>1.2895341626235703E-2</v>
      </c>
      <c r="I1620" s="209">
        <v>6.4080000000000004</v>
      </c>
      <c r="J1620" s="207">
        <v>1.4827331110459909</v>
      </c>
      <c r="K1620" s="209">
        <v>6.7510000000000003</v>
      </c>
      <c r="L1620" s="209">
        <v>6.3440000000000003</v>
      </c>
      <c r="M1620" s="212">
        <v>7.9139999999999997</v>
      </c>
      <c r="N1620" s="225"/>
    </row>
    <row r="1621" spans="1:14" ht="16.5" customHeight="1" x14ac:dyDescent="0.25">
      <c r="A1621" s="203">
        <v>45425</v>
      </c>
      <c r="B1621" s="128" t="s">
        <v>12</v>
      </c>
      <c r="C1621" s="157" t="str">
        <f t="shared" si="51"/>
        <v>13.05.2024_SAL2</v>
      </c>
      <c r="D1621" s="190">
        <f t="shared" si="52"/>
        <v>0</v>
      </c>
      <c r="E1621" s="204">
        <v>6.9778419503526409E-2</v>
      </c>
      <c r="F1621" s="205">
        <v>6.2071823010446815E-2</v>
      </c>
      <c r="G1621" s="204">
        <v>4.2362587306407525E-2</v>
      </c>
      <c r="H1621" s="204">
        <v>5.1581366504943136E-3</v>
      </c>
      <c r="I1621" s="209">
        <v>6.2140000000000004</v>
      </c>
      <c r="J1621" s="207">
        <v>1.4380207001207954</v>
      </c>
      <c r="K1621" s="209">
        <v>7.2949999999999999</v>
      </c>
      <c r="L1621" s="209">
        <v>6.9950000000000001</v>
      </c>
      <c r="M1621" s="212">
        <v>4.0979999999999999</v>
      </c>
      <c r="N1621" s="225"/>
    </row>
    <row r="1622" spans="1:14" ht="16.5" customHeight="1" x14ac:dyDescent="0.25">
      <c r="A1622" s="203">
        <v>45425</v>
      </c>
      <c r="B1622" s="128" t="s">
        <v>7</v>
      </c>
      <c r="C1622" s="157" t="str">
        <f t="shared" si="51"/>
        <v>13.05.2024_STE1</v>
      </c>
      <c r="D1622" s="190">
        <f t="shared" si="52"/>
        <v>0</v>
      </c>
      <c r="E1622" s="204">
        <v>2.9905036930082732E-2</v>
      </c>
      <c r="F1622" s="205">
        <v>3.5357436617485999E-2</v>
      </c>
      <c r="G1622" s="204">
        <v>3.2948679016094717E-2</v>
      </c>
      <c r="H1622" s="204">
        <v>6.4476708131178785E-3</v>
      </c>
      <c r="I1622" s="209">
        <v>6.952</v>
      </c>
      <c r="J1622" s="207">
        <v>1.597795553148261</v>
      </c>
      <c r="K1622" s="209">
        <v>7.7380000000000004</v>
      </c>
      <c r="L1622" s="209">
        <v>7.7830000000000004</v>
      </c>
      <c r="M1622" s="212">
        <v>7.3739999999999997</v>
      </c>
      <c r="N1622" s="225"/>
    </row>
    <row r="1623" spans="1:14" ht="16.5" customHeight="1" x14ac:dyDescent="0.25">
      <c r="A1623" s="203">
        <v>45425</v>
      </c>
      <c r="B1623" s="128" t="s">
        <v>9</v>
      </c>
      <c r="C1623" s="157" t="str">
        <f t="shared" si="51"/>
        <v>13.05.2024_STE2</v>
      </c>
      <c r="D1623" s="190">
        <f t="shared" si="52"/>
        <v>0</v>
      </c>
      <c r="E1623" s="204">
        <v>7.974676514688684E-3</v>
      </c>
      <c r="F1623" s="205">
        <v>2.7450685211324499E-2</v>
      </c>
      <c r="G1623" s="204">
        <v>5.2717886425751585E-2</v>
      </c>
      <c r="H1623" s="204">
        <v>0</v>
      </c>
      <c r="I1623" s="209">
        <v>7.0709999999999997</v>
      </c>
      <c r="J1623" s="207">
        <v>1.6372764842791101</v>
      </c>
      <c r="K1623" s="209">
        <v>8.9429999999999996</v>
      </c>
      <c r="L1623" s="209">
        <v>8.0399999999999991</v>
      </c>
      <c r="M1623" s="212">
        <v>3.7109999999999999</v>
      </c>
      <c r="N1623" s="225"/>
    </row>
    <row r="1624" spans="1:14" ht="16.5" customHeight="1" x14ac:dyDescent="0.25">
      <c r="A1624" s="203">
        <v>45439</v>
      </c>
      <c r="B1624" s="128" t="s">
        <v>22</v>
      </c>
      <c r="C1624" s="157" t="str">
        <f t="shared" si="51"/>
        <v>27.05.2024_BIE1</v>
      </c>
      <c r="D1624" s="190">
        <f t="shared" si="52"/>
        <v>0</v>
      </c>
      <c r="E1624" s="204">
        <v>8.7767257856603012E-2</v>
      </c>
      <c r="F1624" s="205">
        <v>1.336352748414376E-2</v>
      </c>
      <c r="G1624" s="204">
        <v>8.3101889129761533E-2</v>
      </c>
      <c r="H1624" s="204">
        <v>3.4929999999999999</v>
      </c>
      <c r="I1624" s="209">
        <v>6.7707560107192741E-2</v>
      </c>
      <c r="J1624" s="207">
        <v>0.86683852349318979</v>
      </c>
      <c r="K1624" s="209">
        <v>5.8890000000000002</v>
      </c>
      <c r="L1624" s="209">
        <v>13.262</v>
      </c>
      <c r="M1624" s="212"/>
      <c r="N1624" s="225"/>
    </row>
    <row r="1625" spans="1:14" ht="16.5" customHeight="1" x14ac:dyDescent="0.25">
      <c r="A1625" s="203">
        <v>45439</v>
      </c>
      <c r="B1625" s="128" t="s">
        <v>25</v>
      </c>
      <c r="C1625" s="157" t="str">
        <f t="shared" si="51"/>
        <v>27.05.2024_BIE2</v>
      </c>
      <c r="D1625" s="190">
        <f t="shared" si="52"/>
        <v>0</v>
      </c>
      <c r="E1625" s="204">
        <v>0</v>
      </c>
      <c r="F1625" s="205">
        <v>1.9218611011110678E-2</v>
      </c>
      <c r="G1625" s="204">
        <v>0.15950201300712297</v>
      </c>
      <c r="H1625" s="204">
        <v>3.6230000000000002</v>
      </c>
      <c r="I1625" s="209">
        <v>3.9314067159015129E-2</v>
      </c>
      <c r="J1625" s="207">
        <v>0.89741437786832223</v>
      </c>
      <c r="K1625" s="209">
        <v>6.3620000000000001</v>
      </c>
      <c r="L1625" s="209">
        <v>13.278</v>
      </c>
      <c r="M1625" s="213"/>
      <c r="N1625" s="226"/>
    </row>
    <row r="1626" spans="1:14" ht="16.5" customHeight="1" x14ac:dyDescent="0.25">
      <c r="A1626" s="203">
        <v>45439</v>
      </c>
      <c r="B1626" s="128" t="s">
        <v>14</v>
      </c>
      <c r="C1626" s="157" t="str">
        <f t="shared" si="51"/>
        <v>27.05.2024_BRA1</v>
      </c>
      <c r="D1626" s="190">
        <f t="shared" si="52"/>
        <v>0</v>
      </c>
      <c r="E1626" s="204">
        <v>0</v>
      </c>
      <c r="F1626" s="205">
        <v>3.3477080782885117E-2</v>
      </c>
      <c r="G1626" s="204">
        <v>5.093341591824091E-2</v>
      </c>
      <c r="H1626" s="204">
        <v>6.226</v>
      </c>
      <c r="I1626" s="209">
        <v>5.8971100738522714E-2</v>
      </c>
      <c r="J1626" s="207">
        <v>1.4675637684887639</v>
      </c>
      <c r="K1626" s="209">
        <v>5.4909999999999997</v>
      </c>
      <c r="L1626" s="209">
        <v>5.7960000000000003</v>
      </c>
      <c r="M1626" s="213"/>
      <c r="N1626" s="226"/>
    </row>
    <row r="1627" spans="1:14" ht="16.5" customHeight="1" x14ac:dyDescent="0.25">
      <c r="A1627" s="203">
        <v>45439</v>
      </c>
      <c r="B1627" s="128" t="s">
        <v>17</v>
      </c>
      <c r="C1627" s="157" t="str">
        <f t="shared" si="51"/>
        <v>27.05.2024_BRA2</v>
      </c>
      <c r="D1627" s="190">
        <f t="shared" si="52"/>
        <v>0</v>
      </c>
      <c r="E1627" s="204">
        <v>0</v>
      </c>
      <c r="F1627" s="205">
        <v>3.3749412729972401E-2</v>
      </c>
      <c r="G1627" s="204">
        <v>6.2996593372561152E-2</v>
      </c>
      <c r="H1627" s="204">
        <v>5.3179999999999996</v>
      </c>
      <c r="I1627" s="209">
        <v>0.10374545500295665</v>
      </c>
      <c r="J1627" s="207">
        <v>1.3009132812075217</v>
      </c>
      <c r="K1627" s="209">
        <v>4.6870000000000003</v>
      </c>
      <c r="L1627" s="209">
        <v>4.4710000000000001</v>
      </c>
      <c r="M1627" s="213"/>
      <c r="N1627" s="226"/>
    </row>
    <row r="1628" spans="1:14" ht="16.5" customHeight="1" x14ac:dyDescent="0.25">
      <c r="A1628" s="203">
        <v>45439</v>
      </c>
      <c r="B1628" s="128" t="s">
        <v>30</v>
      </c>
      <c r="C1628" s="157" t="str">
        <f t="shared" si="51"/>
        <v>27.05.2024_FAL1</v>
      </c>
      <c r="D1628" s="190">
        <f t="shared" si="52"/>
        <v>0</v>
      </c>
      <c r="E1628" s="204">
        <v>4.9468818064630861E-2</v>
      </c>
      <c r="F1628" s="205">
        <v>7.2304239404132289E-2</v>
      </c>
      <c r="G1628" s="204">
        <v>0.27343202229792507</v>
      </c>
      <c r="H1628" s="204">
        <v>14.103999999999999</v>
      </c>
      <c r="I1628" s="209">
        <v>0.21513531195349955</v>
      </c>
      <c r="J1628" s="207">
        <v>3.435967277567376</v>
      </c>
      <c r="K1628" s="209">
        <v>37</v>
      </c>
      <c r="L1628" s="209">
        <v>30.417999999999999</v>
      </c>
      <c r="M1628" s="213"/>
      <c r="N1628" s="226"/>
    </row>
    <row r="1629" spans="1:14" ht="16.5" customHeight="1" x14ac:dyDescent="0.25">
      <c r="A1629" s="203">
        <v>45439</v>
      </c>
      <c r="B1629" s="128" t="s">
        <v>32</v>
      </c>
      <c r="C1629" s="157" t="str">
        <f t="shared" si="51"/>
        <v>27.05.2024_FAL2</v>
      </c>
      <c r="D1629" s="190">
        <f t="shared" si="52"/>
        <v>0</v>
      </c>
      <c r="E1629" s="204">
        <v>6.5426501311285939E-2</v>
      </c>
      <c r="F1629" s="205">
        <v>5.7520256278154221E-2</v>
      </c>
      <c r="G1629" s="204">
        <v>0.14743883555280279</v>
      </c>
      <c r="H1629" s="204">
        <v>17.114999999999998</v>
      </c>
      <c r="I1629" s="209">
        <v>0.10592956984512414</v>
      </c>
      <c r="J1629" s="207">
        <v>3.9929060551730906</v>
      </c>
      <c r="K1629" s="209">
        <v>41</v>
      </c>
      <c r="L1629" s="209">
        <v>32.756</v>
      </c>
      <c r="M1629" s="213"/>
      <c r="N1629" s="226"/>
    </row>
    <row r="1630" spans="1:14" ht="16.5" customHeight="1" x14ac:dyDescent="0.25">
      <c r="A1630" s="203">
        <v>45439</v>
      </c>
      <c r="B1630" s="128" t="s">
        <v>26</v>
      </c>
      <c r="C1630" s="157" t="str">
        <f t="shared" si="51"/>
        <v>27.05.2024_GRU1</v>
      </c>
      <c r="D1630" s="190">
        <f t="shared" si="52"/>
        <v>0</v>
      </c>
      <c r="E1630" s="204">
        <v>0</v>
      </c>
      <c r="F1630" s="205">
        <v>2.4684669613780644E-2</v>
      </c>
      <c r="G1630" s="204">
        <v>0</v>
      </c>
      <c r="H1630" s="204">
        <v>3.859</v>
      </c>
      <c r="I1630" s="209">
        <v>2.6209378106010071E-2</v>
      </c>
      <c r="J1630" s="207">
        <v>0.8919836500055357</v>
      </c>
      <c r="K1630" s="209">
        <v>6.0060000000000002</v>
      </c>
      <c r="L1630" s="209">
        <v>11.871</v>
      </c>
      <c r="M1630" s="213"/>
      <c r="N1630" s="226"/>
    </row>
    <row r="1631" spans="1:14" ht="16.5" customHeight="1" x14ac:dyDescent="0.25">
      <c r="A1631" s="203">
        <v>45439</v>
      </c>
      <c r="B1631" s="128" t="s">
        <v>28</v>
      </c>
      <c r="C1631" s="157" t="str">
        <f t="shared" si="51"/>
        <v>27.05.2024_GRU2</v>
      </c>
      <c r="D1631" s="190">
        <f t="shared" si="52"/>
        <v>0</v>
      </c>
      <c r="E1631" s="204">
        <v>0</v>
      </c>
      <c r="F1631" s="205">
        <v>2.0774782543241992E-2</v>
      </c>
      <c r="G1631" s="204">
        <v>6.2996593372561152E-2</v>
      </c>
      <c r="H1631" s="204">
        <v>3.6760000000000002</v>
      </c>
      <c r="I1631" s="209">
        <v>9.0640765949951588E-2</v>
      </c>
      <c r="J1631" s="207">
        <v>0.91985908120475424</v>
      </c>
      <c r="K1631" s="209">
        <v>7.22</v>
      </c>
      <c r="L1631" s="209">
        <v>10.942</v>
      </c>
      <c r="M1631" s="213"/>
      <c r="N1631" s="226"/>
    </row>
    <row r="1632" spans="1:14" ht="16.5" customHeight="1" x14ac:dyDescent="0.25">
      <c r="A1632" s="203">
        <v>45439</v>
      </c>
      <c r="B1632" s="128" t="s">
        <v>0</v>
      </c>
      <c r="C1632" s="157" t="str">
        <f t="shared" si="51"/>
        <v>27.05.2024_KIN1</v>
      </c>
      <c r="D1632" s="190">
        <f t="shared" si="52"/>
        <v>0</v>
      </c>
      <c r="E1632" s="204">
        <v>0</v>
      </c>
      <c r="F1632" s="205">
        <v>2.3848225007663076E-2</v>
      </c>
      <c r="G1632" s="204">
        <v>2.2786001858160421E-2</v>
      </c>
      <c r="H1632" s="204">
        <v>3.956</v>
      </c>
      <c r="I1632" s="209">
        <v>5.8971100738522714E-2</v>
      </c>
      <c r="J1632" s="207">
        <v>0.94626938827817242</v>
      </c>
      <c r="K1632" s="209">
        <v>7.1609999999999996</v>
      </c>
      <c r="L1632" s="209">
        <v>9.39</v>
      </c>
      <c r="M1632" s="213"/>
      <c r="N1632" s="226"/>
    </row>
    <row r="1633" spans="1:14" ht="16.5" customHeight="1" x14ac:dyDescent="0.25">
      <c r="A1633" s="203">
        <v>45439</v>
      </c>
      <c r="B1633" s="128" t="s">
        <v>2</v>
      </c>
      <c r="C1633" s="157" t="str">
        <f t="shared" si="51"/>
        <v>27.05.2024_KIN2</v>
      </c>
      <c r="D1633" s="190">
        <f t="shared" si="52"/>
        <v>0</v>
      </c>
      <c r="E1633" s="204">
        <v>0</v>
      </c>
      <c r="F1633" s="205">
        <v>2.2330955262739424E-2</v>
      </c>
      <c r="G1633" s="204">
        <v>2.1445648807680434E-2</v>
      </c>
      <c r="H1633" s="204">
        <v>5.5350000000000001</v>
      </c>
      <c r="I1633" s="209">
        <v>0.11466602921379421</v>
      </c>
      <c r="J1633" s="207">
        <v>1.3457566028037173</v>
      </c>
      <c r="K1633" s="209">
        <v>9.1470000000000002</v>
      </c>
      <c r="L1633" s="209">
        <v>10.928000000000001</v>
      </c>
      <c r="M1633" s="213"/>
      <c r="N1633" s="226"/>
    </row>
    <row r="1634" spans="1:14" ht="16.5" customHeight="1" x14ac:dyDescent="0.25">
      <c r="A1634" s="203">
        <v>45439</v>
      </c>
      <c r="B1634" s="128" t="s">
        <v>4</v>
      </c>
      <c r="C1634" s="157" t="str">
        <f t="shared" si="51"/>
        <v>27.05.2024_KIN3</v>
      </c>
      <c r="D1634" s="190">
        <f t="shared" si="52"/>
        <v>0</v>
      </c>
      <c r="E1634" s="204">
        <v>0</v>
      </c>
      <c r="F1634" s="205">
        <v>1.7973674767977007E-2</v>
      </c>
      <c r="G1634" s="204">
        <v>2.8147414060080488E-2</v>
      </c>
      <c r="H1634" s="204">
        <v>5.9690000000000003</v>
      </c>
      <c r="I1634" s="209">
        <v>3.4945837474680094E-2</v>
      </c>
      <c r="J1634" s="207">
        <v>1.3839226035513059</v>
      </c>
      <c r="K1634" s="209">
        <v>10.811999999999999</v>
      </c>
      <c r="L1634" s="209">
        <v>11.736000000000001</v>
      </c>
      <c r="M1634" s="213"/>
      <c r="N1634" s="226"/>
    </row>
    <row r="1635" spans="1:14" ht="16.5" customHeight="1" x14ac:dyDescent="0.25">
      <c r="A1635" s="203">
        <v>45439</v>
      </c>
      <c r="B1635" s="128" t="s">
        <v>6</v>
      </c>
      <c r="C1635" s="157" t="str">
        <f t="shared" si="51"/>
        <v>27.05.2024_KIN4</v>
      </c>
      <c r="D1635" s="190">
        <f t="shared" si="52"/>
        <v>0</v>
      </c>
      <c r="E1635" s="204">
        <v>1.4361914921989575E-2</v>
      </c>
      <c r="F1635" s="205">
        <v>2.4820834529461752E-2</v>
      </c>
      <c r="G1635" s="204">
        <v>6.0315887271601115E-2</v>
      </c>
      <c r="H1635" s="204">
        <v>6.3230000000000004</v>
      </c>
      <c r="I1635" s="209">
        <v>4.259023942226639E-2</v>
      </c>
      <c r="J1635" s="207">
        <v>1.4796100768888347</v>
      </c>
      <c r="K1635" s="209">
        <v>14.332000000000001</v>
      </c>
      <c r="L1635" s="209">
        <v>12.686</v>
      </c>
      <c r="M1635" s="213"/>
      <c r="N1635" s="226"/>
    </row>
    <row r="1636" spans="1:14" ht="16.5" customHeight="1" x14ac:dyDescent="0.25">
      <c r="A1636" s="203">
        <v>45439</v>
      </c>
      <c r="B1636" s="128" t="s">
        <v>34</v>
      </c>
      <c r="C1636" s="157" t="str">
        <f t="shared" si="51"/>
        <v>27.05.2024_KRE1</v>
      </c>
      <c r="D1636" s="190">
        <f t="shared" si="52"/>
        <v>0</v>
      </c>
      <c r="E1636" s="204">
        <v>0</v>
      </c>
      <c r="F1636" s="205">
        <v>3.4780383614246513E-2</v>
      </c>
      <c r="G1636" s="204">
        <v>0.36859708888200671</v>
      </c>
      <c r="H1636" s="204">
        <v>11.906000000000001</v>
      </c>
      <c r="I1636" s="209">
        <v>0.2424367474805933</v>
      </c>
      <c r="J1636" s="207">
        <v>2.9896773137613324</v>
      </c>
      <c r="K1636" s="209">
        <v>38</v>
      </c>
      <c r="L1636" s="209">
        <v>29</v>
      </c>
      <c r="M1636" s="213"/>
      <c r="N1636" s="226"/>
    </row>
    <row r="1637" spans="1:14" ht="16.5" customHeight="1" x14ac:dyDescent="0.25">
      <c r="A1637" s="203">
        <v>45439</v>
      </c>
      <c r="B1637" s="128" t="s">
        <v>37</v>
      </c>
      <c r="C1637" s="157" t="str">
        <f t="shared" si="51"/>
        <v>27.05.2024_KRE2</v>
      </c>
      <c r="D1637" s="190">
        <f t="shared" si="52"/>
        <v>0</v>
      </c>
      <c r="E1637" s="204">
        <v>0</v>
      </c>
      <c r="F1637" s="205">
        <v>3.9915797227193447E-2</v>
      </c>
      <c r="G1637" s="204">
        <v>0.19569154537008365</v>
      </c>
      <c r="H1637" s="204">
        <v>13.221</v>
      </c>
      <c r="I1637" s="209">
        <v>0.1692689002679818</v>
      </c>
      <c r="J1637" s="207">
        <v>3.1772411693570066</v>
      </c>
      <c r="K1637" s="209">
        <v>44</v>
      </c>
      <c r="L1637" s="209">
        <v>38</v>
      </c>
      <c r="M1637" s="213"/>
      <c r="N1637" s="226"/>
    </row>
    <row r="1638" spans="1:14" ht="16.5" customHeight="1" x14ac:dyDescent="0.25">
      <c r="A1638" s="203">
        <v>45439</v>
      </c>
      <c r="B1638" s="128" t="s">
        <v>18</v>
      </c>
      <c r="C1638" s="157" t="str">
        <f t="shared" si="51"/>
        <v>27.05.2024_ORB1</v>
      </c>
      <c r="D1638" s="190">
        <f t="shared" si="52"/>
        <v>0</v>
      </c>
      <c r="E1638" s="204">
        <v>0</v>
      </c>
      <c r="F1638" s="205">
        <v>5.4466211991320207E-2</v>
      </c>
      <c r="G1638" s="204">
        <v>1.7424589656240354E-2</v>
      </c>
      <c r="H1638" s="204">
        <v>5.0890000000000004</v>
      </c>
      <c r="I1638" s="209">
        <v>3.9314067159015129E-2</v>
      </c>
      <c r="J1638" s="207">
        <v>1.1852843263291459</v>
      </c>
      <c r="K1638" s="209">
        <v>7.7240000000000002</v>
      </c>
      <c r="L1638" s="209">
        <v>13.923999999999999</v>
      </c>
      <c r="M1638" s="213"/>
      <c r="N1638" s="226"/>
    </row>
    <row r="1639" spans="1:14" ht="16.5" customHeight="1" x14ac:dyDescent="0.25">
      <c r="A1639" s="203">
        <v>45439</v>
      </c>
      <c r="B1639" s="128" t="s">
        <v>21</v>
      </c>
      <c r="C1639" s="157" t="str">
        <f t="shared" si="51"/>
        <v>27.05.2024_ORB2</v>
      </c>
      <c r="D1639" s="190">
        <f t="shared" si="52"/>
        <v>0</v>
      </c>
      <c r="E1639" s="204">
        <v>0</v>
      </c>
      <c r="F1639" s="205">
        <v>3.5052715893582005E-2</v>
      </c>
      <c r="G1639" s="204">
        <v>2.1445648807680434E-2</v>
      </c>
      <c r="H1639" s="204">
        <v>5.43</v>
      </c>
      <c r="I1639" s="209">
        <v>6.2247273001773976E-2</v>
      </c>
      <c r="J1639" s="207">
        <v>1.2813376127926457</v>
      </c>
      <c r="K1639" s="209">
        <v>11.744</v>
      </c>
      <c r="L1639" s="209">
        <v>15.705</v>
      </c>
      <c r="M1639" s="213"/>
      <c r="N1639" s="226"/>
    </row>
    <row r="1640" spans="1:14" ht="16.5" customHeight="1" x14ac:dyDescent="0.25">
      <c r="A1640" s="203">
        <v>45439</v>
      </c>
      <c r="B1640" s="128" t="s">
        <v>10</v>
      </c>
      <c r="C1640" s="157" t="str">
        <f t="shared" si="51"/>
        <v>27.05.2024_SAL1</v>
      </c>
      <c r="D1640" s="190">
        <f t="shared" si="52"/>
        <v>0</v>
      </c>
      <c r="E1640" s="204">
        <v>1.5957683246655075E-2</v>
      </c>
      <c r="F1640" s="205">
        <v>6.199434672050403E-2</v>
      </c>
      <c r="G1640" s="204">
        <v>5.3614122019200947E-2</v>
      </c>
      <c r="H1640" s="204">
        <v>5.6929999999999996</v>
      </c>
      <c r="I1640" s="209">
        <v>5.6786985896355176E-2</v>
      </c>
      <c r="J1640" s="207">
        <v>1.3462952561274062</v>
      </c>
      <c r="K1640" s="209">
        <v>6.8490000000000002</v>
      </c>
      <c r="L1640" s="209">
        <v>5.9240000000000004</v>
      </c>
      <c r="M1640" s="213"/>
      <c r="N1640" s="226"/>
    </row>
    <row r="1641" spans="1:14" ht="16.5" customHeight="1" x14ac:dyDescent="0.25">
      <c r="A1641" s="203">
        <v>45439</v>
      </c>
      <c r="B1641" s="128" t="s">
        <v>12</v>
      </c>
      <c r="C1641" s="157" t="str">
        <f t="shared" si="51"/>
        <v>27.05.2024_SAL2</v>
      </c>
      <c r="D1641" s="190">
        <f t="shared" si="52"/>
        <v>0</v>
      </c>
      <c r="E1641" s="204">
        <v>5.7447659687958397E-2</v>
      </c>
      <c r="F1641" s="205">
        <v>6.0827189599541795E-2</v>
      </c>
      <c r="G1641" s="204">
        <v>2.0105295757200388E-2</v>
      </c>
      <c r="H1641" s="204">
        <v>5.867</v>
      </c>
      <c r="I1641" s="209">
        <v>4.5866411685517659E-2</v>
      </c>
      <c r="J1641" s="207">
        <v>1.3669151573029672</v>
      </c>
      <c r="K1641" s="209">
        <v>7.35</v>
      </c>
      <c r="L1641" s="209">
        <v>6.3259999999999996</v>
      </c>
      <c r="M1641" s="213"/>
      <c r="N1641" s="226"/>
    </row>
    <row r="1642" spans="1:14" ht="16.5" customHeight="1" x14ac:dyDescent="0.25">
      <c r="A1642" s="203">
        <v>45439</v>
      </c>
      <c r="B1642" s="128" t="s">
        <v>7</v>
      </c>
      <c r="C1642" s="157" t="str">
        <f t="shared" si="51"/>
        <v>27.05.2024_STE1</v>
      </c>
      <c r="D1642" s="190">
        <f t="shared" si="52"/>
        <v>0</v>
      </c>
      <c r="E1642" s="204">
        <v>3.1915366493310018E-3</v>
      </c>
      <c r="F1642" s="205">
        <v>4.6899203461176708E-2</v>
      </c>
      <c r="G1642" s="204">
        <v>1.4743883555280267E-2</v>
      </c>
      <c r="H1642" s="204">
        <v>6.4279999999999999</v>
      </c>
      <c r="I1642" s="209">
        <v>3.7129952316847591E-2</v>
      </c>
      <c r="J1642" s="207">
        <v>1.4852121720229141</v>
      </c>
      <c r="K1642" s="209">
        <v>8.4380000000000006</v>
      </c>
      <c r="L1642" s="209">
        <v>7.7190000000000003</v>
      </c>
      <c r="M1642" s="213"/>
      <c r="N1642" s="226"/>
    </row>
    <row r="1643" spans="1:14" ht="16.5" customHeight="1" x14ac:dyDescent="0.25">
      <c r="A1643" s="203">
        <v>45439</v>
      </c>
      <c r="B1643" s="128" t="s">
        <v>9</v>
      </c>
      <c r="C1643" s="157" t="str">
        <f t="shared" si="51"/>
        <v>27.05.2024_STE2</v>
      </c>
      <c r="D1643" s="190">
        <f t="shared" si="52"/>
        <v>0</v>
      </c>
      <c r="E1643" s="204">
        <v>9.5746099479930395E-3</v>
      </c>
      <c r="F1643" s="205">
        <v>4.1705417725419275E-2</v>
      </c>
      <c r="G1643" s="204">
        <v>2.1445648807680434E-2</v>
      </c>
      <c r="H1643" s="204">
        <v>6.226</v>
      </c>
      <c r="I1643" s="209">
        <v>4.9142583948768921E-2</v>
      </c>
      <c r="J1643" s="207">
        <v>1.450954472789878</v>
      </c>
      <c r="K1643" s="209">
        <v>9.5389999999999997</v>
      </c>
      <c r="L1643" s="209">
        <v>7.7080000000000002</v>
      </c>
      <c r="M1643" s="213"/>
      <c r="N1643" s="226"/>
    </row>
    <row r="1644" spans="1:14" ht="16.5" customHeight="1" x14ac:dyDescent="0.25">
      <c r="A1644" s="203">
        <v>45453</v>
      </c>
      <c r="B1644" s="128" t="s">
        <v>22</v>
      </c>
      <c r="C1644" s="157" t="str">
        <f t="shared" si="51"/>
        <v>10.06.2024_BIE1</v>
      </c>
      <c r="D1644" s="190">
        <f t="shared" si="52"/>
        <v>0</v>
      </c>
      <c r="E1644" s="204">
        <v>6.371411117898601E-2</v>
      </c>
      <c r="F1644" s="205">
        <v>1.2696646299065459E-2</v>
      </c>
      <c r="G1644" s="204">
        <v>9.5044783611237717E-3</v>
      </c>
      <c r="H1644" s="204">
        <v>3.7549999999999999</v>
      </c>
      <c r="I1644" s="209">
        <v>5.9036540175430328E-2</v>
      </c>
      <c r="J1644" s="207">
        <v>0.89687677151786405</v>
      </c>
      <c r="K1644" s="209">
        <v>5.76</v>
      </c>
      <c r="L1644" s="209">
        <v>14</v>
      </c>
      <c r="M1644" s="213"/>
      <c r="N1644" s="226"/>
    </row>
    <row r="1645" spans="1:14" ht="16.5" customHeight="1" x14ac:dyDescent="0.25">
      <c r="A1645" s="203">
        <v>45453</v>
      </c>
      <c r="B1645" s="128" t="s">
        <v>25</v>
      </c>
      <c r="C1645" s="157" t="str">
        <f t="shared" si="51"/>
        <v>10.06.2024_BIE2</v>
      </c>
      <c r="D1645" s="190">
        <f t="shared" si="52"/>
        <v>0</v>
      </c>
      <c r="E1645" s="204">
        <v>0</v>
      </c>
      <c r="F1645" s="205">
        <v>1.2942289977923929E-2</v>
      </c>
      <c r="G1645" s="204">
        <v>0</v>
      </c>
      <c r="H1645" s="204">
        <v>3.7890000000000001</v>
      </c>
      <c r="I1645" s="209">
        <v>4.3768469440405265E-2</v>
      </c>
      <c r="J1645" s="207">
        <v>0.88980720883578024</v>
      </c>
      <c r="K1645" s="209">
        <v>5.9450000000000003</v>
      </c>
      <c r="L1645" s="209">
        <v>14</v>
      </c>
      <c r="M1645" s="213"/>
      <c r="N1645" s="226"/>
    </row>
    <row r="1646" spans="1:14" ht="16.5" customHeight="1" x14ac:dyDescent="0.25">
      <c r="A1646" s="203">
        <v>45453</v>
      </c>
      <c r="B1646" s="128" t="s">
        <v>14</v>
      </c>
      <c r="C1646" s="157" t="str">
        <f t="shared" si="51"/>
        <v>10.06.2024_BRA1</v>
      </c>
      <c r="D1646" s="190">
        <f t="shared" si="52"/>
        <v>0</v>
      </c>
      <c r="E1646" s="204">
        <v>7.4957777857630878E-3</v>
      </c>
      <c r="F1646" s="205">
        <v>3.5173201662958259E-2</v>
      </c>
      <c r="G1646" s="204">
        <v>0</v>
      </c>
      <c r="H1646" s="204">
        <v>6.04</v>
      </c>
      <c r="I1646" s="209">
        <v>5.0893569116750283E-2</v>
      </c>
      <c r="J1646" s="207">
        <v>1.4037731474834654</v>
      </c>
      <c r="K1646" s="209">
        <v>5.4390000000000001</v>
      </c>
      <c r="L1646" s="209">
        <v>5.2</v>
      </c>
      <c r="M1646" s="213"/>
      <c r="N1646" s="226"/>
    </row>
    <row r="1647" spans="1:14" ht="16.5" customHeight="1" x14ac:dyDescent="0.25">
      <c r="A1647" s="203">
        <v>45453</v>
      </c>
      <c r="B1647" s="128" t="s">
        <v>17</v>
      </c>
      <c r="C1647" s="157" t="str">
        <f t="shared" si="51"/>
        <v>10.06.2024_BRA2</v>
      </c>
      <c r="D1647" s="190">
        <f t="shared" si="52"/>
        <v>0</v>
      </c>
      <c r="E1647" s="204">
        <v>3.1857055589492984E-2</v>
      </c>
      <c r="F1647" s="205">
        <v>5.5147530136794853E-2</v>
      </c>
      <c r="G1647" s="204">
        <v>6.7889131150883752E-3</v>
      </c>
      <c r="H1647" s="204">
        <v>9.7759999999999998</v>
      </c>
      <c r="I1647" s="209">
        <v>4.1732726675735222E-2</v>
      </c>
      <c r="J1647" s="207">
        <v>2.2425770495343302</v>
      </c>
      <c r="K1647" s="209">
        <v>9.3339999999999996</v>
      </c>
      <c r="L1647" s="209">
        <v>6.4</v>
      </c>
      <c r="M1647" s="213"/>
      <c r="N1647" s="226"/>
    </row>
    <row r="1648" spans="1:14" ht="16.5" customHeight="1" x14ac:dyDescent="0.25">
      <c r="A1648" s="203">
        <v>45453</v>
      </c>
      <c r="B1648" s="128" t="s">
        <v>30</v>
      </c>
      <c r="C1648" s="157" t="str">
        <f t="shared" si="51"/>
        <v>10.06.2024_FAL1</v>
      </c>
      <c r="D1648" s="190">
        <f t="shared" si="52"/>
        <v>0</v>
      </c>
      <c r="E1648" s="204">
        <v>0.16490711128678717</v>
      </c>
      <c r="F1648" s="205">
        <v>0.15629762020401461</v>
      </c>
      <c r="G1648" s="204">
        <v>0.16564948000815669</v>
      </c>
      <c r="H1648" s="204">
        <v>16.231000000000002</v>
      </c>
      <c r="I1648" s="209">
        <v>0.15064496458558094</v>
      </c>
      <c r="J1648" s="207">
        <v>3.8335022627395414</v>
      </c>
      <c r="K1648" s="209">
        <v>41</v>
      </c>
      <c r="L1648" s="209">
        <v>31</v>
      </c>
      <c r="M1648" s="213"/>
      <c r="N1648" s="226"/>
    </row>
    <row r="1649" spans="1:14" ht="16.5" customHeight="1" x14ac:dyDescent="0.25">
      <c r="A1649" s="203">
        <v>45453</v>
      </c>
      <c r="B1649" s="128" t="s">
        <v>32</v>
      </c>
      <c r="C1649" s="157" t="str">
        <f t="shared" si="51"/>
        <v>10.06.2024_FAL2</v>
      </c>
      <c r="D1649" s="190">
        <f t="shared" si="52"/>
        <v>0</v>
      </c>
      <c r="E1649" s="204">
        <v>0.14991555571526108</v>
      </c>
      <c r="F1649" s="205">
        <v>0.10564494081111199</v>
      </c>
      <c r="G1649" s="204">
        <v>7.8751392135025286E-2</v>
      </c>
      <c r="H1649" s="204">
        <v>18.367000000000001</v>
      </c>
      <c r="I1649" s="209">
        <v>7.9393967822130498E-2</v>
      </c>
      <c r="J1649" s="207">
        <v>4.2341787734097149</v>
      </c>
      <c r="K1649" s="209">
        <v>43</v>
      </c>
      <c r="L1649" s="209">
        <v>32</v>
      </c>
      <c r="M1649" s="213"/>
      <c r="N1649" s="226"/>
    </row>
    <row r="1650" spans="1:14" ht="16.5" customHeight="1" x14ac:dyDescent="0.25">
      <c r="A1650" s="203">
        <v>45453</v>
      </c>
      <c r="B1650" s="128" t="s">
        <v>26</v>
      </c>
      <c r="C1650" s="157" t="str">
        <f t="shared" si="51"/>
        <v>10.06.2024_GRU1</v>
      </c>
      <c r="D1650" s="190">
        <f t="shared" si="52"/>
        <v>0</v>
      </c>
      <c r="E1650" s="204">
        <v>0</v>
      </c>
      <c r="F1650" s="205">
        <v>2.4702523460134251E-2</v>
      </c>
      <c r="G1650" s="204">
        <v>0</v>
      </c>
      <c r="H1650" s="204">
        <v>2.867</v>
      </c>
      <c r="I1650" s="209">
        <v>6.1072282940100371E-2</v>
      </c>
      <c r="J1650" s="207">
        <v>0.69499130698015854</v>
      </c>
      <c r="K1650" s="209">
        <v>5.6130000000000004</v>
      </c>
      <c r="L1650" s="209">
        <v>11</v>
      </c>
      <c r="M1650" s="213"/>
      <c r="N1650" s="226"/>
    </row>
    <row r="1651" spans="1:14" ht="16.5" customHeight="1" x14ac:dyDescent="0.25">
      <c r="A1651" s="203">
        <v>45453</v>
      </c>
      <c r="B1651" s="128" t="s">
        <v>28</v>
      </c>
      <c r="C1651" s="157" t="str">
        <f t="shared" si="51"/>
        <v>10.06.2024_GRU2</v>
      </c>
      <c r="D1651" s="190">
        <f t="shared" si="52"/>
        <v>0</v>
      </c>
      <c r="E1651" s="204">
        <v>0</v>
      </c>
      <c r="F1651" s="205">
        <v>1.8300400352156472E-2</v>
      </c>
      <c r="G1651" s="204">
        <v>2.8513435083371199E-2</v>
      </c>
      <c r="H1651" s="204">
        <v>3.6259999999999999</v>
      </c>
      <c r="I1651" s="209">
        <v>8.5501196116140543E-2</v>
      </c>
      <c r="J1651" s="207">
        <v>0.89407635908335426</v>
      </c>
      <c r="K1651" s="209">
        <v>7.4379999999999997</v>
      </c>
      <c r="L1651" s="209">
        <v>11</v>
      </c>
      <c r="M1651" s="213"/>
      <c r="N1651" s="226"/>
    </row>
    <row r="1652" spans="1:14" ht="16.5" customHeight="1" x14ac:dyDescent="0.25">
      <c r="A1652" s="203">
        <v>45453</v>
      </c>
      <c r="B1652" s="128" t="s">
        <v>0</v>
      </c>
      <c r="C1652" s="157" t="str">
        <f t="shared" si="51"/>
        <v>10.06.2024_KIN1</v>
      </c>
      <c r="D1652" s="190">
        <f t="shared" si="52"/>
        <v>0</v>
      </c>
      <c r="E1652" s="204">
        <v>0</v>
      </c>
      <c r="F1652" s="205">
        <v>1.6964708997928027E-2</v>
      </c>
      <c r="G1652" s="204">
        <v>8.1466957381060735E-3</v>
      </c>
      <c r="H1652" s="204">
        <v>4.5830000000000002</v>
      </c>
      <c r="I1652" s="209">
        <v>4.4786340822740238E-2</v>
      </c>
      <c r="J1652" s="207">
        <v>1.072418617302916</v>
      </c>
      <c r="K1652" s="209">
        <v>7.12</v>
      </c>
      <c r="L1652" s="209">
        <v>9.8000000000000007</v>
      </c>
      <c r="M1652" s="213"/>
      <c r="N1652" s="226"/>
    </row>
    <row r="1653" spans="1:14" ht="16.5" customHeight="1" x14ac:dyDescent="0.25">
      <c r="A1653" s="203">
        <v>45453</v>
      </c>
      <c r="B1653" s="128" t="s">
        <v>2</v>
      </c>
      <c r="C1653" s="157" t="str">
        <f t="shared" si="51"/>
        <v>10.06.2024_KIN2</v>
      </c>
      <c r="D1653" s="190">
        <f t="shared" si="52"/>
        <v>0</v>
      </c>
      <c r="E1653" s="204">
        <v>0</v>
      </c>
      <c r="F1653" s="205">
        <v>1.5475491879621547E-2</v>
      </c>
      <c r="G1653" s="204">
        <v>3.122900032940654E-2</v>
      </c>
      <c r="H1653" s="204">
        <v>6.0750000000000002</v>
      </c>
      <c r="I1653" s="209">
        <v>5.5982926028425306E-2</v>
      </c>
      <c r="J1653" s="207">
        <v>1.4251381013820996</v>
      </c>
      <c r="K1653" s="209">
        <v>9.5579999999999998</v>
      </c>
      <c r="L1653" s="209">
        <v>12</v>
      </c>
      <c r="M1653" s="213"/>
      <c r="N1653" s="226"/>
    </row>
    <row r="1654" spans="1:14" ht="16.5" customHeight="1" x14ac:dyDescent="0.25">
      <c r="A1654" s="203">
        <v>45453</v>
      </c>
      <c r="B1654" s="128" t="s">
        <v>4</v>
      </c>
      <c r="C1654" s="157" t="str">
        <f t="shared" si="51"/>
        <v>10.06.2024_KIN3</v>
      </c>
      <c r="D1654" s="190">
        <f t="shared" si="52"/>
        <v>0</v>
      </c>
      <c r="E1654" s="204">
        <v>0</v>
      </c>
      <c r="F1654" s="205">
        <v>1.3418224343874728E-2</v>
      </c>
      <c r="G1654" s="204">
        <v>3.1229000329406596E-2</v>
      </c>
      <c r="H1654" s="204">
        <v>6.4509999999999996</v>
      </c>
      <c r="I1654" s="209">
        <v>7.6340353675125483E-2</v>
      </c>
      <c r="J1654" s="207">
        <v>1.5258725603754857</v>
      </c>
      <c r="K1654" s="209">
        <v>11.273</v>
      </c>
      <c r="L1654" s="209">
        <v>13</v>
      </c>
      <c r="M1654" s="213"/>
      <c r="N1654" s="226"/>
    </row>
    <row r="1655" spans="1:14" ht="16.5" customHeight="1" x14ac:dyDescent="0.25">
      <c r="A1655" s="203">
        <v>45453</v>
      </c>
      <c r="B1655" s="128" t="s">
        <v>6</v>
      </c>
      <c r="C1655" s="157" t="str">
        <f t="shared" si="51"/>
        <v>10.06.2024_KIN4</v>
      </c>
      <c r="D1655" s="190">
        <f t="shared" si="52"/>
        <v>0</v>
      </c>
      <c r="E1655" s="204">
        <v>4.497466671457833E-2</v>
      </c>
      <c r="F1655" s="205">
        <v>2.5009580254800687E-2</v>
      </c>
      <c r="G1655" s="204">
        <v>3.5302348198459572E-2</v>
      </c>
      <c r="H1655" s="204">
        <v>6.8049999999999997</v>
      </c>
      <c r="I1655" s="209">
        <v>4.8857826352080282E-2</v>
      </c>
      <c r="J1655" s="207">
        <v>1.5857307634931477</v>
      </c>
      <c r="K1655" s="209">
        <v>19.376000000000001</v>
      </c>
      <c r="L1655" s="209">
        <v>13</v>
      </c>
      <c r="M1655" s="213"/>
      <c r="N1655" s="226"/>
    </row>
    <row r="1656" spans="1:14" ht="16.5" customHeight="1" x14ac:dyDescent="0.25">
      <c r="A1656" s="203">
        <v>45453</v>
      </c>
      <c r="B1656" s="128" t="s">
        <v>34</v>
      </c>
      <c r="C1656" s="157" t="str">
        <f t="shared" si="51"/>
        <v>10.06.2024_KRE1</v>
      </c>
      <c r="D1656" s="190">
        <f t="shared" si="52"/>
        <v>0</v>
      </c>
      <c r="E1656" s="204">
        <v>0</v>
      </c>
      <c r="F1656" s="205">
        <v>2.949261886928569E-2</v>
      </c>
      <c r="G1656" s="204">
        <v>0.42091261313548006</v>
      </c>
      <c r="H1656" s="204">
        <v>11.337</v>
      </c>
      <c r="I1656" s="209">
        <v>0.32673671372953705</v>
      </c>
      <c r="J1656" s="207">
        <v>2.9425428259129447</v>
      </c>
      <c r="K1656" s="209">
        <v>51</v>
      </c>
      <c r="L1656" s="209">
        <v>32</v>
      </c>
      <c r="M1656" s="213"/>
      <c r="N1656" s="226"/>
    </row>
    <row r="1657" spans="1:14" ht="16.5" customHeight="1" x14ac:dyDescent="0.25">
      <c r="A1657" s="203">
        <v>45453</v>
      </c>
      <c r="B1657" s="128" t="s">
        <v>37</v>
      </c>
      <c r="C1657" s="157" t="str">
        <f t="shared" si="51"/>
        <v>10.06.2024_KRE2</v>
      </c>
      <c r="D1657" s="190">
        <f t="shared" si="52"/>
        <v>0</v>
      </c>
      <c r="E1657" s="204">
        <v>0</v>
      </c>
      <c r="F1657" s="205">
        <v>2.8387211642136412E-2</v>
      </c>
      <c r="G1657" s="204">
        <v>0.24168530689714657</v>
      </c>
      <c r="H1657" s="204">
        <v>16.241</v>
      </c>
      <c r="I1657" s="209">
        <v>0.17507387776162106</v>
      </c>
      <c r="J1657" s="207">
        <v>3.8778788770279569</v>
      </c>
      <c r="K1657" s="209">
        <v>53</v>
      </c>
      <c r="L1657" s="209">
        <v>38</v>
      </c>
      <c r="M1657" s="213"/>
      <c r="N1657" s="226"/>
    </row>
    <row r="1658" spans="1:14" ht="16.5" customHeight="1" x14ac:dyDescent="0.25">
      <c r="A1658" s="203">
        <v>45453</v>
      </c>
      <c r="B1658" s="128" t="s">
        <v>18</v>
      </c>
      <c r="C1658" s="157" t="str">
        <f t="shared" si="51"/>
        <v>10.06.2024_ORB1</v>
      </c>
      <c r="D1658" s="190">
        <f t="shared" si="52"/>
        <v>0</v>
      </c>
      <c r="E1658" s="204">
        <v>0</v>
      </c>
      <c r="F1658" s="205">
        <v>1.6273834915266173E-2</v>
      </c>
      <c r="G1658" s="204">
        <v>1.7651174099229845E-2</v>
      </c>
      <c r="H1658" s="204">
        <v>2.12</v>
      </c>
      <c r="I1658" s="209">
        <v>5.8018668793095349E-2</v>
      </c>
      <c r="J1658" s="207">
        <v>0.52926921608566113</v>
      </c>
      <c r="K1658" s="209">
        <v>3.2789999999999999</v>
      </c>
      <c r="L1658" s="209">
        <v>6.9</v>
      </c>
      <c r="M1658" s="213"/>
      <c r="N1658" s="226"/>
    </row>
    <row r="1659" spans="1:14" ht="16.5" customHeight="1" x14ac:dyDescent="0.25">
      <c r="A1659" s="203">
        <v>45453</v>
      </c>
      <c r="B1659" s="128" t="s">
        <v>21</v>
      </c>
      <c r="C1659" s="157" t="str">
        <f t="shared" si="51"/>
        <v>10.06.2024_ORB2</v>
      </c>
      <c r="D1659" s="190">
        <f t="shared" si="52"/>
        <v>0</v>
      </c>
      <c r="E1659" s="204">
        <v>0</v>
      </c>
      <c r="F1659" s="205">
        <v>2.6821217684001166E-2</v>
      </c>
      <c r="G1659" s="204">
        <v>3.122900032940654E-2</v>
      </c>
      <c r="H1659" s="204">
        <v>6.11</v>
      </c>
      <c r="I1659" s="209">
        <v>3.3589755617055218E-2</v>
      </c>
      <c r="J1659" s="207">
        <v>1.4156554784893751</v>
      </c>
      <c r="K1659" s="209">
        <v>11.933999999999999</v>
      </c>
      <c r="L1659" s="209">
        <v>16</v>
      </c>
      <c r="M1659" s="213"/>
      <c r="N1659" s="226"/>
    </row>
    <row r="1660" spans="1:14" ht="16.5" customHeight="1" x14ac:dyDescent="0.25">
      <c r="A1660" s="203">
        <v>45453</v>
      </c>
      <c r="B1660" s="128" t="s">
        <v>10</v>
      </c>
      <c r="C1660" s="157" t="str">
        <f t="shared" si="51"/>
        <v>10.06.2024_SAL1</v>
      </c>
      <c r="D1660" s="190">
        <f t="shared" si="52"/>
        <v>0</v>
      </c>
      <c r="E1660" s="204">
        <v>4.3100722268137541E-2</v>
      </c>
      <c r="F1660" s="205">
        <v>4.9528283286846185E-2</v>
      </c>
      <c r="G1660" s="204">
        <v>1.2220043607159109E-2</v>
      </c>
      <c r="H1660" s="204">
        <v>7.0640000000000001</v>
      </c>
      <c r="I1660" s="209">
        <v>3.2571884234720197E-2</v>
      </c>
      <c r="J1660" s="207">
        <v>1.6245578146656174</v>
      </c>
      <c r="K1660" s="209">
        <v>7.5369999999999999</v>
      </c>
      <c r="L1660" s="209">
        <v>5.7</v>
      </c>
      <c r="M1660" s="213"/>
      <c r="N1660" s="226"/>
    </row>
    <row r="1661" spans="1:14" ht="16.5" customHeight="1" x14ac:dyDescent="0.25">
      <c r="A1661" s="203">
        <v>45453</v>
      </c>
      <c r="B1661" s="128" t="s">
        <v>12</v>
      </c>
      <c r="C1661" s="157" t="str">
        <f t="shared" si="51"/>
        <v>10.06.2024_SAL2</v>
      </c>
      <c r="D1661" s="190">
        <f t="shared" si="52"/>
        <v>0</v>
      </c>
      <c r="E1661" s="204">
        <v>7.6831722304071315E-2</v>
      </c>
      <c r="F1661" s="205">
        <v>4.8484274621419403E-2</v>
      </c>
      <c r="G1661" s="204">
        <v>0</v>
      </c>
      <c r="H1661" s="204">
        <v>6.8890000000000002</v>
      </c>
      <c r="I1661" s="209">
        <v>4.5804212205075259E-2</v>
      </c>
      <c r="J1661" s="207">
        <v>1.5915849427351187</v>
      </c>
      <c r="K1661" s="209">
        <v>8.0540000000000003</v>
      </c>
      <c r="L1661" s="209">
        <v>6.3</v>
      </c>
      <c r="M1661" s="213"/>
      <c r="N1661" s="226"/>
    </row>
    <row r="1662" spans="1:14" ht="16.5" customHeight="1" x14ac:dyDescent="0.25">
      <c r="A1662" s="203">
        <v>45453</v>
      </c>
      <c r="B1662" s="128" t="s">
        <v>7</v>
      </c>
      <c r="C1662" s="157" t="str">
        <f t="shared" si="51"/>
        <v>10.06.2024_STE1</v>
      </c>
      <c r="D1662" s="190">
        <f t="shared" si="52"/>
        <v>0</v>
      </c>
      <c r="E1662" s="204">
        <v>1.6865500017966849E-2</v>
      </c>
      <c r="F1662" s="205">
        <v>2.981502977198747E-2</v>
      </c>
      <c r="G1662" s="204">
        <v>0</v>
      </c>
      <c r="H1662" s="204">
        <v>7.5190000000000001</v>
      </c>
      <c r="I1662" s="209">
        <v>3.1554012852385217E-2</v>
      </c>
      <c r="J1662" s="207">
        <v>1.7228179054397483</v>
      </c>
      <c r="K1662" s="209">
        <v>8.9870000000000001</v>
      </c>
      <c r="L1662" s="209">
        <v>8.1999999999999993</v>
      </c>
      <c r="M1662" s="213"/>
      <c r="N1662" s="226"/>
    </row>
    <row r="1663" spans="1:14" ht="16.5" customHeight="1" x14ac:dyDescent="0.25">
      <c r="A1663" s="203">
        <v>45453</v>
      </c>
      <c r="B1663" s="128" t="s">
        <v>9</v>
      </c>
      <c r="C1663" s="157" t="str">
        <f t="shared" si="51"/>
        <v>10.06.2024_STE2</v>
      </c>
      <c r="D1663" s="190">
        <f t="shared" si="52"/>
        <v>0</v>
      </c>
      <c r="E1663" s="204">
        <v>9.5746099479930395E-3</v>
      </c>
      <c r="F1663" s="205">
        <v>4.1705417725419275E-2</v>
      </c>
      <c r="G1663" s="204">
        <v>2.1445648807680434E-2</v>
      </c>
      <c r="H1663" s="204">
        <v>6.226</v>
      </c>
      <c r="I1663" s="209">
        <v>4.9142583948768921E-2</v>
      </c>
      <c r="J1663" s="207">
        <v>1.450954472789878</v>
      </c>
      <c r="K1663" s="209">
        <v>9.5389999999999997</v>
      </c>
      <c r="L1663" s="209">
        <v>7.7080000000000002</v>
      </c>
      <c r="M1663" s="213"/>
      <c r="N1663" s="226"/>
    </row>
    <row r="1664" spans="1:14" ht="16.5" customHeight="1" x14ac:dyDescent="0.25">
      <c r="A1664" s="203">
        <v>45467</v>
      </c>
      <c r="B1664" s="128" t="s">
        <v>22</v>
      </c>
      <c r="C1664" s="157" t="str">
        <f t="shared" si="51"/>
        <v>24.06.2024_BIE1</v>
      </c>
      <c r="D1664" s="190">
        <f t="shared" si="52"/>
        <v>0</v>
      </c>
      <c r="E1664" s="204">
        <v>4.5010882617832454E-2</v>
      </c>
      <c r="F1664" s="205">
        <v>2.2369859692171132E-2</v>
      </c>
      <c r="G1664" s="204">
        <v>2.9809976247030936E-2</v>
      </c>
      <c r="H1664" s="204">
        <v>3.165</v>
      </c>
      <c r="I1664" s="209">
        <v>5.6763163733607368E-2</v>
      </c>
      <c r="J1664" s="207">
        <v>0.76803022627591733</v>
      </c>
      <c r="K1664" s="209">
        <v>6.3579999999999997</v>
      </c>
      <c r="L1664" s="209">
        <v>13.46</v>
      </c>
      <c r="M1664" s="213"/>
      <c r="N1664" s="226"/>
    </row>
    <row r="1665" spans="1:14" ht="16.5" customHeight="1" x14ac:dyDescent="0.25">
      <c r="A1665" s="203">
        <v>45467</v>
      </c>
      <c r="B1665" s="128" t="s">
        <v>25</v>
      </c>
      <c r="C1665" s="157" t="str">
        <f t="shared" si="51"/>
        <v>24.06.2024_BIE2</v>
      </c>
      <c r="D1665" s="190">
        <f t="shared" si="52"/>
        <v>0</v>
      </c>
      <c r="E1665" s="204">
        <v>0</v>
      </c>
      <c r="F1665" s="205">
        <v>2.2972876896833475E-2</v>
      </c>
      <c r="G1665" s="204">
        <v>6.2757844730591617E-3</v>
      </c>
      <c r="H1665" s="204">
        <v>3.448</v>
      </c>
      <c r="I1665" s="209">
        <v>3.4463349409690154E-2</v>
      </c>
      <c r="J1665" s="207">
        <v>0.8074708687659532</v>
      </c>
      <c r="K1665" s="209">
        <v>6.3879999999999999</v>
      </c>
      <c r="L1665" s="209">
        <v>13.276999999999999</v>
      </c>
      <c r="M1665" s="213"/>
      <c r="N1665" s="226"/>
    </row>
    <row r="1666" spans="1:14" ht="16.5" customHeight="1" x14ac:dyDescent="0.25">
      <c r="A1666" s="203">
        <v>45467</v>
      </c>
      <c r="B1666" s="128" t="s">
        <v>14</v>
      </c>
      <c r="C1666" s="157" t="str">
        <f t="shared" si="51"/>
        <v>24.06.2024_BRA1</v>
      </c>
      <c r="D1666" s="190">
        <f t="shared" si="52"/>
        <v>0</v>
      </c>
      <c r="E1666" s="204">
        <v>1.3698964274992453E-2</v>
      </c>
      <c r="F1666" s="205">
        <v>7.0475687485190688E-2</v>
      </c>
      <c r="G1666" s="204">
        <v>9.8843605450681396E-2</v>
      </c>
      <c r="H1666" s="204">
        <v>6.383</v>
      </c>
      <c r="I1666" s="209">
        <v>5.3722279962164117E-2</v>
      </c>
      <c r="J1666" s="207">
        <v>1.5135359588472808</v>
      </c>
      <c r="K1666" s="209">
        <v>5.641</v>
      </c>
      <c r="L1666" s="209">
        <v>4.8360000000000003</v>
      </c>
      <c r="M1666" s="213"/>
      <c r="N1666" s="226"/>
    </row>
    <row r="1667" spans="1:14" ht="16.5" customHeight="1" x14ac:dyDescent="0.25">
      <c r="A1667" s="203">
        <v>45467</v>
      </c>
      <c r="B1667" s="128" t="s">
        <v>17</v>
      </c>
      <c r="C1667" s="157" t="str">
        <f t="shared" si="51"/>
        <v>24.06.2024_BRA2</v>
      </c>
      <c r="D1667" s="190">
        <f t="shared" si="52"/>
        <v>0</v>
      </c>
      <c r="E1667" s="204">
        <v>3.7182903032122468E-2</v>
      </c>
      <c r="F1667" s="205">
        <v>7.8548563041914571E-2</v>
      </c>
      <c r="G1667" s="204">
        <v>5.8051006375796937E-2</v>
      </c>
      <c r="H1667" s="204">
        <v>10.005000000000001</v>
      </c>
      <c r="I1667" s="209">
        <v>3.7504233181133405E-2</v>
      </c>
      <c r="J1667" s="207">
        <v>2.3066246409139297</v>
      </c>
      <c r="K1667" s="209">
        <v>8.8759999999999994</v>
      </c>
      <c r="L1667" s="209">
        <v>5.9480000000000004</v>
      </c>
      <c r="M1667" s="213"/>
      <c r="N1667" s="226"/>
    </row>
    <row r="1668" spans="1:14" ht="16.5" customHeight="1" x14ac:dyDescent="0.25">
      <c r="A1668" s="203">
        <v>45467</v>
      </c>
      <c r="B1668" s="128" t="s">
        <v>30</v>
      </c>
      <c r="C1668" s="157" t="str">
        <f t="shared" si="51"/>
        <v>24.06.2024_FAL1</v>
      </c>
      <c r="D1668" s="190">
        <f t="shared" si="52"/>
        <v>0</v>
      </c>
      <c r="E1668" s="204">
        <v>0.15655959171419995</v>
      </c>
      <c r="F1668" s="205">
        <v>0.17048451547105006</v>
      </c>
      <c r="G1668" s="204">
        <v>0.29025503187898494</v>
      </c>
      <c r="H1668" s="204">
        <v>12.659000000000001</v>
      </c>
      <c r="I1668" s="209">
        <v>0.17434400289607979</v>
      </c>
      <c r="J1668" s="207">
        <v>3.0830328492643337</v>
      </c>
      <c r="K1668" s="209">
        <v>31</v>
      </c>
      <c r="L1668" s="209">
        <v>28.901</v>
      </c>
      <c r="M1668" s="213"/>
      <c r="N1668" s="226"/>
    </row>
    <row r="1669" spans="1:14" ht="16.5" customHeight="1" x14ac:dyDescent="0.25">
      <c r="A1669" s="203">
        <v>45467</v>
      </c>
      <c r="B1669" s="128" t="s">
        <v>32</v>
      </c>
      <c r="C1669" s="157" t="str">
        <f t="shared" ref="C1669:C1732" si="53">CONCATENATE(TEXT(A1669,"TT.MM.JJJJ"),"_",B1669)</f>
        <v>24.06.2024_FAL2</v>
      </c>
      <c r="D1669" s="190">
        <f t="shared" ref="D1669:D1732" si="54">COUNTBLANK(E1669:L1669)</f>
        <v>0</v>
      </c>
      <c r="E1669" s="204">
        <v>0.2289684028820175</v>
      </c>
      <c r="F1669" s="205">
        <v>0.16071877989977829</v>
      </c>
      <c r="G1669" s="204">
        <v>0.12865358169771227</v>
      </c>
      <c r="H1669" s="204">
        <v>12.798</v>
      </c>
      <c r="I1669" s="209">
        <v>8.8185629371854354E-2</v>
      </c>
      <c r="J1669" s="207">
        <v>2.9983281022988195</v>
      </c>
      <c r="K1669" s="209">
        <v>30</v>
      </c>
      <c r="L1669" s="209">
        <v>27.693000000000001</v>
      </c>
      <c r="M1669" s="213"/>
      <c r="N1669" s="226"/>
    </row>
    <row r="1670" spans="1:14" ht="16.5" customHeight="1" x14ac:dyDescent="0.25">
      <c r="A1670" s="203">
        <v>45467</v>
      </c>
      <c r="B1670" s="128" t="s">
        <v>26</v>
      </c>
      <c r="C1670" s="157" t="str">
        <f t="shared" si="53"/>
        <v>24.06.2024_GRU1</v>
      </c>
      <c r="D1670" s="190">
        <f t="shared" si="54"/>
        <v>0</v>
      </c>
      <c r="E1670" s="204">
        <v>0</v>
      </c>
      <c r="F1670" s="205">
        <v>3.7445353084431574E-2</v>
      </c>
      <c r="G1670" s="204">
        <v>0</v>
      </c>
      <c r="H1670" s="204">
        <v>2.6280000000000001</v>
      </c>
      <c r="I1670" s="209">
        <v>3.0408837714432507E-2</v>
      </c>
      <c r="J1670" s="207">
        <v>0.61719851839687967</v>
      </c>
      <c r="K1670" s="209">
        <v>7.4189999999999996</v>
      </c>
      <c r="L1670" s="209">
        <v>10.58</v>
      </c>
      <c r="M1670" s="213"/>
      <c r="N1670" s="226"/>
    </row>
    <row r="1671" spans="1:14" ht="16.5" customHeight="1" x14ac:dyDescent="0.25">
      <c r="A1671" s="203">
        <v>45467</v>
      </c>
      <c r="B1671" s="128" t="s">
        <v>28</v>
      </c>
      <c r="C1671" s="157" t="str">
        <f t="shared" si="53"/>
        <v>24.06.2024_GRU2</v>
      </c>
      <c r="D1671" s="190">
        <f t="shared" si="54"/>
        <v>0</v>
      </c>
      <c r="E1671" s="204">
        <v>0</v>
      </c>
      <c r="F1671" s="205">
        <v>3.7056303642986378E-2</v>
      </c>
      <c r="G1671" s="204">
        <v>3.6085760720090031E-2</v>
      </c>
      <c r="H1671" s="204">
        <v>2.9409999999999998</v>
      </c>
      <c r="I1671" s="209">
        <v>8.0076605981338977E-2</v>
      </c>
      <c r="J1671" s="207">
        <v>0.7374486636296812</v>
      </c>
      <c r="K1671" s="209">
        <v>7.5019999999999998</v>
      </c>
      <c r="L1671" s="209">
        <v>10.602</v>
      </c>
      <c r="M1671" s="213"/>
      <c r="N1671" s="226"/>
    </row>
    <row r="1672" spans="1:14" ht="16.5" customHeight="1" x14ac:dyDescent="0.25">
      <c r="A1672" s="203">
        <v>45467</v>
      </c>
      <c r="B1672" s="128" t="s">
        <v>0</v>
      </c>
      <c r="C1672" s="157" t="str">
        <f t="shared" si="53"/>
        <v>24.06.2024_KIN1</v>
      </c>
      <c r="D1672" s="190">
        <f t="shared" si="54"/>
        <v>0</v>
      </c>
      <c r="E1672" s="204">
        <v>0</v>
      </c>
      <c r="F1672" s="205">
        <v>3.1881994034518135E-2</v>
      </c>
      <c r="G1672" s="204">
        <v>0</v>
      </c>
      <c r="H1672" s="204">
        <v>3.9460000000000002</v>
      </c>
      <c r="I1672" s="209">
        <v>5.9804047505050625E-2</v>
      </c>
      <c r="J1672" s="207">
        <v>0.93772026484719684</v>
      </c>
      <c r="K1672" s="209">
        <v>7.1369999999999996</v>
      </c>
      <c r="L1672" s="209">
        <v>9.9670000000000005</v>
      </c>
      <c r="M1672" s="213"/>
      <c r="N1672" s="226"/>
    </row>
    <row r="1673" spans="1:14" ht="16.5" customHeight="1" x14ac:dyDescent="0.25">
      <c r="A1673" s="203">
        <v>45467</v>
      </c>
      <c r="B1673" s="128" t="s">
        <v>2</v>
      </c>
      <c r="C1673" s="157" t="str">
        <f t="shared" si="53"/>
        <v>24.06.2024_KIN2</v>
      </c>
      <c r="D1673" s="190">
        <f t="shared" si="54"/>
        <v>0</v>
      </c>
      <c r="E1673" s="204">
        <v>0</v>
      </c>
      <c r="F1673" s="205">
        <v>2.7544149448123886E-2</v>
      </c>
      <c r="G1673" s="204">
        <v>1.2551568946118259E-2</v>
      </c>
      <c r="H1673" s="204">
        <v>5.1219999999999999</v>
      </c>
      <c r="I1673" s="209">
        <v>0.116567211238658</v>
      </c>
      <c r="J1673" s="207">
        <v>1.251240739020351</v>
      </c>
      <c r="K1673" s="209">
        <v>8.7140000000000004</v>
      </c>
      <c r="L1673" s="209">
        <v>11.13</v>
      </c>
      <c r="M1673" s="213"/>
      <c r="N1673" s="226"/>
    </row>
    <row r="1674" spans="1:14" ht="16.5" customHeight="1" x14ac:dyDescent="0.25">
      <c r="A1674" s="203">
        <v>45467</v>
      </c>
      <c r="B1674" s="128" t="s">
        <v>4</v>
      </c>
      <c r="C1674" s="157" t="str">
        <f t="shared" si="53"/>
        <v>24.06.2024_KIN3</v>
      </c>
      <c r="D1674" s="190">
        <f t="shared" si="54"/>
        <v>0</v>
      </c>
      <c r="E1674" s="204">
        <v>5.8709846892824628E-3</v>
      </c>
      <c r="F1674" s="205">
        <v>3.3088035602575137E-2</v>
      </c>
      <c r="G1674" s="204">
        <v>2.3534191773971775E-2</v>
      </c>
      <c r="H1674" s="204">
        <v>6.0830000000000002</v>
      </c>
      <c r="I1674" s="209">
        <v>4.1558744876391093E-2</v>
      </c>
      <c r="J1674" s="207">
        <v>1.4134021444946545</v>
      </c>
      <c r="K1674" s="209">
        <v>12.977</v>
      </c>
      <c r="L1674" s="209">
        <v>12.47</v>
      </c>
      <c r="M1674" s="213"/>
      <c r="N1674" s="226"/>
    </row>
    <row r="1675" spans="1:14" ht="16.5" customHeight="1" x14ac:dyDescent="0.25">
      <c r="A1675" s="203">
        <v>45467</v>
      </c>
      <c r="B1675" s="128" t="s">
        <v>6</v>
      </c>
      <c r="C1675" s="157" t="str">
        <f t="shared" si="53"/>
        <v>24.06.2024_KIN4</v>
      </c>
      <c r="D1675" s="190">
        <f t="shared" si="54"/>
        <v>0</v>
      </c>
      <c r="E1675" s="204">
        <v>6.6537826478535025E-2</v>
      </c>
      <c r="F1675" s="205">
        <v>4.6918656869030656E-2</v>
      </c>
      <c r="G1675" s="204">
        <v>9.8843605450681396E-2</v>
      </c>
      <c r="H1675" s="204">
        <v>5.78</v>
      </c>
      <c r="I1675" s="209">
        <v>6.0817675428865056E-2</v>
      </c>
      <c r="J1675" s="207">
        <v>1.3828458524732192</v>
      </c>
      <c r="K1675" s="209">
        <v>18.629000000000001</v>
      </c>
      <c r="L1675" s="209">
        <v>12.143000000000001</v>
      </c>
      <c r="M1675" s="213"/>
      <c r="N1675" s="226"/>
    </row>
    <row r="1676" spans="1:14" ht="16.5" customHeight="1" x14ac:dyDescent="0.25">
      <c r="A1676" s="203">
        <v>45467</v>
      </c>
      <c r="B1676" s="128" t="s">
        <v>34</v>
      </c>
      <c r="C1676" s="157" t="str">
        <f t="shared" si="53"/>
        <v>24.06.2024_KRE1</v>
      </c>
      <c r="D1676" s="190">
        <f t="shared" si="54"/>
        <v>0</v>
      </c>
      <c r="E1676" s="204">
        <v>0</v>
      </c>
      <c r="F1676" s="205">
        <v>5.7306280080450515E-2</v>
      </c>
      <c r="G1676" s="204">
        <v>0.20396299537442189</v>
      </c>
      <c r="H1676" s="204">
        <v>10.595000000000001</v>
      </c>
      <c r="I1676" s="209">
        <v>0.1125126995434003</v>
      </c>
      <c r="J1676" s="207">
        <v>2.5425541700101975</v>
      </c>
      <c r="K1676" s="209">
        <v>57</v>
      </c>
      <c r="L1676" s="209">
        <v>32</v>
      </c>
      <c r="M1676" s="213"/>
      <c r="N1676" s="226"/>
    </row>
    <row r="1677" spans="1:14" ht="16.5" customHeight="1" x14ac:dyDescent="0.25">
      <c r="A1677" s="203">
        <v>45467</v>
      </c>
      <c r="B1677" s="128" t="s">
        <v>37</v>
      </c>
      <c r="C1677" s="157" t="str">
        <f t="shared" si="53"/>
        <v>24.06.2024_KRE2</v>
      </c>
      <c r="D1677" s="190">
        <f t="shared" si="54"/>
        <v>0</v>
      </c>
      <c r="E1677" s="204">
        <v>5.8709846892824628E-3</v>
      </c>
      <c r="F1677" s="205">
        <v>8.702998155152579E-2</v>
      </c>
      <c r="G1677" s="204">
        <v>0.21023877984748104</v>
      </c>
      <c r="H1677" s="204">
        <v>12.96</v>
      </c>
      <c r="I1677" s="209">
        <v>0.23718893417257364</v>
      </c>
      <c r="J1677" s="207">
        <v>3.1754572320202272</v>
      </c>
      <c r="K1677" s="209">
        <v>56</v>
      </c>
      <c r="L1677" s="209">
        <v>37</v>
      </c>
      <c r="M1677" s="213"/>
      <c r="N1677" s="226"/>
    </row>
    <row r="1678" spans="1:14" ht="16.5" customHeight="1" x14ac:dyDescent="0.25">
      <c r="A1678" s="203">
        <v>45467</v>
      </c>
      <c r="B1678" s="128" t="s">
        <v>18</v>
      </c>
      <c r="C1678" s="157" t="str">
        <f t="shared" si="53"/>
        <v>24.06.2024_ORB1</v>
      </c>
      <c r="D1678" s="190">
        <f t="shared" si="54"/>
        <v>0</v>
      </c>
      <c r="E1678" s="204">
        <v>0</v>
      </c>
      <c r="F1678" s="205">
        <v>5.2618225340429106E-2</v>
      </c>
      <c r="G1678" s="204">
        <v>0</v>
      </c>
      <c r="H1678" s="204">
        <v>4.7190000000000003</v>
      </c>
      <c r="I1678" s="209">
        <v>8.5144745600411104E-2</v>
      </c>
      <c r="J1678" s="207">
        <v>1.1305615765741461</v>
      </c>
      <c r="K1678" s="209">
        <v>7.9550000000000001</v>
      </c>
      <c r="L1678" s="209">
        <v>13.39</v>
      </c>
      <c r="M1678" s="213"/>
      <c r="N1678" s="226"/>
    </row>
    <row r="1679" spans="1:14" ht="16.5" customHeight="1" x14ac:dyDescent="0.25">
      <c r="A1679" s="203">
        <v>45467</v>
      </c>
      <c r="B1679" s="128" t="s">
        <v>21</v>
      </c>
      <c r="C1679" s="157" t="str">
        <f t="shared" si="53"/>
        <v>24.06.2024_ORB2</v>
      </c>
      <c r="D1679" s="190">
        <f t="shared" si="54"/>
        <v>0</v>
      </c>
      <c r="E1679" s="204">
        <v>5.8709846892824628E-3</v>
      </c>
      <c r="F1679" s="205">
        <v>4.8416493298360709E-2</v>
      </c>
      <c r="G1679" s="204">
        <v>3.2947868483560488E-2</v>
      </c>
      <c r="H1679" s="204">
        <v>5.5460000000000003</v>
      </c>
      <c r="I1679" s="209">
        <v>7.5008466362266893E-2</v>
      </c>
      <c r="J1679" s="207">
        <v>1.3209493226054567</v>
      </c>
      <c r="K1679" s="209">
        <v>12.79</v>
      </c>
      <c r="L1679" s="209">
        <v>15.558999999999999</v>
      </c>
      <c r="M1679" s="213"/>
      <c r="N1679" s="226"/>
    </row>
    <row r="1680" spans="1:14" ht="16.5" customHeight="1" x14ac:dyDescent="0.25">
      <c r="A1680" s="203">
        <v>45467</v>
      </c>
      <c r="B1680" s="128" t="s">
        <v>10</v>
      </c>
      <c r="C1680" s="157" t="str">
        <f t="shared" si="53"/>
        <v>24.06.2024_SAL1</v>
      </c>
      <c r="D1680" s="190">
        <f t="shared" si="54"/>
        <v>0</v>
      </c>
      <c r="E1680" s="204">
        <v>8.0236790753527479E-2</v>
      </c>
      <c r="F1680" s="205">
        <v>9.0006266549523734E-2</v>
      </c>
      <c r="G1680" s="204">
        <v>5.0206275784473037E-2</v>
      </c>
      <c r="H1680" s="204">
        <v>6.907</v>
      </c>
      <c r="I1680" s="209">
        <v>0.1226489787815445</v>
      </c>
      <c r="J1680" s="207">
        <v>1.6706050961966643</v>
      </c>
      <c r="K1680" s="209">
        <v>7.7679999999999998</v>
      </c>
      <c r="L1680" s="209">
        <v>5.383</v>
      </c>
      <c r="M1680" s="213"/>
      <c r="N1680" s="226"/>
    </row>
    <row r="1681" spans="1:14" ht="16.5" customHeight="1" x14ac:dyDescent="0.25">
      <c r="A1681" s="203">
        <v>45467</v>
      </c>
      <c r="B1681" s="128" t="s">
        <v>12</v>
      </c>
      <c r="C1681" s="157" t="str">
        <f t="shared" si="53"/>
        <v>24.06.2024_SAL2</v>
      </c>
      <c r="D1681" s="190">
        <f t="shared" si="54"/>
        <v>0</v>
      </c>
      <c r="E1681" s="204">
        <v>0.14286062743920741</v>
      </c>
      <c r="F1681" s="205">
        <v>7.8120602648153556E-2</v>
      </c>
      <c r="G1681" s="204">
        <v>3.2947868483560488E-2</v>
      </c>
      <c r="H1681" s="204">
        <v>6.9870000000000001</v>
      </c>
      <c r="I1681" s="209">
        <v>4.4599628647834351E-2</v>
      </c>
      <c r="J1681" s="207">
        <v>1.6228158342085768</v>
      </c>
      <c r="K1681" s="209">
        <v>8.4809999999999999</v>
      </c>
      <c r="L1681" s="209">
        <v>6.2919999999999998</v>
      </c>
      <c r="M1681" s="213"/>
      <c r="N1681" s="226"/>
    </row>
    <row r="1682" spans="1:14" ht="16.5" customHeight="1" x14ac:dyDescent="0.25">
      <c r="A1682" s="203">
        <v>45467</v>
      </c>
      <c r="B1682" s="128" t="s">
        <v>7</v>
      </c>
      <c r="C1682" s="157" t="str">
        <f t="shared" si="53"/>
        <v>24.06.2024_STE1</v>
      </c>
      <c r="D1682" s="190">
        <f t="shared" si="54"/>
        <v>0</v>
      </c>
      <c r="E1682" s="204">
        <v>9.1978760132092482E-2</v>
      </c>
      <c r="F1682" s="205">
        <v>5.9095912265006947E-2</v>
      </c>
      <c r="G1682" s="204">
        <v>0</v>
      </c>
      <c r="H1682" s="204">
        <v>6.7910000000000004</v>
      </c>
      <c r="I1682" s="209">
        <v>2.8381581866803642E-2</v>
      </c>
      <c r="J1682" s="207">
        <v>1.5559211845037544</v>
      </c>
      <c r="K1682" s="209">
        <v>9.5559999999999992</v>
      </c>
      <c r="L1682" s="209">
        <v>7.9050000000000002</v>
      </c>
      <c r="M1682" s="213"/>
      <c r="N1682" s="226"/>
    </row>
    <row r="1683" spans="1:14" ht="16.5" customHeight="1" x14ac:dyDescent="0.25">
      <c r="A1683" s="203">
        <v>45467</v>
      </c>
      <c r="B1683" s="128" t="s">
        <v>9</v>
      </c>
      <c r="C1683" s="157" t="str">
        <f t="shared" si="53"/>
        <v>24.06.2024_STE2</v>
      </c>
      <c r="D1683" s="190">
        <f t="shared" si="54"/>
        <v>0</v>
      </c>
      <c r="E1683" s="204">
        <v>3.1311918342839966E-2</v>
      </c>
      <c r="F1683" s="205">
        <v>5.1003669693112666E-2</v>
      </c>
      <c r="G1683" s="204">
        <v>0</v>
      </c>
      <c r="H1683" s="204">
        <v>6.7220000000000004</v>
      </c>
      <c r="I1683" s="209">
        <v>6.3858559200308307E-2</v>
      </c>
      <c r="J1683" s="207">
        <v>1.5669283413420358</v>
      </c>
      <c r="K1683" s="209">
        <v>10.874000000000001</v>
      </c>
      <c r="L1683" s="209">
        <v>7.8890000000000002</v>
      </c>
      <c r="M1683" s="213"/>
      <c r="N1683" s="226"/>
    </row>
    <row r="1684" spans="1:14" ht="16.5" customHeight="1" x14ac:dyDescent="0.25">
      <c r="A1684" s="203">
        <v>45481</v>
      </c>
      <c r="B1684" s="128" t="s">
        <v>22</v>
      </c>
      <c r="C1684" s="157" t="str">
        <f t="shared" si="53"/>
        <v>08.07.2024_BIE1</v>
      </c>
      <c r="D1684" s="190">
        <f t="shared" si="54"/>
        <v>0</v>
      </c>
      <c r="E1684" s="204">
        <v>0</v>
      </c>
      <c r="F1684" s="205">
        <v>0</v>
      </c>
      <c r="G1684" s="204">
        <v>3.9953007518797025E-2</v>
      </c>
      <c r="H1684" s="204">
        <v>3.1259999999999999</v>
      </c>
      <c r="I1684" s="209">
        <v>5.405433457017568E-2</v>
      </c>
      <c r="J1684" s="207">
        <v>0.76020596338949342</v>
      </c>
      <c r="K1684" s="209">
        <v>6.2850000000000001</v>
      </c>
      <c r="L1684" s="209">
        <v>12.484999999999999</v>
      </c>
      <c r="M1684" s="213"/>
      <c r="N1684" s="226"/>
    </row>
    <row r="1685" spans="1:14" ht="16.5" customHeight="1" x14ac:dyDescent="0.25">
      <c r="A1685" s="203">
        <v>45481</v>
      </c>
      <c r="B1685" s="128" t="s">
        <v>25</v>
      </c>
      <c r="C1685" s="157" t="str">
        <f t="shared" si="53"/>
        <v>08.07.2024_BIE2</v>
      </c>
      <c r="D1685" s="190">
        <f t="shared" si="54"/>
        <v>0</v>
      </c>
      <c r="E1685" s="204">
        <v>0</v>
      </c>
      <c r="F1685" s="205">
        <v>0</v>
      </c>
      <c r="G1685" s="204">
        <v>1.8439849624060176E-2</v>
      </c>
      <c r="H1685" s="204">
        <v>3.1040000000000001</v>
      </c>
      <c r="I1685" s="209">
        <v>2.8153299255299778E-2</v>
      </c>
      <c r="J1685" s="207">
        <v>0.72857524755679293</v>
      </c>
      <c r="K1685" s="209">
        <v>6.6849999999999996</v>
      </c>
      <c r="L1685" s="209">
        <v>12.548</v>
      </c>
      <c r="M1685" s="213"/>
      <c r="N1685" s="226"/>
    </row>
    <row r="1686" spans="1:14" ht="16.5" customHeight="1" x14ac:dyDescent="0.25">
      <c r="A1686" s="203">
        <v>45481</v>
      </c>
      <c r="B1686" s="128" t="s">
        <v>14</v>
      </c>
      <c r="C1686" s="157" t="str">
        <f t="shared" si="53"/>
        <v>08.07.2024_BRA1</v>
      </c>
      <c r="D1686" s="190">
        <f t="shared" si="54"/>
        <v>0</v>
      </c>
      <c r="E1686" s="204">
        <v>0</v>
      </c>
      <c r="F1686" s="205">
        <v>0</v>
      </c>
      <c r="G1686" s="204">
        <v>9.9882518796992531E-2</v>
      </c>
      <c r="H1686" s="204">
        <v>6.3339999999999996</v>
      </c>
      <c r="I1686" s="209">
        <v>4.1666882897843711E-2</v>
      </c>
      <c r="J1686" s="207">
        <v>1.4934237307490907</v>
      </c>
      <c r="K1686" s="209">
        <v>5.681</v>
      </c>
      <c r="L1686" s="209">
        <v>4.5209999999999999</v>
      </c>
      <c r="M1686" s="213"/>
      <c r="N1686" s="226"/>
    </row>
    <row r="1687" spans="1:14" ht="16.5" customHeight="1" x14ac:dyDescent="0.25">
      <c r="A1687" s="203">
        <v>45481</v>
      </c>
      <c r="B1687" s="128" t="s">
        <v>17</v>
      </c>
      <c r="C1687" s="157" t="str">
        <f t="shared" si="53"/>
        <v>08.07.2024_BRA2</v>
      </c>
      <c r="D1687" s="190">
        <f t="shared" si="54"/>
        <v>0</v>
      </c>
      <c r="E1687" s="204">
        <v>0</v>
      </c>
      <c r="F1687" s="205">
        <v>0</v>
      </c>
      <c r="G1687" s="204">
        <v>6.6076127819548858E-2</v>
      </c>
      <c r="H1687" s="204">
        <v>9.4930000000000003</v>
      </c>
      <c r="I1687" s="209">
        <v>4.6171410778691704E-2</v>
      </c>
      <c r="J1687" s="207">
        <v>2.2001524258702077</v>
      </c>
      <c r="K1687" s="209">
        <v>9.0589999999999993</v>
      </c>
      <c r="L1687" s="209">
        <v>5.7329999999999997</v>
      </c>
      <c r="M1687" s="213"/>
      <c r="N1687" s="226"/>
    </row>
    <row r="1688" spans="1:14" ht="16.5" customHeight="1" x14ac:dyDescent="0.25">
      <c r="A1688" s="203">
        <v>45481</v>
      </c>
      <c r="B1688" s="128" t="s">
        <v>30</v>
      </c>
      <c r="C1688" s="157" t="str">
        <f t="shared" si="53"/>
        <v>08.07.2024_FAL1</v>
      </c>
      <c r="D1688" s="190">
        <f t="shared" si="54"/>
        <v>0</v>
      </c>
      <c r="E1688" s="204">
        <v>0.25833559536735429</v>
      </c>
      <c r="F1688" s="205">
        <v>0</v>
      </c>
      <c r="G1688" s="204">
        <v>0.31347744360902269</v>
      </c>
      <c r="H1688" s="204">
        <v>7.0220000000000002</v>
      </c>
      <c r="I1688" s="209">
        <v>1.1858169646332288</v>
      </c>
      <c r="J1688" s="207">
        <v>2.6022723625748228</v>
      </c>
      <c r="K1688" s="209">
        <v>30</v>
      </c>
      <c r="L1688" s="209">
        <v>24.15</v>
      </c>
      <c r="M1688" s="213"/>
      <c r="N1688" s="226"/>
    </row>
    <row r="1689" spans="1:14" ht="16.5" customHeight="1" x14ac:dyDescent="0.25">
      <c r="A1689" s="203">
        <v>45481</v>
      </c>
      <c r="B1689" s="128" t="s">
        <v>32</v>
      </c>
      <c r="C1689" s="157" t="str">
        <f t="shared" si="53"/>
        <v>08.07.2024_FAL2</v>
      </c>
      <c r="D1689" s="190">
        <f t="shared" si="54"/>
        <v>0</v>
      </c>
      <c r="E1689" s="204">
        <v>0.24045082338038359</v>
      </c>
      <c r="F1689" s="205">
        <v>0</v>
      </c>
      <c r="G1689" s="204">
        <v>0.17671522556390989</v>
      </c>
      <c r="H1689" s="204">
        <v>4.9329999999999998</v>
      </c>
      <c r="I1689" s="209">
        <v>0.78491398323775907</v>
      </c>
      <c r="J1689" s="207">
        <v>1.7774955192672199</v>
      </c>
      <c r="K1689" s="209">
        <v>12.06</v>
      </c>
      <c r="L1689" s="209">
        <v>9.7210000000000001</v>
      </c>
      <c r="M1689" s="213"/>
      <c r="N1689" s="226"/>
    </row>
    <row r="1690" spans="1:14" ht="16.5" customHeight="1" x14ac:dyDescent="0.25">
      <c r="A1690" s="203">
        <v>45481</v>
      </c>
      <c r="B1690" s="128" t="s">
        <v>26</v>
      </c>
      <c r="C1690" s="157" t="str">
        <f t="shared" si="53"/>
        <v>08.07.2024_GRU1</v>
      </c>
      <c r="D1690" s="190">
        <f t="shared" si="54"/>
        <v>0</v>
      </c>
      <c r="E1690" s="204">
        <v>0</v>
      </c>
      <c r="F1690" s="205">
        <v>0</v>
      </c>
      <c r="G1690" s="204">
        <v>0</v>
      </c>
      <c r="H1690" s="204">
        <v>2.7789999999999999</v>
      </c>
      <c r="I1690" s="209">
        <v>2.7027167285087816E-2</v>
      </c>
      <c r="J1690" s="207">
        <v>0.64867905512519775</v>
      </c>
      <c r="K1690" s="209">
        <v>4.4710000000000001</v>
      </c>
      <c r="L1690" s="209">
        <v>7.3529999999999998</v>
      </c>
      <c r="M1690" s="213"/>
      <c r="N1690" s="226"/>
    </row>
    <row r="1691" spans="1:14" ht="16.5" customHeight="1" x14ac:dyDescent="0.25">
      <c r="A1691" s="203">
        <v>45481</v>
      </c>
      <c r="B1691" s="128" t="s">
        <v>28</v>
      </c>
      <c r="C1691" s="157" t="str">
        <f t="shared" si="53"/>
        <v>08.07.2024_GRU2</v>
      </c>
      <c r="D1691" s="190">
        <f t="shared" si="54"/>
        <v>0</v>
      </c>
      <c r="E1691" s="204">
        <v>0</v>
      </c>
      <c r="F1691" s="205">
        <v>0</v>
      </c>
      <c r="G1691" s="204">
        <v>7.3759398496240636E-2</v>
      </c>
      <c r="H1691" s="204">
        <v>2.2890000000000001</v>
      </c>
      <c r="I1691" s="209">
        <v>5.8558862451023624E-2</v>
      </c>
      <c r="J1691" s="207">
        <v>0.5849428499767757</v>
      </c>
      <c r="K1691" s="209">
        <v>4.3979999999999997</v>
      </c>
      <c r="L1691" s="209">
        <v>7.2430000000000003</v>
      </c>
      <c r="M1691" s="213"/>
      <c r="N1691" s="226"/>
    </row>
    <row r="1692" spans="1:14" ht="16.5" customHeight="1" x14ac:dyDescent="0.25">
      <c r="A1692" s="203">
        <v>45481</v>
      </c>
      <c r="B1692" s="128" t="s">
        <v>0</v>
      </c>
      <c r="C1692" s="157" t="str">
        <f t="shared" si="53"/>
        <v>08.07.2024_KIN1</v>
      </c>
      <c r="D1692" s="190">
        <f t="shared" si="54"/>
        <v>0</v>
      </c>
      <c r="E1692" s="204">
        <v>0</v>
      </c>
      <c r="F1692" s="205">
        <v>0</v>
      </c>
      <c r="G1692" s="204">
        <v>0</v>
      </c>
      <c r="H1692" s="204">
        <v>3.6949999999999998</v>
      </c>
      <c r="I1692" s="209">
        <v>5.5180466540387642E-2</v>
      </c>
      <c r="J1692" s="207">
        <v>0.87743673046394555</v>
      </c>
      <c r="K1692" s="209">
        <v>7.9370000000000003</v>
      </c>
      <c r="L1692" s="209">
        <v>10.855</v>
      </c>
      <c r="M1692" s="213"/>
      <c r="N1692" s="226"/>
    </row>
    <row r="1693" spans="1:14" ht="16.5" customHeight="1" x14ac:dyDescent="0.25">
      <c r="A1693" s="203">
        <v>45481</v>
      </c>
      <c r="B1693" s="128" t="s">
        <v>2</v>
      </c>
      <c r="C1693" s="157" t="str">
        <f t="shared" si="53"/>
        <v>08.07.2024_KIN2</v>
      </c>
      <c r="D1693" s="190">
        <f t="shared" si="54"/>
        <v>0</v>
      </c>
      <c r="E1693" s="204">
        <v>0</v>
      </c>
      <c r="F1693" s="205">
        <v>0</v>
      </c>
      <c r="G1693" s="204">
        <v>7.0686090225563894E-2</v>
      </c>
      <c r="H1693" s="204">
        <v>5.3019999999999996</v>
      </c>
      <c r="I1693" s="209">
        <v>0.11148706505098738</v>
      </c>
      <c r="J1693" s="207">
        <v>1.3056517113106139</v>
      </c>
      <c r="K1693" s="209">
        <v>9.9600000000000009</v>
      </c>
      <c r="L1693" s="209">
        <v>12.829000000000001</v>
      </c>
      <c r="M1693" s="213"/>
      <c r="N1693" s="226"/>
    </row>
    <row r="1694" spans="1:14" ht="16.5" customHeight="1" x14ac:dyDescent="0.25">
      <c r="A1694" s="203">
        <v>45481</v>
      </c>
      <c r="B1694" s="128" t="s">
        <v>4</v>
      </c>
      <c r="C1694" s="157" t="str">
        <f t="shared" si="53"/>
        <v>08.07.2024_KIN3</v>
      </c>
      <c r="D1694" s="190">
        <f t="shared" si="54"/>
        <v>0</v>
      </c>
      <c r="E1694" s="204">
        <v>0</v>
      </c>
      <c r="F1694" s="205">
        <v>0</v>
      </c>
      <c r="G1694" s="204">
        <v>2.7659774436090263E-2</v>
      </c>
      <c r="H1694" s="204">
        <v>5.9219999999999997</v>
      </c>
      <c r="I1694" s="209">
        <v>4.0540750927631743E-2</v>
      </c>
      <c r="J1694" s="207">
        <v>1.3775026460148643</v>
      </c>
      <c r="K1694" s="209">
        <v>11.95</v>
      </c>
      <c r="L1694" s="209">
        <v>13.586</v>
      </c>
      <c r="M1694" s="213"/>
      <c r="N1694" s="226"/>
    </row>
    <row r="1695" spans="1:14" ht="16.5" customHeight="1" x14ac:dyDescent="0.25">
      <c r="A1695" s="203">
        <v>45481</v>
      </c>
      <c r="B1695" s="128" t="s">
        <v>6</v>
      </c>
      <c r="C1695" s="157" t="str">
        <f t="shared" si="53"/>
        <v>08.07.2024_KIN4</v>
      </c>
      <c r="D1695" s="190">
        <f t="shared" si="54"/>
        <v>0</v>
      </c>
      <c r="E1695" s="204">
        <v>1.5897575099529482E-2</v>
      </c>
      <c r="F1695" s="205">
        <v>0</v>
      </c>
      <c r="G1695" s="204">
        <v>7.2222744360902272E-2</v>
      </c>
      <c r="H1695" s="204">
        <v>6.298</v>
      </c>
      <c r="I1695" s="209">
        <v>4.5045278808479694E-2</v>
      </c>
      <c r="J1695" s="207">
        <v>1.479494683062673</v>
      </c>
      <c r="K1695" s="209">
        <v>21.24</v>
      </c>
      <c r="L1695" s="209">
        <v>14.138999999999999</v>
      </c>
      <c r="M1695" s="213"/>
      <c r="N1695" s="226"/>
    </row>
    <row r="1696" spans="1:14" ht="16.5" customHeight="1" x14ac:dyDescent="0.25">
      <c r="A1696" s="203">
        <v>45481</v>
      </c>
      <c r="B1696" s="128" t="s">
        <v>34</v>
      </c>
      <c r="C1696" s="157" t="str">
        <f t="shared" si="53"/>
        <v>08.07.2024_KRE1</v>
      </c>
      <c r="D1696" s="190">
        <f t="shared" si="54"/>
        <v>0</v>
      </c>
      <c r="E1696" s="204">
        <v>0</v>
      </c>
      <c r="F1696" s="205">
        <v>0</v>
      </c>
      <c r="G1696" s="204">
        <v>0.15520206766917305</v>
      </c>
      <c r="H1696" s="204">
        <v>6.3380000000000001</v>
      </c>
      <c r="I1696" s="209">
        <v>0.12612678066374328</v>
      </c>
      <c r="J1696" s="207">
        <v>1.5767515134194696</v>
      </c>
      <c r="K1696" s="209">
        <v>31</v>
      </c>
      <c r="L1696" s="209">
        <v>24.167000000000002</v>
      </c>
      <c r="M1696" s="213"/>
      <c r="N1696" s="226"/>
    </row>
    <row r="1697" spans="1:14" ht="16.5" customHeight="1" x14ac:dyDescent="0.25">
      <c r="A1697" s="203">
        <v>45481</v>
      </c>
      <c r="B1697" s="128" t="s">
        <v>37</v>
      </c>
      <c r="C1697" s="157" t="str">
        <f t="shared" si="53"/>
        <v>08.07.2024_KRE2</v>
      </c>
      <c r="D1697" s="190">
        <f t="shared" si="54"/>
        <v>0</v>
      </c>
      <c r="E1697" s="204">
        <v>0</v>
      </c>
      <c r="F1697" s="205">
        <v>0</v>
      </c>
      <c r="G1697" s="204">
        <v>0.10602913533834595</v>
      </c>
      <c r="H1697" s="204">
        <v>16.934000000000001</v>
      </c>
      <c r="I1697" s="209">
        <v>0.18919017099561483</v>
      </c>
      <c r="J1697" s="207">
        <v>4.0040674261301445</v>
      </c>
      <c r="K1697" s="209">
        <v>32</v>
      </c>
      <c r="L1697" s="209">
        <v>32</v>
      </c>
      <c r="M1697" s="213"/>
      <c r="N1697" s="226"/>
    </row>
    <row r="1698" spans="1:14" ht="16.5" customHeight="1" x14ac:dyDescent="0.25">
      <c r="A1698" s="203">
        <v>45481</v>
      </c>
      <c r="B1698" s="128" t="s">
        <v>18</v>
      </c>
      <c r="C1698" s="157" t="str">
        <f t="shared" si="53"/>
        <v>08.07.2024_ORB1</v>
      </c>
      <c r="D1698" s="190">
        <f t="shared" si="54"/>
        <v>0</v>
      </c>
      <c r="E1698" s="204">
        <v>0</v>
      </c>
      <c r="F1698" s="205">
        <v>0</v>
      </c>
      <c r="G1698" s="204">
        <v>4.9172932330827111E-2</v>
      </c>
      <c r="H1698" s="204">
        <v>5.3390000000000004</v>
      </c>
      <c r="I1698" s="209">
        <v>3.1531695165935764E-2</v>
      </c>
      <c r="J1698" s="207">
        <v>1.2453746752275179</v>
      </c>
      <c r="K1698" s="209">
        <v>8.0719999999999992</v>
      </c>
      <c r="L1698" s="209">
        <v>12.951000000000001</v>
      </c>
      <c r="M1698" s="213"/>
      <c r="N1698" s="226"/>
    </row>
    <row r="1699" spans="1:14" ht="16.5" customHeight="1" x14ac:dyDescent="0.25">
      <c r="A1699" s="203">
        <v>45481</v>
      </c>
      <c r="B1699" s="128" t="s">
        <v>21</v>
      </c>
      <c r="C1699" s="157" t="str">
        <f t="shared" si="53"/>
        <v>08.07.2024_ORB2</v>
      </c>
      <c r="D1699" s="190">
        <f t="shared" si="54"/>
        <v>0</v>
      </c>
      <c r="E1699" s="204">
        <v>0</v>
      </c>
      <c r="F1699" s="205">
        <v>0</v>
      </c>
      <c r="G1699" s="204">
        <v>1.8439849624060176E-2</v>
      </c>
      <c r="H1699" s="204">
        <v>5.5019999999999998</v>
      </c>
      <c r="I1699" s="209">
        <v>8.4459897765899516E-2</v>
      </c>
      <c r="J1699" s="207">
        <v>1.3139330182342881</v>
      </c>
      <c r="K1699" s="209">
        <v>14.324</v>
      </c>
      <c r="L1699" s="209">
        <v>15.087999999999999</v>
      </c>
      <c r="M1699" s="213"/>
      <c r="N1699" s="226"/>
    </row>
    <row r="1700" spans="1:14" ht="16.5" customHeight="1" x14ac:dyDescent="0.25">
      <c r="A1700" s="203">
        <v>45481</v>
      </c>
      <c r="B1700" s="128" t="s">
        <v>10</v>
      </c>
      <c r="C1700" s="157" t="str">
        <f t="shared" si="53"/>
        <v>08.07.2024_SAL1</v>
      </c>
      <c r="D1700" s="190">
        <f t="shared" si="54"/>
        <v>0</v>
      </c>
      <c r="E1700" s="204">
        <v>2.7820756424176613E-2</v>
      </c>
      <c r="F1700" s="205">
        <v>0</v>
      </c>
      <c r="G1700" s="204">
        <v>2.6123120300751892E-2</v>
      </c>
      <c r="H1700" s="204">
        <v>6.1740000000000004</v>
      </c>
      <c r="I1700" s="209">
        <v>4.1666882897843711E-2</v>
      </c>
      <c r="J1700" s="207">
        <v>1.4348284818769106</v>
      </c>
      <c r="K1700" s="209">
        <v>8.1229999999999993</v>
      </c>
      <c r="L1700" s="209">
        <v>5.6539999999999999</v>
      </c>
      <c r="M1700" s="213"/>
      <c r="N1700" s="226"/>
    </row>
    <row r="1701" spans="1:14" ht="16.5" customHeight="1" x14ac:dyDescent="0.25">
      <c r="A1701" s="203">
        <v>45481</v>
      </c>
      <c r="B1701" s="128" t="s">
        <v>12</v>
      </c>
      <c r="C1701" s="157" t="str">
        <f t="shared" si="53"/>
        <v>08.07.2024_SAL2</v>
      </c>
      <c r="D1701" s="190">
        <f t="shared" si="54"/>
        <v>0</v>
      </c>
      <c r="E1701" s="204">
        <v>6.955189106044149E-2</v>
      </c>
      <c r="F1701" s="205">
        <v>0</v>
      </c>
      <c r="G1701" s="204">
        <v>1.9976503759398544E-2</v>
      </c>
      <c r="H1701" s="204">
        <v>5.8490000000000002</v>
      </c>
      <c r="I1701" s="209">
        <v>4.1666882897843711E-2</v>
      </c>
      <c r="J1701" s="207">
        <v>1.3595493944708954</v>
      </c>
      <c r="K1701" s="209">
        <v>8.2579999999999991</v>
      </c>
      <c r="L1701" s="209">
        <v>6.1050000000000004</v>
      </c>
      <c r="M1701" s="213"/>
      <c r="N1701" s="226"/>
    </row>
    <row r="1702" spans="1:14" ht="16.5" customHeight="1" x14ac:dyDescent="0.25">
      <c r="A1702" s="203">
        <v>45481</v>
      </c>
      <c r="B1702" s="128" t="s">
        <v>7</v>
      </c>
      <c r="C1702" s="157" t="str">
        <f t="shared" si="53"/>
        <v>08.07.2024_STE1</v>
      </c>
      <c r="D1702" s="190">
        <f t="shared" si="54"/>
        <v>0</v>
      </c>
      <c r="E1702" s="204">
        <v>1.5897575099529482E-2</v>
      </c>
      <c r="F1702" s="205">
        <v>0</v>
      </c>
      <c r="G1702" s="204">
        <v>0</v>
      </c>
      <c r="H1702" s="204">
        <v>6.9050000000000002</v>
      </c>
      <c r="I1702" s="209">
        <v>2.9279431225511788E-2</v>
      </c>
      <c r="J1702" s="207">
        <v>1.5823675355522977</v>
      </c>
      <c r="K1702" s="209">
        <v>9.4670000000000005</v>
      </c>
      <c r="L1702" s="209">
        <v>8.157</v>
      </c>
      <c r="M1702" s="213"/>
      <c r="N1702" s="226"/>
    </row>
    <row r="1703" spans="1:14" ht="16.5" customHeight="1" x14ac:dyDescent="0.25">
      <c r="A1703" s="203">
        <v>45481</v>
      </c>
      <c r="B1703" s="128" t="s">
        <v>9</v>
      </c>
      <c r="C1703" s="157" t="str">
        <f t="shared" si="53"/>
        <v>08.07.2024_STE2</v>
      </c>
      <c r="D1703" s="190">
        <f t="shared" si="54"/>
        <v>0</v>
      </c>
      <c r="E1703" s="204">
        <v>0</v>
      </c>
      <c r="F1703" s="205">
        <v>0</v>
      </c>
      <c r="G1703" s="204">
        <v>0</v>
      </c>
      <c r="H1703" s="204">
        <v>6.4829999999999997</v>
      </c>
      <c r="I1703" s="209">
        <v>4.7297542748903708E-2</v>
      </c>
      <c r="J1703" s="207">
        <v>1.5010412789690961</v>
      </c>
      <c r="K1703" s="209">
        <v>10.957000000000001</v>
      </c>
      <c r="L1703" s="209">
        <v>8.4830000000000005</v>
      </c>
      <c r="M1703" s="213"/>
      <c r="N1703" s="226"/>
    </row>
    <row r="1704" spans="1:14" ht="16.5" customHeight="1" x14ac:dyDescent="0.25">
      <c r="A1704" s="203">
        <v>45495</v>
      </c>
      <c r="B1704" s="128" t="s">
        <v>22</v>
      </c>
      <c r="C1704" s="157" t="str">
        <f t="shared" si="53"/>
        <v>22.07.2024_BIE1</v>
      </c>
      <c r="D1704" s="190">
        <f t="shared" si="54"/>
        <v>0</v>
      </c>
      <c r="E1704" s="204">
        <v>0.10419819633046537</v>
      </c>
      <c r="F1704" s="205">
        <v>0</v>
      </c>
      <c r="G1704" s="204">
        <v>9.7896384568773975E-2</v>
      </c>
      <c r="H1704" s="204">
        <v>3.4620000000000002</v>
      </c>
      <c r="I1704" s="209">
        <v>4.2497221193034423E-2</v>
      </c>
      <c r="J1704" s="207">
        <v>0.84476516156614256</v>
      </c>
      <c r="K1704" s="209">
        <v>5.9269999999999996</v>
      </c>
      <c r="L1704" s="209">
        <v>13.605</v>
      </c>
      <c r="M1704" s="213"/>
      <c r="N1704" s="226"/>
    </row>
    <row r="1705" spans="1:14" ht="16.5" customHeight="1" x14ac:dyDescent="0.25">
      <c r="A1705" s="203">
        <v>45495</v>
      </c>
      <c r="B1705" s="128" t="s">
        <v>25</v>
      </c>
      <c r="C1705" s="157" t="str">
        <f t="shared" si="53"/>
        <v>22.07.2024_BIE2</v>
      </c>
      <c r="D1705" s="190">
        <f t="shared" si="54"/>
        <v>0</v>
      </c>
      <c r="E1705" s="204">
        <v>0</v>
      </c>
      <c r="F1705" s="205">
        <v>0</v>
      </c>
      <c r="G1705" s="204">
        <v>2.9866693597253108E-2</v>
      </c>
      <c r="H1705" s="204">
        <v>3.387</v>
      </c>
      <c r="I1705" s="209">
        <v>4.1348647647276762E-2</v>
      </c>
      <c r="J1705" s="207">
        <v>0.80622141627731769</v>
      </c>
      <c r="K1705" s="209">
        <v>5.9320000000000004</v>
      </c>
      <c r="L1705" s="209">
        <v>12.879</v>
      </c>
      <c r="M1705" s="213"/>
      <c r="N1705" s="226"/>
    </row>
    <row r="1706" spans="1:14" ht="16.5" customHeight="1" x14ac:dyDescent="0.25">
      <c r="A1706" s="203">
        <v>45495</v>
      </c>
      <c r="B1706" s="128" t="s">
        <v>14</v>
      </c>
      <c r="C1706" s="157" t="str">
        <f t="shared" si="53"/>
        <v>22.07.2024_BRA1</v>
      </c>
      <c r="D1706" s="190">
        <f t="shared" si="54"/>
        <v>0</v>
      </c>
      <c r="E1706" s="204">
        <v>0</v>
      </c>
      <c r="F1706" s="205">
        <v>0</v>
      </c>
      <c r="G1706" s="204">
        <v>0.10121490607957986</v>
      </c>
      <c r="H1706" s="204">
        <v>6.5030000000000001</v>
      </c>
      <c r="I1706" s="209">
        <v>1.6080029640607632E-2</v>
      </c>
      <c r="J1706" s="207">
        <v>1.5121334703715634</v>
      </c>
      <c r="K1706" s="209">
        <v>5.4480000000000004</v>
      </c>
      <c r="L1706" s="209">
        <v>4.1749999999999998</v>
      </c>
      <c r="M1706" s="213"/>
      <c r="N1706" s="226"/>
    </row>
    <row r="1707" spans="1:14" ht="16.5" customHeight="1" x14ac:dyDescent="0.25">
      <c r="A1707" s="203">
        <v>45495</v>
      </c>
      <c r="B1707" s="128" t="s">
        <v>17</v>
      </c>
      <c r="C1707" s="157" t="str">
        <f t="shared" si="53"/>
        <v>22.07.2024_BRA2</v>
      </c>
      <c r="D1707" s="190">
        <f t="shared" si="54"/>
        <v>0</v>
      </c>
      <c r="E1707" s="204">
        <v>2.6049549082616315E-2</v>
      </c>
      <c r="F1707" s="205">
        <v>0</v>
      </c>
      <c r="G1707" s="204">
        <v>4.148151888507378E-2</v>
      </c>
      <c r="H1707" s="204">
        <v>10.8</v>
      </c>
      <c r="I1707" s="209">
        <v>3.9051500555761356E-2</v>
      </c>
      <c r="J1707" s="207">
        <v>2.4823481480911038</v>
      </c>
      <c r="K1707" s="209">
        <v>9.5530000000000008</v>
      </c>
      <c r="L1707" s="209">
        <v>5.6349999999999998</v>
      </c>
      <c r="M1707" s="213"/>
      <c r="N1707" s="226"/>
    </row>
    <row r="1708" spans="1:14" ht="16.5" customHeight="1" x14ac:dyDescent="0.25">
      <c r="A1708" s="203">
        <v>45495</v>
      </c>
      <c r="B1708" s="128" t="s">
        <v>30</v>
      </c>
      <c r="C1708" s="157" t="str">
        <f t="shared" si="53"/>
        <v>22.07.2024_FAL1</v>
      </c>
      <c r="D1708" s="190">
        <f t="shared" si="54"/>
        <v>0</v>
      </c>
      <c r="E1708" s="204">
        <v>4.8377734010573208E-2</v>
      </c>
      <c r="F1708" s="205">
        <v>0</v>
      </c>
      <c r="G1708" s="204">
        <v>0.23893354877802464</v>
      </c>
      <c r="H1708" s="204">
        <v>13.032</v>
      </c>
      <c r="I1708" s="209">
        <v>0.13438310485364949</v>
      </c>
      <c r="J1708" s="207">
        <v>3.1206282960132796</v>
      </c>
      <c r="K1708" s="209">
        <v>35</v>
      </c>
      <c r="L1708" s="209">
        <v>28.382999999999999</v>
      </c>
      <c r="M1708" s="213"/>
      <c r="N1708" s="226"/>
    </row>
    <row r="1709" spans="1:14" ht="16.5" customHeight="1" x14ac:dyDescent="0.25">
      <c r="A1709" s="203">
        <v>45495</v>
      </c>
      <c r="B1709" s="128" t="s">
        <v>32</v>
      </c>
      <c r="C1709" s="157" t="str">
        <f t="shared" si="53"/>
        <v>22.07.2024_FAL2</v>
      </c>
      <c r="D1709" s="190">
        <f t="shared" si="54"/>
        <v>0</v>
      </c>
      <c r="E1709" s="204">
        <v>0.1023375142531356</v>
      </c>
      <c r="F1709" s="205">
        <v>0</v>
      </c>
      <c r="G1709" s="204">
        <v>0.10951120985659465</v>
      </c>
      <c r="H1709" s="204">
        <v>14.048999999999999</v>
      </c>
      <c r="I1709" s="209">
        <v>7.2360133382734379E-2</v>
      </c>
      <c r="J1709" s="207">
        <v>3.2627752378111992</v>
      </c>
      <c r="K1709" s="209">
        <v>35</v>
      </c>
      <c r="L1709" s="209">
        <v>28.617999999999999</v>
      </c>
      <c r="M1709" s="213"/>
      <c r="N1709" s="226"/>
    </row>
    <row r="1710" spans="1:14" ht="16.5" customHeight="1" x14ac:dyDescent="0.25">
      <c r="A1710" s="203">
        <v>45495</v>
      </c>
      <c r="B1710" s="128" t="s">
        <v>26</v>
      </c>
      <c r="C1710" s="157" t="str">
        <f t="shared" si="53"/>
        <v>22.07.2024_GRU1</v>
      </c>
      <c r="D1710" s="190">
        <f t="shared" si="54"/>
        <v>0</v>
      </c>
      <c r="E1710" s="204">
        <v>0</v>
      </c>
      <c r="F1710" s="205">
        <v>0</v>
      </c>
      <c r="G1710" s="204">
        <v>0</v>
      </c>
      <c r="H1710" s="204">
        <v>2.335</v>
      </c>
      <c r="I1710" s="209">
        <v>2.2971470915153721E-2</v>
      </c>
      <c r="J1710" s="207">
        <v>0.54524356745090774</v>
      </c>
      <c r="K1710" s="209">
        <v>6.3070000000000004</v>
      </c>
      <c r="L1710" s="209">
        <v>10.823</v>
      </c>
      <c r="M1710" s="213"/>
      <c r="N1710" s="226"/>
    </row>
    <row r="1711" spans="1:14" ht="16.5" customHeight="1" x14ac:dyDescent="0.25">
      <c r="A1711" s="203">
        <v>45495</v>
      </c>
      <c r="B1711" s="128" t="s">
        <v>28</v>
      </c>
      <c r="C1711" s="157" t="str">
        <f t="shared" si="53"/>
        <v>22.07.2024_GRU2</v>
      </c>
      <c r="D1711" s="190">
        <f t="shared" si="54"/>
        <v>0</v>
      </c>
      <c r="E1711" s="204">
        <v>0</v>
      </c>
      <c r="F1711" s="205">
        <v>0</v>
      </c>
      <c r="G1711" s="204">
        <v>7.46667339931327E-2</v>
      </c>
      <c r="H1711" s="204">
        <v>2.9540000000000002</v>
      </c>
      <c r="I1711" s="209">
        <v>6.5468692108188245E-2</v>
      </c>
      <c r="J1711" s="207">
        <v>0.74078805189929642</v>
      </c>
      <c r="K1711" s="209">
        <v>7.1589999999999998</v>
      </c>
      <c r="L1711" s="209">
        <v>9.9149999999999991</v>
      </c>
      <c r="M1711" s="213"/>
      <c r="N1711" s="226"/>
    </row>
    <row r="1712" spans="1:14" ht="16.5" customHeight="1" x14ac:dyDescent="0.25">
      <c r="A1712" s="203">
        <v>45495</v>
      </c>
      <c r="B1712" s="128" t="s">
        <v>0</v>
      </c>
      <c r="C1712" s="157" t="str">
        <f t="shared" si="53"/>
        <v>22.07.2024_KIN1</v>
      </c>
      <c r="D1712" s="190">
        <f t="shared" si="54"/>
        <v>0</v>
      </c>
      <c r="E1712" s="204">
        <v>0</v>
      </c>
      <c r="F1712" s="205">
        <v>0</v>
      </c>
      <c r="G1712" s="204">
        <v>0</v>
      </c>
      <c r="H1712" s="204">
        <v>3.6859999999999999</v>
      </c>
      <c r="I1712" s="209">
        <v>6.4320118562430528E-2</v>
      </c>
      <c r="J1712" s="207">
        <v>0.88199558692555924</v>
      </c>
      <c r="K1712" s="209">
        <v>7.0179999999999998</v>
      </c>
      <c r="L1712" s="209">
        <v>11.62</v>
      </c>
      <c r="M1712" s="213"/>
      <c r="N1712" s="226"/>
    </row>
    <row r="1713" spans="1:14" ht="16.5" customHeight="1" x14ac:dyDescent="0.25">
      <c r="A1713" s="203">
        <v>45495</v>
      </c>
      <c r="B1713" s="128" t="s">
        <v>2</v>
      </c>
      <c r="C1713" s="157" t="str">
        <f t="shared" si="53"/>
        <v>22.07.2024_KIN2</v>
      </c>
      <c r="D1713" s="190">
        <f t="shared" si="54"/>
        <v>0</v>
      </c>
      <c r="E1713" s="204">
        <v>0</v>
      </c>
      <c r="F1713" s="205">
        <v>0</v>
      </c>
      <c r="G1713" s="204">
        <v>4.9777822662088508E-2</v>
      </c>
      <c r="H1713" s="204">
        <v>5.923</v>
      </c>
      <c r="I1713" s="209">
        <v>0.10452019266394964</v>
      </c>
      <c r="J1713" s="207">
        <v>1.4341417525111031</v>
      </c>
      <c r="K1713" s="209">
        <v>10.675000000000001</v>
      </c>
      <c r="L1713" s="209">
        <v>13.471</v>
      </c>
      <c r="M1713" s="213"/>
      <c r="N1713" s="226"/>
    </row>
    <row r="1714" spans="1:14" ht="16.5" customHeight="1" x14ac:dyDescent="0.25">
      <c r="A1714" s="203">
        <v>45495</v>
      </c>
      <c r="B1714" s="128" t="s">
        <v>4</v>
      </c>
      <c r="C1714" s="157" t="str">
        <f t="shared" si="53"/>
        <v>22.07.2024_KIN3</v>
      </c>
      <c r="D1714" s="190">
        <f t="shared" si="54"/>
        <v>0</v>
      </c>
      <c r="E1714" s="204">
        <v>2.4188867005286586E-2</v>
      </c>
      <c r="F1714" s="205">
        <v>0</v>
      </c>
      <c r="G1714" s="204">
        <v>2.157038982023838E-2</v>
      </c>
      <c r="H1714" s="204">
        <v>6.1710000000000003</v>
      </c>
      <c r="I1714" s="209">
        <v>2.4120044460911427E-2</v>
      </c>
      <c r="J1714" s="207">
        <v>1.4191398485042246</v>
      </c>
      <c r="K1714" s="209">
        <v>13.151</v>
      </c>
      <c r="L1714" s="209">
        <v>14.129</v>
      </c>
      <c r="M1714" s="213"/>
      <c r="N1714" s="226"/>
    </row>
    <row r="1715" spans="1:14" ht="16.5" customHeight="1" x14ac:dyDescent="0.25">
      <c r="A1715" s="203">
        <v>45495</v>
      </c>
      <c r="B1715" s="128" t="s">
        <v>6</v>
      </c>
      <c r="C1715" s="157" t="str">
        <f t="shared" si="53"/>
        <v>22.07.2024_KIN4</v>
      </c>
      <c r="D1715" s="190">
        <f t="shared" si="54"/>
        <v>0</v>
      </c>
      <c r="E1715" s="204">
        <v>3.7213641546594761E-2</v>
      </c>
      <c r="F1715" s="205">
        <v>0</v>
      </c>
      <c r="G1715" s="204">
        <v>5.8074126439103244E-2</v>
      </c>
      <c r="H1715" s="204">
        <v>5.7789999999999999</v>
      </c>
      <c r="I1715" s="209">
        <v>4.4794368284549836E-2</v>
      </c>
      <c r="J1715" s="207">
        <v>1.3577657768236551</v>
      </c>
      <c r="K1715" s="209">
        <v>23.934000000000001</v>
      </c>
      <c r="L1715" s="209">
        <v>15.169</v>
      </c>
      <c r="M1715" s="213"/>
      <c r="N1715" s="226"/>
    </row>
    <row r="1716" spans="1:14" ht="16.5" customHeight="1" x14ac:dyDescent="0.25">
      <c r="A1716" s="203">
        <v>45495</v>
      </c>
      <c r="B1716" s="128" t="s">
        <v>34</v>
      </c>
      <c r="C1716" s="157" t="str">
        <f t="shared" si="53"/>
        <v>22.07.2024_KRE1</v>
      </c>
      <c r="D1716" s="190">
        <f t="shared" si="54"/>
        <v>0</v>
      </c>
      <c r="E1716" s="204">
        <v>0</v>
      </c>
      <c r="F1716" s="205">
        <v>0</v>
      </c>
      <c r="G1716" s="204">
        <v>0.16260755402948904</v>
      </c>
      <c r="H1716" s="204">
        <v>8.1359999999999992</v>
      </c>
      <c r="I1716" s="209">
        <v>0.11256020748425348</v>
      </c>
      <c r="J1716" s="207">
        <v>1.9745860653337255</v>
      </c>
      <c r="K1716" s="209">
        <v>37</v>
      </c>
      <c r="L1716" s="209">
        <v>28.001000000000001</v>
      </c>
      <c r="M1716" s="213"/>
      <c r="N1716" s="226"/>
    </row>
    <row r="1717" spans="1:14" ht="16.5" customHeight="1" x14ac:dyDescent="0.25">
      <c r="A1717" s="203">
        <v>45495</v>
      </c>
      <c r="B1717" s="128" t="s">
        <v>37</v>
      </c>
      <c r="C1717" s="157" t="str">
        <f t="shared" si="53"/>
        <v>22.07.2024_KRE2</v>
      </c>
      <c r="D1717" s="190">
        <f t="shared" si="54"/>
        <v>0</v>
      </c>
      <c r="E1717" s="204">
        <v>3.7213641546594567E-3</v>
      </c>
      <c r="F1717" s="205">
        <v>0</v>
      </c>
      <c r="G1717" s="204">
        <v>0.12942233892143007</v>
      </c>
      <c r="H1717" s="204">
        <v>9.5739999999999998</v>
      </c>
      <c r="I1717" s="209">
        <v>0.19296035568729161</v>
      </c>
      <c r="J1717" s="207">
        <v>2.3517137976722542</v>
      </c>
      <c r="K1717" s="209">
        <v>35</v>
      </c>
      <c r="L1717" s="209">
        <v>31.777999999999999</v>
      </c>
      <c r="M1717" s="213"/>
      <c r="N1717" s="226"/>
    </row>
    <row r="1718" spans="1:14" ht="16.5" customHeight="1" x14ac:dyDescent="0.25">
      <c r="A1718" s="203">
        <v>45495</v>
      </c>
      <c r="B1718" s="128" t="s">
        <v>18</v>
      </c>
      <c r="C1718" s="157" t="str">
        <f t="shared" si="53"/>
        <v>22.07.2024_ORB1</v>
      </c>
      <c r="D1718" s="190">
        <f t="shared" si="54"/>
        <v>0</v>
      </c>
      <c r="E1718" s="204">
        <v>0</v>
      </c>
      <c r="F1718" s="205">
        <v>0</v>
      </c>
      <c r="G1718" s="204">
        <v>0</v>
      </c>
      <c r="H1718" s="204">
        <v>5.3570000000000002</v>
      </c>
      <c r="I1718" s="209">
        <v>3.7902927010003695E-2</v>
      </c>
      <c r="J1718" s="207">
        <v>1.2394168337939979</v>
      </c>
      <c r="K1718" s="209">
        <v>7.5359999999999996</v>
      </c>
      <c r="L1718" s="209">
        <v>12.486000000000001</v>
      </c>
      <c r="M1718" s="213"/>
      <c r="N1718" s="226"/>
    </row>
    <row r="1719" spans="1:14" ht="16.5" customHeight="1" x14ac:dyDescent="0.25">
      <c r="A1719" s="203">
        <v>45495</v>
      </c>
      <c r="B1719" s="128" t="s">
        <v>21</v>
      </c>
      <c r="C1719" s="157" t="str">
        <f t="shared" si="53"/>
        <v>22.07.2024_ORB2</v>
      </c>
      <c r="D1719" s="190">
        <f t="shared" si="54"/>
        <v>0</v>
      </c>
      <c r="E1719" s="204">
        <v>0</v>
      </c>
      <c r="F1719" s="205">
        <v>0</v>
      </c>
      <c r="G1719" s="204">
        <v>2.8207432841850132E-2</v>
      </c>
      <c r="H1719" s="204">
        <v>6.0110000000000001</v>
      </c>
      <c r="I1719" s="209">
        <v>3.7902927010003695E-2</v>
      </c>
      <c r="J1719" s="207">
        <v>1.395723566722699</v>
      </c>
      <c r="K1719" s="209">
        <v>16.164000000000001</v>
      </c>
      <c r="L1719" s="209">
        <v>15.343999999999999</v>
      </c>
      <c r="M1719" s="213"/>
      <c r="N1719" s="226"/>
    </row>
    <row r="1720" spans="1:14" ht="16.5" customHeight="1" x14ac:dyDescent="0.25">
      <c r="A1720" s="203">
        <v>45495</v>
      </c>
      <c r="B1720" s="128" t="s">
        <v>10</v>
      </c>
      <c r="C1720" s="157" t="str">
        <f t="shared" si="53"/>
        <v>22.07.2024_SAL1</v>
      </c>
      <c r="D1720" s="190">
        <f t="shared" si="54"/>
        <v>0</v>
      </c>
      <c r="E1720" s="204">
        <v>0.10047683217580591</v>
      </c>
      <c r="F1720" s="205">
        <v>0</v>
      </c>
      <c r="G1720" s="204">
        <v>1.6592607554029491E-2</v>
      </c>
      <c r="H1720" s="204">
        <v>8.4019999999999992</v>
      </c>
      <c r="I1720" s="209">
        <v>0.15620600222304562</v>
      </c>
      <c r="J1720" s="207">
        <v>2.0241037580359968</v>
      </c>
      <c r="K1720" s="209">
        <v>9.8439999999999994</v>
      </c>
      <c r="L1720" s="209">
        <v>6.6459999999999999</v>
      </c>
      <c r="M1720" s="213"/>
      <c r="N1720" s="226"/>
    </row>
    <row r="1721" spans="1:14" ht="16.5" customHeight="1" x14ac:dyDescent="0.25">
      <c r="A1721" s="203">
        <v>45495</v>
      </c>
      <c r="B1721" s="128" t="s">
        <v>12</v>
      </c>
      <c r="C1721" s="157" t="str">
        <f t="shared" si="53"/>
        <v>22.07.2024_SAL2</v>
      </c>
      <c r="D1721" s="190">
        <f t="shared" si="54"/>
        <v>0</v>
      </c>
      <c r="E1721" s="204">
        <v>6.5123872706540881E-2</v>
      </c>
      <c r="F1721" s="205">
        <v>0</v>
      </c>
      <c r="G1721" s="204">
        <v>1.6592607554029491E-2</v>
      </c>
      <c r="H1721" s="204">
        <v>5.79</v>
      </c>
      <c r="I1721" s="209">
        <v>5.8577250833642104E-2</v>
      </c>
      <c r="J1721" s="207">
        <v>1.3583235688696389</v>
      </c>
      <c r="K1721" s="209">
        <v>8.4250000000000007</v>
      </c>
      <c r="L1721" s="209">
        <v>6.0279999999999996</v>
      </c>
      <c r="M1721" s="213"/>
      <c r="N1721" s="226"/>
    </row>
    <row r="1722" spans="1:14" ht="16.5" customHeight="1" x14ac:dyDescent="0.25">
      <c r="A1722" s="203">
        <v>45495</v>
      </c>
      <c r="B1722" s="128" t="s">
        <v>7</v>
      </c>
      <c r="C1722" s="157" t="str">
        <f t="shared" si="53"/>
        <v>22.07.2024_STE1</v>
      </c>
      <c r="D1722" s="190">
        <f t="shared" si="54"/>
        <v>0</v>
      </c>
      <c r="E1722" s="204">
        <v>3.3492277391935305E-2</v>
      </c>
      <c r="F1722" s="205">
        <v>0</v>
      </c>
      <c r="G1722" s="204">
        <v>0</v>
      </c>
      <c r="H1722" s="204">
        <v>8.9160000000000004</v>
      </c>
      <c r="I1722" s="209">
        <v>1.9525750277880703E-2</v>
      </c>
      <c r="J1722" s="207">
        <v>2.0290184698332716</v>
      </c>
      <c r="K1722" s="209">
        <v>10.805999999999999</v>
      </c>
      <c r="L1722" s="209">
        <v>8.9939999999999998</v>
      </c>
      <c r="M1722" s="213"/>
      <c r="N1722" s="226"/>
    </row>
    <row r="1723" spans="1:14" ht="16.5" customHeight="1" x14ac:dyDescent="0.25">
      <c r="A1723" s="203">
        <v>45495</v>
      </c>
      <c r="B1723" s="128" t="s">
        <v>9</v>
      </c>
      <c r="C1723" s="157" t="str">
        <f t="shared" si="53"/>
        <v>22.07.2024_STE2</v>
      </c>
      <c r="D1723" s="190">
        <f t="shared" si="54"/>
        <v>0</v>
      </c>
      <c r="E1723" s="204">
        <v>3.3492277391935305E-2</v>
      </c>
      <c r="F1723" s="205">
        <v>0</v>
      </c>
      <c r="G1723" s="204">
        <v>1.3274086043223615E-2</v>
      </c>
      <c r="H1723" s="204">
        <v>8.85</v>
      </c>
      <c r="I1723" s="209">
        <v>4.3645794738792126E-2</v>
      </c>
      <c r="J1723" s="207">
        <v>2.0368813186525836</v>
      </c>
      <c r="K1723" s="209">
        <v>12.843</v>
      </c>
      <c r="L1723" s="209">
        <v>9.3320000000000007</v>
      </c>
      <c r="M1723" s="213"/>
      <c r="N1723" s="226"/>
    </row>
    <row r="1724" spans="1:14" ht="16.5" customHeight="1" x14ac:dyDescent="0.25">
      <c r="A1724" s="203">
        <v>45509</v>
      </c>
      <c r="B1724" s="128" t="s">
        <v>22</v>
      </c>
      <c r="C1724" s="157" t="str">
        <f t="shared" si="53"/>
        <v>05.08.2024_BIE1</v>
      </c>
      <c r="D1724" s="190">
        <f t="shared" si="54"/>
        <v>0</v>
      </c>
      <c r="E1724" s="204">
        <v>0.15909005687144548</v>
      </c>
      <c r="F1724" s="205">
        <v>0</v>
      </c>
      <c r="G1724" s="204">
        <v>3.9953007518797025E-2</v>
      </c>
      <c r="H1724" s="204">
        <v>3.3460000000000001</v>
      </c>
      <c r="I1724" s="209">
        <v>3.4327697928734177E-2</v>
      </c>
      <c r="J1724" s="207">
        <v>0.79457982730378052</v>
      </c>
      <c r="K1724" s="209">
        <v>6.1710000000000003</v>
      </c>
      <c r="L1724" s="209">
        <v>13.593999999999999</v>
      </c>
      <c r="M1724" s="213"/>
      <c r="N1724" s="226"/>
    </row>
    <row r="1725" spans="1:14" ht="16.5" customHeight="1" x14ac:dyDescent="0.25">
      <c r="A1725" s="203">
        <v>45509</v>
      </c>
      <c r="B1725" s="128" t="s">
        <v>25</v>
      </c>
      <c r="C1725" s="157" t="str">
        <f t="shared" si="53"/>
        <v>05.08.2024_BIE2</v>
      </c>
      <c r="D1725" s="190">
        <f t="shared" si="54"/>
        <v>0</v>
      </c>
      <c r="E1725" s="204">
        <v>0</v>
      </c>
      <c r="F1725" s="205">
        <v>0</v>
      </c>
      <c r="G1725" s="204">
        <v>1.8439849624060176E-2</v>
      </c>
      <c r="H1725" s="204">
        <v>3.198</v>
      </c>
      <c r="I1725" s="209">
        <v>6.3569810979136757E-3</v>
      </c>
      <c r="J1725" s="207">
        <v>0.73288240447076403</v>
      </c>
      <c r="K1725" s="209">
        <v>6.532</v>
      </c>
      <c r="L1725" s="209">
        <v>13.504</v>
      </c>
      <c r="M1725" s="213"/>
      <c r="N1725" s="226"/>
    </row>
    <row r="1726" spans="1:14" ht="16.5" customHeight="1" x14ac:dyDescent="0.25">
      <c r="A1726" s="203">
        <v>45509</v>
      </c>
      <c r="B1726" s="128" t="s">
        <v>14</v>
      </c>
      <c r="C1726" s="157" t="str">
        <f t="shared" si="53"/>
        <v>05.08.2024_BRA1</v>
      </c>
      <c r="D1726" s="190">
        <f t="shared" si="54"/>
        <v>0</v>
      </c>
      <c r="E1726" s="204">
        <v>1.9348790700581181E-2</v>
      </c>
      <c r="F1726" s="205">
        <v>0</v>
      </c>
      <c r="G1726" s="204">
        <v>9.9882518796992531E-2</v>
      </c>
      <c r="H1726" s="204">
        <v>5.9109999999999996</v>
      </c>
      <c r="I1726" s="209">
        <v>9.281192402954061E-2</v>
      </c>
      <c r="J1726" s="207">
        <v>1.4375943337374422</v>
      </c>
      <c r="K1726" s="209">
        <v>5.1760000000000002</v>
      </c>
      <c r="L1726" s="209">
        <v>4.149</v>
      </c>
      <c r="M1726" s="213"/>
      <c r="N1726" s="226"/>
    </row>
    <row r="1727" spans="1:14" ht="16.5" customHeight="1" x14ac:dyDescent="0.25">
      <c r="A1727" s="203">
        <v>45509</v>
      </c>
      <c r="B1727" s="128" t="s">
        <v>17</v>
      </c>
      <c r="C1727" s="157" t="str">
        <f t="shared" si="53"/>
        <v>05.08.2024_BRA2</v>
      </c>
      <c r="D1727" s="190">
        <f t="shared" si="54"/>
        <v>0</v>
      </c>
      <c r="E1727" s="204">
        <v>5.8046372101743633E-2</v>
      </c>
      <c r="F1727" s="205">
        <v>0</v>
      </c>
      <c r="G1727" s="204">
        <v>6.6076127819548858E-2</v>
      </c>
      <c r="H1727" s="204">
        <v>9.4819999999999993</v>
      </c>
      <c r="I1727" s="209">
        <v>2.7970716830820398E-2</v>
      </c>
      <c r="J1727" s="207">
        <v>2.183535199026625</v>
      </c>
      <c r="K1727" s="209">
        <v>9.2880000000000003</v>
      </c>
      <c r="L1727" s="209">
        <v>6.0529999999999999</v>
      </c>
      <c r="M1727" s="213"/>
      <c r="N1727" s="226"/>
    </row>
    <row r="1728" spans="1:14" ht="16.5" customHeight="1" x14ac:dyDescent="0.25">
      <c r="A1728" s="203">
        <v>45509</v>
      </c>
      <c r="B1728" s="128" t="s">
        <v>30</v>
      </c>
      <c r="C1728" s="157" t="str">
        <f t="shared" si="53"/>
        <v>05.08.2024_FAL1</v>
      </c>
      <c r="D1728" s="190">
        <f t="shared" si="54"/>
        <v>0</v>
      </c>
      <c r="E1728" s="204">
        <v>0.16338978813824129</v>
      </c>
      <c r="F1728" s="205">
        <v>0</v>
      </c>
      <c r="G1728" s="204">
        <v>0.31347744360902269</v>
      </c>
      <c r="H1728" s="204">
        <v>15.295</v>
      </c>
      <c r="I1728" s="209">
        <v>0.12968241439744027</v>
      </c>
      <c r="J1728" s="207">
        <v>3.6508169556622354</v>
      </c>
      <c r="K1728" s="209">
        <v>39</v>
      </c>
      <c r="L1728" s="209">
        <v>31</v>
      </c>
      <c r="M1728" s="213"/>
      <c r="N1728" s="226"/>
    </row>
    <row r="1729" spans="1:14" ht="16.5" customHeight="1" x14ac:dyDescent="0.25">
      <c r="A1729" s="203">
        <v>45509</v>
      </c>
      <c r="B1729" s="128" t="s">
        <v>32</v>
      </c>
      <c r="C1729" s="157" t="str">
        <f t="shared" si="53"/>
        <v>05.08.2024_FAL2</v>
      </c>
      <c r="D1729" s="190">
        <f t="shared" si="54"/>
        <v>0</v>
      </c>
      <c r="E1729" s="204">
        <v>0.19778763827260792</v>
      </c>
      <c r="F1729" s="205">
        <v>0</v>
      </c>
      <c r="G1729" s="204">
        <v>0.17671522556390989</v>
      </c>
      <c r="H1729" s="204">
        <v>12.920999999999999</v>
      </c>
      <c r="I1729" s="209">
        <v>7.7555169394547624E-2</v>
      </c>
      <c r="J1729" s="207">
        <v>3.032488033906104</v>
      </c>
      <c r="K1729" s="209">
        <v>36</v>
      </c>
      <c r="L1729" s="209">
        <v>30</v>
      </c>
      <c r="M1729" s="213"/>
      <c r="N1729" s="226"/>
    </row>
    <row r="1730" spans="1:14" ht="16.5" customHeight="1" x14ac:dyDescent="0.25">
      <c r="A1730" s="203">
        <v>45509</v>
      </c>
      <c r="B1730" s="128" t="s">
        <v>26</v>
      </c>
      <c r="C1730" s="157" t="str">
        <f t="shared" si="53"/>
        <v>05.08.2024_GRU1</v>
      </c>
      <c r="D1730" s="190">
        <f t="shared" si="54"/>
        <v>0</v>
      </c>
      <c r="E1730" s="204">
        <v>0</v>
      </c>
      <c r="F1730" s="205">
        <v>0</v>
      </c>
      <c r="G1730" s="204">
        <v>0</v>
      </c>
      <c r="H1730" s="204">
        <v>2.1</v>
      </c>
      <c r="I1730" s="209">
        <v>-5.2932500865080564E-17</v>
      </c>
      <c r="J1730" s="207">
        <v>0.47058432518796989</v>
      </c>
      <c r="K1730" s="209">
        <v>6.7530000000000001</v>
      </c>
      <c r="L1730" s="209">
        <v>10.282</v>
      </c>
      <c r="M1730" s="213"/>
      <c r="N1730" s="226"/>
    </row>
    <row r="1731" spans="1:14" ht="16.5" customHeight="1" x14ac:dyDescent="0.25">
      <c r="A1731" s="203">
        <v>45509</v>
      </c>
      <c r="B1731" s="128" t="s">
        <v>28</v>
      </c>
      <c r="C1731" s="157" t="str">
        <f t="shared" si="53"/>
        <v>05.08.2024_GRU2</v>
      </c>
      <c r="D1731" s="190">
        <f t="shared" si="54"/>
        <v>0</v>
      </c>
      <c r="E1731" s="204">
        <v>0</v>
      </c>
      <c r="F1731" s="205">
        <v>0</v>
      </c>
      <c r="G1731" s="204">
        <v>7.3759398496240636E-2</v>
      </c>
      <c r="H1731" s="204">
        <v>2.6179999999999999</v>
      </c>
      <c r="I1731" s="209">
        <v>0.12078264086036106</v>
      </c>
      <c r="J1731" s="207">
        <v>0.70757022167384209</v>
      </c>
      <c r="K1731" s="209">
        <v>7.5650000000000004</v>
      </c>
      <c r="L1731" s="209">
        <v>9.4160000000000004</v>
      </c>
      <c r="M1731" s="213"/>
      <c r="N1731" s="226"/>
    </row>
    <row r="1732" spans="1:14" ht="16.5" customHeight="1" x14ac:dyDescent="0.25">
      <c r="A1732" s="203">
        <v>45509</v>
      </c>
      <c r="B1732" s="128" t="s">
        <v>0</v>
      </c>
      <c r="C1732" s="157" t="str">
        <f t="shared" si="53"/>
        <v>05.08.2024_KIN1</v>
      </c>
      <c r="D1732" s="190">
        <f t="shared" si="54"/>
        <v>0</v>
      </c>
      <c r="E1732" s="204">
        <v>0</v>
      </c>
      <c r="F1732" s="205">
        <v>0</v>
      </c>
      <c r="G1732" s="204">
        <v>0</v>
      </c>
      <c r="H1732" s="204">
        <v>3.738</v>
      </c>
      <c r="I1732" s="209">
        <v>3.5599094148316891E-2</v>
      </c>
      <c r="J1732" s="207">
        <v>0.87007306320921152</v>
      </c>
      <c r="K1732" s="209">
        <v>7.3780000000000001</v>
      </c>
      <c r="L1732" s="209">
        <v>11.455</v>
      </c>
      <c r="M1732" s="213"/>
      <c r="N1732" s="226"/>
    </row>
    <row r="1733" spans="1:14" ht="16.5" customHeight="1" x14ac:dyDescent="0.25">
      <c r="A1733" s="203">
        <v>45509</v>
      </c>
      <c r="B1733" s="128" t="s">
        <v>2</v>
      </c>
      <c r="C1733" s="157" t="str">
        <f t="shared" ref="C1733:C1793" si="55">CONCATENATE(TEXT(A1733,"TT.MM.JJJJ"),"_",B1733)</f>
        <v>05.08.2024_KIN2</v>
      </c>
      <c r="D1733" s="190">
        <f t="shared" ref="D1733:D1793" si="56">COUNTBLANK(E1733:L1733)</f>
        <v>0</v>
      </c>
      <c r="E1733" s="204">
        <v>0</v>
      </c>
      <c r="F1733" s="205">
        <v>0</v>
      </c>
      <c r="G1733" s="204">
        <v>7.0686090225563894E-2</v>
      </c>
      <c r="H1733" s="204">
        <v>6.0830000000000002</v>
      </c>
      <c r="I1733" s="209">
        <v>8.2640754272878633E-2</v>
      </c>
      <c r="J1733" s="207">
        <v>1.4596573094545207</v>
      </c>
      <c r="K1733" s="209">
        <v>11.252000000000001</v>
      </c>
      <c r="L1733" s="209">
        <v>14.247</v>
      </c>
      <c r="M1733" s="213"/>
      <c r="N1733" s="226"/>
    </row>
    <row r="1734" spans="1:14" ht="16.5" customHeight="1" x14ac:dyDescent="0.25">
      <c r="A1734" s="203">
        <v>45509</v>
      </c>
      <c r="B1734" s="128" t="s">
        <v>4</v>
      </c>
      <c r="C1734" s="157" t="str">
        <f t="shared" si="55"/>
        <v>05.08.2024_KIN3</v>
      </c>
      <c r="D1734" s="190">
        <f t="shared" si="56"/>
        <v>0</v>
      </c>
      <c r="E1734" s="204">
        <v>1.5049059433785339E-2</v>
      </c>
      <c r="F1734" s="205">
        <v>0</v>
      </c>
      <c r="G1734" s="204">
        <v>2.7659774436090263E-2</v>
      </c>
      <c r="H1734" s="204">
        <v>5.8360000000000003</v>
      </c>
      <c r="I1734" s="209">
        <v>6.3569810979136757E-3</v>
      </c>
      <c r="J1734" s="207">
        <v>1.3315344705797867</v>
      </c>
      <c r="K1734" s="209">
        <v>13.122999999999999</v>
      </c>
      <c r="L1734" s="209">
        <v>14.532999999999999</v>
      </c>
      <c r="M1734" s="213"/>
      <c r="N1734" s="226"/>
    </row>
    <row r="1735" spans="1:14" ht="16.5" customHeight="1" x14ac:dyDescent="0.25">
      <c r="A1735" s="203">
        <v>45509</v>
      </c>
      <c r="B1735" s="128" t="s">
        <v>6</v>
      </c>
      <c r="C1735" s="157" t="str">
        <f t="shared" si="55"/>
        <v>05.08.2024_KIN4</v>
      </c>
      <c r="D1735" s="190">
        <f t="shared" si="56"/>
        <v>0</v>
      </c>
      <c r="E1735" s="204">
        <v>8.8144490969314399E-2</v>
      </c>
      <c r="F1735" s="205">
        <v>0</v>
      </c>
      <c r="G1735" s="204">
        <v>7.2222744360902272E-2</v>
      </c>
      <c r="H1735" s="204">
        <v>6.0030000000000001</v>
      </c>
      <c r="I1735" s="209">
        <v>2.7970716830820398E-2</v>
      </c>
      <c r="J1735" s="207">
        <v>1.3996048064326403</v>
      </c>
      <c r="K1735" s="209">
        <v>21.693999999999999</v>
      </c>
      <c r="L1735" s="209">
        <v>15.162000000000001</v>
      </c>
      <c r="M1735" s="213"/>
      <c r="N1735" s="226"/>
    </row>
    <row r="1736" spans="1:14" ht="16.5" customHeight="1" x14ac:dyDescent="0.25">
      <c r="A1736" s="203">
        <v>45509</v>
      </c>
      <c r="B1736" s="128" t="s">
        <v>34</v>
      </c>
      <c r="C1736" s="157" t="str">
        <f t="shared" si="55"/>
        <v>05.08.2024_KRE1</v>
      </c>
      <c r="D1736" s="190">
        <f t="shared" si="56"/>
        <v>0</v>
      </c>
      <c r="E1736" s="204">
        <v>0</v>
      </c>
      <c r="F1736" s="205">
        <v>0</v>
      </c>
      <c r="G1736" s="204">
        <v>0.15520206766917305</v>
      </c>
      <c r="H1736" s="204">
        <v>9.2050000000000001</v>
      </c>
      <c r="I1736" s="209">
        <v>0.11951124464077835</v>
      </c>
      <c r="J1736" s="207">
        <v>2.2191839058529972</v>
      </c>
      <c r="K1736" s="209">
        <v>55</v>
      </c>
      <c r="L1736" s="209">
        <v>32</v>
      </c>
      <c r="M1736" s="213"/>
      <c r="N1736" s="226"/>
    </row>
    <row r="1737" spans="1:14" ht="16.5" customHeight="1" x14ac:dyDescent="0.25">
      <c r="A1737" s="203">
        <v>45509</v>
      </c>
      <c r="B1737" s="128" t="s">
        <v>37</v>
      </c>
      <c r="C1737" s="157" t="str">
        <f t="shared" si="55"/>
        <v>05.08.2024_KRE2</v>
      </c>
      <c r="D1737" s="190">
        <f t="shared" si="56"/>
        <v>0</v>
      </c>
      <c r="E1737" s="204">
        <v>0</v>
      </c>
      <c r="F1737" s="205">
        <v>0</v>
      </c>
      <c r="G1737" s="204">
        <v>0.10602913533834595</v>
      </c>
      <c r="H1737" s="204">
        <v>11.444000000000001</v>
      </c>
      <c r="I1737" s="209">
        <v>0.18435245183949847</v>
      </c>
      <c r="J1737" s="207">
        <v>2.7602846855826115</v>
      </c>
      <c r="K1737" s="209">
        <v>60</v>
      </c>
      <c r="L1737" s="209">
        <v>37</v>
      </c>
      <c r="M1737" s="213"/>
      <c r="N1737" s="226"/>
    </row>
    <row r="1738" spans="1:14" ht="16.5" customHeight="1" x14ac:dyDescent="0.25">
      <c r="A1738" s="203">
        <v>45509</v>
      </c>
      <c r="B1738" s="128" t="s">
        <v>18</v>
      </c>
      <c r="C1738" s="157" t="str">
        <f t="shared" si="55"/>
        <v>05.08.2024_ORB1</v>
      </c>
      <c r="D1738" s="190">
        <f t="shared" si="56"/>
        <v>0</v>
      </c>
      <c r="E1738" s="204">
        <v>0</v>
      </c>
      <c r="F1738" s="205">
        <v>0</v>
      </c>
      <c r="G1738" s="204">
        <v>4.9172932330827111E-2</v>
      </c>
      <c r="H1738" s="204">
        <v>5.1189999999999998</v>
      </c>
      <c r="I1738" s="209">
        <v>5.3398641222475417E-2</v>
      </c>
      <c r="J1738" s="207">
        <v>1.21266274017096</v>
      </c>
      <c r="K1738" s="209">
        <v>7.8449999999999998</v>
      </c>
      <c r="L1738" s="209">
        <v>12.502000000000001</v>
      </c>
      <c r="M1738" s="213"/>
      <c r="N1738" s="226"/>
    </row>
    <row r="1739" spans="1:14" ht="16.5" customHeight="1" x14ac:dyDescent="0.25">
      <c r="A1739" s="203">
        <v>45509</v>
      </c>
      <c r="B1739" s="128" t="s">
        <v>21</v>
      </c>
      <c r="C1739" s="157" t="str">
        <f t="shared" si="55"/>
        <v>05.08.2024_ORB2</v>
      </c>
      <c r="D1739" s="190">
        <f t="shared" si="56"/>
        <v>0</v>
      </c>
      <c r="E1739" s="204">
        <v>0</v>
      </c>
      <c r="F1739" s="205">
        <v>0</v>
      </c>
      <c r="G1739" s="204">
        <v>1.8439849624060176E-2</v>
      </c>
      <c r="H1739" s="204">
        <v>6.1050000000000004</v>
      </c>
      <c r="I1739" s="209">
        <v>4.4498867685396154E-2</v>
      </c>
      <c r="J1739" s="207">
        <v>1.4191032879870784</v>
      </c>
      <c r="K1739" s="209">
        <v>17.574999999999999</v>
      </c>
      <c r="L1739" s="209">
        <v>15.625</v>
      </c>
      <c r="M1739" s="213"/>
      <c r="N1739" s="226"/>
    </row>
    <row r="1740" spans="1:14" ht="16.5" customHeight="1" x14ac:dyDescent="0.25">
      <c r="A1740" s="203">
        <v>45509</v>
      </c>
      <c r="B1740" s="128" t="s">
        <v>10</v>
      </c>
      <c r="C1740" s="157" t="str">
        <f t="shared" si="55"/>
        <v>05.08.2024_SAL1</v>
      </c>
      <c r="D1740" s="190">
        <f t="shared" si="56"/>
        <v>0</v>
      </c>
      <c r="E1740" s="204">
        <v>9.0294356602712345E-2</v>
      </c>
      <c r="F1740" s="205">
        <v>0</v>
      </c>
      <c r="G1740" s="204">
        <v>2.6123120300751892E-2</v>
      </c>
      <c r="H1740" s="204">
        <v>6.6040000000000001</v>
      </c>
      <c r="I1740" s="209">
        <v>1.5256754634992939E-2</v>
      </c>
      <c r="J1740" s="207">
        <v>1.5114453813820896</v>
      </c>
      <c r="K1740" s="209">
        <v>7.6479999999999997</v>
      </c>
      <c r="L1740" s="209">
        <v>5.7389999999999999</v>
      </c>
      <c r="M1740" s="213"/>
      <c r="N1740" s="226"/>
    </row>
    <row r="1741" spans="1:14" ht="16.5" customHeight="1" x14ac:dyDescent="0.25">
      <c r="A1741" s="203">
        <v>45509</v>
      </c>
      <c r="B1741" s="128" t="s">
        <v>12</v>
      </c>
      <c r="C1741" s="157" t="str">
        <f t="shared" si="55"/>
        <v>05.08.2024_SAL2</v>
      </c>
      <c r="D1741" s="190">
        <f t="shared" si="56"/>
        <v>0</v>
      </c>
      <c r="E1741" s="204">
        <v>0.14834072870445594</v>
      </c>
      <c r="F1741" s="205">
        <v>0</v>
      </c>
      <c r="G1741" s="204">
        <v>1.9976503759398544E-2</v>
      </c>
      <c r="H1741" s="204">
        <v>6.0759999999999996</v>
      </c>
      <c r="I1741" s="209">
        <v>1.9070943293741188E-2</v>
      </c>
      <c r="J1741" s="207">
        <v>1.3932763633277059</v>
      </c>
      <c r="K1741" s="209">
        <v>8.2710000000000008</v>
      </c>
      <c r="L1741" s="209">
        <v>6.3940000000000001</v>
      </c>
      <c r="M1741" s="213"/>
      <c r="N1741" s="226"/>
    </row>
    <row r="1742" spans="1:14" ht="16.5" customHeight="1" x14ac:dyDescent="0.25">
      <c r="A1742" s="203">
        <v>45509</v>
      </c>
      <c r="B1742" s="128" t="s">
        <v>7</v>
      </c>
      <c r="C1742" s="157" t="str">
        <f t="shared" si="55"/>
        <v>05.08.2024_STE1</v>
      </c>
      <c r="D1742" s="190">
        <f t="shared" si="56"/>
        <v>0</v>
      </c>
      <c r="E1742" s="204">
        <v>7.9545028435722809E-2</v>
      </c>
      <c r="F1742" s="205">
        <v>0</v>
      </c>
      <c r="G1742" s="204">
        <v>0</v>
      </c>
      <c r="H1742" s="204">
        <v>6.8209999999999997</v>
      </c>
      <c r="I1742" s="209">
        <v>5.0855848783309624E-3</v>
      </c>
      <c r="J1742" s="207">
        <v>1.5380584948811225</v>
      </c>
      <c r="K1742" s="209">
        <v>9.7469999999999999</v>
      </c>
      <c r="L1742" s="209">
        <v>8.8049999999999997</v>
      </c>
      <c r="M1742" s="213"/>
      <c r="N1742" s="226"/>
    </row>
    <row r="1743" spans="1:14" ht="16.5" customHeight="1" x14ac:dyDescent="0.25">
      <c r="A1743" s="203">
        <v>45509</v>
      </c>
      <c r="B1743" s="128" t="s">
        <v>9</v>
      </c>
      <c r="C1743" s="157" t="str">
        <f t="shared" si="55"/>
        <v>05.08.2024_STE2</v>
      </c>
      <c r="D1743" s="190">
        <f t="shared" si="56"/>
        <v>0</v>
      </c>
      <c r="E1743" s="204">
        <v>6.4495969001937381E-2</v>
      </c>
      <c r="F1743" s="205">
        <v>0</v>
      </c>
      <c r="G1743" s="204">
        <v>0</v>
      </c>
      <c r="H1743" s="204">
        <v>6.9109999999999996</v>
      </c>
      <c r="I1743" s="209">
        <v>2.7970716830820398E-2</v>
      </c>
      <c r="J1743" s="207">
        <v>1.5827065519119634</v>
      </c>
      <c r="K1743" s="209">
        <v>11.27</v>
      </c>
      <c r="L1743" s="209">
        <v>8.9410000000000007</v>
      </c>
      <c r="M1743" s="213"/>
      <c r="N1743" s="226"/>
    </row>
    <row r="1744" spans="1:14" ht="16.5" customHeight="1" x14ac:dyDescent="0.25">
      <c r="A1744" s="203">
        <v>45523</v>
      </c>
      <c r="B1744" s="128" t="s">
        <v>22</v>
      </c>
      <c r="C1744" s="157" t="str">
        <f t="shared" si="55"/>
        <v>19.08.2024_BIE1</v>
      </c>
      <c r="D1744" s="190">
        <f t="shared" si="56"/>
        <v>0</v>
      </c>
      <c r="E1744" s="204">
        <v>7.8706296055725544E-3</v>
      </c>
      <c r="F1744" s="205">
        <v>2.5247510147372601E-2</v>
      </c>
      <c r="G1744" s="204">
        <v>8.7731549544251657E-3</v>
      </c>
      <c r="H1744" s="204">
        <v>0</v>
      </c>
      <c r="I1744" s="209">
        <v>3.512</v>
      </c>
      <c r="J1744" s="207">
        <v>0.80006770709056152</v>
      </c>
      <c r="K1744" s="209">
        <v>6.3150000000000004</v>
      </c>
      <c r="L1744" s="209">
        <v>13.438000000000001</v>
      </c>
      <c r="M1744" s="213"/>
      <c r="N1744" s="226"/>
    </row>
    <row r="1745" spans="1:14" ht="16.5" customHeight="1" x14ac:dyDescent="0.25">
      <c r="A1745" s="203">
        <v>45523</v>
      </c>
      <c r="B1745" s="128" t="s">
        <v>25</v>
      </c>
      <c r="C1745" s="157" t="str">
        <f t="shared" si="55"/>
        <v>19.08.2024_BIE2</v>
      </c>
      <c r="D1745" s="190">
        <f t="shared" si="56"/>
        <v>0</v>
      </c>
      <c r="E1745" s="204">
        <v>0</v>
      </c>
      <c r="F1745" s="205">
        <v>2.8837934849954245E-2</v>
      </c>
      <c r="G1745" s="204">
        <v>0</v>
      </c>
      <c r="H1745" s="204">
        <v>0</v>
      </c>
      <c r="I1745" s="209">
        <v>3.528</v>
      </c>
      <c r="J1745" s="207">
        <v>0.79686935999999997</v>
      </c>
      <c r="K1745" s="209">
        <v>6.7290000000000001</v>
      </c>
      <c r="L1745" s="209">
        <v>13.246</v>
      </c>
      <c r="M1745" s="213"/>
      <c r="N1745" s="226"/>
    </row>
    <row r="1746" spans="1:14" ht="16.5" customHeight="1" x14ac:dyDescent="0.25">
      <c r="A1746" s="203">
        <v>45523</v>
      </c>
      <c r="B1746" s="128" t="s">
        <v>14</v>
      </c>
      <c r="C1746" s="157" t="str">
        <f t="shared" si="55"/>
        <v>19.08.2024_BRA1</v>
      </c>
      <c r="D1746" s="190">
        <f t="shared" si="56"/>
        <v>0</v>
      </c>
      <c r="E1746" s="204">
        <v>2.3611888816717785E-2</v>
      </c>
      <c r="F1746" s="205">
        <v>5.2500761793863975E-2</v>
      </c>
      <c r="G1746" s="204">
        <v>0</v>
      </c>
      <c r="H1746" s="204">
        <v>0</v>
      </c>
      <c r="I1746" s="209">
        <v>6.47</v>
      </c>
      <c r="J1746" s="207">
        <v>1.4613788999999999</v>
      </c>
      <c r="K1746" s="209">
        <v>7.3620000000000001</v>
      </c>
      <c r="L1746" s="209">
        <v>5.4550000000000001</v>
      </c>
      <c r="M1746" s="213"/>
      <c r="N1746" s="226"/>
    </row>
    <row r="1747" spans="1:14" ht="16.5" customHeight="1" x14ac:dyDescent="0.25">
      <c r="A1747" s="203">
        <v>45523</v>
      </c>
      <c r="B1747" s="128" t="s">
        <v>17</v>
      </c>
      <c r="C1747" s="157" t="str">
        <f t="shared" si="55"/>
        <v>19.08.2024_BRA2</v>
      </c>
      <c r="D1747" s="190">
        <f t="shared" si="56"/>
        <v>0</v>
      </c>
      <c r="E1747" s="204">
        <v>4.3288462830649292E-2</v>
      </c>
      <c r="F1747" s="205">
        <v>7.3881064772996358E-2</v>
      </c>
      <c r="G1747" s="204">
        <v>0</v>
      </c>
      <c r="H1747" s="204">
        <v>0</v>
      </c>
      <c r="I1747" s="209">
        <v>13.738</v>
      </c>
      <c r="J1747" s="207">
        <v>3.1030020599999997</v>
      </c>
      <c r="K1747" s="209">
        <v>12.523999999999999</v>
      </c>
      <c r="L1747" s="209">
        <v>6.798</v>
      </c>
      <c r="M1747" s="213"/>
      <c r="N1747" s="226"/>
    </row>
    <row r="1748" spans="1:14" ht="16.5" customHeight="1" x14ac:dyDescent="0.25">
      <c r="A1748" s="203">
        <v>45523</v>
      </c>
      <c r="B1748" s="128" t="s">
        <v>30</v>
      </c>
      <c r="C1748" s="157" t="str">
        <f t="shared" si="55"/>
        <v>19.08.2024_FAL1</v>
      </c>
      <c r="D1748" s="190">
        <f t="shared" si="56"/>
        <v>0</v>
      </c>
      <c r="E1748" s="204">
        <v>7.2803323851546614E-2</v>
      </c>
      <c r="F1748" s="205">
        <v>0.10885664952064801</v>
      </c>
      <c r="G1748" s="204">
        <v>6.5399882387533081E-2</v>
      </c>
      <c r="H1748" s="204">
        <v>7.6952916994302539E-2</v>
      </c>
      <c r="I1748" s="209">
        <v>13.227</v>
      </c>
      <c r="J1748" s="207">
        <v>3.0617931602540107</v>
      </c>
      <c r="K1748" s="209">
        <v>34</v>
      </c>
      <c r="L1748" s="209">
        <v>28.812000000000001</v>
      </c>
      <c r="M1748" s="213"/>
      <c r="N1748" s="226"/>
    </row>
    <row r="1749" spans="1:14" ht="16.5" customHeight="1" x14ac:dyDescent="0.25">
      <c r="A1749" s="203">
        <v>45523</v>
      </c>
      <c r="B1749" s="128" t="s">
        <v>32</v>
      </c>
      <c r="C1749" s="157" t="str">
        <f t="shared" si="55"/>
        <v>19.08.2024_FAL2</v>
      </c>
      <c r="D1749" s="190">
        <f t="shared" si="56"/>
        <v>0</v>
      </c>
      <c r="E1749" s="204">
        <v>0.12199475888637527</v>
      </c>
      <c r="F1749" s="205">
        <v>0.10707512747554974</v>
      </c>
      <c r="G1749" s="204">
        <v>5.1043810643928239E-2</v>
      </c>
      <c r="H1749" s="204">
        <v>5.0500351777511089E-2</v>
      </c>
      <c r="I1749" s="209">
        <v>12.956</v>
      </c>
      <c r="J1749" s="207">
        <v>2.9813815606255667</v>
      </c>
      <c r="K1749" s="209">
        <v>31</v>
      </c>
      <c r="L1749" s="209">
        <v>28.335999999999999</v>
      </c>
      <c r="M1749" s="213"/>
      <c r="N1749" s="226"/>
    </row>
    <row r="1750" spans="1:14" ht="16.5" customHeight="1" x14ac:dyDescent="0.25">
      <c r="A1750" s="203">
        <v>45523</v>
      </c>
      <c r="B1750" s="128" t="s">
        <v>26</v>
      </c>
      <c r="C1750" s="157" t="str">
        <f t="shared" si="55"/>
        <v>19.08.2024_GRU1</v>
      </c>
      <c r="D1750" s="190">
        <f t="shared" si="56"/>
        <v>0</v>
      </c>
      <c r="E1750" s="204">
        <v>0</v>
      </c>
      <c r="F1750" s="205">
        <v>5.0583510808560106E-2</v>
      </c>
      <c r="G1750" s="204">
        <v>-2.3926786239341388E-3</v>
      </c>
      <c r="H1750" s="204">
        <v>0</v>
      </c>
      <c r="I1750" s="209">
        <v>3.843</v>
      </c>
      <c r="J1750" s="207">
        <v>0.86616051897530133</v>
      </c>
      <c r="K1750" s="209">
        <v>6.53</v>
      </c>
      <c r="L1750" s="209">
        <v>10.465999999999999</v>
      </c>
      <c r="M1750" s="213"/>
      <c r="N1750" s="226"/>
    </row>
    <row r="1751" spans="1:14" ht="16.5" customHeight="1" x14ac:dyDescent="0.25">
      <c r="A1751" s="203">
        <v>45523</v>
      </c>
      <c r="B1751" s="128" t="s">
        <v>28</v>
      </c>
      <c r="C1751" s="157" t="str">
        <f t="shared" si="55"/>
        <v>19.08.2024_GRU2</v>
      </c>
      <c r="D1751" s="190">
        <f t="shared" si="56"/>
        <v>0</v>
      </c>
      <c r="E1751" s="204">
        <v>3.935314802786318E-3</v>
      </c>
      <c r="F1751" s="205">
        <v>3.8104924533388394E-2</v>
      </c>
      <c r="G1751" s="204">
        <v>1.7546309908850297E-2</v>
      </c>
      <c r="H1751" s="204">
        <v>0</v>
      </c>
      <c r="I1751" s="209">
        <v>3.79</v>
      </c>
      <c r="J1751" s="207">
        <v>0.86967183418112315</v>
      </c>
      <c r="K1751" s="209">
        <v>7.4790000000000001</v>
      </c>
      <c r="L1751" s="209">
        <v>9.1010000000000009</v>
      </c>
      <c r="M1751" s="213"/>
      <c r="N1751" s="226"/>
    </row>
    <row r="1752" spans="1:14" ht="16.5" customHeight="1" x14ac:dyDescent="0.25">
      <c r="A1752" s="203">
        <v>45523</v>
      </c>
      <c r="B1752" s="128" t="s">
        <v>0</v>
      </c>
      <c r="C1752" s="157" t="str">
        <f t="shared" si="55"/>
        <v>19.08.2024_KIN1</v>
      </c>
      <c r="D1752" s="190">
        <f t="shared" si="56"/>
        <v>0</v>
      </c>
      <c r="E1752" s="204">
        <v>5.9029722041794149E-3</v>
      </c>
      <c r="F1752" s="205">
        <v>4.9779931968725502E-2</v>
      </c>
      <c r="G1752" s="204">
        <v>0</v>
      </c>
      <c r="H1752" s="204">
        <v>0</v>
      </c>
      <c r="I1752" s="209">
        <v>4.133</v>
      </c>
      <c r="J1752" s="207">
        <v>0.93352070999999992</v>
      </c>
      <c r="K1752" s="209">
        <v>7.1120000000000001</v>
      </c>
      <c r="L1752" s="209">
        <v>11.336</v>
      </c>
      <c r="M1752" s="213"/>
      <c r="N1752" s="226"/>
    </row>
    <row r="1753" spans="1:14" ht="16.5" customHeight="1" x14ac:dyDescent="0.25">
      <c r="A1753" s="203">
        <v>45523</v>
      </c>
      <c r="B1753" s="128" t="s">
        <v>2</v>
      </c>
      <c r="C1753" s="157" t="str">
        <f t="shared" si="55"/>
        <v>19.08.2024_KIN2</v>
      </c>
      <c r="D1753" s="190">
        <f t="shared" si="56"/>
        <v>0</v>
      </c>
      <c r="E1753" s="204">
        <v>5.3126749837615068E-2</v>
      </c>
      <c r="F1753" s="205">
        <v>3.4308139963666003E-2</v>
      </c>
      <c r="G1753" s="204">
        <v>0</v>
      </c>
      <c r="H1753" s="204">
        <v>0</v>
      </c>
      <c r="I1753" s="209">
        <v>6.319</v>
      </c>
      <c r="J1753" s="207">
        <v>1.42727253</v>
      </c>
      <c r="K1753" s="209">
        <v>11.502000000000001</v>
      </c>
      <c r="L1753" s="209">
        <v>14.519</v>
      </c>
      <c r="M1753" s="213"/>
      <c r="N1753" s="226"/>
    </row>
    <row r="1754" spans="1:14" ht="16.5" customHeight="1" x14ac:dyDescent="0.25">
      <c r="A1754" s="203">
        <v>45523</v>
      </c>
      <c r="B1754" s="128" t="s">
        <v>4</v>
      </c>
      <c r="C1754" s="157" t="str">
        <f t="shared" si="55"/>
        <v>19.08.2024_KIN3</v>
      </c>
      <c r="D1754" s="190">
        <f t="shared" si="56"/>
        <v>0</v>
      </c>
      <c r="E1754" s="204">
        <v>2.1644231415324646E-2</v>
      </c>
      <c r="F1754" s="205">
        <v>2.8211390142420304E-2</v>
      </c>
      <c r="G1754" s="204">
        <v>0</v>
      </c>
      <c r="H1754" s="204">
        <v>1.5631061264467692E-2</v>
      </c>
      <c r="I1754" s="209">
        <v>4.7489999999999997</v>
      </c>
      <c r="J1754" s="207">
        <v>1.0774155066019671</v>
      </c>
      <c r="K1754" s="209">
        <v>9.8239999999999998</v>
      </c>
      <c r="L1754" s="209">
        <v>11.157</v>
      </c>
      <c r="M1754" s="213"/>
      <c r="N1754" s="226"/>
    </row>
    <row r="1755" spans="1:14" ht="16.5" customHeight="1" x14ac:dyDescent="0.25">
      <c r="A1755" s="203">
        <v>45523</v>
      </c>
      <c r="B1755" s="128" t="s">
        <v>6</v>
      </c>
      <c r="C1755" s="157" t="str">
        <f t="shared" si="55"/>
        <v>19.08.2024_KIN4</v>
      </c>
      <c r="D1755" s="190">
        <f t="shared" si="56"/>
        <v>0</v>
      </c>
      <c r="E1755" s="204">
        <v>0.104285842273837</v>
      </c>
      <c r="F1755" s="205">
        <v>9.2584920759047076E-2</v>
      </c>
      <c r="G1755" s="204">
        <v>8.6136430461628902E-2</v>
      </c>
      <c r="H1755" s="204">
        <v>6.0119466401798785E-3</v>
      </c>
      <c r="I1755" s="209">
        <v>8.9760000000000009</v>
      </c>
      <c r="J1755" s="207">
        <v>2.0961235340437532</v>
      </c>
      <c r="K1755" s="209">
        <v>29.706</v>
      </c>
      <c r="L1755" s="209">
        <v>18.756</v>
      </c>
      <c r="M1755" s="213"/>
      <c r="N1755" s="226"/>
    </row>
    <row r="1756" spans="1:14" ht="16.5" customHeight="1" x14ac:dyDescent="0.25">
      <c r="A1756" s="203">
        <v>45523</v>
      </c>
      <c r="B1756" s="128" t="s">
        <v>34</v>
      </c>
      <c r="C1756" s="157" t="str">
        <f t="shared" si="55"/>
        <v>19.08.2024_KRE1</v>
      </c>
      <c r="D1756" s="190">
        <f t="shared" si="56"/>
        <v>0</v>
      </c>
      <c r="E1756" s="204">
        <v>0</v>
      </c>
      <c r="F1756" s="205">
        <v>8.8889148590303987E-2</v>
      </c>
      <c r="G1756" s="204">
        <v>5.2638929726551022E-2</v>
      </c>
      <c r="H1756" s="204">
        <v>2.1643007904647595E-2</v>
      </c>
      <c r="I1756" s="209">
        <v>7.6239999999999997</v>
      </c>
      <c r="J1756" s="207">
        <v>1.7694956962999393</v>
      </c>
      <c r="K1756" s="209">
        <v>34</v>
      </c>
      <c r="L1756" s="209">
        <v>26.245999999999999</v>
      </c>
      <c r="M1756" s="213"/>
      <c r="N1756" s="226"/>
    </row>
    <row r="1757" spans="1:14" ht="16.5" customHeight="1" x14ac:dyDescent="0.25">
      <c r="A1757" s="203">
        <v>45523</v>
      </c>
      <c r="B1757" s="128" t="s">
        <v>37</v>
      </c>
      <c r="C1757" s="157" t="str">
        <f t="shared" si="55"/>
        <v>19.08.2024_KRE2</v>
      </c>
      <c r="D1757" s="190">
        <f t="shared" si="56"/>
        <v>0</v>
      </c>
      <c r="E1757" s="204">
        <v>1.5741259211145189E-2</v>
      </c>
      <c r="F1757" s="205">
        <v>0.11052124613792538</v>
      </c>
      <c r="G1757" s="204">
        <v>9.4909585416054099E-2</v>
      </c>
      <c r="H1757" s="204">
        <v>2.1643007904647595E-2</v>
      </c>
      <c r="I1757" s="209">
        <v>8.7469999999999999</v>
      </c>
      <c r="J1757" s="207">
        <v>2.0559704477362817</v>
      </c>
      <c r="K1757" s="209">
        <v>35</v>
      </c>
      <c r="L1757" s="209">
        <v>30.529</v>
      </c>
      <c r="M1757" s="213"/>
      <c r="N1757" s="226"/>
    </row>
    <row r="1758" spans="1:14" ht="16.5" customHeight="1" x14ac:dyDescent="0.25">
      <c r="A1758" s="203">
        <v>45523</v>
      </c>
      <c r="B1758" s="128" t="s">
        <v>18</v>
      </c>
      <c r="C1758" s="157" t="str">
        <f t="shared" si="55"/>
        <v>19.08.2024_ORB1</v>
      </c>
      <c r="D1758" s="190">
        <f t="shared" si="56"/>
        <v>0</v>
      </c>
      <c r="E1758" s="204">
        <v>0</v>
      </c>
      <c r="F1758" s="205">
        <v>3.5929751320354024E-2</v>
      </c>
      <c r="G1758" s="204">
        <v>4.7853572478682776E-3</v>
      </c>
      <c r="H1758" s="204">
        <v>0</v>
      </c>
      <c r="I1758" s="209">
        <v>4.07</v>
      </c>
      <c r="J1758" s="207">
        <v>0.92300668204939729</v>
      </c>
      <c r="K1758" s="209">
        <v>5.13</v>
      </c>
      <c r="L1758" s="209">
        <v>9.5549999999999997</v>
      </c>
      <c r="M1758" s="213"/>
      <c r="N1758" s="226"/>
    </row>
    <row r="1759" spans="1:14" ht="16.5" customHeight="1" x14ac:dyDescent="0.25">
      <c r="A1759" s="203">
        <v>45523</v>
      </c>
      <c r="B1759" s="128" t="s">
        <v>21</v>
      </c>
      <c r="C1759" s="157" t="str">
        <f t="shared" si="55"/>
        <v>19.08.2024_ORB2</v>
      </c>
      <c r="D1759" s="190">
        <f t="shared" si="56"/>
        <v>0</v>
      </c>
      <c r="E1759" s="204">
        <v>2.3611888816717785E-2</v>
      </c>
      <c r="F1759" s="205">
        <v>4.2794627396597007E-2</v>
      </c>
      <c r="G1759" s="204">
        <v>1.4356071743604801E-2</v>
      </c>
      <c r="H1759" s="204">
        <v>8.4167252962518199E-3</v>
      </c>
      <c r="I1759" s="209">
        <v>6.9560000000000004</v>
      </c>
      <c r="J1759" s="207">
        <v>1.5848615381646356</v>
      </c>
      <c r="K1759" s="209">
        <v>19.510999999999999</v>
      </c>
      <c r="L1759" s="209">
        <v>16.183</v>
      </c>
      <c r="M1759" s="213"/>
      <c r="N1759" s="226"/>
    </row>
    <row r="1760" spans="1:14" ht="16.5" customHeight="1" x14ac:dyDescent="0.25">
      <c r="A1760" s="203">
        <v>45523</v>
      </c>
      <c r="B1760" s="128" t="s">
        <v>10</v>
      </c>
      <c r="C1760" s="157" t="str">
        <f t="shared" si="55"/>
        <v>19.08.2024_SAL1</v>
      </c>
      <c r="D1760" s="190">
        <f t="shared" si="56"/>
        <v>0</v>
      </c>
      <c r="E1760" s="204">
        <v>9.8382870069657541E-2</v>
      </c>
      <c r="F1760" s="205">
        <v>9.3099708939817352E-2</v>
      </c>
      <c r="G1760" s="204">
        <v>-1.5951190826227481E-3</v>
      </c>
      <c r="H1760" s="204">
        <v>0</v>
      </c>
      <c r="I1760" s="209">
        <v>7.3010000000000002</v>
      </c>
      <c r="J1760" s="207">
        <v>1.6478382759835344</v>
      </c>
      <c r="K1760" s="209">
        <v>7.6050000000000004</v>
      </c>
      <c r="L1760" s="209">
        <v>5.6269999999999998</v>
      </c>
      <c r="M1760" s="213"/>
      <c r="N1760" s="226"/>
    </row>
    <row r="1761" spans="1:14" ht="16.5" customHeight="1" x14ac:dyDescent="0.25">
      <c r="A1761" s="203">
        <v>45523</v>
      </c>
      <c r="B1761" s="128" t="s">
        <v>12</v>
      </c>
      <c r="C1761" s="157" t="str">
        <f t="shared" si="55"/>
        <v>19.08.2024_SAL2</v>
      </c>
      <c r="D1761" s="190">
        <f t="shared" si="56"/>
        <v>0</v>
      </c>
      <c r="E1761" s="204">
        <v>0.1338007032947342</v>
      </c>
      <c r="F1761" s="205">
        <v>9.252485665423979E-2</v>
      </c>
      <c r="G1761" s="204">
        <v>7.1780358718024169E-3</v>
      </c>
      <c r="H1761" s="204">
        <v>0</v>
      </c>
      <c r="I1761" s="209">
        <v>6.9</v>
      </c>
      <c r="J1761" s="207">
        <v>1.5640766730740958</v>
      </c>
      <c r="K1761" s="209">
        <v>8.2430000000000003</v>
      </c>
      <c r="L1761" s="209">
        <v>6.3029999999999999</v>
      </c>
      <c r="M1761" s="213"/>
      <c r="N1761" s="226"/>
    </row>
    <row r="1762" spans="1:14" ht="16.5" customHeight="1" x14ac:dyDescent="0.25">
      <c r="A1762" s="203">
        <v>45523</v>
      </c>
      <c r="B1762" s="128" t="s">
        <v>7</v>
      </c>
      <c r="C1762" s="157" t="str">
        <f t="shared" si="55"/>
        <v>19.08.2024_STE1</v>
      </c>
      <c r="D1762" s="190">
        <f t="shared" si="56"/>
        <v>0</v>
      </c>
      <c r="E1762" s="204">
        <v>4.3288462830649292E-2</v>
      </c>
      <c r="F1762" s="205">
        <v>8.2100159816368493E-2</v>
      </c>
      <c r="G1762" s="204">
        <v>1.4356071743604801E-2</v>
      </c>
      <c r="H1762" s="204">
        <v>0</v>
      </c>
      <c r="I1762" s="209">
        <v>6.2949999999999999</v>
      </c>
      <c r="J1762" s="207">
        <v>1.4329989961481915</v>
      </c>
      <c r="K1762" s="209">
        <v>8.1189999999999998</v>
      </c>
      <c r="L1762" s="209">
        <v>7.415</v>
      </c>
      <c r="M1762" s="213"/>
      <c r="N1762" s="226"/>
    </row>
    <row r="1763" spans="1:14" ht="16.5" customHeight="1" x14ac:dyDescent="0.25">
      <c r="A1763" s="203">
        <v>45523</v>
      </c>
      <c r="B1763" s="128" t="s">
        <v>9</v>
      </c>
      <c r="C1763" s="157" t="str">
        <f t="shared" si="55"/>
        <v>19.08.2024_STE2</v>
      </c>
      <c r="D1763" s="190">
        <f t="shared" si="56"/>
        <v>0</v>
      </c>
      <c r="E1763" s="204">
        <v>8.2641610858512266E-2</v>
      </c>
      <c r="F1763" s="205">
        <v>8.3973972370521746E-2</v>
      </c>
      <c r="G1763" s="204">
        <v>0</v>
      </c>
      <c r="H1763" s="204">
        <v>0</v>
      </c>
      <c r="I1763" s="209">
        <v>7.3789999999999996</v>
      </c>
      <c r="J1763" s="207">
        <v>1.6666947299999999</v>
      </c>
      <c r="K1763" s="209">
        <v>11.409000000000001</v>
      </c>
      <c r="L1763" s="209">
        <v>8.7509999999999994</v>
      </c>
      <c r="M1763" s="213"/>
      <c r="N1763" s="226"/>
    </row>
    <row r="1764" spans="1:14" ht="16.5" customHeight="1" x14ac:dyDescent="0.25">
      <c r="A1764" s="203">
        <v>45537</v>
      </c>
      <c r="B1764" s="128" t="s">
        <v>22</v>
      </c>
      <c r="C1764" s="157" t="str">
        <f t="shared" si="55"/>
        <v>02.09.2024_BIE1</v>
      </c>
      <c r="D1764" s="190">
        <f t="shared" si="56"/>
        <v>0</v>
      </c>
      <c r="E1764" s="204">
        <v>5.5132138623526956E-2</v>
      </c>
      <c r="F1764" s="205">
        <v>1.9371918050507815E-2</v>
      </c>
      <c r="G1764" s="204">
        <v>3.0566691949290271E-2</v>
      </c>
      <c r="H1764" s="204">
        <v>7.3119783000796783E-3</v>
      </c>
      <c r="I1764" s="209">
        <v>3.3490000000000002</v>
      </c>
      <c r="J1764" s="207">
        <v>0.7823994924251636</v>
      </c>
      <c r="K1764" s="209">
        <v>6.1820000000000004</v>
      </c>
      <c r="L1764" s="209">
        <v>14.218999999999999</v>
      </c>
      <c r="M1764" s="213"/>
      <c r="N1764" s="226"/>
    </row>
    <row r="1765" spans="1:14" ht="16.5" customHeight="1" x14ac:dyDescent="0.25">
      <c r="A1765" s="203">
        <v>45537</v>
      </c>
      <c r="B1765" s="128" t="s">
        <v>25</v>
      </c>
      <c r="C1765" s="157" t="str">
        <f t="shared" si="55"/>
        <v>02.09.2024_BIE2</v>
      </c>
      <c r="D1765" s="190">
        <f t="shared" si="56"/>
        <v>0</v>
      </c>
      <c r="E1765" s="204">
        <v>0</v>
      </c>
      <c r="F1765" s="205">
        <v>1.9063205465863226E-2</v>
      </c>
      <c r="G1765" s="204">
        <v>1.5675226640661586E-3</v>
      </c>
      <c r="H1765" s="204">
        <v>3.6559891500398773E-3</v>
      </c>
      <c r="I1765" s="209">
        <v>3.375</v>
      </c>
      <c r="J1765" s="207">
        <v>0.76464148157015044</v>
      </c>
      <c r="K1765" s="209">
        <v>6.61</v>
      </c>
      <c r="L1765" s="209">
        <v>14.14</v>
      </c>
      <c r="M1765" s="213"/>
      <c r="N1765" s="226"/>
    </row>
    <row r="1766" spans="1:14" ht="16.5" customHeight="1" x14ac:dyDescent="0.25">
      <c r="A1766" s="203">
        <v>45537</v>
      </c>
      <c r="B1766" s="128" t="s">
        <v>14</v>
      </c>
      <c r="C1766" s="157" t="str">
        <f t="shared" si="55"/>
        <v>02.09.2024_BRA1</v>
      </c>
      <c r="D1766" s="190">
        <f t="shared" si="56"/>
        <v>0</v>
      </c>
      <c r="E1766" s="204">
        <v>4.2880552262743177E-2</v>
      </c>
      <c r="F1766" s="205">
        <v>3.9324478132504545E-2</v>
      </c>
      <c r="G1766" s="204">
        <v>2.3512839960992543E-3</v>
      </c>
      <c r="H1766" s="204">
        <v>6.0933152500664027E-3</v>
      </c>
      <c r="I1766" s="209">
        <v>5.0750000000000002</v>
      </c>
      <c r="J1766" s="207">
        <v>1.149971108338014</v>
      </c>
      <c r="K1766" s="209">
        <v>4.6920000000000002</v>
      </c>
      <c r="L1766" s="209">
        <v>3.8</v>
      </c>
      <c r="M1766" s="213"/>
      <c r="N1766" s="226"/>
    </row>
    <row r="1767" spans="1:14" ht="16.5" customHeight="1" x14ac:dyDescent="0.25">
      <c r="A1767" s="203">
        <v>45537</v>
      </c>
      <c r="B1767" s="128" t="s">
        <v>17</v>
      </c>
      <c r="C1767" s="157" t="str">
        <f t="shared" si="55"/>
        <v>02.09.2024_BRA2</v>
      </c>
      <c r="D1767" s="190">
        <f t="shared" si="56"/>
        <v>0</v>
      </c>
      <c r="E1767" s="204">
        <v>6.9425656044441397E-2</v>
      </c>
      <c r="F1767" s="205">
        <v>6.4123518494474299E-2</v>
      </c>
      <c r="G1767" s="204">
        <v>3.1350453281323498E-3</v>
      </c>
      <c r="H1767" s="204">
        <v>8.7743739600956341E-2</v>
      </c>
      <c r="I1767" s="209">
        <v>9.9939999999999998</v>
      </c>
      <c r="J1767" s="207">
        <v>2.2864926928683529</v>
      </c>
      <c r="K1767" s="209">
        <v>10.241</v>
      </c>
      <c r="L1767" s="209">
        <v>5.8689999999999998</v>
      </c>
      <c r="M1767" s="213"/>
      <c r="N1767" s="226"/>
    </row>
    <row r="1768" spans="1:14" ht="16.5" customHeight="1" x14ac:dyDescent="0.25">
      <c r="A1768" s="203">
        <v>45537</v>
      </c>
      <c r="B1768" s="128" t="s">
        <v>30</v>
      </c>
      <c r="C1768" s="157" t="str">
        <f t="shared" si="55"/>
        <v>02.09.2024_FAL1</v>
      </c>
      <c r="D1768" s="190">
        <f t="shared" si="56"/>
        <v>0</v>
      </c>
      <c r="E1768" s="204">
        <v>0.26545103781698165</v>
      </c>
      <c r="F1768" s="205">
        <v>0.18999708242066832</v>
      </c>
      <c r="G1768" s="204">
        <v>6.3484667894679839E-2</v>
      </c>
      <c r="H1768" s="204">
        <v>7.5557109100823541E-2</v>
      </c>
      <c r="I1768" s="209">
        <v>14.476000000000001</v>
      </c>
      <c r="J1768" s="207">
        <v>3.3419926916392857</v>
      </c>
      <c r="K1768" s="209">
        <v>51</v>
      </c>
      <c r="L1768" s="209">
        <v>37</v>
      </c>
      <c r="M1768" s="213"/>
      <c r="N1768" s="226"/>
    </row>
    <row r="1769" spans="1:14" ht="16.5" customHeight="1" x14ac:dyDescent="0.25">
      <c r="A1769" s="203">
        <v>45537</v>
      </c>
      <c r="B1769" s="128" t="s">
        <v>32</v>
      </c>
      <c r="C1769" s="157" t="str">
        <f t="shared" si="55"/>
        <v>02.09.2024_FAL2</v>
      </c>
      <c r="D1769" s="190">
        <f t="shared" si="56"/>
        <v>0</v>
      </c>
      <c r="E1769" s="204">
        <v>0.25932524463658979</v>
      </c>
      <c r="F1769" s="205">
        <v>0.14427437414175032</v>
      </c>
      <c r="G1769" s="204">
        <v>5.4863293242315876E-2</v>
      </c>
      <c r="H1769" s="204">
        <v>4.6309195900504745E-2</v>
      </c>
      <c r="I1769" s="209">
        <v>15.109</v>
      </c>
      <c r="J1769" s="207">
        <v>3.4693694632616343</v>
      </c>
      <c r="K1769" s="209">
        <v>51</v>
      </c>
      <c r="L1769" s="209">
        <v>37</v>
      </c>
      <c r="M1769" s="213"/>
      <c r="N1769" s="226"/>
    </row>
    <row r="1770" spans="1:14" ht="16.5" customHeight="1" x14ac:dyDescent="0.25">
      <c r="A1770" s="203">
        <v>45537</v>
      </c>
      <c r="B1770" s="128" t="s">
        <v>26</v>
      </c>
      <c r="C1770" s="157" t="str">
        <f t="shared" si="55"/>
        <v>02.09.2024_GRU1</v>
      </c>
      <c r="D1770" s="190">
        <f t="shared" si="56"/>
        <v>0</v>
      </c>
      <c r="E1770" s="204">
        <v>0</v>
      </c>
      <c r="F1770" s="205">
        <v>3.0721935155984835E-2</v>
      </c>
      <c r="G1770" s="204">
        <v>0</v>
      </c>
      <c r="H1770" s="204">
        <v>8.5306413500929792E-3</v>
      </c>
      <c r="I1770" s="209">
        <v>2.915</v>
      </c>
      <c r="J1770" s="207">
        <v>0.6610082037590358</v>
      </c>
      <c r="K1770" s="209">
        <v>6.6710000000000003</v>
      </c>
      <c r="L1770" s="209">
        <v>11.634</v>
      </c>
      <c r="M1770" s="213"/>
      <c r="N1770" s="226"/>
    </row>
    <row r="1771" spans="1:14" ht="16.5" customHeight="1" x14ac:dyDescent="0.25">
      <c r="A1771" s="203">
        <v>45537</v>
      </c>
      <c r="B1771" s="128" t="s">
        <v>28</v>
      </c>
      <c r="C1771" s="157" t="str">
        <f t="shared" si="55"/>
        <v>02.09.2024_GRU2</v>
      </c>
      <c r="D1771" s="190">
        <f t="shared" si="56"/>
        <v>0</v>
      </c>
      <c r="E1771" s="204">
        <v>1.2251586360783735E-2</v>
      </c>
      <c r="F1771" s="205">
        <v>1.7889961174379417E-2</v>
      </c>
      <c r="G1771" s="204">
        <v>3.6836782605554938E-2</v>
      </c>
      <c r="H1771" s="204">
        <v>0</v>
      </c>
      <c r="I1771" s="209">
        <v>3.1</v>
      </c>
      <c r="J1771" s="207">
        <v>0.72880039332538726</v>
      </c>
      <c r="K1771" s="209">
        <v>7.9690000000000003</v>
      </c>
      <c r="L1771" s="209">
        <v>9.407</v>
      </c>
      <c r="M1771" s="213"/>
      <c r="N1771" s="226"/>
    </row>
    <row r="1772" spans="1:14" ht="16.5" customHeight="1" x14ac:dyDescent="0.25">
      <c r="A1772" s="203">
        <v>45537</v>
      </c>
      <c r="B1772" s="128" t="s">
        <v>0</v>
      </c>
      <c r="C1772" s="157" t="str">
        <f t="shared" si="55"/>
        <v>02.09.2024_KIN1</v>
      </c>
      <c r="D1772" s="190">
        <f t="shared" si="56"/>
        <v>0</v>
      </c>
      <c r="E1772" s="204">
        <v>2.2461241661436898E-2</v>
      </c>
      <c r="F1772" s="205">
        <v>3.4563782455827564E-2</v>
      </c>
      <c r="G1772" s="204">
        <v>1.0188897316430112E-2</v>
      </c>
      <c r="H1772" s="204">
        <v>0</v>
      </c>
      <c r="I1772" s="209">
        <v>3.2679999999999998</v>
      </c>
      <c r="J1772" s="207">
        <v>0.74605473687723478</v>
      </c>
      <c r="K1772" s="209">
        <v>6.476</v>
      </c>
      <c r="L1772" s="209">
        <v>11.759</v>
      </c>
      <c r="M1772" s="213"/>
      <c r="N1772" s="226"/>
    </row>
    <row r="1773" spans="1:14" ht="16.5" customHeight="1" x14ac:dyDescent="0.25">
      <c r="A1773" s="203">
        <v>45537</v>
      </c>
      <c r="B1773" s="128" t="s">
        <v>2</v>
      </c>
      <c r="C1773" s="157" t="str">
        <f t="shared" si="55"/>
        <v>02.09.2024_KIN2</v>
      </c>
      <c r="D1773" s="190">
        <f t="shared" si="56"/>
        <v>0</v>
      </c>
      <c r="E1773" s="204">
        <v>4.0838621202612313E-3</v>
      </c>
      <c r="F1773" s="205">
        <v>1.9515290026719548E-2</v>
      </c>
      <c r="G1773" s="204">
        <v>-2.3512839960992543E-3</v>
      </c>
      <c r="H1773" s="204">
        <v>2.9247913200318762E-2</v>
      </c>
      <c r="I1773" s="209">
        <v>6.1619999999999999</v>
      </c>
      <c r="J1773" s="207">
        <v>1.3988897186637057</v>
      </c>
      <c r="K1773" s="209">
        <v>11.629</v>
      </c>
      <c r="L1773" s="209">
        <v>14.984999999999999</v>
      </c>
      <c r="M1773" s="213"/>
      <c r="N1773" s="226"/>
    </row>
    <row r="1774" spans="1:14" ht="16.5" customHeight="1" x14ac:dyDescent="0.25">
      <c r="A1774" s="203">
        <v>45537</v>
      </c>
      <c r="B1774" s="128" t="s">
        <v>4</v>
      </c>
      <c r="C1774" s="157" t="str">
        <f t="shared" si="55"/>
        <v>02.09.2024_KIN3</v>
      </c>
      <c r="D1774" s="190">
        <f t="shared" si="56"/>
        <v>0</v>
      </c>
      <c r="E1774" s="204">
        <v>3.2670896962090017E-2</v>
      </c>
      <c r="F1774" s="205">
        <v>1.9325340208791633E-2</v>
      </c>
      <c r="G1774" s="204">
        <v>4.7025679921985086E-3</v>
      </c>
      <c r="H1774" s="204">
        <v>2.3154597950252386E-2</v>
      </c>
      <c r="I1774" s="209">
        <v>6.3540000000000001</v>
      </c>
      <c r="J1774" s="207">
        <v>1.4458788943662164</v>
      </c>
      <c r="K1774" s="209">
        <v>13.741</v>
      </c>
      <c r="L1774" s="209">
        <v>15.154</v>
      </c>
      <c r="M1774" s="213"/>
      <c r="N1774" s="226"/>
    </row>
    <row r="1775" spans="1:14" ht="16.5" customHeight="1" x14ac:dyDescent="0.25">
      <c r="A1775" s="203">
        <v>45537</v>
      </c>
      <c r="B1775" s="128" t="s">
        <v>6</v>
      </c>
      <c r="C1775" s="157" t="str">
        <f t="shared" si="55"/>
        <v>02.09.2024_KIN4</v>
      </c>
      <c r="D1775" s="190">
        <f t="shared" si="56"/>
        <v>0</v>
      </c>
      <c r="E1775" s="204">
        <v>7.3509518164702622E-2</v>
      </c>
      <c r="F1775" s="205">
        <v>2.8646513707847508E-2</v>
      </c>
      <c r="G1775" s="204">
        <v>1.4891465308628556E-2</v>
      </c>
      <c r="H1775" s="204">
        <v>1.4623956600159381E-2</v>
      </c>
      <c r="I1775" s="209">
        <v>5.9630000000000001</v>
      </c>
      <c r="J1775" s="207">
        <v>1.3628781474844154</v>
      </c>
      <c r="K1775" s="209">
        <v>25.436</v>
      </c>
      <c r="L1775" s="209">
        <v>15.369</v>
      </c>
      <c r="M1775" s="213"/>
      <c r="N1775" s="226"/>
    </row>
    <row r="1776" spans="1:14" ht="16.5" customHeight="1" x14ac:dyDescent="0.25">
      <c r="A1776" s="203">
        <v>45537</v>
      </c>
      <c r="B1776" s="128" t="s">
        <v>34</v>
      </c>
      <c r="C1776" s="157" t="str">
        <f t="shared" si="55"/>
        <v>02.09.2024_KRE1</v>
      </c>
      <c r="D1776" s="190">
        <f t="shared" si="56"/>
        <v>0</v>
      </c>
      <c r="E1776" s="204">
        <v>8.1677242405224625E-3</v>
      </c>
      <c r="F1776" s="205">
        <v>5.8195412065834284E-2</v>
      </c>
      <c r="G1776" s="204">
        <v>7.0538519882977602E-2</v>
      </c>
      <c r="H1776" s="204">
        <v>4.2653206750464898E-2</v>
      </c>
      <c r="I1776" s="209">
        <v>8.9770000000000003</v>
      </c>
      <c r="J1776" s="207">
        <v>2.0953932140991127</v>
      </c>
      <c r="K1776" s="209">
        <v>72</v>
      </c>
      <c r="L1776" s="209">
        <v>42.198999999999998</v>
      </c>
      <c r="M1776" s="213"/>
      <c r="N1776" s="226"/>
    </row>
    <row r="1777" spans="1:14" ht="16.5" customHeight="1" x14ac:dyDescent="0.25">
      <c r="A1777" s="203">
        <v>45537</v>
      </c>
      <c r="B1777" s="128" t="s">
        <v>37</v>
      </c>
      <c r="C1777" s="157" t="str">
        <f t="shared" si="55"/>
        <v>02.09.2024_KRE2</v>
      </c>
      <c r="D1777" s="190">
        <f t="shared" si="56"/>
        <v>0</v>
      </c>
      <c r="E1777" s="204">
        <v>2.8587034841828788E-2</v>
      </c>
      <c r="F1777" s="205">
        <v>7.4442726455975328E-2</v>
      </c>
      <c r="G1777" s="204">
        <v>0.11913172246902874</v>
      </c>
      <c r="H1777" s="204">
        <v>5.4839837250597726E-2</v>
      </c>
      <c r="I1777" s="209">
        <v>10.962999999999999</v>
      </c>
      <c r="J1777" s="207">
        <v>2.5854133896309204</v>
      </c>
      <c r="K1777" s="209">
        <v>71</v>
      </c>
      <c r="L1777" s="209">
        <v>44</v>
      </c>
      <c r="M1777" s="213"/>
      <c r="N1777" s="226"/>
    </row>
    <row r="1778" spans="1:14" ht="16.5" customHeight="1" x14ac:dyDescent="0.25">
      <c r="A1778" s="203">
        <v>45537</v>
      </c>
      <c r="B1778" s="128" t="s">
        <v>18</v>
      </c>
      <c r="C1778" s="157" t="str">
        <f t="shared" si="55"/>
        <v>02.09.2024_ORB1</v>
      </c>
      <c r="D1778" s="190">
        <f t="shared" si="56"/>
        <v>0</v>
      </c>
      <c r="E1778" s="204">
        <v>-4.0838621202612313E-3</v>
      </c>
      <c r="F1778" s="205">
        <v>2.3970897033986725E-2</v>
      </c>
      <c r="G1778" s="204">
        <v>-1.5675226640661586E-3</v>
      </c>
      <c r="H1778" s="204">
        <v>0</v>
      </c>
      <c r="I1778" s="209">
        <v>5.1130000000000004</v>
      </c>
      <c r="J1778" s="207">
        <v>1.1536561443265791</v>
      </c>
      <c r="K1778" s="209">
        <v>6.9610000000000003</v>
      </c>
      <c r="L1778" s="209">
        <v>11.589</v>
      </c>
      <c r="M1778" s="213"/>
      <c r="N1778" s="226"/>
    </row>
    <row r="1779" spans="1:14" ht="16.5" customHeight="1" x14ac:dyDescent="0.25">
      <c r="A1779" s="203">
        <v>45537</v>
      </c>
      <c r="B1779" s="128" t="s">
        <v>21</v>
      </c>
      <c r="C1779" s="157" t="str">
        <f t="shared" si="55"/>
        <v>02.09.2024_ORB2</v>
      </c>
      <c r="D1779" s="190">
        <f t="shared" si="56"/>
        <v>0</v>
      </c>
      <c r="E1779" s="204">
        <v>2.2461241661436898E-2</v>
      </c>
      <c r="F1779" s="205">
        <v>2.5128969060393323E-2</v>
      </c>
      <c r="G1779" s="204">
        <v>1.0188897316430112E-2</v>
      </c>
      <c r="H1779" s="204">
        <v>-1.2186630500133008E-3</v>
      </c>
      <c r="I1779" s="209">
        <v>5.782</v>
      </c>
      <c r="J1779" s="207">
        <v>1.3135208949116581</v>
      </c>
      <c r="K1779" s="209">
        <v>17.594000000000001</v>
      </c>
      <c r="L1779" s="209">
        <v>15.27</v>
      </c>
      <c r="M1779" s="213"/>
      <c r="N1779" s="226"/>
    </row>
    <row r="1780" spans="1:14" ht="16.5" customHeight="1" x14ac:dyDescent="0.25">
      <c r="A1780" s="203">
        <v>45537</v>
      </c>
      <c r="B1780" s="128" t="s">
        <v>10</v>
      </c>
      <c r="C1780" s="157" t="str">
        <f t="shared" si="55"/>
        <v>02.09.2024_SAL1</v>
      </c>
      <c r="D1780" s="190">
        <f t="shared" si="56"/>
        <v>0</v>
      </c>
      <c r="E1780" s="204">
        <v>0.1408932431490133</v>
      </c>
      <c r="F1780" s="205">
        <v>8.9228771080130886E-2</v>
      </c>
      <c r="G1780" s="204">
        <v>1.0972658648463175E-2</v>
      </c>
      <c r="H1780" s="204">
        <v>8.5306413500929792E-3</v>
      </c>
      <c r="I1780" s="209">
        <v>7.0720000000000001</v>
      </c>
      <c r="J1780" s="207">
        <v>1.6084699534729812</v>
      </c>
      <c r="K1780" s="209">
        <v>7.8849999999999998</v>
      </c>
      <c r="L1780" s="209">
        <v>5.7119999999999997</v>
      </c>
      <c r="M1780" s="213"/>
      <c r="N1780" s="226"/>
    </row>
    <row r="1781" spans="1:14" ht="16.5" customHeight="1" x14ac:dyDescent="0.25">
      <c r="A1781" s="203">
        <v>45537</v>
      </c>
      <c r="B1781" s="128" t="s">
        <v>12</v>
      </c>
      <c r="C1781" s="157" t="str">
        <f t="shared" si="55"/>
        <v>02.09.2024_SAL2</v>
      </c>
      <c r="D1781" s="190">
        <f t="shared" si="56"/>
        <v>0</v>
      </c>
      <c r="E1781" s="204">
        <v>0.17764800223136465</v>
      </c>
      <c r="F1781" s="205">
        <v>9.3308252233884073E-2</v>
      </c>
      <c r="G1781" s="204">
        <v>1.6458987972694746E-2</v>
      </c>
      <c r="H1781" s="204">
        <v>4.874652200053127E-3</v>
      </c>
      <c r="I1781" s="209">
        <v>6.26</v>
      </c>
      <c r="J1781" s="207">
        <v>1.4282105274332237</v>
      </c>
      <c r="K1781" s="209">
        <v>8.3219999999999992</v>
      </c>
      <c r="L1781" s="209">
        <v>6.3819999999999997</v>
      </c>
      <c r="M1781" s="213"/>
      <c r="N1781" s="226"/>
    </row>
    <row r="1782" spans="1:14" ht="16.5" customHeight="1" x14ac:dyDescent="0.25">
      <c r="A1782" s="203">
        <v>45537</v>
      </c>
      <c r="B1782" s="128" t="s">
        <v>7</v>
      </c>
      <c r="C1782" s="157" t="str">
        <f t="shared" si="55"/>
        <v>02.09.2024_STE1</v>
      </c>
      <c r="D1782" s="190">
        <f t="shared" si="56"/>
        <v>0</v>
      </c>
      <c r="E1782" s="204">
        <v>0.10413848406666207</v>
      </c>
      <c r="F1782" s="205">
        <v>6.3060191963367915E-2</v>
      </c>
      <c r="G1782" s="204">
        <v>1.0188897316430081E-2</v>
      </c>
      <c r="H1782" s="204">
        <v>0</v>
      </c>
      <c r="I1782" s="209">
        <v>6.7530000000000001</v>
      </c>
      <c r="J1782" s="207">
        <v>1.5332116868772347</v>
      </c>
      <c r="K1782" s="209">
        <v>10.493</v>
      </c>
      <c r="L1782" s="209">
        <v>9.1910000000000007</v>
      </c>
      <c r="M1782" s="213"/>
      <c r="N1782" s="226"/>
    </row>
    <row r="1783" spans="1:14" ht="16.5" customHeight="1" x14ac:dyDescent="0.25">
      <c r="A1783" s="203">
        <v>45537</v>
      </c>
      <c r="B1783" s="128" t="s">
        <v>9</v>
      </c>
      <c r="C1783" s="157" t="str">
        <f t="shared" si="55"/>
        <v>02.09.2024_STE2</v>
      </c>
      <c r="D1783" s="190">
        <f t="shared" si="56"/>
        <v>0</v>
      </c>
      <c r="E1783" s="204">
        <v>0.10413848406666207</v>
      </c>
      <c r="F1783" s="205">
        <v>5.8930105668173895E-2</v>
      </c>
      <c r="G1783" s="204">
        <v>7.8376133203309558E-4</v>
      </c>
      <c r="H1783" s="204">
        <v>0</v>
      </c>
      <c r="I1783" s="209">
        <v>7.1749999999999998</v>
      </c>
      <c r="J1783" s="207">
        <v>1.6212258328367102</v>
      </c>
      <c r="K1783" s="209">
        <v>11.872</v>
      </c>
      <c r="L1783" s="209">
        <v>9.3710000000000004</v>
      </c>
      <c r="M1783" s="213"/>
      <c r="N1783" s="226"/>
    </row>
    <row r="1784" spans="1:14" ht="16.5" customHeight="1" x14ac:dyDescent="0.25">
      <c r="A1784" s="203">
        <v>45551</v>
      </c>
      <c r="B1784" s="128" t="s">
        <v>22</v>
      </c>
      <c r="C1784" s="157" t="str">
        <f t="shared" si="55"/>
        <v>16.09.2024_BIE1</v>
      </c>
      <c r="D1784" s="190">
        <f t="shared" si="56"/>
        <v>0</v>
      </c>
      <c r="E1784" s="204">
        <v>2.4719874804381835E-2</v>
      </c>
      <c r="F1784" s="205">
        <v>1.7078060369112823E-2</v>
      </c>
      <c r="G1784" s="204">
        <v>1.5409879721272914E-2</v>
      </c>
      <c r="H1784" s="204">
        <v>0</v>
      </c>
      <c r="I1784" s="209">
        <v>2.8980000000000001</v>
      </c>
      <c r="J1784" s="207">
        <v>0.6665368775047712</v>
      </c>
      <c r="K1784" s="209">
        <v>6.2960000000000003</v>
      </c>
      <c r="L1784" s="209">
        <v>13.994999999999999</v>
      </c>
      <c r="M1784" s="213"/>
      <c r="N1784" s="226"/>
    </row>
    <row r="1785" spans="1:14" ht="16.5" customHeight="1" x14ac:dyDescent="0.25">
      <c r="A1785" s="203">
        <v>45551</v>
      </c>
      <c r="B1785" s="128" t="s">
        <v>25</v>
      </c>
      <c r="C1785" s="157" t="str">
        <f t="shared" si="55"/>
        <v>16.09.2024_BIE2</v>
      </c>
      <c r="D1785" s="190">
        <f t="shared" si="56"/>
        <v>0</v>
      </c>
      <c r="E1785" s="204">
        <v>0</v>
      </c>
      <c r="F1785" s="205">
        <v>2.5009746601855828E-2</v>
      </c>
      <c r="G1785" s="204">
        <v>8.4754338467000982E-3</v>
      </c>
      <c r="H1785" s="204">
        <v>0</v>
      </c>
      <c r="I1785" s="209">
        <v>3.2</v>
      </c>
      <c r="J1785" s="207">
        <v>0.72936508962762414</v>
      </c>
      <c r="K1785" s="209">
        <v>8.1430000000000007</v>
      </c>
      <c r="L1785" s="209">
        <v>14.09</v>
      </c>
      <c r="M1785" s="213"/>
      <c r="N1785" s="226"/>
    </row>
    <row r="1786" spans="1:14" ht="16.5" customHeight="1" x14ac:dyDescent="0.25">
      <c r="A1786" s="203">
        <v>45551</v>
      </c>
      <c r="B1786" s="128" t="s">
        <v>14</v>
      </c>
      <c r="C1786" s="157" t="str">
        <f t="shared" si="55"/>
        <v>16.09.2024_BRA1</v>
      </c>
      <c r="D1786" s="190">
        <f t="shared" si="56"/>
        <v>0</v>
      </c>
      <c r="E1786" s="204">
        <v>2.0225352112676027E-2</v>
      </c>
      <c r="F1786" s="205">
        <v>3.7168250416074668E-2</v>
      </c>
      <c r="G1786" s="204">
        <v>0</v>
      </c>
      <c r="H1786" s="204">
        <v>0</v>
      </c>
      <c r="I1786" s="209">
        <v>5.9930000000000003</v>
      </c>
      <c r="J1786" s="207">
        <v>1.3536389099999999</v>
      </c>
      <c r="K1786" s="209">
        <v>5.2939999999999996</v>
      </c>
      <c r="L1786" s="209">
        <v>4.2850000000000001</v>
      </c>
      <c r="M1786" s="213"/>
      <c r="N1786" s="226"/>
    </row>
    <row r="1787" spans="1:14" ht="16.5" customHeight="1" x14ac:dyDescent="0.25">
      <c r="A1787" s="203">
        <v>45551</v>
      </c>
      <c r="B1787" s="128" t="s">
        <v>17</v>
      </c>
      <c r="C1787" s="157" t="str">
        <f t="shared" si="55"/>
        <v>16.09.2024_BRA2</v>
      </c>
      <c r="D1787" s="190">
        <f t="shared" si="56"/>
        <v>0</v>
      </c>
      <c r="E1787" s="204">
        <v>7.4159624413145553E-2</v>
      </c>
      <c r="F1787" s="205">
        <v>5.6222905072151962E-2</v>
      </c>
      <c r="G1787" s="204">
        <v>-3.8524699303182528E-3</v>
      </c>
      <c r="H1787" s="204">
        <v>2.9115816833575461E-2</v>
      </c>
      <c r="I1787" s="209">
        <v>10.121</v>
      </c>
      <c r="J1787" s="207">
        <v>2.2919031760587893</v>
      </c>
      <c r="K1787" s="209">
        <v>9.7639999999999993</v>
      </c>
      <c r="L1787" s="209">
        <v>5.7549999999999999</v>
      </c>
      <c r="M1787" s="213"/>
      <c r="N1787" s="226"/>
    </row>
    <row r="1788" spans="1:14" ht="16.5" customHeight="1" x14ac:dyDescent="0.25">
      <c r="A1788" s="203">
        <v>45551</v>
      </c>
      <c r="B1788" s="128" t="s">
        <v>30</v>
      </c>
      <c r="C1788" s="157" t="str">
        <f t="shared" si="55"/>
        <v>16.09.2024_FAL1</v>
      </c>
      <c r="D1788" s="190">
        <f t="shared" si="56"/>
        <v>0</v>
      </c>
      <c r="E1788" s="204">
        <v>0.28090766823161195</v>
      </c>
      <c r="F1788" s="205">
        <v>0.18646309453158588</v>
      </c>
      <c r="G1788" s="204">
        <v>0.18414806266921124</v>
      </c>
      <c r="H1788" s="204">
        <v>0.24351410442626711</v>
      </c>
      <c r="I1788" s="209">
        <v>13.74</v>
      </c>
      <c r="J1788" s="207">
        <v>3.3205807982745927</v>
      </c>
      <c r="K1788" s="209">
        <v>27</v>
      </c>
      <c r="L1788" s="209">
        <v>28.561</v>
      </c>
      <c r="M1788" s="213"/>
      <c r="N1788" s="226"/>
    </row>
    <row r="1789" spans="1:14" ht="16.5" customHeight="1" x14ac:dyDescent="0.25">
      <c r="A1789" s="203">
        <v>45551</v>
      </c>
      <c r="B1789" s="128" t="s">
        <v>32</v>
      </c>
      <c r="C1789" s="157" t="str">
        <f t="shared" si="55"/>
        <v>16.09.2024_FAL2</v>
      </c>
      <c r="D1789" s="190">
        <f t="shared" si="56"/>
        <v>0</v>
      </c>
      <c r="E1789" s="204">
        <v>0.56406259780907686</v>
      </c>
      <c r="F1789" s="205">
        <v>0.34880454758167512</v>
      </c>
      <c r="G1789" s="204">
        <v>0.641050996404953</v>
      </c>
      <c r="H1789" s="204">
        <v>0.16675422368320464</v>
      </c>
      <c r="I1789" s="209">
        <v>13.646000000000001</v>
      </c>
      <c r="J1789" s="207">
        <v>3.6307600315988338</v>
      </c>
      <c r="K1789" s="209">
        <v>68</v>
      </c>
      <c r="L1789" s="209">
        <v>41</v>
      </c>
      <c r="M1789" s="213"/>
      <c r="N1789" s="226"/>
    </row>
    <row r="1790" spans="1:14" ht="16.5" customHeight="1" x14ac:dyDescent="0.25">
      <c r="A1790" s="203">
        <v>45551</v>
      </c>
      <c r="B1790" s="128" t="s">
        <v>26</v>
      </c>
      <c r="C1790" s="157" t="str">
        <f t="shared" si="55"/>
        <v>16.09.2024_GRU1</v>
      </c>
      <c r="D1790" s="190">
        <f t="shared" si="56"/>
        <v>0</v>
      </c>
      <c r="E1790" s="204">
        <v>0</v>
      </c>
      <c r="F1790" s="205">
        <v>3.0153183606821361E-2</v>
      </c>
      <c r="G1790" s="204">
        <v>0</v>
      </c>
      <c r="H1790" s="204">
        <v>0</v>
      </c>
      <c r="I1790" s="209">
        <v>1.1639999999999999</v>
      </c>
      <c r="J1790" s="207">
        <v>0.26291267999999995</v>
      </c>
      <c r="K1790" s="209">
        <v>6.3140000000000001</v>
      </c>
      <c r="L1790" s="209">
        <v>13.391999999999999</v>
      </c>
      <c r="M1790" s="213"/>
      <c r="N1790" s="226"/>
    </row>
    <row r="1791" spans="1:14" ht="16.5" customHeight="1" x14ac:dyDescent="0.25">
      <c r="A1791" s="203">
        <v>45551</v>
      </c>
      <c r="B1791" s="128" t="s">
        <v>28</v>
      </c>
      <c r="C1791" s="157" t="str">
        <f t="shared" si="55"/>
        <v>16.09.2024_GRU2</v>
      </c>
      <c r="D1791" s="190">
        <f t="shared" si="56"/>
        <v>0</v>
      </c>
      <c r="E1791" s="204">
        <v>0</v>
      </c>
      <c r="F1791" s="205">
        <v>2.4217979957928522E-2</v>
      </c>
      <c r="G1791" s="204">
        <v>2.3114819581909387E-3</v>
      </c>
      <c r="H1791" s="204">
        <v>0</v>
      </c>
      <c r="I1791" s="209">
        <v>1.978</v>
      </c>
      <c r="J1791" s="207">
        <v>0.44856570262571566</v>
      </c>
      <c r="K1791" s="209">
        <v>6.976</v>
      </c>
      <c r="L1791" s="209">
        <v>11.303000000000001</v>
      </c>
      <c r="M1791" s="213"/>
      <c r="N1791" s="226"/>
    </row>
    <row r="1792" spans="1:14" ht="16.5" customHeight="1" x14ac:dyDescent="0.25">
      <c r="A1792" s="203">
        <v>45551</v>
      </c>
      <c r="B1792" s="128" t="s">
        <v>0</v>
      </c>
      <c r="C1792" s="157" t="str">
        <f t="shared" si="55"/>
        <v>16.09.2024_KIN1</v>
      </c>
      <c r="D1792" s="190">
        <f t="shared" si="56"/>
        <v>0</v>
      </c>
      <c r="E1792" s="204">
        <v>1.5730829420970215E-2</v>
      </c>
      <c r="F1792" s="205">
        <v>3.6615686644871123E-2</v>
      </c>
      <c r="G1792" s="204">
        <v>3.0819759442545637E-3</v>
      </c>
      <c r="H1792" s="204">
        <v>0</v>
      </c>
      <c r="I1792" s="209">
        <v>3.3580000000000001</v>
      </c>
      <c r="J1792" s="207">
        <v>0.76086458350095421</v>
      </c>
      <c r="K1792" s="209">
        <v>7.2240000000000002</v>
      </c>
      <c r="L1792" s="209">
        <v>12.83</v>
      </c>
      <c r="M1792" s="213"/>
      <c r="N1792" s="226"/>
    </row>
    <row r="1793" spans="1:14" ht="16.5" customHeight="1" x14ac:dyDescent="0.25">
      <c r="A1793" s="203">
        <v>45551</v>
      </c>
      <c r="B1793" s="128" t="s">
        <v>2</v>
      </c>
      <c r="C1793" s="157" t="str">
        <f t="shared" si="55"/>
        <v>16.09.2024_KIN2</v>
      </c>
      <c r="D1793" s="190">
        <f t="shared" si="56"/>
        <v>0</v>
      </c>
      <c r="E1793" s="204">
        <v>1.5730829420970309E-2</v>
      </c>
      <c r="F1793" s="205">
        <v>1.7161867561742206E-2</v>
      </c>
      <c r="G1793" s="204">
        <v>-4.6229639163818774E-3</v>
      </c>
      <c r="H1793" s="204">
        <v>0</v>
      </c>
      <c r="I1793" s="209">
        <v>6.1539999999999999</v>
      </c>
      <c r="J1793" s="207">
        <v>1.3864142947485685</v>
      </c>
      <c r="K1793" s="209">
        <v>11.965</v>
      </c>
      <c r="L1793" s="209">
        <v>15.666</v>
      </c>
      <c r="M1793" s="213"/>
      <c r="N1793" s="226"/>
    </row>
    <row r="1794" spans="1:14" ht="16.5" customHeight="1" x14ac:dyDescent="0.25">
      <c r="A1794" s="203">
        <v>45551</v>
      </c>
      <c r="B1794" s="128" t="s">
        <v>4</v>
      </c>
      <c r="C1794" s="157" t="str">
        <f t="shared" ref="C1794:C1854" si="57">CONCATENATE(TEXT(A1794,"TT.MM.JJJJ"),"_",B1794)</f>
        <v>16.09.2024_KIN3</v>
      </c>
      <c r="D1794" s="190">
        <f t="shared" ref="D1794:D1854" si="58">COUNTBLANK(E1794:L1794)</f>
        <v>0</v>
      </c>
      <c r="E1794" s="204">
        <v>2.2472613458528908E-2</v>
      </c>
      <c r="F1794" s="205">
        <v>1.6318330808771112E-2</v>
      </c>
      <c r="G1794" s="204">
        <v>4.6229639163818774E-3</v>
      </c>
      <c r="H1794" s="204">
        <v>0</v>
      </c>
      <c r="I1794" s="209">
        <v>6.0890000000000004</v>
      </c>
      <c r="J1794" s="207">
        <v>1.3789121152514314</v>
      </c>
      <c r="K1794" s="209">
        <v>14.321</v>
      </c>
      <c r="L1794" s="209">
        <v>15.664999999999999</v>
      </c>
      <c r="M1794" s="213"/>
      <c r="N1794" s="226"/>
    </row>
    <row r="1795" spans="1:14" ht="16.5" customHeight="1" x14ac:dyDescent="0.25">
      <c r="A1795" s="203">
        <v>45551</v>
      </c>
      <c r="B1795" s="128" t="s">
        <v>6</v>
      </c>
      <c r="C1795" s="157" t="str">
        <f t="shared" si="57"/>
        <v>16.09.2024_KIN4</v>
      </c>
      <c r="D1795" s="190">
        <f t="shared" si="58"/>
        <v>0</v>
      </c>
      <c r="E1795" s="204">
        <v>0.14382472613458522</v>
      </c>
      <c r="F1795" s="205">
        <v>2.6151345233174361E-2</v>
      </c>
      <c r="G1795" s="204">
        <v>1.6180373707336573E-2</v>
      </c>
      <c r="H1795" s="204">
        <v>0</v>
      </c>
      <c r="I1795" s="209">
        <v>5.1660000000000004</v>
      </c>
      <c r="J1795" s="207">
        <v>1.1794083183800099</v>
      </c>
      <c r="K1795" s="209">
        <v>25.562999999999999</v>
      </c>
      <c r="L1795" s="209">
        <v>16.228999999999999</v>
      </c>
      <c r="M1795" s="213"/>
      <c r="N1795" s="226"/>
    </row>
    <row r="1796" spans="1:14" ht="16.5" customHeight="1" x14ac:dyDescent="0.25">
      <c r="A1796" s="203">
        <v>45551</v>
      </c>
      <c r="B1796" s="128" t="s">
        <v>34</v>
      </c>
      <c r="C1796" s="157" t="str">
        <f t="shared" si="57"/>
        <v>16.09.2024_KRE1</v>
      </c>
      <c r="D1796" s="190">
        <f t="shared" si="58"/>
        <v>0</v>
      </c>
      <c r="E1796" s="204">
        <v>0</v>
      </c>
      <c r="F1796" s="205">
        <v>5.848108518318948E-2</v>
      </c>
      <c r="G1796" s="204">
        <v>8.7836314411255612E-2</v>
      </c>
      <c r="H1796" s="204">
        <v>7.2789542083938508E-2</v>
      </c>
      <c r="I1796" s="209">
        <v>8.7140000000000004</v>
      </c>
      <c r="J1796" s="207">
        <v>2.0585959758646513</v>
      </c>
      <c r="K1796" s="209">
        <v>62</v>
      </c>
      <c r="L1796" s="209">
        <v>35</v>
      </c>
      <c r="M1796" s="213"/>
      <c r="N1796" s="226"/>
    </row>
    <row r="1797" spans="1:14" ht="16.5" customHeight="1" x14ac:dyDescent="0.25">
      <c r="A1797" s="203">
        <v>45551</v>
      </c>
      <c r="B1797" s="128" t="s">
        <v>37</v>
      </c>
      <c r="C1797" s="157" t="str">
        <f t="shared" si="57"/>
        <v>16.09.2024_KRE2</v>
      </c>
      <c r="D1797" s="190">
        <f t="shared" si="58"/>
        <v>0</v>
      </c>
      <c r="E1797" s="204">
        <v>4.4945226917058097E-3</v>
      </c>
      <c r="F1797" s="205">
        <v>8.0099029438143649E-2</v>
      </c>
      <c r="G1797" s="204">
        <v>8.5524832453064664E-2</v>
      </c>
      <c r="H1797" s="204">
        <v>0</v>
      </c>
      <c r="I1797" s="209">
        <v>11.516</v>
      </c>
      <c r="J1797" s="207">
        <v>2.6675280971514801</v>
      </c>
      <c r="K1797" s="209">
        <v>61</v>
      </c>
      <c r="L1797" s="209">
        <v>41</v>
      </c>
      <c r="M1797" s="213"/>
      <c r="N1797" s="226"/>
    </row>
    <row r="1798" spans="1:14" ht="16.5" customHeight="1" x14ac:dyDescent="0.25">
      <c r="A1798" s="203">
        <v>45551</v>
      </c>
      <c r="B1798" s="128" t="s">
        <v>18</v>
      </c>
      <c r="C1798" s="157" t="str">
        <f t="shared" si="57"/>
        <v>16.09.2024_ORB1</v>
      </c>
      <c r="D1798" s="190">
        <f t="shared" si="58"/>
        <v>0</v>
      </c>
      <c r="E1798" s="204">
        <v>0</v>
      </c>
      <c r="F1798" s="205">
        <v>3.7169133837744742E-2</v>
      </c>
      <c r="G1798" s="204">
        <v>2.3114819581909387E-3</v>
      </c>
      <c r="H1798" s="204">
        <v>0</v>
      </c>
      <c r="I1798" s="209">
        <v>5.3490000000000002</v>
      </c>
      <c r="J1798" s="207">
        <v>1.2099734726257156</v>
      </c>
      <c r="K1798" s="209">
        <v>6.9029999999999996</v>
      </c>
      <c r="L1798" s="209">
        <v>10.667</v>
      </c>
      <c r="M1798" s="213"/>
      <c r="N1798" s="226"/>
    </row>
    <row r="1799" spans="1:14" ht="16.5" customHeight="1" x14ac:dyDescent="0.25">
      <c r="A1799" s="203">
        <v>45551</v>
      </c>
      <c r="B1799" s="128" t="s">
        <v>21</v>
      </c>
      <c r="C1799" s="157" t="str">
        <f t="shared" si="57"/>
        <v>16.09.2024_ORB2</v>
      </c>
      <c r="D1799" s="190">
        <f t="shared" si="58"/>
        <v>0</v>
      </c>
      <c r="E1799" s="204">
        <v>1.1236306729264454E-2</v>
      </c>
      <c r="F1799" s="205">
        <v>2.4333744698041813E-2</v>
      </c>
      <c r="G1799" s="204">
        <v>6.9344458745728161E-3</v>
      </c>
      <c r="H1799" s="204">
        <v>0</v>
      </c>
      <c r="I1799" s="209">
        <v>4.4569999999999999</v>
      </c>
      <c r="J1799" s="207">
        <v>1.0120871178771469</v>
      </c>
      <c r="K1799" s="209">
        <v>15.78</v>
      </c>
      <c r="L1799" s="209">
        <v>15.079000000000001</v>
      </c>
      <c r="M1799" s="213"/>
      <c r="N1799" s="226"/>
    </row>
    <row r="1800" spans="1:14" ht="16.5" customHeight="1" x14ac:dyDescent="0.25">
      <c r="A1800" s="203">
        <v>45551</v>
      </c>
      <c r="B1800" s="128" t="s">
        <v>10</v>
      </c>
      <c r="C1800" s="157" t="str">
        <f t="shared" si="57"/>
        <v>16.09.2024_SAL1</v>
      </c>
      <c r="D1800" s="190">
        <f t="shared" si="58"/>
        <v>0</v>
      </c>
      <c r="E1800" s="204">
        <v>0.13708294209702651</v>
      </c>
      <c r="F1800" s="205">
        <v>7.8648606260446757E-2</v>
      </c>
      <c r="G1800" s="204">
        <v>3.0819759442545637E-3</v>
      </c>
      <c r="H1800" s="204">
        <v>0</v>
      </c>
      <c r="I1800" s="209">
        <v>5.7939999999999996</v>
      </c>
      <c r="J1800" s="207">
        <v>1.3110839035009541</v>
      </c>
      <c r="K1800" s="209">
        <v>7.7949999999999999</v>
      </c>
      <c r="L1800" s="209">
        <v>5.6769999999999996</v>
      </c>
      <c r="M1800" s="213"/>
      <c r="N1800" s="226"/>
    </row>
    <row r="1801" spans="1:14" ht="16.5" customHeight="1" x14ac:dyDescent="0.25">
      <c r="A1801" s="203">
        <v>45551</v>
      </c>
      <c r="B1801" s="128" t="s">
        <v>12</v>
      </c>
      <c r="C1801" s="157" t="str">
        <f t="shared" si="57"/>
        <v>16.09.2024_SAL2</v>
      </c>
      <c r="D1801" s="190">
        <f t="shared" si="58"/>
        <v>0</v>
      </c>
      <c r="E1801" s="204">
        <v>0.17303912363067289</v>
      </c>
      <c r="F1801" s="205">
        <v>6.9890408079153449E-2</v>
      </c>
      <c r="G1801" s="204">
        <v>2.3114819581909387E-3</v>
      </c>
      <c r="H1801" s="204">
        <v>0</v>
      </c>
      <c r="I1801" s="209">
        <v>4.8579999999999997</v>
      </c>
      <c r="J1801" s="207">
        <v>1.0990713026257155</v>
      </c>
      <c r="K1801" s="209">
        <v>8.2780000000000005</v>
      </c>
      <c r="L1801" s="209">
        <v>6.2350000000000003</v>
      </c>
      <c r="M1801" s="213"/>
      <c r="N1801" s="226"/>
    </row>
    <row r="1802" spans="1:14" ht="16.5" customHeight="1" x14ac:dyDescent="0.25">
      <c r="A1802" s="203">
        <v>45551</v>
      </c>
      <c r="B1802" s="128" t="s">
        <v>7</v>
      </c>
      <c r="C1802" s="157" t="str">
        <f t="shared" si="57"/>
        <v>16.09.2024_STE1</v>
      </c>
      <c r="D1802" s="190">
        <f t="shared" si="58"/>
        <v>0</v>
      </c>
      <c r="E1802" s="204">
        <v>5.3934272300469481E-2</v>
      </c>
      <c r="F1802" s="205">
        <v>5.4279181330651967E-2</v>
      </c>
      <c r="G1802" s="204">
        <v>-7.7049398606365697E-4</v>
      </c>
      <c r="H1802" s="204">
        <v>0</v>
      </c>
      <c r="I1802" s="209">
        <v>5.44</v>
      </c>
      <c r="J1802" s="207">
        <v>1.2281345191247615</v>
      </c>
      <c r="K1802" s="209">
        <v>10.346</v>
      </c>
      <c r="L1802" s="209">
        <v>9.2840000000000007</v>
      </c>
      <c r="M1802" s="213"/>
      <c r="N1802" s="226"/>
    </row>
    <row r="1803" spans="1:14" ht="16.5" customHeight="1" x14ac:dyDescent="0.25">
      <c r="A1803" s="203">
        <v>45551</v>
      </c>
      <c r="B1803" s="128" t="s">
        <v>9</v>
      </c>
      <c r="C1803" s="157" t="str">
        <f t="shared" si="57"/>
        <v>16.09.2024_STE2</v>
      </c>
      <c r="D1803" s="190">
        <f t="shared" si="58"/>
        <v>0</v>
      </c>
      <c r="E1803" s="204">
        <v>7.6406885758998483E-2</v>
      </c>
      <c r="F1803" s="205">
        <v>5.210324381282911E-2</v>
      </c>
      <c r="G1803" s="204">
        <v>0</v>
      </c>
      <c r="H1803" s="204">
        <v>0</v>
      </c>
      <c r="I1803" s="209">
        <v>6.56</v>
      </c>
      <c r="J1803" s="207">
        <v>1.4817071999999998</v>
      </c>
      <c r="K1803" s="209">
        <v>11.827</v>
      </c>
      <c r="L1803" s="209">
        <v>9.4169999999999998</v>
      </c>
      <c r="M1803" s="213"/>
      <c r="N1803" s="226"/>
    </row>
    <row r="1804" spans="1:14" ht="16.5" customHeight="1" x14ac:dyDescent="0.25">
      <c r="A1804" s="203">
        <v>45565</v>
      </c>
      <c r="B1804" s="128" t="s">
        <v>22</v>
      </c>
      <c r="C1804" s="157" t="str">
        <f t="shared" si="57"/>
        <v>30.09.2024_BIE1</v>
      </c>
      <c r="D1804" s="190">
        <f t="shared" si="58"/>
        <v>0</v>
      </c>
      <c r="E1804" s="204">
        <v>4.1634523159464523E-17</v>
      </c>
      <c r="F1804" s="205">
        <v>1.3624698197529265E-2</v>
      </c>
      <c r="G1804" s="204">
        <v>2.7085666036454379E-2</v>
      </c>
      <c r="H1804" s="204">
        <v>0</v>
      </c>
      <c r="I1804" s="209">
        <v>2.927</v>
      </c>
      <c r="J1804" s="207">
        <v>0.68215323882064649</v>
      </c>
      <c r="K1804" s="209">
        <v>6.9770000000000003</v>
      </c>
      <c r="L1804" s="209">
        <v>12.35</v>
      </c>
      <c r="M1804" s="213"/>
      <c r="N1804" s="226"/>
    </row>
    <row r="1805" spans="1:14" ht="16.5" customHeight="1" x14ac:dyDescent="0.25">
      <c r="A1805" s="203">
        <v>45565</v>
      </c>
      <c r="B1805" s="128" t="s">
        <v>25</v>
      </c>
      <c r="C1805" s="157" t="str">
        <f t="shared" si="57"/>
        <v>30.09.2024_BIE2</v>
      </c>
      <c r="D1805" s="190">
        <f t="shared" si="58"/>
        <v>0</v>
      </c>
      <c r="E1805" s="204">
        <v>-4.1634523159464523E-17</v>
      </c>
      <c r="F1805" s="205">
        <v>2.0863288869545187E-2</v>
      </c>
      <c r="G1805" s="204">
        <v>5.7357881018374066E-2</v>
      </c>
      <c r="H1805" s="204">
        <v>0</v>
      </c>
      <c r="I1805" s="209">
        <v>3.004</v>
      </c>
      <c r="J1805" s="207">
        <v>0.72305130103195725</v>
      </c>
      <c r="K1805" s="209">
        <v>7.4429999999999996</v>
      </c>
      <c r="L1805" s="209">
        <v>12.231999999999999</v>
      </c>
      <c r="M1805" s="213"/>
      <c r="N1805" s="226"/>
    </row>
    <row r="1806" spans="1:14" ht="16.5" customHeight="1" x14ac:dyDescent="0.25">
      <c r="A1806" s="203">
        <v>45565</v>
      </c>
      <c r="B1806" s="128" t="s">
        <v>14</v>
      </c>
      <c r="C1806" s="157" t="str">
        <f t="shared" si="57"/>
        <v>30.09.2024_BRA1</v>
      </c>
      <c r="D1806" s="190">
        <f t="shared" si="58"/>
        <v>0</v>
      </c>
      <c r="E1806" s="204">
        <v>4.000111423716534E-2</v>
      </c>
      <c r="F1806" s="205">
        <v>3.3971105749469849E-2</v>
      </c>
      <c r="G1806" s="204">
        <v>1.4339470254593492E-2</v>
      </c>
      <c r="H1806" s="204">
        <v>0</v>
      </c>
      <c r="I1806" s="209">
        <v>7.2530000000000001</v>
      </c>
      <c r="J1806" s="207">
        <v>1.6493695652579892</v>
      </c>
      <c r="K1806" s="209">
        <v>5.8449999999999998</v>
      </c>
      <c r="L1806" s="209">
        <v>7.1310000000000002</v>
      </c>
      <c r="M1806" s="213"/>
      <c r="N1806" s="226"/>
    </row>
    <row r="1807" spans="1:14" ht="16.5" customHeight="1" x14ac:dyDescent="0.25">
      <c r="A1807" s="203">
        <v>45565</v>
      </c>
      <c r="B1807" s="128" t="s">
        <v>17</v>
      </c>
      <c r="C1807" s="157" t="str">
        <f t="shared" si="57"/>
        <v>30.09.2024_BRA2</v>
      </c>
      <c r="D1807" s="190">
        <f t="shared" si="58"/>
        <v>0</v>
      </c>
      <c r="E1807" s="204">
        <v>5.6001559932031479E-2</v>
      </c>
      <c r="F1807" s="205">
        <v>4.2159465042263478E-2</v>
      </c>
      <c r="G1807" s="204">
        <v>-3.1865489454652386E-3</v>
      </c>
      <c r="H1807" s="204">
        <v>4.0727957115730455E-2</v>
      </c>
      <c r="I1807" s="209">
        <v>7.07</v>
      </c>
      <c r="J1807" s="207">
        <v>1.6068262031532199</v>
      </c>
      <c r="K1807" s="209">
        <v>5.8470000000000004</v>
      </c>
      <c r="L1807" s="209">
        <v>6.4329999999999998</v>
      </c>
      <c r="M1807" s="213"/>
      <c r="N1807" s="226"/>
    </row>
    <row r="1808" spans="1:14" ht="16.5" customHeight="1" x14ac:dyDescent="0.25">
      <c r="A1808" s="203">
        <v>45565</v>
      </c>
      <c r="B1808" s="128" t="s">
        <v>30</v>
      </c>
      <c r="C1808" s="157" t="str">
        <f t="shared" si="57"/>
        <v>30.09.2024_FAL1</v>
      </c>
      <c r="D1808" s="190">
        <f t="shared" si="58"/>
        <v>0</v>
      </c>
      <c r="E1808" s="204">
        <v>0.15800440123680315</v>
      </c>
      <c r="F1808" s="205">
        <v>0.11668226788244106</v>
      </c>
      <c r="G1808" s="204">
        <v>0.11232585032764915</v>
      </c>
      <c r="H1808" s="204">
        <v>0.13818414021408532</v>
      </c>
      <c r="I1808" s="209">
        <v>10.558999999999999</v>
      </c>
      <c r="J1808" s="207">
        <v>2.5142513910090942</v>
      </c>
      <c r="K1808" s="209">
        <v>29</v>
      </c>
      <c r="L1808" s="209">
        <v>26.504999999999999</v>
      </c>
      <c r="M1808" s="213"/>
      <c r="N1808" s="226"/>
    </row>
    <row r="1809" spans="1:14" ht="16.5" customHeight="1" x14ac:dyDescent="0.25">
      <c r="A1809" s="203">
        <v>45565</v>
      </c>
      <c r="B1809" s="128" t="s">
        <v>32</v>
      </c>
      <c r="C1809" s="157" t="str">
        <f t="shared" si="57"/>
        <v>30.09.2024_FAL2</v>
      </c>
      <c r="D1809" s="190">
        <f t="shared" si="58"/>
        <v>0</v>
      </c>
      <c r="E1809" s="204">
        <v>0.19200534833839381</v>
      </c>
      <c r="F1809" s="205">
        <v>0.10994844857640673</v>
      </c>
      <c r="G1809" s="204">
        <v>4.3815048000146822E-2</v>
      </c>
      <c r="H1809" s="204">
        <v>0.11491102186223934</v>
      </c>
      <c r="I1809" s="209">
        <v>12.375</v>
      </c>
      <c r="J1809" s="207">
        <v>2.8641478572275929</v>
      </c>
      <c r="K1809" s="209">
        <v>27</v>
      </c>
      <c r="L1809" s="209">
        <v>25.257000000000001</v>
      </c>
      <c r="M1809" s="213"/>
      <c r="N1809" s="226"/>
    </row>
    <row r="1810" spans="1:14" ht="16.5" customHeight="1" x14ac:dyDescent="0.25">
      <c r="A1810" s="203">
        <v>45565</v>
      </c>
      <c r="B1810" s="128" t="s">
        <v>26</v>
      </c>
      <c r="C1810" s="157" t="str">
        <f t="shared" si="57"/>
        <v>30.09.2024_GRU1</v>
      </c>
      <c r="D1810" s="190">
        <f t="shared" si="58"/>
        <v>0</v>
      </c>
      <c r="E1810" s="204">
        <v>0</v>
      </c>
      <c r="F1810" s="205">
        <v>2.4988822429464517E-2</v>
      </c>
      <c r="G1810" s="204">
        <v>0</v>
      </c>
      <c r="H1810" s="204">
        <v>0</v>
      </c>
      <c r="I1810" s="209">
        <v>4.8179999999999996</v>
      </c>
      <c r="J1810" s="207">
        <v>1.0882416599999998</v>
      </c>
      <c r="K1810" s="209">
        <v>5.7750000000000004</v>
      </c>
      <c r="L1810" s="209">
        <v>11.125</v>
      </c>
      <c r="M1810" s="213"/>
      <c r="N1810" s="226"/>
    </row>
    <row r="1811" spans="1:14" ht="16.5" customHeight="1" x14ac:dyDescent="0.25">
      <c r="A1811" s="203">
        <v>45565</v>
      </c>
      <c r="B1811" s="128" t="s">
        <v>28</v>
      </c>
      <c r="C1811" s="157" t="str">
        <f t="shared" si="57"/>
        <v>30.09.2024_GRU2</v>
      </c>
      <c r="D1811" s="190">
        <f t="shared" si="58"/>
        <v>0</v>
      </c>
      <c r="E1811" s="204">
        <v>1.2000334271149665E-2</v>
      </c>
      <c r="F1811" s="205">
        <v>2.2671956669837335E-2</v>
      </c>
      <c r="G1811" s="204">
        <v>8.7630096000293322E-3</v>
      </c>
      <c r="H1811" s="204">
        <v>0</v>
      </c>
      <c r="I1811" s="209">
        <v>4.6319999999999997</v>
      </c>
      <c r="J1811" s="207">
        <v>1.0530342293243267</v>
      </c>
      <c r="K1811" s="209">
        <v>6.5110000000000001</v>
      </c>
      <c r="L1811" s="209">
        <v>10.416</v>
      </c>
      <c r="M1811" s="213"/>
      <c r="N1811" s="226"/>
    </row>
    <row r="1812" spans="1:14" ht="16.5" customHeight="1" x14ac:dyDescent="0.25">
      <c r="A1812" s="203">
        <v>45565</v>
      </c>
      <c r="B1812" s="128" t="s">
        <v>0</v>
      </c>
      <c r="C1812" s="157" t="str">
        <f t="shared" si="57"/>
        <v>30.09.2024_KIN1</v>
      </c>
      <c r="D1812" s="190">
        <f t="shared" si="58"/>
        <v>0</v>
      </c>
      <c r="E1812" s="204">
        <v>3.0000835677873976E-2</v>
      </c>
      <c r="F1812" s="205">
        <v>3.780436767911538E-2</v>
      </c>
      <c r="G1812" s="204">
        <v>-7.9663723636631801E-4</v>
      </c>
      <c r="H1812" s="204">
        <v>0</v>
      </c>
      <c r="I1812" s="209">
        <v>9.0570000000000004</v>
      </c>
      <c r="J1812" s="207">
        <v>2.045086009152334</v>
      </c>
      <c r="K1812" s="209">
        <v>9.7070000000000007</v>
      </c>
      <c r="L1812" s="209">
        <v>10.906000000000001</v>
      </c>
      <c r="M1812" s="213"/>
      <c r="N1812" s="226"/>
    </row>
    <row r="1813" spans="1:14" ht="16.5" customHeight="1" x14ac:dyDescent="0.25">
      <c r="A1813" s="203">
        <v>45565</v>
      </c>
      <c r="B1813" s="128" t="s">
        <v>2</v>
      </c>
      <c r="C1813" s="157" t="str">
        <f t="shared" si="57"/>
        <v>30.09.2024_KIN2</v>
      </c>
      <c r="D1813" s="190">
        <f t="shared" si="58"/>
        <v>0</v>
      </c>
      <c r="E1813" s="204">
        <v>3.4000947101590573E-2</v>
      </c>
      <c r="F1813" s="205">
        <v>2.5166339210336629E-2</v>
      </c>
      <c r="G1813" s="204">
        <v>-2.3899117090989208E-3</v>
      </c>
      <c r="H1813" s="204">
        <v>0</v>
      </c>
      <c r="I1813" s="209">
        <v>8.8049999999999997</v>
      </c>
      <c r="J1813" s="207">
        <v>1.9869296074570018</v>
      </c>
      <c r="K1813" s="209">
        <v>10.875</v>
      </c>
      <c r="L1813" s="209">
        <v>12.654999999999999</v>
      </c>
      <c r="M1813" s="213"/>
      <c r="N1813" s="226"/>
    </row>
    <row r="1814" spans="1:14" ht="16.5" customHeight="1" x14ac:dyDescent="0.25">
      <c r="A1814" s="203">
        <v>45565</v>
      </c>
      <c r="B1814" s="128" t="s">
        <v>4</v>
      </c>
      <c r="C1814" s="157" t="str">
        <f t="shared" si="57"/>
        <v>30.09.2024_KIN3</v>
      </c>
      <c r="D1814" s="190">
        <f t="shared" si="58"/>
        <v>0</v>
      </c>
      <c r="E1814" s="204">
        <v>4.2001169949023642E-2</v>
      </c>
      <c r="F1814" s="205">
        <v>2.1224358748506519E-2</v>
      </c>
      <c r="G1814" s="204">
        <v>7.1697351272967287E-3</v>
      </c>
      <c r="H1814" s="204">
        <v>0</v>
      </c>
      <c r="I1814" s="209">
        <v>8.0250000000000004</v>
      </c>
      <c r="J1814" s="207">
        <v>1.8181739776289947</v>
      </c>
      <c r="K1814" s="209">
        <v>13.281000000000001</v>
      </c>
      <c r="L1814" s="209">
        <v>13.976000000000001</v>
      </c>
      <c r="M1814" s="213"/>
      <c r="N1814" s="226"/>
    </row>
    <row r="1815" spans="1:14" ht="16.5" customHeight="1" x14ac:dyDescent="0.25">
      <c r="A1815" s="203">
        <v>45565</v>
      </c>
      <c r="B1815" s="128" t="s">
        <v>6</v>
      </c>
      <c r="C1815" s="157" t="str">
        <f t="shared" si="57"/>
        <v>30.09.2024_KIN4</v>
      </c>
      <c r="D1815" s="190">
        <f t="shared" si="58"/>
        <v>0</v>
      </c>
      <c r="E1815" s="204">
        <v>0.10600295272848823</v>
      </c>
      <c r="F1815" s="205">
        <v>2.6835246380058769E-2</v>
      </c>
      <c r="G1815" s="204">
        <v>1.4339470254593492E-2</v>
      </c>
      <c r="H1815" s="204">
        <v>0</v>
      </c>
      <c r="I1815" s="209">
        <v>6.2249999999999996</v>
      </c>
      <c r="J1815" s="207">
        <v>1.4171752052579891</v>
      </c>
      <c r="K1815" s="209">
        <v>14.741</v>
      </c>
      <c r="L1815" s="209">
        <v>12.281000000000001</v>
      </c>
      <c r="M1815" s="213"/>
      <c r="N1815" s="226"/>
    </row>
    <row r="1816" spans="1:14" ht="16.5" customHeight="1" x14ac:dyDescent="0.25">
      <c r="A1816" s="203">
        <v>45565</v>
      </c>
      <c r="B1816" s="128" t="s">
        <v>34</v>
      </c>
      <c r="C1816" s="157" t="str">
        <f t="shared" si="57"/>
        <v>30.09.2024_KRE1</v>
      </c>
      <c r="D1816" s="190">
        <f t="shared" si="58"/>
        <v>0</v>
      </c>
      <c r="E1816" s="204">
        <v>0</v>
      </c>
      <c r="F1816" s="205">
        <v>3.0685927774707179E-2</v>
      </c>
      <c r="G1816" s="204">
        <v>0.1194955854549459</v>
      </c>
      <c r="H1816" s="204">
        <v>7.8546774437480066E-2</v>
      </c>
      <c r="I1816" s="209">
        <v>7.18</v>
      </c>
      <c r="J1816" s="207">
        <v>1.7384472926274017</v>
      </c>
      <c r="K1816" s="209">
        <v>39</v>
      </c>
      <c r="L1816" s="209">
        <v>32.137</v>
      </c>
      <c r="M1816" s="213"/>
      <c r="N1816" s="226"/>
    </row>
    <row r="1817" spans="1:14" ht="16.5" customHeight="1" x14ac:dyDescent="0.25">
      <c r="A1817" s="203">
        <v>45565</v>
      </c>
      <c r="B1817" s="128" t="s">
        <v>37</v>
      </c>
      <c r="C1817" s="157" t="str">
        <f t="shared" si="57"/>
        <v>30.09.2024_KRE2</v>
      </c>
      <c r="D1817" s="190">
        <f t="shared" si="58"/>
        <v>0</v>
      </c>
      <c r="E1817" s="204">
        <v>0</v>
      </c>
      <c r="F1817" s="205">
        <v>4.0076751953058445E-2</v>
      </c>
      <c r="G1817" s="204">
        <v>0.48515207694708051</v>
      </c>
      <c r="H1817" s="204">
        <v>0.22691290393049796</v>
      </c>
      <c r="I1817" s="209">
        <v>8.8849999999999998</v>
      </c>
      <c r="J1817" s="207">
        <v>2.4526543198302782</v>
      </c>
      <c r="K1817" s="209">
        <v>43</v>
      </c>
      <c r="L1817" s="209">
        <v>34.484000000000002</v>
      </c>
      <c r="M1817" s="213"/>
      <c r="N1817" s="226"/>
    </row>
    <row r="1818" spans="1:14" ht="16.5" customHeight="1" x14ac:dyDescent="0.25">
      <c r="A1818" s="203">
        <v>45565</v>
      </c>
      <c r="B1818" s="128" t="s">
        <v>18</v>
      </c>
      <c r="C1818" s="157" t="str">
        <f t="shared" si="57"/>
        <v>30.09.2024_ORB1</v>
      </c>
      <c r="D1818" s="190">
        <f t="shared" si="58"/>
        <v>0</v>
      </c>
      <c r="E1818" s="204">
        <v>6.0001671355748533E-3</v>
      </c>
      <c r="F1818" s="205">
        <v>2.0722844754882185E-2</v>
      </c>
      <c r="G1818" s="204">
        <v>3.1865489454652386E-3</v>
      </c>
      <c r="H1818" s="204">
        <v>0</v>
      </c>
      <c r="I1818" s="209">
        <v>5.0030000000000001</v>
      </c>
      <c r="J1818" s="207">
        <v>1.1325019333906643</v>
      </c>
      <c r="K1818" s="209">
        <v>8.2539999999999996</v>
      </c>
      <c r="L1818" s="209">
        <v>11.641</v>
      </c>
      <c r="M1818" s="213"/>
      <c r="N1818" s="226"/>
    </row>
    <row r="1819" spans="1:14" ht="16.5" customHeight="1" x14ac:dyDescent="0.25">
      <c r="A1819" s="203">
        <v>45565</v>
      </c>
      <c r="B1819" s="128" t="s">
        <v>21</v>
      </c>
      <c r="C1819" s="157" t="str">
        <f t="shared" si="57"/>
        <v>30.09.2024_ORB2</v>
      </c>
      <c r="D1819" s="190">
        <f t="shared" si="58"/>
        <v>0</v>
      </c>
      <c r="E1819" s="204">
        <v>3.0000835677873976E-2</v>
      </c>
      <c r="F1819" s="205">
        <v>2.4754258131934624E-2</v>
      </c>
      <c r="G1819" s="204">
        <v>3.1865489454652386E-3</v>
      </c>
      <c r="H1819" s="204">
        <v>0</v>
      </c>
      <c r="I1819" s="209">
        <v>4.7939999999999996</v>
      </c>
      <c r="J1819" s="207">
        <v>1.0852951033906642</v>
      </c>
      <c r="K1819" s="209">
        <v>15.456</v>
      </c>
      <c r="L1819" s="209">
        <v>14.307</v>
      </c>
      <c r="M1819" s="213"/>
      <c r="N1819" s="226"/>
    </row>
    <row r="1820" spans="1:14" ht="16.5" customHeight="1" x14ac:dyDescent="0.25">
      <c r="A1820" s="203">
        <v>45565</v>
      </c>
      <c r="B1820" s="128" t="s">
        <v>10</v>
      </c>
      <c r="C1820" s="157" t="str">
        <f t="shared" si="57"/>
        <v>30.09.2024_SAL1</v>
      </c>
      <c r="D1820" s="190">
        <f t="shared" si="58"/>
        <v>0</v>
      </c>
      <c r="E1820" s="204">
        <v>9.6002674169196903E-2</v>
      </c>
      <c r="F1820" s="205">
        <v>5.1530089441587719E-2</v>
      </c>
      <c r="G1820" s="204">
        <v>3.1865489454652386E-3</v>
      </c>
      <c r="H1820" s="204">
        <v>0</v>
      </c>
      <c r="I1820" s="209">
        <v>5.7640000000000002</v>
      </c>
      <c r="J1820" s="207">
        <v>1.3043890033906642</v>
      </c>
      <c r="K1820" s="209">
        <v>5.77</v>
      </c>
      <c r="L1820" s="209">
        <v>6.7679999999999998</v>
      </c>
      <c r="M1820" s="213"/>
      <c r="N1820" s="226"/>
    </row>
    <row r="1821" spans="1:14" ht="16.5" customHeight="1" x14ac:dyDescent="0.25">
      <c r="A1821" s="203">
        <v>45565</v>
      </c>
      <c r="B1821" s="128" t="s">
        <v>12</v>
      </c>
      <c r="C1821" s="157" t="str">
        <f t="shared" si="57"/>
        <v>30.09.2024_SAL2</v>
      </c>
      <c r="D1821" s="190">
        <f t="shared" si="58"/>
        <v>0</v>
      </c>
      <c r="E1821" s="204">
        <v>0.12000334271149615</v>
      </c>
      <c r="F1821" s="205">
        <v>4.7951941526809864E-2</v>
      </c>
      <c r="G1821" s="204">
        <v>5.5764606545641599E-3</v>
      </c>
      <c r="H1821" s="204">
        <v>0</v>
      </c>
      <c r="I1821" s="209">
        <v>3.3759999999999999</v>
      </c>
      <c r="J1821" s="207">
        <v>0.76686718593366243</v>
      </c>
      <c r="K1821" s="209">
        <v>4.5199999999999996</v>
      </c>
      <c r="L1821" s="209">
        <v>5.585</v>
      </c>
      <c r="M1821" s="213"/>
      <c r="N1821" s="226"/>
    </row>
    <row r="1822" spans="1:14" ht="16.5" customHeight="1" x14ac:dyDescent="0.25">
      <c r="A1822" s="203">
        <v>45565</v>
      </c>
      <c r="B1822" s="128" t="s">
        <v>7</v>
      </c>
      <c r="C1822" s="157" t="str">
        <f t="shared" si="57"/>
        <v>30.09.2024_STE1</v>
      </c>
      <c r="D1822" s="190">
        <f t="shared" si="58"/>
        <v>0</v>
      </c>
      <c r="E1822" s="204">
        <v>5.6001559932031479E-2</v>
      </c>
      <c r="F1822" s="205">
        <v>4.9847351499518987E-2</v>
      </c>
      <c r="G1822" s="204">
        <v>9.5596468363956504E-3</v>
      </c>
      <c r="H1822" s="204">
        <v>0</v>
      </c>
      <c r="I1822" s="209">
        <v>4.6210000000000004</v>
      </c>
      <c r="J1822" s="207">
        <v>1.0511682401719928</v>
      </c>
      <c r="K1822" s="209">
        <v>6.5030000000000001</v>
      </c>
      <c r="L1822" s="209">
        <v>7.1859999999999999</v>
      </c>
      <c r="M1822" s="213"/>
      <c r="N1822" s="226"/>
    </row>
    <row r="1823" spans="1:14" ht="16.5" customHeight="1" x14ac:dyDescent="0.25">
      <c r="A1823" s="203">
        <v>45565</v>
      </c>
      <c r="B1823" s="128" t="s">
        <v>9</v>
      </c>
      <c r="C1823" s="157" t="str">
        <f t="shared" si="57"/>
        <v>30.09.2024_STE2</v>
      </c>
      <c r="D1823" s="190">
        <f t="shared" si="58"/>
        <v>0</v>
      </c>
      <c r="E1823" s="204">
        <v>8.8002451321763792E-2</v>
      </c>
      <c r="F1823" s="205">
        <v>4.7131684231900367E-2</v>
      </c>
      <c r="G1823" s="204">
        <v>0</v>
      </c>
      <c r="H1823" s="204">
        <v>0</v>
      </c>
      <c r="I1823" s="209">
        <v>5.9039999999999999</v>
      </c>
      <c r="J1823" s="207">
        <v>1.3335364799999998</v>
      </c>
      <c r="K1823" s="209">
        <v>7.5819999999999999</v>
      </c>
      <c r="L1823" s="209">
        <v>7.7679999999999998</v>
      </c>
      <c r="M1823" s="213"/>
      <c r="N1823" s="226"/>
    </row>
    <row r="1824" spans="1:14" ht="16.5" customHeight="1" x14ac:dyDescent="0.25">
      <c r="A1824" s="203">
        <v>45579</v>
      </c>
      <c r="B1824" s="128" t="s">
        <v>22</v>
      </c>
      <c r="C1824" s="157" t="str">
        <f t="shared" si="57"/>
        <v>14.10.2024_BIE1</v>
      </c>
      <c r="D1824" s="190">
        <f t="shared" si="58"/>
        <v>0</v>
      </c>
      <c r="E1824" s="204">
        <v>1.0525081356826624E-2</v>
      </c>
      <c r="F1824" s="205">
        <v>2.6396587420867656E-2</v>
      </c>
      <c r="G1824" s="204">
        <v>3.0233922416953891E-2</v>
      </c>
      <c r="H1824" s="204">
        <v>2.3240334464773589E-2</v>
      </c>
      <c r="I1824" s="209">
        <v>4.2309999999999999</v>
      </c>
      <c r="J1824" s="207">
        <v>0.9862078282453407</v>
      </c>
      <c r="K1824" s="209">
        <v>6.4790000000000001</v>
      </c>
      <c r="L1824" s="209">
        <v>10.654</v>
      </c>
      <c r="M1824" s="213"/>
      <c r="N1824" s="226"/>
    </row>
    <row r="1825" spans="1:14" ht="16.5" customHeight="1" x14ac:dyDescent="0.25">
      <c r="A1825" s="203">
        <v>45579</v>
      </c>
      <c r="B1825" s="128" t="s">
        <v>25</v>
      </c>
      <c r="C1825" s="157" t="str">
        <f t="shared" si="57"/>
        <v>14.10.2024_BIE2</v>
      </c>
      <c r="D1825" s="190">
        <f t="shared" si="58"/>
        <v>0</v>
      </c>
      <c r="E1825" s="204">
        <v>6.315048814095948E-3</v>
      </c>
      <c r="F1825" s="205">
        <v>2.6692098348253958E-2</v>
      </c>
      <c r="G1825" s="204">
        <v>4.3759624550854311E-2</v>
      </c>
      <c r="H1825" s="204">
        <v>1.3732924911002573E-2</v>
      </c>
      <c r="I1825" s="209">
        <v>4.2569999999999997</v>
      </c>
      <c r="J1825" s="207">
        <v>0.99968848985664749</v>
      </c>
      <c r="K1825" s="209">
        <v>6.8239999999999998</v>
      </c>
      <c r="L1825" s="209">
        <v>10.587999999999999</v>
      </c>
      <c r="M1825" s="213"/>
      <c r="N1825" s="226"/>
    </row>
    <row r="1826" spans="1:14" ht="16.5" customHeight="1" x14ac:dyDescent="0.25">
      <c r="A1826" s="203">
        <v>45579</v>
      </c>
      <c r="B1826" s="128" t="s">
        <v>14</v>
      </c>
      <c r="C1826" s="157" t="str">
        <f t="shared" si="57"/>
        <v>14.10.2024_BRA1</v>
      </c>
      <c r="D1826" s="190">
        <f t="shared" si="58"/>
        <v>0</v>
      </c>
      <c r="E1826" s="204">
        <v>5.8940455598229156E-2</v>
      </c>
      <c r="F1826" s="205">
        <v>3.1933809001495179E-2</v>
      </c>
      <c r="G1826" s="204">
        <v>2.784703380508911E-2</v>
      </c>
      <c r="H1826" s="204">
        <v>2.3240334464773589E-2</v>
      </c>
      <c r="I1826" s="209">
        <v>6.6050000000000004</v>
      </c>
      <c r="J1826" s="207">
        <v>1.5205698131071139</v>
      </c>
      <c r="K1826" s="209">
        <v>4.4939999999999998</v>
      </c>
      <c r="L1826" s="209">
        <v>7.375</v>
      </c>
      <c r="M1826" s="213"/>
      <c r="N1826" s="226"/>
    </row>
    <row r="1827" spans="1:14" ht="16.5" customHeight="1" x14ac:dyDescent="0.25">
      <c r="A1827" s="203">
        <v>45579</v>
      </c>
      <c r="B1827" s="128" t="s">
        <v>17</v>
      </c>
      <c r="C1827" s="157" t="str">
        <f t="shared" si="57"/>
        <v>14.10.2024_BRA2</v>
      </c>
      <c r="D1827" s="190">
        <f t="shared" si="58"/>
        <v>0</v>
      </c>
      <c r="E1827" s="204">
        <v>6.946553695505582E-2</v>
      </c>
      <c r="F1827" s="205">
        <v>4.2721165084448669E-2</v>
      </c>
      <c r="G1827" s="204">
        <v>1.2730072596612149E-2</v>
      </c>
      <c r="H1827" s="204">
        <v>7.9228412948091742E-2</v>
      </c>
      <c r="I1827" s="209">
        <v>8.6129999999999995</v>
      </c>
      <c r="J1827" s="207">
        <v>1.9794241743925898</v>
      </c>
      <c r="K1827" s="209">
        <v>5.9690000000000003</v>
      </c>
      <c r="L1827" s="209">
        <v>8.2240000000000002</v>
      </c>
      <c r="M1827" s="213"/>
      <c r="N1827" s="226"/>
    </row>
    <row r="1828" spans="1:14" ht="16.5" customHeight="1" x14ac:dyDescent="0.25">
      <c r="A1828" s="203">
        <v>45579</v>
      </c>
      <c r="B1828" s="128" t="s">
        <v>30</v>
      </c>
      <c r="C1828" s="157" t="str">
        <f t="shared" si="57"/>
        <v>14.10.2024_FAL1</v>
      </c>
      <c r="D1828" s="190">
        <f t="shared" si="58"/>
        <v>0</v>
      </c>
      <c r="E1828" s="204">
        <v>0.10104078102553578</v>
      </c>
      <c r="F1828" s="205">
        <v>5.5097151330094102E-2</v>
      </c>
      <c r="G1828" s="204">
        <v>0.10581872845933858</v>
      </c>
      <c r="H1828" s="204">
        <v>0.13204735491348624</v>
      </c>
      <c r="I1828" s="209">
        <v>12.222</v>
      </c>
      <c r="J1828" s="207">
        <v>2.8829521416648021</v>
      </c>
      <c r="K1828" s="209">
        <v>25</v>
      </c>
      <c r="L1828" s="209">
        <v>28.097999999999999</v>
      </c>
      <c r="M1828" s="213"/>
      <c r="N1828" s="226"/>
    </row>
    <row r="1829" spans="1:14" ht="16.5" customHeight="1" x14ac:dyDescent="0.25">
      <c r="A1829" s="203">
        <v>45579</v>
      </c>
      <c r="B1829" s="128" t="s">
        <v>32</v>
      </c>
      <c r="C1829" s="157" t="str">
        <f t="shared" si="57"/>
        <v>14.10.2024_FAL2</v>
      </c>
      <c r="D1829" s="190">
        <f t="shared" si="58"/>
        <v>0</v>
      </c>
      <c r="E1829" s="204">
        <v>0.22734175730745554</v>
      </c>
      <c r="F1829" s="205">
        <v>0.11553286202902806</v>
      </c>
      <c r="G1829" s="204">
        <v>8.1154212803402515E-2</v>
      </c>
      <c r="H1829" s="204">
        <v>7.7115655269475974E-2</v>
      </c>
      <c r="I1829" s="209">
        <v>8.4499999999999993</v>
      </c>
      <c r="J1829" s="207">
        <v>1.9950947959465057</v>
      </c>
      <c r="K1829" s="209">
        <v>25</v>
      </c>
      <c r="L1829" s="209">
        <v>27.414000000000001</v>
      </c>
      <c r="M1829" s="213"/>
      <c r="N1829" s="226"/>
    </row>
    <row r="1830" spans="1:14" ht="16.5" customHeight="1" x14ac:dyDescent="0.25">
      <c r="A1830" s="203">
        <v>45579</v>
      </c>
      <c r="B1830" s="128" t="s">
        <v>26</v>
      </c>
      <c r="C1830" s="157" t="str">
        <f t="shared" si="57"/>
        <v>14.10.2024_GRU1</v>
      </c>
      <c r="D1830" s="190">
        <f t="shared" si="58"/>
        <v>0</v>
      </c>
      <c r="E1830" s="204">
        <v>0</v>
      </c>
      <c r="F1830" s="205">
        <v>2.3544961112652741E-2</v>
      </c>
      <c r="G1830" s="204">
        <v>0</v>
      </c>
      <c r="H1830" s="204">
        <v>3.5916880536468257E-2</v>
      </c>
      <c r="I1830" s="209">
        <v>5.5549999999999997</v>
      </c>
      <c r="J1830" s="207">
        <v>1.2656427442793277</v>
      </c>
      <c r="K1830" s="209">
        <v>5.266</v>
      </c>
      <c r="L1830" s="209">
        <v>8.593</v>
      </c>
      <c r="M1830" s="213"/>
      <c r="N1830" s="226"/>
    </row>
    <row r="1831" spans="1:14" ht="16.5" customHeight="1" x14ac:dyDescent="0.25">
      <c r="A1831" s="203">
        <v>45579</v>
      </c>
      <c r="B1831" s="128" t="s">
        <v>28</v>
      </c>
      <c r="C1831" s="157" t="str">
        <f t="shared" si="57"/>
        <v>14.10.2024_GRU2</v>
      </c>
      <c r="D1831" s="190">
        <f t="shared" si="58"/>
        <v>0</v>
      </c>
      <c r="E1831" s="204">
        <v>2.3155178985018607E-2</v>
      </c>
      <c r="F1831" s="205">
        <v>2.4693718030519132E-2</v>
      </c>
      <c r="G1831" s="204">
        <v>3.8985847327124748E-2</v>
      </c>
      <c r="H1831" s="204">
        <v>1.0563788393078834E-3</v>
      </c>
      <c r="I1831" s="209">
        <v>5.1859999999999999</v>
      </c>
      <c r="J1831" s="207">
        <v>1.2019555551286663</v>
      </c>
      <c r="K1831" s="209">
        <v>5.7880000000000003</v>
      </c>
      <c r="L1831" s="209">
        <v>8.52</v>
      </c>
      <c r="M1831" s="213"/>
      <c r="N1831" s="226"/>
    </row>
    <row r="1832" spans="1:14" ht="16.5" customHeight="1" x14ac:dyDescent="0.25">
      <c r="A1832" s="203">
        <v>45579</v>
      </c>
      <c r="B1832" s="128" t="s">
        <v>0</v>
      </c>
      <c r="C1832" s="157" t="str">
        <f t="shared" si="57"/>
        <v>14.10.2024_KIN1</v>
      </c>
      <c r="D1832" s="190">
        <f t="shared" si="58"/>
        <v>0</v>
      </c>
      <c r="E1832" s="204">
        <v>7.788560204051713E-2</v>
      </c>
      <c r="F1832" s="205">
        <v>4.5503822982398461E-2</v>
      </c>
      <c r="G1832" s="204">
        <v>8.7519249101708566E-3</v>
      </c>
      <c r="H1832" s="204">
        <v>7.3946518751552281E-3</v>
      </c>
      <c r="I1832" s="209">
        <v>12.074999999999999</v>
      </c>
      <c r="J1832" s="207">
        <v>2.7364273339368892</v>
      </c>
      <c r="K1832" s="209">
        <v>9.0890000000000004</v>
      </c>
      <c r="L1832" s="209">
        <v>10.821</v>
      </c>
      <c r="M1832" s="213"/>
      <c r="N1832" s="226"/>
    </row>
    <row r="1833" spans="1:14" ht="16.5" customHeight="1" x14ac:dyDescent="0.25">
      <c r="A1833" s="203">
        <v>45579</v>
      </c>
      <c r="B1833" s="128" t="s">
        <v>2</v>
      </c>
      <c r="C1833" s="157" t="str">
        <f t="shared" si="57"/>
        <v>14.10.2024_KIN2</v>
      </c>
      <c r="D1833" s="190">
        <f t="shared" si="58"/>
        <v>0</v>
      </c>
      <c r="E1833" s="204">
        <v>4.210032542730658E-2</v>
      </c>
      <c r="F1833" s="205">
        <v>3.3817425754585705E-2</v>
      </c>
      <c r="G1833" s="204">
        <v>7.9562953728825846E-3</v>
      </c>
      <c r="H1833" s="204">
        <v>0.11831443000248362</v>
      </c>
      <c r="I1833" s="209">
        <v>11.048</v>
      </c>
      <c r="J1833" s="207">
        <v>2.5376105720083455</v>
      </c>
      <c r="K1833" s="209">
        <v>10.377000000000001</v>
      </c>
      <c r="L1833" s="209">
        <v>12.583</v>
      </c>
      <c r="M1833" s="213"/>
      <c r="N1833" s="226"/>
    </row>
    <row r="1834" spans="1:14" ht="16.5" customHeight="1" x14ac:dyDescent="0.25">
      <c r="A1834" s="203">
        <v>45579</v>
      </c>
      <c r="B1834" s="128" t="s">
        <v>4</v>
      </c>
      <c r="C1834" s="157" t="str">
        <f t="shared" si="57"/>
        <v>14.10.2024_KIN3</v>
      </c>
      <c r="D1834" s="190">
        <f t="shared" si="58"/>
        <v>0</v>
      </c>
      <c r="E1834" s="204">
        <v>5.6835439326863836E-2</v>
      </c>
      <c r="F1834" s="205">
        <v>3.0702416236044784E-2</v>
      </c>
      <c r="G1834" s="204">
        <v>1.6708220283053472E-2</v>
      </c>
      <c r="H1834" s="204">
        <v>3.4860501697160352E-2</v>
      </c>
      <c r="I1834" s="209">
        <v>8.4629999999999992</v>
      </c>
      <c r="J1834" s="207">
        <v>1.9351248557092884</v>
      </c>
      <c r="K1834" s="209">
        <v>11.03</v>
      </c>
      <c r="L1834" s="209">
        <v>13.397</v>
      </c>
      <c r="M1834" s="213"/>
      <c r="N1834" s="226"/>
    </row>
    <row r="1835" spans="1:14" ht="16.5" customHeight="1" x14ac:dyDescent="0.25">
      <c r="A1835" s="203">
        <v>45579</v>
      </c>
      <c r="B1835" s="128" t="s">
        <v>6</v>
      </c>
      <c r="C1835" s="157" t="str">
        <f t="shared" si="57"/>
        <v>14.10.2024_KIN4</v>
      </c>
      <c r="D1835" s="190">
        <f t="shared" si="58"/>
        <v>0</v>
      </c>
      <c r="E1835" s="204">
        <v>0.14103609018147709</v>
      </c>
      <c r="F1835" s="205">
        <v>3.3138140445032868E-2</v>
      </c>
      <c r="G1835" s="204">
        <v>1.0343183984747366E-2</v>
      </c>
      <c r="H1835" s="204">
        <v>3.3804122857852469E-2</v>
      </c>
      <c r="I1835" s="209">
        <v>8.1989999999999998</v>
      </c>
      <c r="J1835" s="207">
        <v>1.8702311741363895</v>
      </c>
      <c r="K1835" s="209">
        <v>15.209</v>
      </c>
      <c r="L1835" s="209">
        <v>13.38</v>
      </c>
      <c r="M1835" s="213"/>
      <c r="N1835" s="226"/>
    </row>
    <row r="1836" spans="1:14" ht="16.5" customHeight="1" x14ac:dyDescent="0.25">
      <c r="A1836" s="203">
        <v>45579</v>
      </c>
      <c r="B1836" s="128" t="s">
        <v>34</v>
      </c>
      <c r="C1836" s="157" t="str">
        <f t="shared" si="57"/>
        <v>14.10.2024_KRE1</v>
      </c>
      <c r="D1836" s="190">
        <f t="shared" si="58"/>
        <v>0</v>
      </c>
      <c r="E1836" s="204">
        <v>-4.381945371900721E-17</v>
      </c>
      <c r="F1836" s="205">
        <v>3.3987657331229104E-2</v>
      </c>
      <c r="G1836" s="204">
        <v>0.15355650069663418</v>
      </c>
      <c r="H1836" s="204">
        <v>0.11937080884179153</v>
      </c>
      <c r="I1836" s="209">
        <v>9.1760000000000002</v>
      </c>
      <c r="J1836" s="207">
        <v>2.2281606499778128</v>
      </c>
      <c r="K1836" s="209">
        <v>29</v>
      </c>
      <c r="L1836" s="209">
        <v>32.627000000000002</v>
      </c>
      <c r="M1836" s="213"/>
      <c r="N1836" s="226"/>
    </row>
    <row r="1837" spans="1:14" ht="16.5" customHeight="1" x14ac:dyDescent="0.25">
      <c r="A1837" s="203">
        <v>45579</v>
      </c>
      <c r="B1837" s="128" t="s">
        <v>37</v>
      </c>
      <c r="C1837" s="157" t="str">
        <f t="shared" si="57"/>
        <v>14.10.2024_KRE2</v>
      </c>
      <c r="D1837" s="190">
        <f t="shared" si="58"/>
        <v>0</v>
      </c>
      <c r="E1837" s="204">
        <v>2.5260195256383924E-2</v>
      </c>
      <c r="F1837" s="205">
        <v>4.4927135722187983E-2</v>
      </c>
      <c r="G1837" s="204">
        <v>5.2511549461025202E-2</v>
      </c>
      <c r="H1837" s="204">
        <v>4.3311532411623485E-2</v>
      </c>
      <c r="I1837" s="209">
        <v>8.8979999999999997</v>
      </c>
      <c r="J1837" s="207">
        <v>2.0637521490837099</v>
      </c>
      <c r="K1837" s="209">
        <v>30</v>
      </c>
      <c r="L1837" s="209">
        <v>36.962000000000003</v>
      </c>
      <c r="M1837" s="213"/>
      <c r="N1837" s="226"/>
    </row>
    <row r="1838" spans="1:14" ht="16.5" customHeight="1" x14ac:dyDescent="0.25">
      <c r="A1838" s="203">
        <v>45579</v>
      </c>
      <c r="B1838" s="128" t="s">
        <v>18</v>
      </c>
      <c r="C1838" s="157" t="str">
        <f t="shared" si="57"/>
        <v>14.10.2024_ORB1</v>
      </c>
      <c r="D1838" s="190">
        <f t="shared" si="58"/>
        <v>0</v>
      </c>
      <c r="E1838" s="204">
        <v>2.105016271365329E-2</v>
      </c>
      <c r="F1838" s="205">
        <v>2.5872001012157756E-2</v>
      </c>
      <c r="G1838" s="204">
        <v>2.4664515655936057E-2</v>
      </c>
      <c r="H1838" s="204">
        <v>9.5074095537710165E-3</v>
      </c>
      <c r="I1838" s="209">
        <v>6.7590000000000003</v>
      </c>
      <c r="J1838" s="207">
        <v>1.5487016106003235</v>
      </c>
      <c r="K1838" s="209">
        <v>8.3070000000000004</v>
      </c>
      <c r="L1838" s="209">
        <v>12.172000000000001</v>
      </c>
      <c r="M1838" s="213"/>
      <c r="N1838" s="226"/>
    </row>
    <row r="1839" spans="1:14" ht="16.5" customHeight="1" x14ac:dyDescent="0.25">
      <c r="A1839" s="203">
        <v>45579</v>
      </c>
      <c r="B1839" s="128" t="s">
        <v>21</v>
      </c>
      <c r="C1839" s="157" t="str">
        <f t="shared" si="57"/>
        <v>14.10.2024_ORB2</v>
      </c>
      <c r="D1839" s="190">
        <f t="shared" si="58"/>
        <v>0</v>
      </c>
      <c r="E1839" s="204">
        <v>3.7890292884575863E-2</v>
      </c>
      <c r="F1839" s="205">
        <v>2.4101120035113419E-2</v>
      </c>
      <c r="G1839" s="204">
        <v>1.8299479357629985E-2</v>
      </c>
      <c r="H1839" s="204">
        <v>9.5074095537710165E-3</v>
      </c>
      <c r="I1839" s="209">
        <v>6.242</v>
      </c>
      <c r="J1839" s="207">
        <v>1.4269844335650517</v>
      </c>
      <c r="K1839" s="209">
        <v>14.856999999999999</v>
      </c>
      <c r="L1839" s="209">
        <v>14.912000000000001</v>
      </c>
      <c r="M1839" s="213"/>
      <c r="N1839" s="226"/>
    </row>
    <row r="1840" spans="1:14" ht="16.5" customHeight="1" x14ac:dyDescent="0.25">
      <c r="A1840" s="203">
        <v>45579</v>
      </c>
      <c r="B1840" s="128" t="s">
        <v>10</v>
      </c>
      <c r="C1840" s="157" t="str">
        <f t="shared" si="57"/>
        <v>14.10.2024_SAL1</v>
      </c>
      <c r="D1840" s="190">
        <f t="shared" si="58"/>
        <v>0</v>
      </c>
      <c r="E1840" s="204">
        <v>9.6830748482805151E-2</v>
      </c>
      <c r="F1840" s="205">
        <v>3.9770384424786212E-2</v>
      </c>
      <c r="G1840" s="204">
        <v>1.1138813522035638E-2</v>
      </c>
      <c r="H1840" s="204">
        <v>3.5916880536468257E-2</v>
      </c>
      <c r="I1840" s="209">
        <v>5.4909999999999997</v>
      </c>
      <c r="J1840" s="207">
        <v>1.2598362415910529</v>
      </c>
      <c r="K1840" s="209">
        <v>5.1109999999999998</v>
      </c>
      <c r="L1840" s="209">
        <v>7.266</v>
      </c>
      <c r="M1840" s="213"/>
      <c r="N1840" s="226"/>
    </row>
    <row r="1841" spans="1:14" ht="16.5" customHeight="1" x14ac:dyDescent="0.25">
      <c r="A1841" s="203">
        <v>45579</v>
      </c>
      <c r="B1841" s="128" t="s">
        <v>12</v>
      </c>
      <c r="C1841" s="157" t="str">
        <f t="shared" si="57"/>
        <v>14.10.2024_SAL2</v>
      </c>
      <c r="D1841" s="190">
        <f t="shared" si="58"/>
        <v>0</v>
      </c>
      <c r="E1841" s="204">
        <v>0.12419596001055438</v>
      </c>
      <c r="F1841" s="205">
        <v>4.136558733766213E-2</v>
      </c>
      <c r="G1841" s="204">
        <v>1.3525702133900419E-2</v>
      </c>
      <c r="H1841" s="204">
        <v>3.6973259375776141E-2</v>
      </c>
      <c r="I1841" s="209">
        <v>5.01</v>
      </c>
      <c r="J1841" s="207">
        <v>1.1533677812669072</v>
      </c>
      <c r="K1841" s="209">
        <v>5.3019999999999996</v>
      </c>
      <c r="L1841" s="209">
        <v>7.4139999999999997</v>
      </c>
      <c r="M1841" s="213"/>
      <c r="N1841" s="226"/>
    </row>
    <row r="1842" spans="1:14" ht="16.5" customHeight="1" x14ac:dyDescent="0.25">
      <c r="A1842" s="203">
        <v>45579</v>
      </c>
      <c r="B1842" s="128" t="s">
        <v>7</v>
      </c>
      <c r="C1842" s="157" t="str">
        <f t="shared" si="57"/>
        <v>14.10.2024_STE1</v>
      </c>
      <c r="D1842" s="190">
        <f t="shared" si="58"/>
        <v>0</v>
      </c>
      <c r="E1842" s="204">
        <v>6.946553695505582E-2</v>
      </c>
      <c r="F1842" s="205">
        <v>5.2072706475730812E-2</v>
      </c>
      <c r="G1842" s="204">
        <v>1.6708220283053472E-2</v>
      </c>
      <c r="H1842" s="204">
        <v>1.0563788393078834E-3</v>
      </c>
      <c r="I1842" s="209">
        <v>6.3280000000000003</v>
      </c>
      <c r="J1842" s="207">
        <v>1.4426007405052155</v>
      </c>
      <c r="K1842" s="209">
        <v>5.3319999999999999</v>
      </c>
      <c r="L1842" s="209">
        <v>6.9870000000000001</v>
      </c>
      <c r="M1842" s="213"/>
      <c r="N1842" s="226"/>
    </row>
    <row r="1843" spans="1:14" ht="16.5" customHeight="1" x14ac:dyDescent="0.25">
      <c r="A1843" s="203">
        <v>45579</v>
      </c>
      <c r="B1843" s="128" t="s">
        <v>9</v>
      </c>
      <c r="C1843" s="157" t="str">
        <f t="shared" si="57"/>
        <v>14.10.2024_STE2</v>
      </c>
      <c r="D1843" s="190">
        <f t="shared" si="58"/>
        <v>0</v>
      </c>
      <c r="E1843" s="204">
        <v>9.4725732211439789E-2</v>
      </c>
      <c r="F1843" s="205">
        <v>5.5669964335584306E-2</v>
      </c>
      <c r="G1843" s="204">
        <v>0</v>
      </c>
      <c r="H1843" s="204">
        <v>-1.0563788393079055E-3</v>
      </c>
      <c r="I1843" s="209">
        <v>5.9820000000000002</v>
      </c>
      <c r="J1843" s="207">
        <v>1.3508327254623727</v>
      </c>
      <c r="K1843" s="209">
        <v>5.6559999999999997</v>
      </c>
      <c r="L1843" s="209">
        <v>7.1310000000000002</v>
      </c>
      <c r="M1843" s="213"/>
      <c r="N1843" s="226"/>
    </row>
    <row r="1844" spans="1:14" ht="16.5" customHeight="1" x14ac:dyDescent="0.25">
      <c r="A1844" s="203">
        <v>45593</v>
      </c>
      <c r="B1844" s="128" t="s">
        <v>22</v>
      </c>
      <c r="C1844" s="157" t="str">
        <f t="shared" si="57"/>
        <v>28.10.2024_BIE1</v>
      </c>
      <c r="D1844" s="190">
        <f t="shared" si="58"/>
        <v>0</v>
      </c>
      <c r="E1844" s="204">
        <v>2.573435504469989E-2</v>
      </c>
      <c r="F1844" s="205">
        <v>1.1620503135257369E-2</v>
      </c>
      <c r="G1844" s="204">
        <v>2.1028263795423979E-2</v>
      </c>
      <c r="H1844" s="204">
        <v>1.6821937071541612E-2</v>
      </c>
      <c r="I1844" s="209">
        <v>3.2040000000000002</v>
      </c>
      <c r="J1844" s="207">
        <v>0.74513715529593971</v>
      </c>
      <c r="K1844" s="209">
        <v>6.6760000000000002</v>
      </c>
      <c r="L1844" s="209">
        <v>12.678000000000001</v>
      </c>
      <c r="M1844" s="213"/>
      <c r="N1844" s="226"/>
    </row>
    <row r="1845" spans="1:14" ht="16.5" customHeight="1" x14ac:dyDescent="0.25">
      <c r="A1845" s="203">
        <v>45593</v>
      </c>
      <c r="B1845" s="128" t="s">
        <v>25</v>
      </c>
      <c r="C1845" s="157" t="str">
        <f t="shared" si="57"/>
        <v>28.10.2024_BIE2</v>
      </c>
      <c r="D1845" s="190">
        <f t="shared" si="58"/>
        <v>0</v>
      </c>
      <c r="E1845" s="204">
        <v>9.8978288633461298E-3</v>
      </c>
      <c r="F1845" s="205">
        <v>1.143273334868251E-2</v>
      </c>
      <c r="G1845" s="204">
        <v>2.1028263795423979E-2</v>
      </c>
      <c r="H1845" s="204">
        <v>3.364387414308341E-3</v>
      </c>
      <c r="I1845" s="209">
        <v>3.1880000000000002</v>
      </c>
      <c r="J1845" s="207">
        <v>0.73742608430279499</v>
      </c>
      <c r="K1845" s="209">
        <v>7.44</v>
      </c>
      <c r="L1845" s="209">
        <v>13.055</v>
      </c>
      <c r="M1845" s="213"/>
      <c r="N1845" s="226"/>
    </row>
    <row r="1846" spans="1:14" ht="16.5" customHeight="1" x14ac:dyDescent="0.25">
      <c r="A1846" s="203">
        <v>45593</v>
      </c>
      <c r="B1846" s="128" t="s">
        <v>14</v>
      </c>
      <c r="C1846" s="157" t="str">
        <f t="shared" si="57"/>
        <v>28.10.2024_BRA1</v>
      </c>
      <c r="D1846" s="190">
        <f t="shared" si="58"/>
        <v>0</v>
      </c>
      <c r="E1846" s="204">
        <v>4.3550446998722896E-2</v>
      </c>
      <c r="F1846" s="205">
        <v>2.5254824174027555E-2</v>
      </c>
      <c r="G1846" s="204">
        <v>2.1028263795423979E-2</v>
      </c>
      <c r="H1846" s="204">
        <v>1.9064862014413785E-2</v>
      </c>
      <c r="I1846" s="209">
        <v>5.8520000000000003</v>
      </c>
      <c r="J1846" s="207">
        <v>1.3439237737947971</v>
      </c>
      <c r="K1846" s="209">
        <v>5.4169999999999998</v>
      </c>
      <c r="L1846" s="209">
        <v>5.9189999999999996</v>
      </c>
      <c r="M1846" s="213"/>
      <c r="N1846" s="226"/>
    </row>
    <row r="1847" spans="1:14" ht="16.5" customHeight="1" x14ac:dyDescent="0.25">
      <c r="A1847" s="203">
        <v>45593</v>
      </c>
      <c r="B1847" s="128" t="s">
        <v>17</v>
      </c>
      <c r="C1847" s="157" t="str">
        <f t="shared" si="57"/>
        <v>28.10.2024_BRA2</v>
      </c>
      <c r="D1847" s="190">
        <f t="shared" si="58"/>
        <v>0</v>
      </c>
      <c r="E1847" s="204">
        <v>0.10887611749680723</v>
      </c>
      <c r="F1847" s="205">
        <v>4.9544645429080478E-2</v>
      </c>
      <c r="G1847" s="204">
        <v>1.4018842530282653E-2</v>
      </c>
      <c r="H1847" s="204">
        <v>6.8409210757602423E-2</v>
      </c>
      <c r="I1847" s="209">
        <v>8.9700000000000006</v>
      </c>
      <c r="J1847" s="207">
        <v>2.0577665752514913</v>
      </c>
      <c r="K1847" s="209">
        <v>8.2490000000000006</v>
      </c>
      <c r="L1847" s="209">
        <v>6.923</v>
      </c>
      <c r="M1847" s="213"/>
      <c r="N1847" s="226"/>
    </row>
    <row r="1848" spans="1:14" ht="16.5" customHeight="1" x14ac:dyDescent="0.25">
      <c r="A1848" s="203">
        <v>45593</v>
      </c>
      <c r="B1848" s="128" t="s">
        <v>30</v>
      </c>
      <c r="C1848" s="157" t="str">
        <f t="shared" si="57"/>
        <v>28.10.2024_FAL1</v>
      </c>
      <c r="D1848" s="190">
        <f t="shared" si="58"/>
        <v>0</v>
      </c>
      <c r="E1848" s="204">
        <v>0.15836526181353774</v>
      </c>
      <c r="F1848" s="205">
        <v>0.10150267165680746</v>
      </c>
      <c r="G1848" s="204">
        <v>0.1035836698070884</v>
      </c>
      <c r="H1848" s="204">
        <v>0.16036913341536305</v>
      </c>
      <c r="I1848" s="209">
        <v>12.795999999999999</v>
      </c>
      <c r="J1848" s="207">
        <v>3.0194885864368133</v>
      </c>
      <c r="K1848" s="209">
        <v>38</v>
      </c>
      <c r="L1848" s="209">
        <v>31.256</v>
      </c>
      <c r="M1848" s="213"/>
      <c r="N1848" s="226"/>
    </row>
    <row r="1849" spans="1:14" ht="16.5" customHeight="1" x14ac:dyDescent="0.25">
      <c r="A1849" s="203">
        <v>45593</v>
      </c>
      <c r="B1849" s="128" t="s">
        <v>32</v>
      </c>
      <c r="C1849" s="157" t="str">
        <f t="shared" si="57"/>
        <v>28.10.2024_FAL2</v>
      </c>
      <c r="D1849" s="190">
        <f t="shared" si="58"/>
        <v>0</v>
      </c>
      <c r="E1849" s="204">
        <v>0.170242656449553</v>
      </c>
      <c r="F1849" s="205">
        <v>6.3916628081337412E-2</v>
      </c>
      <c r="G1849" s="204">
        <v>6.5421265141318977E-2</v>
      </c>
      <c r="H1849" s="204">
        <v>9.4202847600632855E-2</v>
      </c>
      <c r="I1849" s="209">
        <v>13.784000000000001</v>
      </c>
      <c r="J1849" s="207">
        <v>3.1928710951215953</v>
      </c>
      <c r="K1849" s="209">
        <v>45</v>
      </c>
      <c r="L1849" s="209">
        <v>35.073999999999998</v>
      </c>
      <c r="M1849" s="213"/>
      <c r="N1849" s="226"/>
    </row>
    <row r="1850" spans="1:14" ht="16.5" customHeight="1" x14ac:dyDescent="0.25">
      <c r="A1850" s="203">
        <v>45593</v>
      </c>
      <c r="B1850" s="128" t="s">
        <v>26</v>
      </c>
      <c r="C1850" s="157" t="str">
        <f t="shared" si="57"/>
        <v>28.10.2024_GRU1</v>
      </c>
      <c r="D1850" s="190">
        <f t="shared" si="58"/>
        <v>0</v>
      </c>
      <c r="E1850" s="204">
        <v>0</v>
      </c>
      <c r="F1850" s="205">
        <v>1.9660192383831612E-2</v>
      </c>
      <c r="G1850" s="204">
        <v>0</v>
      </c>
      <c r="H1850" s="204">
        <v>2.1307786957286006E-2</v>
      </c>
      <c r="I1850" s="209">
        <v>3.3380000000000001</v>
      </c>
      <c r="J1850" s="207">
        <v>0.76044121573914569</v>
      </c>
      <c r="K1850" s="209">
        <v>5.8789999999999996</v>
      </c>
      <c r="L1850" s="209">
        <v>14.846</v>
      </c>
      <c r="M1850" s="213"/>
      <c r="N1850" s="226"/>
    </row>
    <row r="1851" spans="1:14" ht="16.5" customHeight="1" x14ac:dyDescent="0.25">
      <c r="A1851" s="203">
        <v>45593</v>
      </c>
      <c r="B1851" s="128" t="s">
        <v>28</v>
      </c>
      <c r="C1851" s="157" t="str">
        <f t="shared" si="57"/>
        <v>28.10.2024_GRU2</v>
      </c>
      <c r="D1851" s="190">
        <f t="shared" si="58"/>
        <v>0</v>
      </c>
      <c r="E1851" s="204">
        <v>1.7816091954022967E-2</v>
      </c>
      <c r="F1851" s="205">
        <v>1.6874002059121467E-2</v>
      </c>
      <c r="G1851" s="204">
        <v>2.1807088380439661E-2</v>
      </c>
      <c r="H1851" s="204">
        <v>0</v>
      </c>
      <c r="I1851" s="209">
        <v>3.278</v>
      </c>
      <c r="J1851" s="207">
        <v>0.75733484605652757</v>
      </c>
      <c r="K1851" s="209">
        <v>6.7619999999999996</v>
      </c>
      <c r="L1851" s="209">
        <v>11.829000000000001</v>
      </c>
      <c r="M1851" s="213"/>
      <c r="N1851" s="226"/>
    </row>
    <row r="1852" spans="1:14" ht="16.5" customHeight="1" x14ac:dyDescent="0.25">
      <c r="A1852" s="203">
        <v>45593</v>
      </c>
      <c r="B1852" s="128" t="s">
        <v>0</v>
      </c>
      <c r="C1852" s="157" t="str">
        <f t="shared" si="57"/>
        <v>28.10.2024_KIN1</v>
      </c>
      <c r="D1852" s="190">
        <f t="shared" si="58"/>
        <v>0</v>
      </c>
      <c r="E1852" s="204">
        <v>2.7713920817369099E-2</v>
      </c>
      <c r="F1852" s="205">
        <v>1.6755018751646807E-2</v>
      </c>
      <c r="G1852" s="204">
        <v>9.3458950201884342E-3</v>
      </c>
      <c r="H1852" s="204">
        <v>2.2429249428722194E-3</v>
      </c>
      <c r="I1852" s="209">
        <v>2.2189999999999999</v>
      </c>
      <c r="J1852" s="207">
        <v>0.50914538252308339</v>
      </c>
      <c r="K1852" s="209">
        <v>6.5650000000000004</v>
      </c>
      <c r="L1852" s="209">
        <v>8.7609999999999992</v>
      </c>
      <c r="M1852" s="213"/>
      <c r="N1852" s="226"/>
    </row>
    <row r="1853" spans="1:14" ht="16.5" customHeight="1" x14ac:dyDescent="0.25">
      <c r="A1853" s="203">
        <v>45593</v>
      </c>
      <c r="B1853" s="128" t="s">
        <v>2</v>
      </c>
      <c r="C1853" s="157" t="str">
        <f t="shared" si="57"/>
        <v>28.10.2024_KIN2</v>
      </c>
      <c r="D1853" s="190">
        <f t="shared" si="58"/>
        <v>0</v>
      </c>
      <c r="E1853" s="204">
        <v>4.5530012771392063E-2</v>
      </c>
      <c r="F1853" s="205">
        <v>1.7634406667666015E-2</v>
      </c>
      <c r="G1853" s="204">
        <v>1.0903544190219831E-2</v>
      </c>
      <c r="H1853" s="204">
        <v>0.11102478467217439</v>
      </c>
      <c r="I1853" s="209">
        <v>5.048</v>
      </c>
      <c r="J1853" s="207">
        <v>1.1824597487217074</v>
      </c>
      <c r="K1853" s="209">
        <v>10.83</v>
      </c>
      <c r="L1853" s="209">
        <v>13.029</v>
      </c>
      <c r="M1853" s="213"/>
      <c r="N1853" s="226"/>
    </row>
    <row r="1854" spans="1:14" ht="16.5" customHeight="1" x14ac:dyDescent="0.25">
      <c r="A1854" s="203">
        <v>45593</v>
      </c>
      <c r="B1854" s="128" t="s">
        <v>4</v>
      </c>
      <c r="C1854" s="157" t="str">
        <f t="shared" si="57"/>
        <v>28.10.2024_KIN3</v>
      </c>
      <c r="D1854" s="190">
        <f t="shared" si="58"/>
        <v>0</v>
      </c>
      <c r="E1854" s="204">
        <v>5.3448275862068989E-2</v>
      </c>
      <c r="F1854" s="205">
        <v>1.2966878096828336E-2</v>
      </c>
      <c r="G1854" s="204">
        <v>1.4797667115298334E-2</v>
      </c>
      <c r="H1854" s="204">
        <v>3.0279486728774837E-2</v>
      </c>
      <c r="I1854" s="209">
        <v>4.944</v>
      </c>
      <c r="J1854" s="207">
        <v>1.1374101102729335</v>
      </c>
      <c r="K1854" s="209">
        <v>12.464</v>
      </c>
      <c r="L1854" s="209">
        <v>13.291</v>
      </c>
      <c r="M1854" s="213"/>
      <c r="N1854" s="226"/>
    </row>
    <row r="1855" spans="1:14" ht="16.5" customHeight="1" x14ac:dyDescent="0.25">
      <c r="A1855" s="203">
        <v>45593</v>
      </c>
      <c r="B1855" s="128" t="s">
        <v>6</v>
      </c>
      <c r="C1855" s="157" t="str">
        <f t="shared" ref="C1855:C1915" si="59">CONCATENATE(TEXT(A1855,"TT.MM.JJJJ"),"_",B1855)</f>
        <v>28.10.2024_KIN4</v>
      </c>
      <c r="D1855" s="190">
        <f t="shared" ref="D1855:D1915" si="60">COUNTBLANK(E1855:L1855)</f>
        <v>0</v>
      </c>
      <c r="E1855" s="204">
        <v>0.10491698595146873</v>
      </c>
      <c r="F1855" s="205">
        <v>1.8060218174019264E-2</v>
      </c>
      <c r="G1855" s="204">
        <v>2.1028263795423979E-2</v>
      </c>
      <c r="H1855" s="204">
        <v>2.4672174371594323E-2</v>
      </c>
      <c r="I1855" s="209">
        <v>4.5869999999999997</v>
      </c>
      <c r="J1855" s="207">
        <v>1.0599053700419405</v>
      </c>
      <c r="K1855" s="209">
        <v>19.378</v>
      </c>
      <c r="L1855" s="209">
        <v>13.862</v>
      </c>
      <c r="M1855" s="213"/>
      <c r="N1855" s="226"/>
    </row>
    <row r="1856" spans="1:14" ht="16.5" customHeight="1" x14ac:dyDescent="0.25">
      <c r="A1856" s="203">
        <v>45593</v>
      </c>
      <c r="B1856" s="128" t="s">
        <v>34</v>
      </c>
      <c r="C1856" s="157" t="str">
        <f t="shared" si="59"/>
        <v>28.10.2024_KRE1</v>
      </c>
      <c r="D1856" s="190">
        <f t="shared" si="60"/>
        <v>0</v>
      </c>
      <c r="E1856" s="204">
        <v>1.7816091954022967E-2</v>
      </c>
      <c r="F1856" s="205">
        <v>2.6393161549375443E-2</v>
      </c>
      <c r="G1856" s="204">
        <v>7.7103633916554518E-2</v>
      </c>
      <c r="H1856" s="204">
        <v>3.5886799085955372E-2</v>
      </c>
      <c r="I1856" s="209">
        <v>8.1120000000000001</v>
      </c>
      <c r="J1856" s="207">
        <v>1.9030533766815847</v>
      </c>
      <c r="K1856" s="209">
        <v>43</v>
      </c>
      <c r="L1856" s="209">
        <v>36.798999999999999</v>
      </c>
      <c r="M1856" s="213"/>
      <c r="N1856" s="226"/>
    </row>
    <row r="1857" spans="1:14" ht="16.5" customHeight="1" x14ac:dyDescent="0.25">
      <c r="A1857" s="203">
        <v>45593</v>
      </c>
      <c r="B1857" s="128" t="s">
        <v>37</v>
      </c>
      <c r="C1857" s="157" t="str">
        <f t="shared" si="59"/>
        <v>28.10.2024_KRE2</v>
      </c>
      <c r="D1857" s="190">
        <f t="shared" si="60"/>
        <v>0</v>
      </c>
      <c r="E1857" s="204">
        <v>1.187739463601538E-2</v>
      </c>
      <c r="F1857" s="205">
        <v>2.9338480785528784E-2</v>
      </c>
      <c r="G1857" s="204">
        <v>7.0873037236428918E-2</v>
      </c>
      <c r="H1857" s="204">
        <v>2.5793636843030422E-2</v>
      </c>
      <c r="I1857" s="209">
        <v>8.6359999999999992</v>
      </c>
      <c r="J1857" s="207">
        <v>2.0134983974205749</v>
      </c>
      <c r="K1857" s="209">
        <v>41</v>
      </c>
      <c r="L1857" s="209">
        <v>39.012999999999998</v>
      </c>
      <c r="M1857" s="213"/>
      <c r="N1857" s="226"/>
    </row>
    <row r="1858" spans="1:14" ht="16.5" customHeight="1" x14ac:dyDescent="0.25">
      <c r="A1858" s="203">
        <v>45593</v>
      </c>
      <c r="B1858" s="128" t="s">
        <v>18</v>
      </c>
      <c r="C1858" s="157" t="str">
        <f t="shared" si="59"/>
        <v>28.10.2024_ORB1</v>
      </c>
      <c r="D1858" s="190">
        <f t="shared" si="60"/>
        <v>0</v>
      </c>
      <c r="E1858" s="204">
        <v>2.3754789272030639E-2</v>
      </c>
      <c r="F1858" s="205">
        <v>2.3127163658107915E-2</v>
      </c>
      <c r="G1858" s="204">
        <v>2.8037685060565306E-2</v>
      </c>
      <c r="H1858" s="204">
        <v>0</v>
      </c>
      <c r="I1858" s="209">
        <v>5.6719999999999997</v>
      </c>
      <c r="J1858" s="207">
        <v>1.3029056220726782</v>
      </c>
      <c r="K1858" s="209">
        <v>7.7210000000000001</v>
      </c>
      <c r="L1858" s="209">
        <v>12.148999999999999</v>
      </c>
      <c r="M1858" s="213"/>
      <c r="N1858" s="226"/>
    </row>
    <row r="1859" spans="1:14" ht="16.5" customHeight="1" x14ac:dyDescent="0.25">
      <c r="A1859" s="203">
        <v>45593</v>
      </c>
      <c r="B1859" s="128" t="s">
        <v>21</v>
      </c>
      <c r="C1859" s="157" t="str">
        <f t="shared" si="59"/>
        <v>28.10.2024_ORB2</v>
      </c>
      <c r="D1859" s="190">
        <f t="shared" si="60"/>
        <v>0</v>
      </c>
      <c r="E1859" s="204">
        <v>5.5427841634738156E-2</v>
      </c>
      <c r="F1859" s="205">
        <v>2.2949118336960457E-2</v>
      </c>
      <c r="G1859" s="204">
        <v>2.6480035890533878E-2</v>
      </c>
      <c r="H1859" s="204">
        <v>-1.1214624714360982E-3</v>
      </c>
      <c r="I1859" s="209">
        <v>5.7460000000000004</v>
      </c>
      <c r="J1859" s="207">
        <v>1.318069073819212</v>
      </c>
      <c r="K1859" s="209">
        <v>14.85</v>
      </c>
      <c r="L1859" s="209">
        <v>15.000999999999999</v>
      </c>
      <c r="M1859" s="213"/>
      <c r="N1859" s="226"/>
    </row>
    <row r="1860" spans="1:14" ht="16.5" customHeight="1" x14ac:dyDescent="0.25">
      <c r="A1860" s="203">
        <v>45593</v>
      </c>
      <c r="B1860" s="128" t="s">
        <v>10</v>
      </c>
      <c r="C1860" s="157" t="str">
        <f t="shared" si="59"/>
        <v>28.10.2024_SAL1</v>
      </c>
      <c r="D1860" s="190">
        <f t="shared" si="60"/>
        <v>0</v>
      </c>
      <c r="E1860" s="204">
        <v>9.3039591315453377E-2</v>
      </c>
      <c r="F1860" s="205">
        <v>3.5430307751149512E-2</v>
      </c>
      <c r="G1860" s="204">
        <v>2.1807088380439661E-2</v>
      </c>
      <c r="H1860" s="204">
        <v>1.3457549657233295E-2</v>
      </c>
      <c r="I1860" s="209">
        <v>4.1029999999999998</v>
      </c>
      <c r="J1860" s="207">
        <v>0.94777474704967213</v>
      </c>
      <c r="K1860" s="209">
        <v>6.7460000000000004</v>
      </c>
      <c r="L1860" s="209">
        <v>6.0750000000000002</v>
      </c>
      <c r="M1860" s="213"/>
      <c r="N1860" s="226"/>
    </row>
    <row r="1861" spans="1:14" ht="16.5" customHeight="1" x14ac:dyDescent="0.25">
      <c r="A1861" s="203">
        <v>45593</v>
      </c>
      <c r="B1861" s="128" t="s">
        <v>12</v>
      </c>
      <c r="C1861" s="157" t="str">
        <f t="shared" si="59"/>
        <v>28.10.2024_SAL2</v>
      </c>
      <c r="D1861" s="190">
        <f t="shared" si="60"/>
        <v>0</v>
      </c>
      <c r="E1861" s="204">
        <v>0.12273307790549173</v>
      </c>
      <c r="F1861" s="205">
        <v>3.2558010213068637E-2</v>
      </c>
      <c r="G1861" s="204">
        <v>2.4922386720502482E-2</v>
      </c>
      <c r="H1861" s="204">
        <v>2.2429249428722101E-2</v>
      </c>
      <c r="I1861" s="209">
        <v>3.6030000000000002</v>
      </c>
      <c r="J1861" s="207">
        <v>0.8399901790531773</v>
      </c>
      <c r="K1861" s="209">
        <v>7.2290000000000001</v>
      </c>
      <c r="L1861" s="209">
        <v>6.4690000000000003</v>
      </c>
      <c r="M1861" s="213"/>
      <c r="N1861" s="226"/>
    </row>
    <row r="1862" spans="1:14" ht="16.5" customHeight="1" x14ac:dyDescent="0.25">
      <c r="A1862" s="203">
        <v>45593</v>
      </c>
      <c r="B1862" s="128" t="s">
        <v>7</v>
      </c>
      <c r="C1862" s="157" t="str">
        <f t="shared" si="59"/>
        <v>28.10.2024_STE1</v>
      </c>
      <c r="D1862" s="190">
        <f t="shared" si="60"/>
        <v>0</v>
      </c>
      <c r="E1862" s="204">
        <v>8.314176245210729E-2</v>
      </c>
      <c r="F1862" s="205">
        <v>3.0918136906889798E-2</v>
      </c>
      <c r="G1862" s="204">
        <v>2.2585912965455375E-2</v>
      </c>
      <c r="H1862" s="204">
        <v>0</v>
      </c>
      <c r="I1862" s="209">
        <v>5.9089999999999998</v>
      </c>
      <c r="J1862" s="207">
        <v>1.3522035655585463</v>
      </c>
      <c r="K1862" s="209">
        <v>8.3070000000000004</v>
      </c>
      <c r="L1862" s="209">
        <v>7.718</v>
      </c>
      <c r="M1862" s="213"/>
      <c r="N1862" s="226"/>
    </row>
    <row r="1863" spans="1:14" ht="16.5" customHeight="1" x14ac:dyDescent="0.25">
      <c r="A1863" s="203">
        <v>45593</v>
      </c>
      <c r="B1863" s="128" t="s">
        <v>9</v>
      </c>
      <c r="C1863" s="157" t="str">
        <f t="shared" si="59"/>
        <v>28.10.2024_STE2</v>
      </c>
      <c r="D1863" s="190">
        <f t="shared" si="60"/>
        <v>0</v>
      </c>
      <c r="E1863" s="204">
        <v>9.1060025542784209E-2</v>
      </c>
      <c r="F1863" s="205">
        <v>3.1818444634686173E-2</v>
      </c>
      <c r="G1863" s="204">
        <v>0</v>
      </c>
      <c r="H1863" s="204">
        <v>0</v>
      </c>
      <c r="I1863" s="209">
        <v>5.8719999999999999</v>
      </c>
      <c r="J1863" s="207">
        <v>1.3263086399999999</v>
      </c>
      <c r="K1863" s="209">
        <v>9.0109999999999992</v>
      </c>
      <c r="L1863" s="209">
        <v>7.83</v>
      </c>
      <c r="M1863" s="213"/>
      <c r="N1863" s="226"/>
    </row>
    <row r="1864" spans="1:14" ht="16.5" customHeight="1" x14ac:dyDescent="0.25">
      <c r="A1864" s="203">
        <v>45607</v>
      </c>
      <c r="B1864" s="128" t="s">
        <v>22</v>
      </c>
      <c r="C1864" s="157" t="str">
        <f t="shared" si="59"/>
        <v>11.11.2024_BIE1</v>
      </c>
      <c r="D1864" s="190">
        <f t="shared" si="60"/>
        <v>0</v>
      </c>
      <c r="E1864" s="204">
        <v>1.8216482731608384E-2</v>
      </c>
      <c r="F1864" s="205">
        <v>1.5373526131420465E-2</v>
      </c>
      <c r="G1864" s="204">
        <v>3.1283326094389698E-2</v>
      </c>
      <c r="H1864" s="204">
        <v>0</v>
      </c>
      <c r="I1864" s="209">
        <v>3.4039999999999999</v>
      </c>
      <c r="J1864" s="207">
        <v>0.79315266987903266</v>
      </c>
      <c r="K1864" s="209">
        <v>6.6180000000000003</v>
      </c>
      <c r="L1864" s="209">
        <v>13.157999999999999</v>
      </c>
      <c r="M1864" s="213"/>
      <c r="N1864" s="226"/>
    </row>
    <row r="1865" spans="1:14" ht="16.5" customHeight="1" x14ac:dyDescent="0.25">
      <c r="A1865" s="203">
        <v>45607</v>
      </c>
      <c r="B1865" s="128" t="s">
        <v>25</v>
      </c>
      <c r="C1865" s="157" t="str">
        <f t="shared" si="59"/>
        <v>11.11.2024_BIE2</v>
      </c>
      <c r="D1865" s="190">
        <f t="shared" si="60"/>
        <v>0</v>
      </c>
      <c r="E1865" s="204">
        <v>0</v>
      </c>
      <c r="F1865" s="205">
        <v>1.3467609051758174E-2</v>
      </c>
      <c r="G1865" s="204">
        <v>-4.0106828326140192E-3</v>
      </c>
      <c r="H1865" s="204">
        <v>0</v>
      </c>
      <c r="I1865" s="209">
        <v>3.3839999999999999</v>
      </c>
      <c r="J1865" s="207">
        <v>0.76122982488730351</v>
      </c>
      <c r="K1865" s="209">
        <v>7.0659999999999998</v>
      </c>
      <c r="L1865" s="209">
        <v>14.07</v>
      </c>
      <c r="M1865" s="213"/>
      <c r="N1865" s="226"/>
    </row>
    <row r="1866" spans="1:14" ht="16.5" customHeight="1" x14ac:dyDescent="0.25">
      <c r="A1866" s="203">
        <v>45607</v>
      </c>
      <c r="B1866" s="128" t="s">
        <v>14</v>
      </c>
      <c r="C1866" s="157" t="str">
        <f t="shared" si="59"/>
        <v>11.11.2024_BRA1</v>
      </c>
      <c r="D1866" s="190">
        <f t="shared" si="60"/>
        <v>0</v>
      </c>
      <c r="E1866" s="204">
        <v>1.2144321821072241E-2</v>
      </c>
      <c r="F1866" s="205">
        <v>2.9916390774334858E-2</v>
      </c>
      <c r="G1866" s="204">
        <v>8.0213656652285722E-4</v>
      </c>
      <c r="H1866" s="204">
        <v>0</v>
      </c>
      <c r="I1866" s="209">
        <v>7.1319999999999997</v>
      </c>
      <c r="J1866" s="207">
        <v>1.6115276910225391</v>
      </c>
      <c r="K1866" s="209">
        <v>5.7510000000000003</v>
      </c>
      <c r="L1866" s="209">
        <v>5.1319999999999997</v>
      </c>
      <c r="M1866" s="213"/>
      <c r="N1866" s="226"/>
    </row>
    <row r="1867" spans="1:14" ht="16.5" customHeight="1" x14ac:dyDescent="0.25">
      <c r="A1867" s="203">
        <v>45607</v>
      </c>
      <c r="B1867" s="128" t="s">
        <v>17</v>
      </c>
      <c r="C1867" s="157" t="str">
        <f t="shared" si="59"/>
        <v>11.11.2024_BRA2</v>
      </c>
      <c r="D1867" s="190">
        <f t="shared" si="60"/>
        <v>0</v>
      </c>
      <c r="E1867" s="204">
        <v>5.0601340921134504E-2</v>
      </c>
      <c r="F1867" s="205">
        <v>5.4375171452228435E-2</v>
      </c>
      <c r="G1867" s="204">
        <v>-8.0213656652282383E-4</v>
      </c>
      <c r="H1867" s="204">
        <v>2.8825301204819284E-2</v>
      </c>
      <c r="I1867" s="209">
        <v>10.077</v>
      </c>
      <c r="J1867" s="207">
        <v>2.2842450019292677</v>
      </c>
      <c r="K1867" s="209">
        <v>8.5299999999999994</v>
      </c>
      <c r="L1867" s="209">
        <v>5.7539999999999996</v>
      </c>
      <c r="M1867" s="213"/>
      <c r="N1867" s="226"/>
    </row>
    <row r="1868" spans="1:14" ht="16.5" customHeight="1" x14ac:dyDescent="0.25">
      <c r="A1868" s="203">
        <v>45607</v>
      </c>
      <c r="B1868" s="128" t="s">
        <v>30</v>
      </c>
      <c r="C1868" s="157" t="str">
        <f t="shared" si="59"/>
        <v>11.11.2024_FAL1</v>
      </c>
      <c r="D1868" s="190">
        <f t="shared" si="60"/>
        <v>0</v>
      </c>
      <c r="E1868" s="204">
        <v>9.9178628205423641E-2</v>
      </c>
      <c r="F1868" s="205">
        <v>0.10891301738749896</v>
      </c>
      <c r="G1868" s="204">
        <v>8.6630749184463701E-2</v>
      </c>
      <c r="H1868" s="204">
        <v>8.0070281124498002E-2</v>
      </c>
      <c r="I1868" s="209">
        <v>15.798</v>
      </c>
      <c r="J1868" s="207">
        <v>3.6599395675225974</v>
      </c>
      <c r="K1868" s="209">
        <v>47</v>
      </c>
      <c r="L1868" s="209">
        <v>38.36</v>
      </c>
      <c r="M1868" s="213"/>
      <c r="N1868" s="226"/>
    </row>
    <row r="1869" spans="1:14" ht="16.5" customHeight="1" x14ac:dyDescent="0.25">
      <c r="A1869" s="203">
        <v>45607</v>
      </c>
      <c r="B1869" s="128" t="s">
        <v>32</v>
      </c>
      <c r="C1869" s="157" t="str">
        <f t="shared" si="59"/>
        <v>11.11.2024_FAL2</v>
      </c>
      <c r="D1869" s="190">
        <f t="shared" si="60"/>
        <v>0</v>
      </c>
      <c r="E1869" s="204">
        <v>0.13358754003179499</v>
      </c>
      <c r="F1869" s="205">
        <v>8.8651013136753554E-2</v>
      </c>
      <c r="G1869" s="204">
        <v>4.5721784291800328E-2</v>
      </c>
      <c r="H1869" s="204">
        <v>2.6690093708166017E-2</v>
      </c>
      <c r="I1869" s="209">
        <v>15.551</v>
      </c>
      <c r="J1869" s="207">
        <v>3.5561326773141912</v>
      </c>
      <c r="K1869" s="209">
        <v>46</v>
      </c>
      <c r="L1869" s="209">
        <v>39.036999999999999</v>
      </c>
      <c r="M1869" s="213"/>
      <c r="N1869" s="226"/>
    </row>
    <row r="1870" spans="1:14" ht="16.5" customHeight="1" x14ac:dyDescent="0.25">
      <c r="A1870" s="203">
        <v>45607</v>
      </c>
      <c r="B1870" s="128" t="s">
        <v>26</v>
      </c>
      <c r="C1870" s="157" t="str">
        <f t="shared" si="59"/>
        <v>11.11.2024_GRU1</v>
      </c>
      <c r="D1870" s="190">
        <f t="shared" si="60"/>
        <v>0</v>
      </c>
      <c r="E1870" s="204">
        <v>0</v>
      </c>
      <c r="F1870" s="205">
        <v>2.0980473029317721E-2</v>
      </c>
      <c r="G1870" s="204">
        <v>0</v>
      </c>
      <c r="H1870" s="204">
        <v>0</v>
      </c>
      <c r="I1870" s="209">
        <v>4.492</v>
      </c>
      <c r="J1870" s="207">
        <v>1.0146080399999999</v>
      </c>
      <c r="K1870" s="209">
        <v>6.8259999999999996</v>
      </c>
      <c r="L1870" s="209">
        <v>11.763</v>
      </c>
      <c r="M1870" s="213"/>
      <c r="N1870" s="226"/>
    </row>
    <row r="1871" spans="1:14" ht="16.5" customHeight="1" x14ac:dyDescent="0.25">
      <c r="A1871" s="203">
        <v>45607</v>
      </c>
      <c r="B1871" s="128" t="s">
        <v>28</v>
      </c>
      <c r="C1871" s="157" t="str">
        <f t="shared" si="59"/>
        <v>11.11.2024_GRU2</v>
      </c>
      <c r="D1871" s="190">
        <f t="shared" si="60"/>
        <v>0</v>
      </c>
      <c r="E1871" s="204">
        <v>0</v>
      </c>
      <c r="F1871" s="205">
        <v>1.6315402655917362E-2</v>
      </c>
      <c r="G1871" s="204">
        <v>-1.6042731330456477E-3</v>
      </c>
      <c r="H1871" s="204">
        <v>0</v>
      </c>
      <c r="I1871" s="209">
        <v>3.7320000000000002</v>
      </c>
      <c r="J1871" s="207">
        <v>0.84170113795492141</v>
      </c>
      <c r="K1871" s="209">
        <v>7.1630000000000003</v>
      </c>
      <c r="L1871" s="209">
        <v>11.599</v>
      </c>
      <c r="M1871" s="213"/>
      <c r="N1871" s="226"/>
    </row>
    <row r="1872" spans="1:14" ht="16.5" customHeight="1" x14ac:dyDescent="0.25">
      <c r="A1872" s="203">
        <v>45607</v>
      </c>
      <c r="B1872" s="128" t="s">
        <v>0</v>
      </c>
      <c r="C1872" s="157" t="str">
        <f t="shared" si="59"/>
        <v>11.11.2024_KIN1</v>
      </c>
      <c r="D1872" s="190">
        <f t="shared" si="60"/>
        <v>0</v>
      </c>
      <c r="E1872" s="204">
        <v>0</v>
      </c>
      <c r="F1872" s="205">
        <v>2.1449568219290376E-2</v>
      </c>
      <c r="G1872" s="204">
        <v>0</v>
      </c>
      <c r="H1872" s="204">
        <v>0</v>
      </c>
      <c r="I1872" s="209">
        <v>2.992</v>
      </c>
      <c r="J1872" s="207">
        <v>0.67580303999999991</v>
      </c>
      <c r="K1872" s="209">
        <v>8.0939999999999994</v>
      </c>
      <c r="L1872" s="209">
        <v>11.657</v>
      </c>
      <c r="M1872" s="213"/>
      <c r="N1872" s="226"/>
    </row>
    <row r="1873" spans="1:14" ht="16.5" customHeight="1" x14ac:dyDescent="0.25">
      <c r="A1873" s="203">
        <v>45607</v>
      </c>
      <c r="B1873" s="128" t="s">
        <v>2</v>
      </c>
      <c r="C1873" s="157" t="str">
        <f t="shared" si="59"/>
        <v>11.11.2024_KIN2</v>
      </c>
      <c r="D1873" s="190">
        <f t="shared" si="60"/>
        <v>0</v>
      </c>
      <c r="E1873" s="204">
        <v>0</v>
      </c>
      <c r="F1873" s="205">
        <v>1.5502204346127155E-2</v>
      </c>
      <c r="G1873" s="204">
        <v>0</v>
      </c>
      <c r="H1873" s="204">
        <v>5.5515394912985239E-2</v>
      </c>
      <c r="I1873" s="209">
        <v>5.5039999999999996</v>
      </c>
      <c r="J1873" s="207">
        <v>1.2600901419812582</v>
      </c>
      <c r="K1873" s="209">
        <v>10.834</v>
      </c>
      <c r="L1873" s="209">
        <v>13.125999999999999</v>
      </c>
      <c r="M1873" s="213"/>
      <c r="N1873" s="226"/>
    </row>
    <row r="1874" spans="1:14" ht="16.5" customHeight="1" x14ac:dyDescent="0.25">
      <c r="A1874" s="203">
        <v>45607</v>
      </c>
      <c r="B1874" s="128" t="s">
        <v>4</v>
      </c>
      <c r="C1874" s="157" t="str">
        <f t="shared" si="59"/>
        <v>11.11.2024_KIN3</v>
      </c>
      <c r="D1874" s="190">
        <f t="shared" si="60"/>
        <v>0</v>
      </c>
      <c r="E1874" s="204">
        <v>-2.0240536368453664E-3</v>
      </c>
      <c r="F1874" s="205">
        <v>1.9837500311875537E-2</v>
      </c>
      <c r="G1874" s="204">
        <v>-8.0213656652279044E-4</v>
      </c>
      <c r="H1874" s="204">
        <v>0</v>
      </c>
      <c r="I1874" s="209">
        <v>5.8470000000000004</v>
      </c>
      <c r="J1874" s="207">
        <v>1.3200390389774608</v>
      </c>
      <c r="K1874" s="209">
        <v>12.613</v>
      </c>
      <c r="L1874" s="209">
        <v>15.238</v>
      </c>
      <c r="M1874" s="213"/>
      <c r="N1874" s="226"/>
    </row>
    <row r="1875" spans="1:14" ht="16.5" customHeight="1" x14ac:dyDescent="0.25">
      <c r="A1875" s="203">
        <v>45607</v>
      </c>
      <c r="B1875" s="128" t="s">
        <v>6</v>
      </c>
      <c r="C1875" s="157" t="str">
        <f t="shared" si="59"/>
        <v>11.11.2024_KIN4</v>
      </c>
      <c r="D1875" s="190">
        <f t="shared" si="60"/>
        <v>0</v>
      </c>
      <c r="E1875" s="204">
        <v>6.8817823652742929E-2</v>
      </c>
      <c r="F1875" s="205">
        <v>2.3366725565083287E-2</v>
      </c>
      <c r="G1875" s="204">
        <v>5.6149559656596664E-3</v>
      </c>
      <c r="H1875" s="204">
        <v>0</v>
      </c>
      <c r="I1875" s="209">
        <v>6.2149999999999999</v>
      </c>
      <c r="J1875" s="207">
        <v>1.4081420071577748</v>
      </c>
      <c r="K1875" s="209">
        <v>18.643000000000001</v>
      </c>
      <c r="L1875" s="209">
        <v>15.081</v>
      </c>
      <c r="M1875" s="213"/>
      <c r="N1875" s="226"/>
    </row>
    <row r="1876" spans="1:14" ht="16.5" customHeight="1" x14ac:dyDescent="0.25">
      <c r="A1876" s="203">
        <v>45607</v>
      </c>
      <c r="B1876" s="128" t="s">
        <v>34</v>
      </c>
      <c r="C1876" s="157" t="str">
        <f t="shared" si="59"/>
        <v>11.11.2024_KRE1</v>
      </c>
      <c r="D1876" s="190">
        <f t="shared" si="60"/>
        <v>0</v>
      </c>
      <c r="E1876" s="204">
        <v>0</v>
      </c>
      <c r="F1876" s="205">
        <v>3.8337980644564083E-2</v>
      </c>
      <c r="G1876" s="204">
        <v>0.10106920738187433</v>
      </c>
      <c r="H1876" s="204">
        <v>5.3380187416332122E-3</v>
      </c>
      <c r="I1876" s="209">
        <v>10.601000000000001</v>
      </c>
      <c r="J1876" s="207">
        <v>2.4745522586458417</v>
      </c>
      <c r="K1876" s="209">
        <v>49</v>
      </c>
      <c r="L1876" s="209">
        <v>44</v>
      </c>
      <c r="M1876" s="213"/>
      <c r="N1876" s="226"/>
    </row>
    <row r="1877" spans="1:14" ht="16.5" customHeight="1" x14ac:dyDescent="0.25">
      <c r="A1877" s="203">
        <v>45607</v>
      </c>
      <c r="B1877" s="128" t="s">
        <v>37</v>
      </c>
      <c r="C1877" s="157" t="str">
        <f t="shared" si="59"/>
        <v>11.11.2024_KRE2</v>
      </c>
      <c r="D1877" s="190">
        <f t="shared" si="60"/>
        <v>0</v>
      </c>
      <c r="E1877" s="204">
        <v>0</v>
      </c>
      <c r="F1877" s="205">
        <v>3.9290387953535302E-2</v>
      </c>
      <c r="G1877" s="204">
        <v>7.2192290987053084E-2</v>
      </c>
      <c r="H1877" s="204">
        <v>-2.1352074966532672E-3</v>
      </c>
      <c r="I1877" s="209">
        <v>10.237</v>
      </c>
      <c r="J1877" s="207">
        <v>2.3676377181061805</v>
      </c>
      <c r="K1877" s="209">
        <v>49</v>
      </c>
      <c r="L1877" s="209">
        <v>43.643999999999998</v>
      </c>
      <c r="M1877" s="213"/>
      <c r="N1877" s="226"/>
    </row>
    <row r="1878" spans="1:14" ht="16.5" customHeight="1" x14ac:dyDescent="0.25">
      <c r="A1878" s="203">
        <v>45607</v>
      </c>
      <c r="B1878" s="128" t="s">
        <v>18</v>
      </c>
      <c r="C1878" s="157" t="str">
        <f t="shared" si="59"/>
        <v>11.11.2024_ORB1</v>
      </c>
      <c r="D1878" s="190">
        <f t="shared" si="60"/>
        <v>0</v>
      </c>
      <c r="E1878" s="204">
        <v>0</v>
      </c>
      <c r="F1878" s="205">
        <v>2.8548663859207849E-2</v>
      </c>
      <c r="G1878" s="204">
        <v>1.6042731330456477E-3</v>
      </c>
      <c r="H1878" s="204">
        <v>0</v>
      </c>
      <c r="I1878" s="209">
        <v>5.6529999999999996</v>
      </c>
      <c r="J1878" s="207">
        <v>1.2780888120450784</v>
      </c>
      <c r="K1878" s="209">
        <v>7.6689999999999996</v>
      </c>
      <c r="L1878" s="209">
        <v>11.842000000000001</v>
      </c>
      <c r="M1878" s="213"/>
      <c r="N1878" s="226"/>
    </row>
    <row r="1879" spans="1:14" ht="16.5" customHeight="1" x14ac:dyDescent="0.25">
      <c r="A1879" s="203">
        <v>45607</v>
      </c>
      <c r="B1879" s="128" t="s">
        <v>21</v>
      </c>
      <c r="C1879" s="157" t="str">
        <f t="shared" si="59"/>
        <v>11.11.2024_ORB2</v>
      </c>
      <c r="D1879" s="190">
        <f t="shared" si="60"/>
        <v>0</v>
      </c>
      <c r="E1879" s="204">
        <v>8.0962145473814657E-3</v>
      </c>
      <c r="F1879" s="205">
        <v>2.1509518611032463E-2</v>
      </c>
      <c r="G1879" s="204">
        <v>1.0427775364796544E-2</v>
      </c>
      <c r="H1879" s="204">
        <v>0</v>
      </c>
      <c r="I1879" s="209">
        <v>6.0970000000000004</v>
      </c>
      <c r="J1879" s="207">
        <v>1.385226453293011</v>
      </c>
      <c r="K1879" s="209">
        <v>18.367000000000001</v>
      </c>
      <c r="L1879" s="209">
        <v>15.195</v>
      </c>
      <c r="M1879" s="213"/>
      <c r="N1879" s="226"/>
    </row>
    <row r="1880" spans="1:14" ht="16.5" customHeight="1" x14ac:dyDescent="0.25">
      <c r="A1880" s="203">
        <v>45607</v>
      </c>
      <c r="B1880" s="128" t="s">
        <v>10</v>
      </c>
      <c r="C1880" s="157" t="str">
        <f t="shared" si="59"/>
        <v>11.11.2024_SAL1</v>
      </c>
      <c r="D1880" s="190">
        <f t="shared" si="60"/>
        <v>0</v>
      </c>
      <c r="E1880" s="204">
        <v>9.3106467294887502E-2</v>
      </c>
      <c r="F1880" s="205">
        <v>6.3520502591706093E-2</v>
      </c>
      <c r="G1880" s="204">
        <v>-8.0213656652282383E-4</v>
      </c>
      <c r="H1880" s="204">
        <v>0</v>
      </c>
      <c r="I1880" s="209">
        <v>5.09</v>
      </c>
      <c r="J1880" s="207">
        <v>1.1490554489774607</v>
      </c>
      <c r="K1880" s="209">
        <v>7.4340000000000002</v>
      </c>
      <c r="L1880" s="209">
        <v>6.625</v>
      </c>
      <c r="M1880" s="213"/>
      <c r="N1880" s="226"/>
    </row>
    <row r="1881" spans="1:14" ht="16.5" customHeight="1" x14ac:dyDescent="0.25">
      <c r="A1881" s="203">
        <v>45607</v>
      </c>
      <c r="B1881" s="128" t="s">
        <v>12</v>
      </c>
      <c r="C1881" s="157" t="str">
        <f t="shared" si="59"/>
        <v>11.11.2024_SAL2</v>
      </c>
      <c r="D1881" s="190">
        <f t="shared" si="60"/>
        <v>0</v>
      </c>
      <c r="E1881" s="204">
        <v>0.12144321821072271</v>
      </c>
      <c r="F1881" s="205">
        <v>5.8087109904035934E-2</v>
      </c>
      <c r="G1881" s="204">
        <v>-2.4064096995684049E-3</v>
      </c>
      <c r="H1881" s="204">
        <v>1.2811244979919669E-2</v>
      </c>
      <c r="I1881" s="209">
        <v>5.2380000000000004</v>
      </c>
      <c r="J1881" s="207">
        <v>1.1851388904665185</v>
      </c>
      <c r="K1881" s="209">
        <v>8.18</v>
      </c>
      <c r="L1881" s="209">
        <v>6.1020000000000003</v>
      </c>
      <c r="M1881" s="213"/>
      <c r="N1881" s="226"/>
    </row>
    <row r="1882" spans="1:14" ht="16.5" customHeight="1" x14ac:dyDescent="0.25">
      <c r="A1882" s="203">
        <v>45607</v>
      </c>
      <c r="B1882" s="128" t="s">
        <v>7</v>
      </c>
      <c r="C1882" s="157" t="str">
        <f t="shared" si="59"/>
        <v>11.11.2024_STE1</v>
      </c>
      <c r="D1882" s="190">
        <f t="shared" si="60"/>
        <v>0</v>
      </c>
      <c r="E1882" s="204">
        <v>1.8216482731608384E-2</v>
      </c>
      <c r="F1882" s="205">
        <v>5.2397444757819794E-2</v>
      </c>
      <c r="G1882" s="204">
        <v>5.6149559656596664E-3</v>
      </c>
      <c r="H1882" s="204">
        <v>0</v>
      </c>
      <c r="I1882" s="209">
        <v>7.06</v>
      </c>
      <c r="J1882" s="207">
        <v>1.5990021571577748</v>
      </c>
      <c r="K1882" s="209">
        <v>10.641</v>
      </c>
      <c r="L1882" s="209">
        <v>8.0969999999999995</v>
      </c>
      <c r="M1882" s="213"/>
      <c r="N1882" s="226"/>
    </row>
    <row r="1883" spans="1:14" ht="16.5" customHeight="1" x14ac:dyDescent="0.25">
      <c r="A1883" s="203">
        <v>45607</v>
      </c>
      <c r="B1883" s="128" t="s">
        <v>9</v>
      </c>
      <c r="C1883" s="157" t="str">
        <f t="shared" si="59"/>
        <v>11.11.2024_STE2</v>
      </c>
      <c r="D1883" s="190">
        <f t="shared" si="60"/>
        <v>0</v>
      </c>
      <c r="E1883" s="204">
        <v>6.0721609105361375E-2</v>
      </c>
      <c r="F1883" s="205">
        <v>3.871124876132806E-2</v>
      </c>
      <c r="G1883" s="204">
        <v>0</v>
      </c>
      <c r="H1883" s="204">
        <v>0</v>
      </c>
      <c r="I1883" s="209">
        <v>7.1029999999999998</v>
      </c>
      <c r="J1883" s="207">
        <v>1.6043546099999999</v>
      </c>
      <c r="K1883" s="209">
        <v>11.866</v>
      </c>
      <c r="L1883" s="209">
        <v>8.5449999999999999</v>
      </c>
      <c r="M1883" s="213"/>
      <c r="N1883" s="226"/>
    </row>
    <row r="1884" spans="1:14" ht="16.5" customHeight="1" x14ac:dyDescent="0.25">
      <c r="A1884" s="203">
        <v>45621</v>
      </c>
      <c r="B1884" s="128" t="s">
        <v>22</v>
      </c>
      <c r="C1884" s="157" t="str">
        <f t="shared" si="59"/>
        <v>25.11.2024_BIE1</v>
      </c>
      <c r="D1884" s="190">
        <f t="shared" si="60"/>
        <v>0</v>
      </c>
      <c r="E1884" s="204">
        <v>0</v>
      </c>
      <c r="F1884" s="205">
        <v>1.6029101186404809E-2</v>
      </c>
      <c r="G1884" s="204">
        <v>6.5456327884923504E-3</v>
      </c>
      <c r="H1884" s="204">
        <v>4.9163879598662204E-2</v>
      </c>
      <c r="I1884" s="209">
        <v>3.05</v>
      </c>
      <c r="J1884" s="207">
        <v>0.70895406154774898</v>
      </c>
      <c r="K1884" s="209">
        <v>6.9790000000000001</v>
      </c>
      <c r="L1884" s="209">
        <v>10.093</v>
      </c>
      <c r="M1884" s="213"/>
      <c r="N1884" s="226"/>
    </row>
    <row r="1885" spans="1:14" ht="16.5" customHeight="1" x14ac:dyDescent="0.25">
      <c r="A1885" s="203">
        <v>45621</v>
      </c>
      <c r="B1885" s="128" t="s">
        <v>25</v>
      </c>
      <c r="C1885" s="157" t="str">
        <f t="shared" si="59"/>
        <v>25.11.2024_BIE2</v>
      </c>
      <c r="D1885" s="190">
        <f t="shared" si="60"/>
        <v>0</v>
      </c>
      <c r="E1885" s="204">
        <v>0</v>
      </c>
      <c r="F1885" s="205">
        <v>1.3256500159910834E-2</v>
      </c>
      <c r="G1885" s="204">
        <v>0</v>
      </c>
      <c r="H1885" s="204">
        <v>1.0535117056856197E-2</v>
      </c>
      <c r="I1885" s="209">
        <v>2.77</v>
      </c>
      <c r="J1885" s="207">
        <v>0.62886731638795978</v>
      </c>
      <c r="K1885" s="209">
        <v>6.93</v>
      </c>
      <c r="L1885" s="209">
        <v>9.5719999999999992</v>
      </c>
      <c r="M1885" s="213"/>
      <c r="N1885" s="226"/>
    </row>
    <row r="1886" spans="1:14" ht="16.5" customHeight="1" x14ac:dyDescent="0.25">
      <c r="A1886" s="203">
        <v>45621</v>
      </c>
      <c r="B1886" s="128" t="s">
        <v>14</v>
      </c>
      <c r="C1886" s="157" t="str">
        <f t="shared" si="59"/>
        <v>25.11.2024_BRA1</v>
      </c>
      <c r="D1886" s="190">
        <f t="shared" si="60"/>
        <v>0</v>
      </c>
      <c r="E1886" s="204">
        <v>1.3070784914590869E-2</v>
      </c>
      <c r="F1886" s="205">
        <v>4.3835608304113705E-2</v>
      </c>
      <c r="G1886" s="204">
        <v>3.2728163942461583E-3</v>
      </c>
      <c r="H1886" s="204">
        <v>1.7558528428093662E-2</v>
      </c>
      <c r="I1886" s="209">
        <v>6.1779999999999999</v>
      </c>
      <c r="J1886" s="207">
        <v>1.403311863181901</v>
      </c>
      <c r="K1886" s="209">
        <v>6.5750000000000002</v>
      </c>
      <c r="L1886" s="209">
        <v>6.4139999999999997</v>
      </c>
      <c r="M1886" s="213"/>
      <c r="N1886" s="226"/>
    </row>
    <row r="1887" spans="1:14" ht="16.5" customHeight="1" x14ac:dyDescent="0.25">
      <c r="A1887" s="203">
        <v>45621</v>
      </c>
      <c r="B1887" s="128" t="s">
        <v>17</v>
      </c>
      <c r="C1887" s="157" t="str">
        <f t="shared" si="59"/>
        <v>25.11.2024_BRA2</v>
      </c>
      <c r="D1887" s="190">
        <f t="shared" si="60"/>
        <v>0</v>
      </c>
      <c r="E1887" s="204">
        <v>4.5747747201067994E-2</v>
      </c>
      <c r="F1887" s="205">
        <v>4.7182194687432226E-2</v>
      </c>
      <c r="G1887" s="204">
        <v>5.7274286899307945E-3</v>
      </c>
      <c r="H1887" s="204">
        <v>2.4581939799331126E-2</v>
      </c>
      <c r="I1887" s="209">
        <v>7.2670000000000003</v>
      </c>
      <c r="J1887" s="207">
        <v>1.6533285526753507</v>
      </c>
      <c r="K1887" s="209">
        <v>7.41</v>
      </c>
      <c r="L1887" s="209">
        <v>6.7320000000000002</v>
      </c>
      <c r="M1887" s="213"/>
      <c r="N1887" s="226"/>
    </row>
    <row r="1888" spans="1:14" ht="16.5" customHeight="1" x14ac:dyDescent="0.25">
      <c r="A1888" s="203">
        <v>45621</v>
      </c>
      <c r="B1888" s="128" t="s">
        <v>30</v>
      </c>
      <c r="C1888" s="157" t="str">
        <f t="shared" si="59"/>
        <v>25.11.2024_FAL1</v>
      </c>
      <c r="D1888" s="190">
        <f t="shared" si="60"/>
        <v>0</v>
      </c>
      <c r="E1888" s="204">
        <v>0.10456627931672681</v>
      </c>
      <c r="F1888" s="205">
        <v>8.5154044253461861E-2</v>
      </c>
      <c r="G1888" s="204">
        <v>0.20455102464038613</v>
      </c>
      <c r="H1888" s="204">
        <v>0.1568561872909699</v>
      </c>
      <c r="I1888" s="209">
        <v>11.859</v>
      </c>
      <c r="J1888" s="207">
        <v>2.8851790213437494</v>
      </c>
      <c r="K1888" s="209">
        <v>30</v>
      </c>
      <c r="L1888" s="209">
        <v>27.303999999999998</v>
      </c>
      <c r="M1888" s="213"/>
      <c r="N1888" s="226"/>
    </row>
    <row r="1889" spans="1:14" ht="16.5" customHeight="1" x14ac:dyDescent="0.25">
      <c r="A1889" s="203">
        <v>45621</v>
      </c>
      <c r="B1889" s="128" t="s">
        <v>32</v>
      </c>
      <c r="C1889" s="157" t="str">
        <f t="shared" si="59"/>
        <v>25.11.2024_FAL2</v>
      </c>
      <c r="D1889" s="190">
        <f t="shared" si="60"/>
        <v>0</v>
      </c>
      <c r="E1889" s="204">
        <v>0.14813556236536302</v>
      </c>
      <c r="F1889" s="205">
        <v>7.5057793005992898E-2</v>
      </c>
      <c r="G1889" s="204">
        <v>5.4819674603623511E-2</v>
      </c>
      <c r="H1889" s="204">
        <v>0.12408026755852838</v>
      </c>
      <c r="I1889" s="209">
        <v>11.13</v>
      </c>
      <c r="J1889" s="207">
        <v>2.5942762665911618</v>
      </c>
      <c r="K1889" s="209">
        <v>34</v>
      </c>
      <c r="L1889" s="209">
        <v>28.946000000000002</v>
      </c>
      <c r="M1889" s="213"/>
      <c r="N1889" s="226"/>
    </row>
    <row r="1890" spans="1:14" ht="16.5" customHeight="1" x14ac:dyDescent="0.25">
      <c r="A1890" s="203">
        <v>45621</v>
      </c>
      <c r="B1890" s="128" t="s">
        <v>26</v>
      </c>
      <c r="C1890" s="157" t="str">
        <f t="shared" si="59"/>
        <v>25.11.2024_GRU1</v>
      </c>
      <c r="D1890" s="190">
        <f t="shared" si="60"/>
        <v>0</v>
      </c>
      <c r="E1890" s="204">
        <v>0</v>
      </c>
      <c r="F1890" s="205">
        <v>2.2586020242295404E-2</v>
      </c>
      <c r="G1890" s="204">
        <v>0</v>
      </c>
      <c r="H1890" s="204">
        <v>1.2876254180602002E-2</v>
      </c>
      <c r="I1890" s="209">
        <v>5.8680000000000003</v>
      </c>
      <c r="J1890" s="207">
        <v>1.3293253355852843</v>
      </c>
      <c r="K1890" s="209">
        <v>6.1150000000000002</v>
      </c>
      <c r="L1890" s="209">
        <v>8.3970000000000002</v>
      </c>
      <c r="M1890" s="213"/>
      <c r="N1890" s="226"/>
    </row>
    <row r="1891" spans="1:14" ht="16.5" customHeight="1" x14ac:dyDescent="0.25">
      <c r="A1891" s="203">
        <v>45621</v>
      </c>
      <c r="B1891" s="128" t="s">
        <v>28</v>
      </c>
      <c r="C1891" s="157" t="str">
        <f t="shared" si="59"/>
        <v>25.11.2024_GRU2</v>
      </c>
      <c r="D1891" s="190">
        <f t="shared" si="60"/>
        <v>0</v>
      </c>
      <c r="E1891" s="204">
        <v>0</v>
      </c>
      <c r="F1891" s="205">
        <v>2.0560453281453554E-2</v>
      </c>
      <c r="G1891" s="204">
        <v>0</v>
      </c>
      <c r="H1891" s="204">
        <v>8.1939799331103673E-3</v>
      </c>
      <c r="I1891" s="209">
        <v>5.3979999999999997</v>
      </c>
      <c r="J1891" s="207">
        <v>1.2217409171906353</v>
      </c>
      <c r="K1891" s="209">
        <v>6.5380000000000003</v>
      </c>
      <c r="L1891" s="209">
        <v>8.1449999999999996</v>
      </c>
      <c r="M1891" s="213"/>
      <c r="N1891" s="226"/>
    </row>
    <row r="1892" spans="1:14" ht="16.5" customHeight="1" x14ac:dyDescent="0.25">
      <c r="A1892" s="203">
        <v>45621</v>
      </c>
      <c r="B1892" s="128" t="s">
        <v>0</v>
      </c>
      <c r="C1892" s="157" t="str">
        <f t="shared" si="59"/>
        <v>25.11.2024_KIN1</v>
      </c>
      <c r="D1892" s="190">
        <f t="shared" si="60"/>
        <v>0</v>
      </c>
      <c r="E1892" s="204">
        <v>8.7138566097271844E-3</v>
      </c>
      <c r="F1892" s="205">
        <v>3.1758419417232141E-2</v>
      </c>
      <c r="G1892" s="204">
        <v>0</v>
      </c>
      <c r="H1892" s="204">
        <v>1.0535117056856197E-2</v>
      </c>
      <c r="I1892" s="209">
        <v>6.2779999999999996</v>
      </c>
      <c r="J1892" s="207">
        <v>1.4212192763879596</v>
      </c>
      <c r="K1892" s="209">
        <v>8.1509999999999998</v>
      </c>
      <c r="L1892" s="209">
        <v>8.4659999999999993</v>
      </c>
      <c r="M1892" s="213"/>
      <c r="N1892" s="226"/>
    </row>
    <row r="1893" spans="1:14" ht="16.5" customHeight="1" x14ac:dyDescent="0.25">
      <c r="A1893" s="203">
        <v>45621</v>
      </c>
      <c r="B1893" s="128" t="s">
        <v>2</v>
      </c>
      <c r="C1893" s="157" t="str">
        <f t="shared" si="59"/>
        <v>25.11.2024_KIN2</v>
      </c>
      <c r="D1893" s="190">
        <f t="shared" si="60"/>
        <v>0</v>
      </c>
      <c r="E1893" s="204">
        <v>2.178464152431751E-3</v>
      </c>
      <c r="F1893" s="205">
        <v>2.1422544357647896E-2</v>
      </c>
      <c r="G1893" s="204">
        <v>-4.0910204928077147E-3</v>
      </c>
      <c r="H1893" s="204">
        <v>2.3411371237458199E-2</v>
      </c>
      <c r="I1893" s="209">
        <v>7.0119999999999996</v>
      </c>
      <c r="J1893" s="207">
        <v>1.5877513954707836</v>
      </c>
      <c r="K1893" s="209">
        <v>9.9879999999999995</v>
      </c>
      <c r="L1893" s="209">
        <v>9.4320000000000004</v>
      </c>
      <c r="M1893" s="213"/>
      <c r="N1893" s="226"/>
    </row>
    <row r="1894" spans="1:14" ht="16.5" customHeight="1" x14ac:dyDescent="0.25">
      <c r="A1894" s="203">
        <v>45621</v>
      </c>
      <c r="B1894" s="128" t="s">
        <v>4</v>
      </c>
      <c r="C1894" s="157" t="str">
        <f t="shared" si="59"/>
        <v>25.11.2024_KIN3</v>
      </c>
      <c r="D1894" s="190">
        <f t="shared" si="60"/>
        <v>0</v>
      </c>
      <c r="E1894" s="204">
        <v>3.7033890591340761E-2</v>
      </c>
      <c r="F1894" s="205">
        <v>2.7304693469839384E-2</v>
      </c>
      <c r="G1894" s="204">
        <v>-2.4546122956846015E-3</v>
      </c>
      <c r="H1894" s="204">
        <v>5.0334448160535131E-2</v>
      </c>
      <c r="I1894" s="209">
        <v>5.9930000000000003</v>
      </c>
      <c r="J1894" s="207">
        <v>1.3670572508409986</v>
      </c>
      <c r="K1894" s="209">
        <v>9.8829999999999991</v>
      </c>
      <c r="L1894" s="209">
        <v>10.398</v>
      </c>
      <c r="M1894" s="213"/>
      <c r="N1894" s="226"/>
    </row>
    <row r="1895" spans="1:14" ht="16.5" customHeight="1" x14ac:dyDescent="0.25">
      <c r="A1895" s="203">
        <v>45621</v>
      </c>
      <c r="B1895" s="128" t="s">
        <v>6</v>
      </c>
      <c r="C1895" s="157" t="str">
        <f t="shared" si="59"/>
        <v>25.11.2024_KIN4</v>
      </c>
      <c r="D1895" s="190">
        <f t="shared" si="60"/>
        <v>0</v>
      </c>
      <c r="E1895" s="204">
        <v>6.5353924572954303E-2</v>
      </c>
      <c r="F1895" s="205">
        <v>2.6389533418321797E-2</v>
      </c>
      <c r="G1895" s="204">
        <v>0</v>
      </c>
      <c r="H1895" s="204">
        <v>4.0969899665551833E-2</v>
      </c>
      <c r="I1895" s="209">
        <v>5.9669999999999996</v>
      </c>
      <c r="J1895" s="207">
        <v>1.3602395759531771</v>
      </c>
      <c r="K1895" s="209">
        <v>14.093999999999999</v>
      </c>
      <c r="L1895" s="209">
        <v>10.785</v>
      </c>
      <c r="M1895" s="213"/>
      <c r="N1895" s="226"/>
    </row>
    <row r="1896" spans="1:14" ht="16.5" customHeight="1" x14ac:dyDescent="0.25">
      <c r="A1896" s="203">
        <v>45621</v>
      </c>
      <c r="B1896" s="128" t="s">
        <v>34</v>
      </c>
      <c r="C1896" s="157" t="str">
        <f t="shared" si="59"/>
        <v>25.11.2024_KRE1</v>
      </c>
      <c r="D1896" s="190">
        <f t="shared" si="60"/>
        <v>0</v>
      </c>
      <c r="E1896" s="204">
        <v>0</v>
      </c>
      <c r="F1896" s="205">
        <v>2.4550516995708725E-2</v>
      </c>
      <c r="G1896" s="204">
        <v>0.1767320852892936</v>
      </c>
      <c r="H1896" s="204">
        <v>7.1404682274247469E-2</v>
      </c>
      <c r="I1896" s="209">
        <v>7.944</v>
      </c>
      <c r="J1896" s="207">
        <v>1.9532811324246779</v>
      </c>
      <c r="K1896" s="209">
        <v>38</v>
      </c>
      <c r="L1896" s="209">
        <v>31.757999999999999</v>
      </c>
      <c r="M1896" s="213"/>
      <c r="N1896" s="226"/>
    </row>
    <row r="1897" spans="1:14" ht="16.5" customHeight="1" x14ac:dyDescent="0.25">
      <c r="A1897" s="203">
        <v>45621</v>
      </c>
      <c r="B1897" s="128" t="s">
        <v>37</v>
      </c>
      <c r="C1897" s="157" t="str">
        <f t="shared" si="59"/>
        <v>25.11.2024_KRE2</v>
      </c>
      <c r="D1897" s="190">
        <f t="shared" si="60"/>
        <v>0</v>
      </c>
      <c r="E1897" s="204">
        <v>0</v>
      </c>
      <c r="F1897" s="205">
        <v>2.7788159038072677E-2</v>
      </c>
      <c r="G1897" s="204">
        <v>9.4911675433139206E-2</v>
      </c>
      <c r="H1897" s="204">
        <v>9.3645484949832769E-2</v>
      </c>
      <c r="I1897" s="209">
        <v>8.9079999999999995</v>
      </c>
      <c r="J1897" s="207">
        <v>2.1142582947500546</v>
      </c>
      <c r="K1897" s="209">
        <v>36</v>
      </c>
      <c r="L1897" s="209">
        <v>36.341000000000001</v>
      </c>
      <c r="M1897" s="213"/>
      <c r="N1897" s="226"/>
    </row>
    <row r="1898" spans="1:14" ht="16.5" customHeight="1" x14ac:dyDescent="0.25">
      <c r="A1898" s="203">
        <v>45621</v>
      </c>
      <c r="B1898" s="128" t="s">
        <v>18</v>
      </c>
      <c r="C1898" s="157" t="str">
        <f t="shared" si="59"/>
        <v>25.11.2024_ORB1</v>
      </c>
      <c r="D1898" s="190">
        <f t="shared" si="60"/>
        <v>0</v>
      </c>
      <c r="E1898" s="204">
        <v>0</v>
      </c>
      <c r="F1898" s="205">
        <v>2.5727291134925653E-2</v>
      </c>
      <c r="G1898" s="204">
        <v>1.1454857379861622E-2</v>
      </c>
      <c r="H1898" s="204">
        <v>1.521739130434783E-2</v>
      </c>
      <c r="I1898" s="209">
        <v>3.8929999999999998</v>
      </c>
      <c r="J1898" s="207">
        <v>0.89283942698949736</v>
      </c>
      <c r="K1898" s="209">
        <v>8.3109999999999999</v>
      </c>
      <c r="L1898" s="209">
        <v>9.6479999999999997</v>
      </c>
      <c r="M1898" s="213"/>
      <c r="N1898" s="226"/>
    </row>
    <row r="1899" spans="1:14" ht="16.5" customHeight="1" x14ac:dyDescent="0.25">
      <c r="A1899" s="203">
        <v>45621</v>
      </c>
      <c r="B1899" s="128" t="s">
        <v>21</v>
      </c>
      <c r="C1899" s="157" t="str">
        <f t="shared" si="59"/>
        <v>25.11.2024_ORB2</v>
      </c>
      <c r="D1899" s="190">
        <f t="shared" si="60"/>
        <v>0</v>
      </c>
      <c r="E1899" s="204">
        <v>3.0498498134045329E-2</v>
      </c>
      <c r="F1899" s="205">
        <v>2.6861449810951957E-2</v>
      </c>
      <c r="G1899" s="204">
        <v>3.109175574533871E-2</v>
      </c>
      <c r="H1899" s="204">
        <v>1.4046822742474929E-2</v>
      </c>
      <c r="I1899" s="209">
        <v>4.1859999999999999</v>
      </c>
      <c r="J1899" s="207">
        <v>0.97391081260264456</v>
      </c>
      <c r="K1899" s="209">
        <v>14.33</v>
      </c>
      <c r="L1899" s="209">
        <v>11.824</v>
      </c>
      <c r="M1899" s="213"/>
      <c r="N1899" s="226"/>
    </row>
    <row r="1900" spans="1:14" ht="16.5" customHeight="1" x14ac:dyDescent="0.25">
      <c r="A1900" s="203">
        <v>45621</v>
      </c>
      <c r="B1900" s="128" t="s">
        <v>10</v>
      </c>
      <c r="C1900" s="157" t="str">
        <f t="shared" si="59"/>
        <v>25.11.2024_SAL1</v>
      </c>
      <c r="D1900" s="190">
        <f t="shared" si="60"/>
        <v>0</v>
      </c>
      <c r="E1900" s="204">
        <v>9.3673958554567782E-2</v>
      </c>
      <c r="F1900" s="205">
        <v>3.8055409525328064E-2</v>
      </c>
      <c r="G1900" s="204">
        <v>-1.6364081971231132E-3</v>
      </c>
      <c r="H1900" s="204">
        <v>2.3411371237458199E-2</v>
      </c>
      <c r="I1900" s="209">
        <v>5.194</v>
      </c>
      <c r="J1900" s="207">
        <v>1.1790257173722598</v>
      </c>
      <c r="K1900" s="209">
        <v>5.3280000000000003</v>
      </c>
      <c r="L1900" s="209">
        <v>5.83</v>
      </c>
      <c r="M1900" s="213"/>
      <c r="N1900" s="226"/>
    </row>
    <row r="1901" spans="1:14" ht="16.5" customHeight="1" x14ac:dyDescent="0.25">
      <c r="A1901" s="203">
        <v>45621</v>
      </c>
      <c r="B1901" s="128" t="s">
        <v>12</v>
      </c>
      <c r="C1901" s="157" t="str">
        <f t="shared" si="59"/>
        <v>25.11.2024_SAL2</v>
      </c>
      <c r="D1901" s="190">
        <f t="shared" si="60"/>
        <v>0</v>
      </c>
      <c r="E1901" s="204">
        <v>0.13724324160320397</v>
      </c>
      <c r="F1901" s="205">
        <v>3.6989403445685631E-2</v>
      </c>
      <c r="G1901" s="204">
        <v>4.0910204928077147E-3</v>
      </c>
      <c r="H1901" s="204">
        <v>4.5652173913043471E-2</v>
      </c>
      <c r="I1901" s="209">
        <v>5.5439999999999996</v>
      </c>
      <c r="J1901" s="207">
        <v>1.2692987208502864</v>
      </c>
      <c r="K1901" s="209">
        <v>5.4939999999999998</v>
      </c>
      <c r="L1901" s="209">
        <v>5.9969999999999999</v>
      </c>
      <c r="M1901" s="213"/>
      <c r="N1901" s="226"/>
    </row>
    <row r="1902" spans="1:14" ht="16.5" customHeight="1" x14ac:dyDescent="0.25">
      <c r="A1902" s="203">
        <v>45621</v>
      </c>
      <c r="B1902" s="128" t="s">
        <v>7</v>
      </c>
      <c r="C1902" s="157" t="str">
        <f t="shared" si="59"/>
        <v>25.11.2024_STE1</v>
      </c>
      <c r="D1902" s="190">
        <f t="shared" si="60"/>
        <v>0</v>
      </c>
      <c r="E1902" s="204">
        <v>5.2283139658363426E-2</v>
      </c>
      <c r="F1902" s="205">
        <v>4.1350357027968597E-2</v>
      </c>
      <c r="G1902" s="204">
        <v>6.5456327884923504E-3</v>
      </c>
      <c r="H1902" s="204">
        <v>2.1070234113712394E-2</v>
      </c>
      <c r="I1902" s="209">
        <v>5.6879999999999997</v>
      </c>
      <c r="J1902" s="207">
        <v>1.2962460111798562</v>
      </c>
      <c r="K1902" s="209">
        <v>5.1509999999999998</v>
      </c>
      <c r="L1902" s="209">
        <v>5.3719999999999999</v>
      </c>
      <c r="M1902" s="213"/>
      <c r="N1902" s="226"/>
    </row>
    <row r="1903" spans="1:14" ht="16.5" customHeight="1" x14ac:dyDescent="0.25">
      <c r="A1903" s="203">
        <v>45621</v>
      </c>
      <c r="B1903" s="128" t="s">
        <v>9</v>
      </c>
      <c r="C1903" s="157" t="str">
        <f t="shared" si="59"/>
        <v>25.11.2024_STE2</v>
      </c>
      <c r="D1903" s="190">
        <f t="shared" si="60"/>
        <v>0</v>
      </c>
      <c r="E1903" s="204">
        <v>7.624624533511333E-2</v>
      </c>
      <c r="F1903" s="205">
        <v>4.447474651716514E-2</v>
      </c>
      <c r="G1903" s="204">
        <v>-4.9092245913692715E-3</v>
      </c>
      <c r="H1903" s="204">
        <v>1.2876254180602002E-2</v>
      </c>
      <c r="I1903" s="209">
        <v>5.444</v>
      </c>
      <c r="J1903" s="207">
        <v>1.2297444917823319</v>
      </c>
      <c r="K1903" s="209">
        <v>7.8470000000000004</v>
      </c>
      <c r="L1903" s="209">
        <v>5.5750000000000002</v>
      </c>
      <c r="M1903" s="213"/>
      <c r="N1903" s="226"/>
    </row>
    <row r="1904" spans="1:14" ht="16.5" customHeight="1" x14ac:dyDescent="0.25">
      <c r="A1904" s="203">
        <v>45635</v>
      </c>
      <c r="B1904" s="128" t="s">
        <v>22</v>
      </c>
      <c r="C1904" s="157" t="str">
        <f t="shared" si="59"/>
        <v>09.12.2024_BIE1</v>
      </c>
      <c r="D1904" s="190">
        <f t="shared" si="60"/>
        <v>0</v>
      </c>
      <c r="E1904" s="204">
        <v>0</v>
      </c>
      <c r="F1904" s="205">
        <v>2.282112541210814E-2</v>
      </c>
      <c r="G1904" s="204">
        <v>2.9211491648250584E-2</v>
      </c>
      <c r="H1904" s="204">
        <v>4.7410220364047989E-2</v>
      </c>
      <c r="I1904" s="209">
        <v>3.6859999999999999</v>
      </c>
      <c r="J1904" s="207">
        <v>0.86967329273978444</v>
      </c>
      <c r="K1904" s="209">
        <v>6.2480000000000002</v>
      </c>
      <c r="L1904" s="209">
        <v>9.5640000000000001</v>
      </c>
      <c r="M1904" s="213"/>
      <c r="N1904" s="226"/>
    </row>
    <row r="1905" spans="1:14" ht="16.5" customHeight="1" x14ac:dyDescent="0.25">
      <c r="A1905" s="203">
        <v>45635</v>
      </c>
      <c r="B1905" s="128" t="s">
        <v>25</v>
      </c>
      <c r="C1905" s="157" t="str">
        <f t="shared" si="59"/>
        <v>09.12.2024_BIE2</v>
      </c>
      <c r="D1905" s="190">
        <f t="shared" si="60"/>
        <v>0</v>
      </c>
      <c r="E1905" s="204">
        <v>2.5971365824816243E-2</v>
      </c>
      <c r="F1905" s="205">
        <v>1.7631502290484918E-2</v>
      </c>
      <c r="G1905" s="204">
        <v>3.894865553100051E-3</v>
      </c>
      <c r="H1905" s="204">
        <v>3.2897448906699089E-17</v>
      </c>
      <c r="I1905" s="209">
        <v>2.9390000000000001</v>
      </c>
      <c r="J1905" s="207">
        <v>0.66685625415332661</v>
      </c>
      <c r="K1905" s="209">
        <v>5.3470000000000004</v>
      </c>
      <c r="L1905" s="209">
        <v>8.2390000000000008</v>
      </c>
      <c r="M1905" s="213"/>
      <c r="N1905" s="226"/>
    </row>
    <row r="1906" spans="1:14" ht="16.5" customHeight="1" x14ac:dyDescent="0.25">
      <c r="A1906" s="203">
        <v>45635</v>
      </c>
      <c r="B1906" s="128" t="s">
        <v>14</v>
      </c>
      <c r="C1906" s="157" t="str">
        <f t="shared" si="59"/>
        <v>09.12.2024_BRA1</v>
      </c>
      <c r="D1906" s="190">
        <f t="shared" si="60"/>
        <v>0</v>
      </c>
      <c r="E1906" s="204">
        <v>1.8550975589153992E-3</v>
      </c>
      <c r="F1906" s="205">
        <v>4.5517224310590548E-2</v>
      </c>
      <c r="G1906" s="204">
        <v>8.7634474944751749E-3</v>
      </c>
      <c r="H1906" s="204">
        <v>3.1606813576032125E-3</v>
      </c>
      <c r="I1906" s="209">
        <v>8.2560000000000002</v>
      </c>
      <c r="J1906" s="207">
        <v>1.8725497187843074</v>
      </c>
      <c r="K1906" s="209">
        <v>4.3019999999999996</v>
      </c>
      <c r="L1906" s="209">
        <v>6.7</v>
      </c>
      <c r="M1906" s="213"/>
      <c r="N1906" s="226"/>
    </row>
    <row r="1907" spans="1:14" ht="16.5" customHeight="1" x14ac:dyDescent="0.25">
      <c r="A1907" s="203">
        <v>45635</v>
      </c>
      <c r="B1907" s="128" t="s">
        <v>17</v>
      </c>
      <c r="C1907" s="157" t="str">
        <f t="shared" si="59"/>
        <v>09.12.2024_BRA2</v>
      </c>
      <c r="D1907" s="190">
        <f t="shared" si="60"/>
        <v>0</v>
      </c>
      <c r="E1907" s="204">
        <v>5.7508024326378956E-2</v>
      </c>
      <c r="F1907" s="205">
        <v>4.5534811301349461E-2</v>
      </c>
      <c r="G1907" s="204">
        <v>1.0710880271025201E-2</v>
      </c>
      <c r="H1907" s="204">
        <v>1.8964088145619243E-2</v>
      </c>
      <c r="I1907" s="209">
        <v>9.9309999999999992</v>
      </c>
      <c r="J1907" s="207">
        <v>2.2572054780575819</v>
      </c>
      <c r="K1907" s="209">
        <v>5.2850000000000001</v>
      </c>
      <c r="L1907" s="209">
        <v>7.2869999999999999</v>
      </c>
      <c r="M1907" s="213"/>
      <c r="N1907" s="226"/>
    </row>
    <row r="1908" spans="1:14" ht="16.5" customHeight="1" x14ac:dyDescent="0.25">
      <c r="A1908" s="203">
        <v>45635</v>
      </c>
      <c r="B1908" s="128" t="s">
        <v>30</v>
      </c>
      <c r="C1908" s="157" t="str">
        <f t="shared" si="59"/>
        <v>09.12.2024_FAL1</v>
      </c>
      <c r="D1908" s="190">
        <f t="shared" si="60"/>
        <v>0</v>
      </c>
      <c r="E1908" s="204">
        <v>2.226117070698537E-2</v>
      </c>
      <c r="F1908" s="205">
        <v>5.0926214557278561E-2</v>
      </c>
      <c r="G1908" s="204">
        <v>0.20934902347912895</v>
      </c>
      <c r="H1908" s="204">
        <v>0.20702462892300955</v>
      </c>
      <c r="I1908" s="209">
        <v>12.696</v>
      </c>
      <c r="J1908" s="207">
        <v>3.0932315915169188</v>
      </c>
      <c r="K1908" s="209">
        <v>24</v>
      </c>
      <c r="L1908" s="209">
        <v>22.925999999999998</v>
      </c>
      <c r="M1908" s="213"/>
      <c r="N1908" s="226"/>
    </row>
    <row r="1909" spans="1:14" ht="16.5" customHeight="1" x14ac:dyDescent="0.25">
      <c r="A1909" s="203">
        <v>45635</v>
      </c>
      <c r="B1909" s="128" t="s">
        <v>32</v>
      </c>
      <c r="C1909" s="157" t="str">
        <f t="shared" si="59"/>
        <v>09.12.2024_FAL2</v>
      </c>
      <c r="D1909" s="190">
        <f t="shared" si="60"/>
        <v>0</v>
      </c>
      <c r="E1909" s="204">
        <v>5.9363121885294357E-2</v>
      </c>
      <c r="F1909" s="205">
        <v>4.8621872473369694E-2</v>
      </c>
      <c r="G1909" s="204">
        <v>0.11100366826335215</v>
      </c>
      <c r="H1909" s="204">
        <v>0.23705110182024</v>
      </c>
      <c r="I1909" s="209">
        <v>11.946999999999999</v>
      </c>
      <c r="J1909" s="207">
        <v>2.8568323363189818</v>
      </c>
      <c r="K1909" s="209">
        <v>26</v>
      </c>
      <c r="L1909" s="209">
        <v>23.707999999999998</v>
      </c>
      <c r="M1909" s="213"/>
      <c r="N1909" s="226"/>
    </row>
    <row r="1910" spans="1:14" ht="16.5" customHeight="1" x14ac:dyDescent="0.25">
      <c r="A1910" s="203">
        <v>45635</v>
      </c>
      <c r="B1910" s="128" t="s">
        <v>26</v>
      </c>
      <c r="C1910" s="157" t="str">
        <f t="shared" si="59"/>
        <v>09.12.2024_GRU1</v>
      </c>
      <c r="D1910" s="190">
        <f t="shared" si="60"/>
        <v>0</v>
      </c>
      <c r="E1910" s="204">
        <v>0</v>
      </c>
      <c r="F1910" s="205">
        <v>3.4334877827980621E-2</v>
      </c>
      <c r="G1910" s="204">
        <v>-9.7371638827503301E-4</v>
      </c>
      <c r="H1910" s="204">
        <v>4.741022036404835E-3</v>
      </c>
      <c r="I1910" s="209">
        <v>7.5179999999999998</v>
      </c>
      <c r="J1910" s="207">
        <v>1.6987779831206518</v>
      </c>
      <c r="K1910" s="209">
        <v>5.7169999999999996</v>
      </c>
      <c r="L1910" s="209">
        <v>8.1649999999999991</v>
      </c>
      <c r="M1910" s="213"/>
      <c r="N1910" s="226"/>
    </row>
    <row r="1911" spans="1:14" ht="16.5" customHeight="1" x14ac:dyDescent="0.25">
      <c r="A1911" s="203">
        <v>45635</v>
      </c>
      <c r="B1911" s="128" t="s">
        <v>28</v>
      </c>
      <c r="C1911" s="157" t="str">
        <f t="shared" si="59"/>
        <v>09.12.2024_GRU2</v>
      </c>
      <c r="D1911" s="190">
        <f t="shared" si="60"/>
        <v>0</v>
      </c>
      <c r="E1911" s="204">
        <v>0</v>
      </c>
      <c r="F1911" s="205">
        <v>3.0174801371271973E-2</v>
      </c>
      <c r="G1911" s="204">
        <v>1.1684596659300234E-2</v>
      </c>
      <c r="H1911" s="204">
        <v>1.5803406788016227E-3</v>
      </c>
      <c r="I1911" s="209">
        <v>6.7190000000000003</v>
      </c>
      <c r="J1911" s="207">
        <v>1.5271746371796413</v>
      </c>
      <c r="K1911" s="209">
        <v>5.9290000000000003</v>
      </c>
      <c r="L1911" s="209">
        <v>7.8140000000000001</v>
      </c>
      <c r="M1911" s="213"/>
      <c r="N1911" s="226"/>
    </row>
    <row r="1912" spans="1:14" ht="16.5" customHeight="1" x14ac:dyDescent="0.25">
      <c r="A1912" s="203">
        <v>45635</v>
      </c>
      <c r="B1912" s="128" t="s">
        <v>0</v>
      </c>
      <c r="C1912" s="157" t="str">
        <f t="shared" si="59"/>
        <v>09.12.2024_KIN1</v>
      </c>
      <c r="D1912" s="190">
        <f t="shared" si="60"/>
        <v>0</v>
      </c>
      <c r="E1912" s="204">
        <v>0</v>
      </c>
      <c r="F1912" s="205">
        <v>4.1188036457873153E-2</v>
      </c>
      <c r="G1912" s="204">
        <v>2.9211491648250586E-3</v>
      </c>
      <c r="H1912" s="204">
        <v>-3.1606813576031795E-3</v>
      </c>
      <c r="I1912" s="209">
        <v>9.6660000000000004</v>
      </c>
      <c r="J1912" s="207">
        <v>2.184565393675673</v>
      </c>
      <c r="K1912" s="209">
        <v>7.726</v>
      </c>
      <c r="L1912" s="209">
        <v>7.2930000000000001</v>
      </c>
      <c r="M1912" s="213"/>
      <c r="N1912" s="226"/>
    </row>
    <row r="1913" spans="1:14" ht="16.5" customHeight="1" x14ac:dyDescent="0.25">
      <c r="A1913" s="203">
        <v>45635</v>
      </c>
      <c r="B1913" s="128" t="s">
        <v>2</v>
      </c>
      <c r="C1913" s="157" t="str">
        <f t="shared" si="59"/>
        <v>09.12.2024_KIN2</v>
      </c>
      <c r="D1913" s="190">
        <f t="shared" si="60"/>
        <v>0</v>
      </c>
      <c r="E1913" s="204">
        <v>0</v>
      </c>
      <c r="F1913" s="205">
        <v>2.5042051001918069E-2</v>
      </c>
      <c r="G1913" s="204">
        <v>5.8422983296501172E-3</v>
      </c>
      <c r="H1913" s="204">
        <v>-3.1606813576031795E-3</v>
      </c>
      <c r="I1913" s="209">
        <v>9.782</v>
      </c>
      <c r="J1913" s="207">
        <v>2.2130345567906673</v>
      </c>
      <c r="K1913" s="209">
        <v>8.5950000000000006</v>
      </c>
      <c r="L1913" s="209">
        <v>8.1029999999999998</v>
      </c>
      <c r="M1913" s="213"/>
      <c r="N1913" s="226"/>
    </row>
    <row r="1914" spans="1:14" ht="16.5" customHeight="1" x14ac:dyDescent="0.25">
      <c r="A1914" s="203">
        <v>45635</v>
      </c>
      <c r="B1914" s="128" t="s">
        <v>4</v>
      </c>
      <c r="C1914" s="157" t="str">
        <f t="shared" si="59"/>
        <v>09.12.2024_KIN3</v>
      </c>
      <c r="D1914" s="190">
        <f t="shared" si="60"/>
        <v>0</v>
      </c>
      <c r="E1914" s="248">
        <v>9.2754877945772276E-3</v>
      </c>
      <c r="F1914" s="249">
        <v>2.3890413621837817E-2</v>
      </c>
      <c r="G1914" s="248">
        <v>1.9474327765500255E-3</v>
      </c>
      <c r="H1914" s="248">
        <v>6.3213627152063953E-2</v>
      </c>
      <c r="I1914" s="250">
        <v>8.1340000000000003</v>
      </c>
      <c r="J1914" s="251">
        <v>1.8579841308631093</v>
      </c>
      <c r="K1914" s="250">
        <v>8.2870000000000008</v>
      </c>
      <c r="L1914" s="250">
        <v>8.8320000000000007</v>
      </c>
      <c r="M1914" s="213"/>
      <c r="N1914" s="226"/>
    </row>
    <row r="1915" spans="1:14" ht="16.5" customHeight="1" x14ac:dyDescent="0.25">
      <c r="A1915" s="203">
        <v>45635</v>
      </c>
      <c r="B1915" s="128" t="s">
        <v>6</v>
      </c>
      <c r="C1915" s="157" t="str">
        <f t="shared" si="59"/>
        <v>09.12.2024_KIN4</v>
      </c>
      <c r="D1915" s="190">
        <f t="shared" si="60"/>
        <v>0</v>
      </c>
      <c r="E1915" s="248">
        <v>7.2348804797702532E-2</v>
      </c>
      <c r="F1915" s="249">
        <v>3.0619110344934825E-2</v>
      </c>
      <c r="G1915" s="248">
        <v>7.7897311062001427E-3</v>
      </c>
      <c r="H1915" s="248">
        <v>4.8990561042849615E-2</v>
      </c>
      <c r="I1915" s="250">
        <v>8.0670000000000002</v>
      </c>
      <c r="J1915" s="251">
        <v>1.8430571146161487</v>
      </c>
      <c r="K1915" s="250">
        <v>10.348000000000001</v>
      </c>
      <c r="L1915" s="250">
        <v>8.8620000000000001</v>
      </c>
      <c r="M1915" s="213"/>
      <c r="N1915" s="226"/>
    </row>
    <row r="1916" spans="1:14" ht="16.5" customHeight="1" x14ac:dyDescent="0.25">
      <c r="A1916" s="203">
        <v>45635</v>
      </c>
      <c r="B1916" s="128" t="s">
        <v>34</v>
      </c>
      <c r="C1916" s="157" t="str">
        <f t="shared" ref="C1916:C1978" si="61">CONCATENATE(TEXT(A1916,"TT.MM.JJJJ"),"_",B1916)</f>
        <v>09.12.2024_KRE1</v>
      </c>
      <c r="D1916" s="190">
        <f t="shared" ref="D1916:D1977" si="62">COUNTBLANK(E1916:L1916)</f>
        <v>0</v>
      </c>
      <c r="E1916" s="248">
        <v>0</v>
      </c>
      <c r="F1916" s="249">
        <v>2.6320646304716137E-2</v>
      </c>
      <c r="G1916" s="248">
        <v>0.35443276533210688</v>
      </c>
      <c r="H1916" s="248">
        <v>9.1659759370492797E-2</v>
      </c>
      <c r="I1916" s="250">
        <v>10.007</v>
      </c>
      <c r="J1916" s="251">
        <v>2.5634004016930745</v>
      </c>
      <c r="K1916" s="250">
        <v>27</v>
      </c>
      <c r="L1916" s="250">
        <v>28.562000000000001</v>
      </c>
      <c r="M1916" s="213"/>
      <c r="N1916" s="226"/>
    </row>
    <row r="1917" spans="1:14" ht="16.5" customHeight="1" x14ac:dyDescent="0.25">
      <c r="A1917" s="203">
        <v>45635</v>
      </c>
      <c r="B1917" s="128" t="s">
        <v>37</v>
      </c>
      <c r="C1917" s="157" t="str">
        <f t="shared" si="61"/>
        <v>09.12.2024_KRE2</v>
      </c>
      <c r="D1917" s="190">
        <f t="shared" si="62"/>
        <v>0</v>
      </c>
      <c r="E1917" s="248">
        <v>0</v>
      </c>
      <c r="F1917" s="249">
        <v>3.2214178740012166E-2</v>
      </c>
      <c r="G1917" s="248">
        <v>0.1363202943585026</v>
      </c>
      <c r="H1917" s="248">
        <v>4.8990561042849615E-2</v>
      </c>
      <c r="I1917" s="250">
        <v>10.936999999999999</v>
      </c>
      <c r="J1917" s="251">
        <v>2.5911067116759292</v>
      </c>
      <c r="K1917" s="250">
        <v>29</v>
      </c>
      <c r="L1917" s="250">
        <v>33.188000000000002</v>
      </c>
      <c r="M1917" s="213"/>
      <c r="N1917" s="226"/>
    </row>
    <row r="1918" spans="1:14" ht="16.5" customHeight="1" x14ac:dyDescent="0.25">
      <c r="A1918" s="203">
        <v>45635</v>
      </c>
      <c r="B1918" s="128" t="s">
        <v>18</v>
      </c>
      <c r="C1918" s="157" t="str">
        <f t="shared" si="61"/>
        <v>09.12.2024_ORB1</v>
      </c>
      <c r="D1918" s="190">
        <f t="shared" si="62"/>
        <v>0</v>
      </c>
      <c r="E1918" s="248">
        <v>0</v>
      </c>
      <c r="F1918" s="249">
        <v>2.9170306256294229E-2</v>
      </c>
      <c r="G1918" s="248">
        <v>2.0448044153775411E-2</v>
      </c>
      <c r="H1918" s="248">
        <v>0</v>
      </c>
      <c r="I1918" s="250">
        <v>6.0380000000000003</v>
      </c>
      <c r="J1918" s="251">
        <v>1.3796807618049651</v>
      </c>
      <c r="K1918" s="250">
        <v>8.3729999999999993</v>
      </c>
      <c r="L1918" s="250">
        <v>10.217000000000001</v>
      </c>
      <c r="M1918" s="213"/>
      <c r="N1918" s="226"/>
    </row>
    <row r="1919" spans="1:14" ht="16.5" customHeight="1" x14ac:dyDescent="0.25">
      <c r="A1919" s="203">
        <v>45635</v>
      </c>
      <c r="B1919" s="128" t="s">
        <v>21</v>
      </c>
      <c r="C1919" s="157" t="str">
        <f t="shared" si="61"/>
        <v>09.12.2024_ORB2</v>
      </c>
      <c r="D1919" s="190">
        <f t="shared" si="62"/>
        <v>0</v>
      </c>
      <c r="E1919" s="248">
        <v>-3.7101951178308756E-3</v>
      </c>
      <c r="F1919" s="249">
        <v>2.8648221162531358E-2</v>
      </c>
      <c r="G1919" s="248">
        <v>2.2395476930325436E-2</v>
      </c>
      <c r="H1919" s="248">
        <v>1.5803406788016227E-3</v>
      </c>
      <c r="I1919" s="250">
        <v>5.6989999999999998</v>
      </c>
      <c r="J1919" s="251">
        <v>1.3051041286012894</v>
      </c>
      <c r="K1919" s="250">
        <v>13.442</v>
      </c>
      <c r="L1919" s="250">
        <v>11.529</v>
      </c>
      <c r="M1919" s="213"/>
      <c r="N1919" s="226"/>
    </row>
    <row r="1920" spans="1:14" ht="16.5" customHeight="1" x14ac:dyDescent="0.25">
      <c r="A1920" s="203">
        <v>45635</v>
      </c>
      <c r="B1920" s="128" t="s">
        <v>10</v>
      </c>
      <c r="C1920" s="157" t="str">
        <f t="shared" si="61"/>
        <v>09.12.2024_SAL1</v>
      </c>
      <c r="D1920" s="190">
        <f t="shared" si="62"/>
        <v>0</v>
      </c>
      <c r="E1920" s="248">
        <v>3.5246853619393552E-2</v>
      </c>
      <c r="F1920" s="249">
        <v>3.6459381032902631E-2</v>
      </c>
      <c r="G1920" s="248">
        <v>1.1684596659300234E-2</v>
      </c>
      <c r="H1920" s="248">
        <v>1.8964088145619243E-2</v>
      </c>
      <c r="I1920" s="250">
        <v>8.92</v>
      </c>
      <c r="J1920" s="251">
        <v>2.0296069890959134</v>
      </c>
      <c r="K1920" s="250">
        <v>4.3579999999999997</v>
      </c>
      <c r="L1920" s="250">
        <v>6.3689999999999998</v>
      </c>
      <c r="M1920" s="213"/>
      <c r="N1920" s="226"/>
    </row>
    <row r="1921" spans="1:14" ht="16.5" customHeight="1" x14ac:dyDescent="0.25">
      <c r="A1921" s="203">
        <v>45635</v>
      </c>
      <c r="B1921" s="128" t="s">
        <v>12</v>
      </c>
      <c r="C1921" s="157" t="str">
        <f t="shared" si="61"/>
        <v>09.12.2024_SAL2</v>
      </c>
      <c r="D1921" s="190">
        <f t="shared" si="62"/>
        <v>0</v>
      </c>
      <c r="E1921" s="248">
        <v>9.275487794577239E-2</v>
      </c>
      <c r="F1921" s="249">
        <v>4.1428976902179525E-2</v>
      </c>
      <c r="G1921" s="248">
        <v>3.8948655531000756E-2</v>
      </c>
      <c r="H1921" s="248">
        <v>4.5829879685246398E-2</v>
      </c>
      <c r="I1921" s="250">
        <v>8.93</v>
      </c>
      <c r="J1921" s="251">
        <v>2.0612152484034398</v>
      </c>
      <c r="K1921" s="250">
        <v>4.5819999999999999</v>
      </c>
      <c r="L1921" s="250">
        <v>6.5039999999999996</v>
      </c>
      <c r="M1921" s="213"/>
      <c r="N1921" s="226"/>
    </row>
    <row r="1922" spans="1:14" ht="16.5" customHeight="1" x14ac:dyDescent="0.25">
      <c r="A1922" s="203">
        <v>45635</v>
      </c>
      <c r="B1922" s="128" t="s">
        <v>7</v>
      </c>
      <c r="C1922" s="157" t="str">
        <f t="shared" si="61"/>
        <v>09.12.2024_STE1</v>
      </c>
      <c r="D1922" s="190">
        <f t="shared" si="62"/>
        <v>0</v>
      </c>
      <c r="E1922" s="248">
        <v>3.7101951178308756E-3</v>
      </c>
      <c r="F1922" s="249">
        <v>3.0052151145880175E-2</v>
      </c>
      <c r="G1922" s="248">
        <v>1.6553178600675317E-2</v>
      </c>
      <c r="H1922" s="248">
        <v>9.482044072809637E-3</v>
      </c>
      <c r="I1922" s="250">
        <v>8.5169999999999995</v>
      </c>
      <c r="J1922" s="251">
        <v>1.9394749759696051</v>
      </c>
      <c r="K1922" s="250">
        <v>4.4109999999999996</v>
      </c>
      <c r="L1922" s="250">
        <v>5.3940000000000001</v>
      </c>
      <c r="M1922" s="213"/>
      <c r="N1922" s="226"/>
    </row>
    <row r="1923" spans="1:14" ht="16.5" customHeight="1" x14ac:dyDescent="0.25">
      <c r="A1923" s="203">
        <v>45635</v>
      </c>
      <c r="B1923" s="128" t="s">
        <v>9</v>
      </c>
      <c r="C1923" s="157" t="str">
        <f t="shared" si="61"/>
        <v>09.12.2024_STE2</v>
      </c>
      <c r="D1923" s="190">
        <f t="shared" si="62"/>
        <v>0</v>
      </c>
      <c r="E1923" s="248">
        <v>5.565292676746348E-2</v>
      </c>
      <c r="F1923" s="249">
        <v>3.4037993122270002E-2</v>
      </c>
      <c r="G1923" s="248">
        <v>-3.8948655531000917E-3</v>
      </c>
      <c r="H1923" s="248">
        <v>1.5803406788016227E-3</v>
      </c>
      <c r="I1923" s="250">
        <v>7.7060000000000004</v>
      </c>
      <c r="J1923" s="251">
        <v>1.7380110305663343</v>
      </c>
      <c r="K1923" s="250">
        <v>4.758</v>
      </c>
      <c r="L1923" s="250">
        <v>5.3949999999999996</v>
      </c>
      <c r="M1923" s="213"/>
      <c r="N1923" s="226"/>
    </row>
    <row r="1924" spans="1:14" ht="16.5" customHeight="1" x14ac:dyDescent="0.25">
      <c r="A1924" s="203">
        <v>45649</v>
      </c>
      <c r="B1924" s="128" t="s">
        <v>22</v>
      </c>
      <c r="C1924" s="157" t="str">
        <f t="shared" si="61"/>
        <v>23.12.2024_BIE1</v>
      </c>
      <c r="D1924" s="190">
        <f t="shared" si="62"/>
        <v>0</v>
      </c>
      <c r="E1924" s="248">
        <v>0</v>
      </c>
      <c r="F1924" s="249">
        <v>1.7446820884926276E-2</v>
      </c>
      <c r="G1924" s="248">
        <v>1.4397399179503027E-2</v>
      </c>
      <c r="H1924" s="248">
        <v>2.6156474205671337E-2</v>
      </c>
      <c r="I1924" s="250">
        <v>4.0839999999999996</v>
      </c>
      <c r="J1924" s="251">
        <v>0.94159585506080878</v>
      </c>
      <c r="K1924" s="250">
        <v>6.2859999999999996</v>
      </c>
      <c r="L1924" s="250">
        <v>9.4529999999999994</v>
      </c>
      <c r="M1924" s="213"/>
      <c r="N1924" s="226"/>
    </row>
    <row r="1925" spans="1:14" ht="16.5" customHeight="1" x14ac:dyDescent="0.25">
      <c r="A1925" s="203">
        <v>45649</v>
      </c>
      <c r="B1925" s="128" t="s">
        <v>25</v>
      </c>
      <c r="C1925" s="157" t="str">
        <f t="shared" si="61"/>
        <v>23.12.2024_BIE2</v>
      </c>
      <c r="D1925" s="190">
        <f t="shared" si="62"/>
        <v>0</v>
      </c>
      <c r="E1925" s="248">
        <v>3.4127097295498843E-2</v>
      </c>
      <c r="F1925" s="249">
        <v>1.7725451718919379E-2</v>
      </c>
      <c r="G1925" s="248">
        <v>-9.598266119668845E-4</v>
      </c>
      <c r="H1925" s="248">
        <v>-1.0898530919029657E-3</v>
      </c>
      <c r="I1925" s="250">
        <v>3.976</v>
      </c>
      <c r="J1925" s="251">
        <v>0.89698201846024395</v>
      </c>
      <c r="K1925" s="250">
        <v>6.3959999999999999</v>
      </c>
      <c r="L1925" s="250">
        <v>8.6289999999999996</v>
      </c>
      <c r="M1925" s="213"/>
      <c r="N1925" s="226"/>
    </row>
    <row r="1926" spans="1:14" ht="16.5" customHeight="1" x14ac:dyDescent="0.25">
      <c r="A1926" s="203">
        <v>45649</v>
      </c>
      <c r="B1926" s="128" t="s">
        <v>14</v>
      </c>
      <c r="C1926" s="157" t="str">
        <f t="shared" si="61"/>
        <v>23.12.2024_BRA1</v>
      </c>
      <c r="D1926" s="190">
        <f t="shared" si="62"/>
        <v>0</v>
      </c>
      <c r="E1926" s="248">
        <v>2.3888968106849182E-2</v>
      </c>
      <c r="F1926" s="249">
        <v>4.8135314725829062E-2</v>
      </c>
      <c r="G1926" s="248">
        <v>0</v>
      </c>
      <c r="H1926" s="248">
        <v>2.1797061838059544E-3</v>
      </c>
      <c r="I1926" s="250">
        <v>7.8120000000000003</v>
      </c>
      <c r="J1926" s="251">
        <v>1.7651600515476598</v>
      </c>
      <c r="K1926" s="250">
        <v>5.4130000000000003</v>
      </c>
      <c r="L1926" s="250">
        <v>6.5460000000000003</v>
      </c>
      <c r="M1926" s="213"/>
      <c r="N1926" s="226"/>
    </row>
    <row r="1927" spans="1:14" ht="16.5" customHeight="1" x14ac:dyDescent="0.25">
      <c r="A1927" s="203">
        <v>45649</v>
      </c>
      <c r="B1927" s="128" t="s">
        <v>17</v>
      </c>
      <c r="C1927" s="157" t="str">
        <f t="shared" si="61"/>
        <v>23.12.2024_BRA2</v>
      </c>
      <c r="D1927" s="190">
        <f t="shared" si="62"/>
        <v>0</v>
      </c>
      <c r="E1927" s="248">
        <v>8.7024098103522005E-2</v>
      </c>
      <c r="F1927" s="249">
        <v>5.8006529011972729E-2</v>
      </c>
      <c r="G1927" s="248">
        <v>3.6473411254741052E-2</v>
      </c>
      <c r="H1927" s="248">
        <v>1.5257943286641635E-2</v>
      </c>
      <c r="I1927" s="250">
        <v>9.3109999999999999</v>
      </c>
      <c r="J1927" s="251">
        <v>2.1360420899388117</v>
      </c>
      <c r="K1927" s="250">
        <v>7.4260000000000002</v>
      </c>
      <c r="L1927" s="250">
        <v>7.1239999999999997</v>
      </c>
      <c r="M1927" s="213"/>
      <c r="N1927" s="226"/>
    </row>
    <row r="1928" spans="1:14" ht="16.5" customHeight="1" x14ac:dyDescent="0.25">
      <c r="A1928" s="203">
        <v>45649</v>
      </c>
      <c r="B1928" s="128" t="s">
        <v>30</v>
      </c>
      <c r="C1928" s="157" t="str">
        <f t="shared" si="61"/>
        <v>23.12.2024_FAL1</v>
      </c>
      <c r="D1928" s="190">
        <f t="shared" si="62"/>
        <v>0</v>
      </c>
      <c r="E1928" s="248">
        <v>5.4603355672798129E-2</v>
      </c>
      <c r="F1928" s="249">
        <v>4.8706455456112165E-2</v>
      </c>
      <c r="G1928" s="248">
        <v>0.1814072296617385</v>
      </c>
      <c r="H1928" s="248">
        <v>0.11225486846600613</v>
      </c>
      <c r="I1928" s="250">
        <v>10.95</v>
      </c>
      <c r="J1928" s="251">
        <v>2.6483133944645187</v>
      </c>
      <c r="K1928" s="250">
        <v>23</v>
      </c>
      <c r="L1928" s="250">
        <v>20.832999999999998</v>
      </c>
      <c r="M1928" s="213"/>
      <c r="N1928" s="226"/>
    </row>
    <row r="1929" spans="1:14" ht="16.5" customHeight="1" x14ac:dyDescent="0.25">
      <c r="A1929" s="203">
        <v>45649</v>
      </c>
      <c r="B1929" s="128" t="s">
        <v>32</v>
      </c>
      <c r="C1929" s="157" t="str">
        <f t="shared" si="61"/>
        <v>23.12.2024_FAL2</v>
      </c>
      <c r="D1929" s="190">
        <f t="shared" si="62"/>
        <v>0</v>
      </c>
      <c r="E1929" s="248">
        <v>9.7262227292171655E-2</v>
      </c>
      <c r="F1929" s="249">
        <v>6.9490405998741553E-2</v>
      </c>
      <c r="G1929" s="248">
        <v>0.33114018112857013</v>
      </c>
      <c r="H1929" s="248">
        <v>0.20925179364537069</v>
      </c>
      <c r="I1929" s="250">
        <v>10.250999999999999</v>
      </c>
      <c r="J1929" s="251">
        <v>2.636227117819856</v>
      </c>
      <c r="K1929" s="250">
        <v>27</v>
      </c>
      <c r="L1929" s="250">
        <v>22.231000000000002</v>
      </c>
      <c r="M1929" s="213"/>
      <c r="N1929" s="226"/>
    </row>
    <row r="1930" spans="1:14" ht="16.5" customHeight="1" x14ac:dyDescent="0.25">
      <c r="A1930" s="203">
        <v>45649</v>
      </c>
      <c r="B1930" s="128" t="s">
        <v>26</v>
      </c>
      <c r="C1930" s="157" t="str">
        <f t="shared" si="61"/>
        <v>23.12.2024_GRU1</v>
      </c>
      <c r="D1930" s="190">
        <f t="shared" si="62"/>
        <v>0</v>
      </c>
      <c r="E1930" s="248">
        <v>0</v>
      </c>
      <c r="F1930" s="249">
        <v>3.1158013180751773E-2</v>
      </c>
      <c r="G1930" s="248">
        <v>-2.8794798359006134E-3</v>
      </c>
      <c r="H1930" s="248">
        <v>2.1797061838059544E-3</v>
      </c>
      <c r="I1930" s="250">
        <v>7.452</v>
      </c>
      <c r="J1930" s="251">
        <v>1.6816109642498811</v>
      </c>
      <c r="K1930" s="250">
        <v>6.8959999999999999</v>
      </c>
      <c r="L1930" s="250">
        <v>7.4640000000000004</v>
      </c>
      <c r="M1930" s="213"/>
      <c r="N1930" s="226"/>
    </row>
    <row r="1931" spans="1:14" ht="16.5" customHeight="1" x14ac:dyDescent="0.25">
      <c r="A1931" s="203">
        <v>45649</v>
      </c>
      <c r="B1931" s="128" t="s">
        <v>28</v>
      </c>
      <c r="C1931" s="157" t="str">
        <f t="shared" si="61"/>
        <v>23.12.2024_GRU2</v>
      </c>
      <c r="D1931" s="190">
        <f t="shared" si="62"/>
        <v>0</v>
      </c>
      <c r="E1931" s="248">
        <v>-1.7063548647749313E-3</v>
      </c>
      <c r="F1931" s="249">
        <v>2.9751949457128134E-2</v>
      </c>
      <c r="G1931" s="248">
        <v>9.5982661196687257E-3</v>
      </c>
      <c r="H1931" s="248">
        <v>-1.0898530919029657E-3</v>
      </c>
      <c r="I1931" s="250">
        <v>7.0359999999999996</v>
      </c>
      <c r="J1931" s="251">
        <v>1.5963424718854313</v>
      </c>
      <c r="K1931" s="250">
        <v>6.2080000000000002</v>
      </c>
      <c r="L1931" s="250">
        <v>7.383</v>
      </c>
      <c r="M1931" s="213"/>
      <c r="N1931" s="226"/>
    </row>
    <row r="1932" spans="1:14" ht="16.5" customHeight="1" x14ac:dyDescent="0.25">
      <c r="A1932" s="203">
        <v>45649</v>
      </c>
      <c r="B1932" s="128" t="s">
        <v>0</v>
      </c>
      <c r="C1932" s="157" t="str">
        <f t="shared" si="61"/>
        <v>23.12.2024_KIN1</v>
      </c>
      <c r="D1932" s="190">
        <f t="shared" si="62"/>
        <v>0</v>
      </c>
      <c r="E1932" s="248">
        <v>1.5357193782974454E-2</v>
      </c>
      <c r="F1932" s="249">
        <v>3.8316592847639816E-2</v>
      </c>
      <c r="G1932" s="248">
        <v>1.2477745955569339E-2</v>
      </c>
      <c r="H1932" s="248">
        <v>-4.3594123676118863E-3</v>
      </c>
      <c r="I1932" s="250">
        <v>8.5370000000000008</v>
      </c>
      <c r="J1932" s="251">
        <v>1.9366138118617207</v>
      </c>
      <c r="K1932" s="250">
        <v>8.1549999999999994</v>
      </c>
      <c r="L1932" s="250">
        <v>6.4390000000000001</v>
      </c>
      <c r="M1932" s="213"/>
      <c r="N1932" s="226"/>
    </row>
    <row r="1933" spans="1:14" ht="16.5" customHeight="1" x14ac:dyDescent="0.25">
      <c r="A1933" s="203">
        <v>45649</v>
      </c>
      <c r="B1933" s="128" t="s">
        <v>2</v>
      </c>
      <c r="C1933" s="157" t="str">
        <f t="shared" si="61"/>
        <v>23.12.2024_KIN2</v>
      </c>
      <c r="D1933" s="190">
        <f t="shared" si="62"/>
        <v>0</v>
      </c>
      <c r="E1933" s="248">
        <v>2.3888968106849182E-2</v>
      </c>
      <c r="F1933" s="249">
        <v>3.5185023063155504E-2</v>
      </c>
      <c r="G1933" s="248">
        <v>0</v>
      </c>
      <c r="H1933" s="248">
        <v>-3.2695592757088976E-3</v>
      </c>
      <c r="I1933" s="250">
        <v>8.3390000000000004</v>
      </c>
      <c r="J1933" s="251">
        <v>1.8825345126785102</v>
      </c>
      <c r="K1933" s="250">
        <v>8.3989999999999991</v>
      </c>
      <c r="L1933" s="250">
        <v>7.1059999999999999</v>
      </c>
      <c r="M1933" s="213"/>
      <c r="N1933" s="226"/>
    </row>
    <row r="1934" spans="1:14" ht="16.5" customHeight="1" x14ac:dyDescent="0.25">
      <c r="A1934" s="203">
        <v>45649</v>
      </c>
      <c r="B1934" s="128" t="s">
        <v>4</v>
      </c>
      <c r="C1934" s="157" t="str">
        <f t="shared" si="61"/>
        <v>23.12.2024_KIN3</v>
      </c>
      <c r="D1934" s="190">
        <f t="shared" si="62"/>
        <v>0</v>
      </c>
      <c r="E1934" s="248">
        <v>1.5357193782974489E-2</v>
      </c>
      <c r="F1934" s="249">
        <v>3.0054139469108222E-2</v>
      </c>
      <c r="G1934" s="248">
        <v>1.6317052403436758E-2</v>
      </c>
      <c r="H1934" s="248">
        <v>4.7953536043730788E-2</v>
      </c>
      <c r="I1934" s="250">
        <v>7.7480000000000002</v>
      </c>
      <c r="J1934" s="251">
        <v>1.7773102420692584</v>
      </c>
      <c r="K1934" s="250">
        <v>8.3520000000000003</v>
      </c>
      <c r="L1934" s="250">
        <v>8.1530000000000005</v>
      </c>
      <c r="M1934" s="213"/>
      <c r="N1934" s="226"/>
    </row>
    <row r="1935" spans="1:14" ht="16.5" customHeight="1" x14ac:dyDescent="0.25">
      <c r="A1935" s="203">
        <v>45649</v>
      </c>
      <c r="B1935" s="128" t="s">
        <v>6</v>
      </c>
      <c r="C1935" s="157" t="str">
        <f t="shared" si="61"/>
        <v>23.12.2024_KIN4</v>
      </c>
      <c r="D1935" s="190">
        <f t="shared" si="62"/>
        <v>0</v>
      </c>
      <c r="E1935" s="248">
        <v>6.6547839726222746E-2</v>
      </c>
      <c r="F1935" s="249">
        <v>3.593651443116605E-2</v>
      </c>
      <c r="G1935" s="248">
        <v>4.4152024150476005E-2</v>
      </c>
      <c r="H1935" s="248">
        <v>4.4683976768021896E-2</v>
      </c>
      <c r="I1935" s="250">
        <v>7.6479999999999997</v>
      </c>
      <c r="J1935" s="251">
        <v>1.7753414019596272</v>
      </c>
      <c r="K1935" s="250">
        <v>10.807</v>
      </c>
      <c r="L1935" s="250">
        <v>8.2010000000000005</v>
      </c>
      <c r="M1935" s="213"/>
      <c r="N1935" s="226"/>
    </row>
    <row r="1936" spans="1:14" ht="16.5" customHeight="1" x14ac:dyDescent="0.25">
      <c r="A1936" s="203">
        <v>45649</v>
      </c>
      <c r="B1936" s="128" t="s">
        <v>34</v>
      </c>
      <c r="C1936" s="157" t="str">
        <f t="shared" si="61"/>
        <v>23.12.2024_KRE1</v>
      </c>
      <c r="D1936" s="190">
        <f t="shared" si="62"/>
        <v>0</v>
      </c>
      <c r="E1936" s="248">
        <v>0</v>
      </c>
      <c r="F1936" s="249">
        <v>2.7125327711661706E-2</v>
      </c>
      <c r="G1936" s="248">
        <v>0.33401966096447094</v>
      </c>
      <c r="H1936" s="248">
        <v>5.013324222753672E-2</v>
      </c>
      <c r="I1936" s="250">
        <v>8.8689999999999998</v>
      </c>
      <c r="J1936" s="251">
        <v>2.2778670221384751</v>
      </c>
      <c r="K1936" s="250">
        <v>28</v>
      </c>
      <c r="L1936" s="250">
        <v>26.760999999999999</v>
      </c>
      <c r="M1936" s="213"/>
      <c r="N1936" s="226"/>
    </row>
    <row r="1937" spans="1:14" ht="16.5" customHeight="1" x14ac:dyDescent="0.25">
      <c r="A1937" s="203">
        <v>45649</v>
      </c>
      <c r="B1937" s="128" t="s">
        <v>37</v>
      </c>
      <c r="C1937" s="157" t="str">
        <f t="shared" si="61"/>
        <v>23.12.2024_KRE2</v>
      </c>
      <c r="D1937" s="190">
        <f t="shared" si="62"/>
        <v>0</v>
      </c>
      <c r="E1937" s="248">
        <v>0</v>
      </c>
      <c r="F1937" s="249">
        <v>3.4051886666533367E-2</v>
      </c>
      <c r="G1937" s="248">
        <v>0.37337255205511249</v>
      </c>
      <c r="H1937" s="248">
        <v>5.3402801503245639E-2</v>
      </c>
      <c r="I1937" s="250">
        <v>9.343</v>
      </c>
      <c r="J1937" s="251">
        <v>2.4164819458629374</v>
      </c>
      <c r="K1937" s="250">
        <v>31</v>
      </c>
      <c r="L1937" s="250">
        <v>32.204000000000001</v>
      </c>
      <c r="M1937" s="213"/>
      <c r="N1937" s="226"/>
    </row>
    <row r="1938" spans="1:14" ht="16.5" customHeight="1" x14ac:dyDescent="0.25">
      <c r="A1938" s="203">
        <v>45649</v>
      </c>
      <c r="B1938" s="128" t="s">
        <v>18</v>
      </c>
      <c r="C1938" s="157" t="str">
        <f t="shared" si="61"/>
        <v>23.12.2024_ORB1</v>
      </c>
      <c r="D1938" s="190">
        <f t="shared" si="62"/>
        <v>0</v>
      </c>
      <c r="E1938" s="248">
        <v>0</v>
      </c>
      <c r="F1938" s="249">
        <v>2.9407980308883381E-2</v>
      </c>
      <c r="G1938" s="248">
        <v>1.3437572567536183E-2</v>
      </c>
      <c r="H1938" s="248">
        <v>0</v>
      </c>
      <c r="I1938" s="250">
        <v>6.3419999999999996</v>
      </c>
      <c r="J1938" s="251">
        <v>1.442901680722966</v>
      </c>
      <c r="K1938" s="250">
        <v>8.8279999999999994</v>
      </c>
      <c r="L1938" s="250">
        <v>10.504</v>
      </c>
      <c r="M1938" s="213"/>
      <c r="N1938" s="226"/>
    </row>
    <row r="1939" spans="1:14" ht="16.5" customHeight="1" x14ac:dyDescent="0.25">
      <c r="A1939" s="203">
        <v>45649</v>
      </c>
      <c r="B1939" s="128" t="s">
        <v>21</v>
      </c>
      <c r="C1939" s="157" t="str">
        <f t="shared" si="61"/>
        <v>23.12.2024_ORB2</v>
      </c>
      <c r="D1939" s="190">
        <f t="shared" si="62"/>
        <v>0</v>
      </c>
      <c r="E1939" s="248">
        <v>6.8254194590997965E-3</v>
      </c>
      <c r="F1939" s="249">
        <v>3.0820794678273793E-2</v>
      </c>
      <c r="G1939" s="248">
        <v>7.6786128957349563E-3</v>
      </c>
      <c r="H1939" s="248">
        <v>-4.3594123676118863E-3</v>
      </c>
      <c r="I1939" s="250">
        <v>6.2619999999999996</v>
      </c>
      <c r="J1939" s="251">
        <v>1.4190330830320896</v>
      </c>
      <c r="K1939" s="250">
        <v>15.58</v>
      </c>
      <c r="L1939" s="250">
        <v>11.946</v>
      </c>
      <c r="M1939" s="213"/>
      <c r="N1939" s="226"/>
    </row>
    <row r="1940" spans="1:14" ht="16.5" customHeight="1" x14ac:dyDescent="0.25">
      <c r="A1940" s="203">
        <v>45649</v>
      </c>
      <c r="B1940" s="128" t="s">
        <v>10</v>
      </c>
      <c r="C1940" s="157" t="str">
        <f t="shared" si="61"/>
        <v>23.12.2024_SAL1</v>
      </c>
      <c r="D1940" s="190">
        <f t="shared" si="62"/>
        <v>0</v>
      </c>
      <c r="E1940" s="248">
        <v>0.10920671134559622</v>
      </c>
      <c r="F1940" s="249">
        <v>3.7705948475440836E-2</v>
      </c>
      <c r="G1940" s="248">
        <v>-9.598266119668845E-4</v>
      </c>
      <c r="H1940" s="248">
        <v>7.6289716433208289E-3</v>
      </c>
      <c r="I1940" s="250">
        <v>8.2989999999999995</v>
      </c>
      <c r="J1940" s="251">
        <v>1.8760724746508826</v>
      </c>
      <c r="K1940" s="250">
        <v>5.0030000000000001</v>
      </c>
      <c r="L1940" s="250">
        <v>6.0309999999999997</v>
      </c>
      <c r="M1940" s="213"/>
      <c r="N1940" s="226"/>
    </row>
    <row r="1941" spans="1:14" ht="16.5" customHeight="1" x14ac:dyDescent="0.25">
      <c r="A1941" s="203">
        <v>45649</v>
      </c>
      <c r="B1941" s="128" t="s">
        <v>12</v>
      </c>
      <c r="C1941" s="157" t="str">
        <f t="shared" si="61"/>
        <v>23.12.2024_SAL2</v>
      </c>
      <c r="D1941" s="190">
        <f t="shared" si="62"/>
        <v>0</v>
      </c>
      <c r="E1941" s="248">
        <v>8.3611388373972209E-2</v>
      </c>
      <c r="F1941" s="249">
        <v>4.1747564138534345E-2</v>
      </c>
      <c r="G1941" s="248">
        <v>1.8236705627370526E-2</v>
      </c>
      <c r="H1941" s="248">
        <v>3.0515886573283246E-2</v>
      </c>
      <c r="I1941" s="250">
        <v>8.2970000000000006</v>
      </c>
      <c r="J1941" s="251">
        <v>1.897494571219833</v>
      </c>
      <c r="K1941" s="250">
        <v>5.4610000000000003</v>
      </c>
      <c r="L1941" s="250">
        <v>6.1269999999999998</v>
      </c>
      <c r="M1941" s="213"/>
      <c r="N1941" s="226"/>
    </row>
    <row r="1942" spans="1:14" ht="16.5" customHeight="1" x14ac:dyDescent="0.25">
      <c r="A1942" s="203">
        <v>45649</v>
      </c>
      <c r="B1942" s="128" t="s">
        <v>7</v>
      </c>
      <c r="C1942" s="157" t="str">
        <f t="shared" si="61"/>
        <v>23.12.2024_STE1</v>
      </c>
      <c r="D1942" s="190">
        <f t="shared" si="62"/>
        <v>0</v>
      </c>
      <c r="E1942" s="248">
        <v>8.3611388373972209E-2</v>
      </c>
      <c r="F1942" s="249">
        <v>5.5468714606629464E-2</v>
      </c>
      <c r="G1942" s="248">
        <v>1.4397399179503069E-2</v>
      </c>
      <c r="H1942" s="248">
        <v>-3.2695592757088976E-3</v>
      </c>
      <c r="I1942" s="250">
        <v>7.4390000000000001</v>
      </c>
      <c r="J1942" s="251">
        <v>1.6904309491674028</v>
      </c>
      <c r="K1942" s="250">
        <v>4.7569999999999997</v>
      </c>
      <c r="L1942" s="250">
        <v>5.032</v>
      </c>
      <c r="M1942" s="213"/>
      <c r="N1942" s="226"/>
    </row>
    <row r="1943" spans="1:14" ht="16.5" customHeight="1" x14ac:dyDescent="0.25">
      <c r="A1943" s="203">
        <v>45649</v>
      </c>
      <c r="B1943" s="128" t="s">
        <v>9</v>
      </c>
      <c r="C1943" s="157" t="str">
        <f t="shared" si="61"/>
        <v>23.12.2024_STE2</v>
      </c>
      <c r="D1943" s="190">
        <f t="shared" si="62"/>
        <v>0</v>
      </c>
      <c r="E1943" s="248">
        <v>5.8016065402348056E-2</v>
      </c>
      <c r="F1943" s="249">
        <v>3.9589962515561627E-2</v>
      </c>
      <c r="G1943" s="248">
        <v>-1.9196532239337291E-3</v>
      </c>
      <c r="H1943" s="248">
        <v>0</v>
      </c>
      <c r="I1943" s="250">
        <v>5.6109999999999998</v>
      </c>
      <c r="J1943" s="251">
        <v>1.2658659784681474</v>
      </c>
      <c r="K1943" s="250">
        <v>4.5890000000000004</v>
      </c>
      <c r="L1943" s="250">
        <v>4.6040000000000001</v>
      </c>
      <c r="M1943" s="213"/>
      <c r="N1943" s="226"/>
    </row>
    <row r="1944" spans="1:14" x14ac:dyDescent="0.25">
      <c r="A1944" s="203">
        <v>45670</v>
      </c>
      <c r="B1944" s="128" t="s">
        <v>22</v>
      </c>
      <c r="C1944" s="157" t="str">
        <f t="shared" si="61"/>
        <v>13.01.2025_BIE1</v>
      </c>
      <c r="D1944" s="190">
        <f t="shared" si="62"/>
        <v>0</v>
      </c>
      <c r="E1944" s="248">
        <v>9.3590066088865526E-2</v>
      </c>
      <c r="F1944" s="249">
        <v>9.071723978171943E-3</v>
      </c>
      <c r="G1944" s="248">
        <v>2.6927635123002294E-2</v>
      </c>
      <c r="H1944" s="248">
        <v>5.188238104990104E-2</v>
      </c>
      <c r="I1944" s="250">
        <v>4.6390000000000002</v>
      </c>
      <c r="J1944" s="251">
        <v>1.0845155603073025</v>
      </c>
      <c r="K1944" s="250">
        <v>5.0919999999999996</v>
      </c>
      <c r="L1944" s="250">
        <v>10.657</v>
      </c>
      <c r="M1944" s="213"/>
      <c r="N1944" s="226"/>
    </row>
    <row r="1945" spans="1:14" x14ac:dyDescent="0.25">
      <c r="A1945" s="203">
        <v>45670</v>
      </c>
      <c r="B1945" s="128" t="s">
        <v>25</v>
      </c>
      <c r="C1945" s="157" t="str">
        <f t="shared" si="61"/>
        <v>13.01.2025_BIE2</v>
      </c>
      <c r="D1945" s="190">
        <f t="shared" si="62"/>
        <v>0</v>
      </c>
      <c r="E1945" s="248">
        <v>2.1345102792197441E-2</v>
      </c>
      <c r="F1945" s="249">
        <v>1.0022247056852389E-2</v>
      </c>
      <c r="G1945" s="248">
        <v>0</v>
      </c>
      <c r="H1945" s="248">
        <v>1.2065670011604891E-2</v>
      </c>
      <c r="I1945" s="250">
        <v>4.4829999999999997</v>
      </c>
      <c r="J1945" s="251">
        <v>1.0162486032350329</v>
      </c>
      <c r="K1945" s="250">
        <v>5.13</v>
      </c>
      <c r="L1945" s="250">
        <v>10.298999999999999</v>
      </c>
      <c r="M1945" s="213"/>
      <c r="N1945" s="226"/>
    </row>
    <row r="1946" spans="1:14" x14ac:dyDescent="0.25">
      <c r="A1946" s="203">
        <v>45670</v>
      </c>
      <c r="B1946" s="128" t="s">
        <v>14</v>
      </c>
      <c r="C1946" s="157" t="str">
        <f t="shared" si="61"/>
        <v>13.01.2025_BRA1</v>
      </c>
      <c r="D1946" s="190">
        <f t="shared" si="62"/>
        <v>0</v>
      </c>
      <c r="E1946" s="248">
        <v>1.6419309840151882E-2</v>
      </c>
      <c r="F1946" s="249">
        <v>2.5141192942529915E-2</v>
      </c>
      <c r="G1946" s="248">
        <v>0</v>
      </c>
      <c r="H1946" s="248">
        <v>2.533790702437029E-2</v>
      </c>
      <c r="I1946" s="250">
        <v>7.7290000000000001</v>
      </c>
      <c r="J1946" s="251">
        <v>1.7534633557935695</v>
      </c>
      <c r="K1946" s="250">
        <v>4.8959999999999999</v>
      </c>
      <c r="L1946" s="250">
        <v>6.3440000000000003</v>
      </c>
      <c r="M1946" s="213"/>
      <c r="N1946" s="226"/>
    </row>
    <row r="1947" spans="1:14" x14ac:dyDescent="0.25">
      <c r="A1947" s="203">
        <v>45670</v>
      </c>
      <c r="B1947" s="128" t="s">
        <v>17</v>
      </c>
      <c r="C1947" s="157" t="str">
        <f t="shared" si="61"/>
        <v>13.01.2025_BRA2</v>
      </c>
      <c r="D1947" s="190">
        <f t="shared" si="62"/>
        <v>0</v>
      </c>
      <c r="E1947" s="248">
        <v>3.7764412632349253E-2</v>
      </c>
      <c r="F1947" s="249">
        <v>2.7019910937104829E-2</v>
      </c>
      <c r="G1947" s="248">
        <v>0</v>
      </c>
      <c r="H1947" s="248">
        <v>3.0164175029012242E-2</v>
      </c>
      <c r="I1947" s="250">
        <v>9.6669999999999998</v>
      </c>
      <c r="J1947" s="251">
        <v>2.1926687730875827</v>
      </c>
      <c r="K1947" s="250">
        <v>6.21</v>
      </c>
      <c r="L1947" s="250">
        <v>6.8970000000000002</v>
      </c>
      <c r="M1947" s="213"/>
      <c r="N1947" s="226"/>
    </row>
    <row r="1948" spans="1:14" x14ac:dyDescent="0.25">
      <c r="A1948" s="203">
        <v>45670</v>
      </c>
      <c r="B1948" s="128" t="s">
        <v>30</v>
      </c>
      <c r="C1948" s="157" t="str">
        <f t="shared" si="61"/>
        <v>13.01.2025_FAL1</v>
      </c>
      <c r="D1948" s="190">
        <f t="shared" si="62"/>
        <v>8</v>
      </c>
      <c r="E1948" s="248"/>
      <c r="F1948" s="249"/>
      <c r="G1948" s="248"/>
      <c r="H1948" s="248"/>
      <c r="I1948" s="250"/>
      <c r="J1948" s="251"/>
      <c r="K1948" s="250"/>
      <c r="L1948" s="250"/>
      <c r="M1948" s="213"/>
      <c r="N1948" s="226" t="s">
        <v>447</v>
      </c>
    </row>
    <row r="1949" spans="1:14" x14ac:dyDescent="0.25">
      <c r="A1949" s="203">
        <v>45670</v>
      </c>
      <c r="B1949" s="128" t="s">
        <v>32</v>
      </c>
      <c r="C1949" s="157" t="str">
        <f t="shared" si="61"/>
        <v>13.01.2025_FAL2</v>
      </c>
      <c r="D1949" s="190">
        <f t="shared" si="62"/>
        <v>0</v>
      </c>
      <c r="E1949" s="248">
        <v>8.5380411168789583E-2</v>
      </c>
      <c r="F1949" s="249">
        <v>2.8062088696885635E-2</v>
      </c>
      <c r="G1949" s="248">
        <v>9.7173639791704097E-2</v>
      </c>
      <c r="H1949" s="248">
        <v>0.14237490613693765</v>
      </c>
      <c r="I1949" s="250">
        <v>13.884</v>
      </c>
      <c r="J1949" s="251">
        <v>3.2547794797352507</v>
      </c>
      <c r="K1949" s="250">
        <v>31</v>
      </c>
      <c r="L1949" s="250">
        <v>28</v>
      </c>
      <c r="M1949" s="213"/>
      <c r="N1949" s="226"/>
    </row>
    <row r="1950" spans="1:14" x14ac:dyDescent="0.25">
      <c r="A1950" s="203">
        <v>45670</v>
      </c>
      <c r="B1950" s="128" t="s">
        <v>26</v>
      </c>
      <c r="C1950" s="157" t="str">
        <f t="shared" si="61"/>
        <v>13.01.2025_GRU1</v>
      </c>
      <c r="D1950" s="190">
        <f t="shared" si="62"/>
        <v>0</v>
      </c>
      <c r="E1950" s="248">
        <v>0</v>
      </c>
      <c r="F1950" s="249">
        <v>2.2015533417027291E-2</v>
      </c>
      <c r="G1950" s="248">
        <v>0</v>
      </c>
      <c r="H1950" s="248">
        <v>4.8262680046419516E-3</v>
      </c>
      <c r="I1950" s="250">
        <v>7.8250000000000002</v>
      </c>
      <c r="J1950" s="251">
        <v>1.7689021072940132</v>
      </c>
      <c r="K1950" s="250">
        <v>6.33</v>
      </c>
      <c r="L1950" s="250">
        <v>10.095000000000001</v>
      </c>
      <c r="M1950" s="213"/>
      <c r="N1950" s="226"/>
    </row>
    <row r="1951" spans="1:14" x14ac:dyDescent="0.25">
      <c r="A1951" s="203">
        <v>45670</v>
      </c>
      <c r="B1951" s="128" t="s">
        <v>28</v>
      </c>
      <c r="C1951" s="157" t="str">
        <f t="shared" si="61"/>
        <v>13.01.2025_GRU2</v>
      </c>
      <c r="D1951" s="190">
        <f t="shared" si="62"/>
        <v>0</v>
      </c>
      <c r="E1951" s="248">
        <v>0</v>
      </c>
      <c r="F1951" s="249">
        <v>1.8487679991923689E-2</v>
      </c>
      <c r="G1951" s="248">
        <v>0</v>
      </c>
      <c r="H1951" s="248">
        <v>2.4131340023209632E-3</v>
      </c>
      <c r="I1951" s="250">
        <v>7.3630000000000004</v>
      </c>
      <c r="J1951" s="251">
        <v>1.6638154886470067</v>
      </c>
      <c r="K1951" s="250">
        <v>6.617</v>
      </c>
      <c r="L1951" s="250">
        <v>9.8000000000000007</v>
      </c>
      <c r="M1951" s="213"/>
      <c r="N1951" s="226"/>
    </row>
    <row r="1952" spans="1:14" x14ac:dyDescent="0.25">
      <c r="A1952" s="203">
        <v>45670</v>
      </c>
      <c r="B1952" s="128" t="s">
        <v>0</v>
      </c>
      <c r="C1952" s="157" t="str">
        <f t="shared" si="61"/>
        <v>13.01.2025_KIN1</v>
      </c>
      <c r="D1952" s="190">
        <f t="shared" si="62"/>
        <v>0</v>
      </c>
      <c r="E1952" s="248">
        <v>1.4777378856136707E-2</v>
      </c>
      <c r="F1952" s="249">
        <v>1.9604808325540294E-2</v>
      </c>
      <c r="G1952" s="248">
        <v>0</v>
      </c>
      <c r="H1952" s="248">
        <v>1.2065670011604891E-2</v>
      </c>
      <c r="I1952" s="250">
        <v>7.2190000000000003</v>
      </c>
      <c r="J1952" s="251">
        <v>1.6342289232350331</v>
      </c>
      <c r="K1952" s="250">
        <v>6.617</v>
      </c>
      <c r="L1952" s="250">
        <v>7.1849999999999996</v>
      </c>
      <c r="M1952" s="213"/>
      <c r="N1952" s="226"/>
    </row>
    <row r="1953" spans="1:14" x14ac:dyDescent="0.25">
      <c r="A1953" s="203">
        <v>45670</v>
      </c>
      <c r="B1953" s="128" t="s">
        <v>2</v>
      </c>
      <c r="C1953" s="157" t="str">
        <f t="shared" si="61"/>
        <v>13.01.2025_KIN2</v>
      </c>
      <c r="D1953" s="190">
        <f t="shared" si="62"/>
        <v>0</v>
      </c>
      <c r="E1953" s="248">
        <v>1.6419309840152087E-3</v>
      </c>
      <c r="F1953" s="249">
        <v>1.5237940956380765E-2</v>
      </c>
      <c r="G1953" s="248">
        <v>0</v>
      </c>
      <c r="H1953" s="248">
        <v>1.8098505017407351E-2</v>
      </c>
      <c r="I1953" s="250">
        <v>7.9470000000000001</v>
      </c>
      <c r="J1953" s="251">
        <v>1.8004989798525497</v>
      </c>
      <c r="K1953" s="250">
        <v>7.4189999999999996</v>
      </c>
      <c r="L1953" s="250">
        <v>7.8460000000000001</v>
      </c>
      <c r="M1953" s="213"/>
      <c r="N1953" s="226"/>
    </row>
    <row r="1954" spans="1:14" x14ac:dyDescent="0.25">
      <c r="A1954" s="203">
        <v>45670</v>
      </c>
      <c r="B1954" s="128" t="s">
        <v>4</v>
      </c>
      <c r="C1954" s="157" t="str">
        <f t="shared" si="61"/>
        <v>13.01.2025_KIN3</v>
      </c>
      <c r="D1954" s="190">
        <f t="shared" si="62"/>
        <v>0</v>
      </c>
      <c r="E1954" s="248">
        <v>3.119668869628852E-2</v>
      </c>
      <c r="F1954" s="249">
        <v>1.3139427738415015E-2</v>
      </c>
      <c r="G1954" s="248">
        <v>5.8538337223917524E-3</v>
      </c>
      <c r="H1954" s="248">
        <v>2.8957608027851762E-2</v>
      </c>
      <c r="I1954" s="250">
        <v>7.7210000000000001</v>
      </c>
      <c r="J1954" s="251">
        <v>1.7573038571111794</v>
      </c>
      <c r="K1954" s="250">
        <v>8.1910000000000007</v>
      </c>
      <c r="L1954" s="250">
        <v>9.01</v>
      </c>
      <c r="M1954" s="213"/>
      <c r="N1954" s="226"/>
    </row>
    <row r="1955" spans="1:14" x14ac:dyDescent="0.25">
      <c r="A1955" s="203">
        <v>45670</v>
      </c>
      <c r="B1955" s="128" t="s">
        <v>6</v>
      </c>
      <c r="C1955" s="157" t="str">
        <f t="shared" si="61"/>
        <v>13.01.2025_KIN4</v>
      </c>
      <c r="D1955" s="190">
        <f t="shared" si="62"/>
        <v>0</v>
      </c>
      <c r="E1955" s="248">
        <v>6.4035308376592187E-2</v>
      </c>
      <c r="F1955" s="249">
        <v>1.5080423375222056E-2</v>
      </c>
      <c r="G1955" s="248">
        <v>6.0879870712874817E-2</v>
      </c>
      <c r="H1955" s="248">
        <v>3.3783876032493713E-2</v>
      </c>
      <c r="I1955" s="250">
        <v>7.7779999999999996</v>
      </c>
      <c r="J1955" s="251">
        <v>1.8143749718679327</v>
      </c>
      <c r="K1955" s="250">
        <v>10.827999999999999</v>
      </c>
      <c r="L1955" s="250">
        <v>9.1460000000000008</v>
      </c>
      <c r="M1955" s="213"/>
      <c r="N1955" s="226"/>
    </row>
    <row r="1956" spans="1:14" x14ac:dyDescent="0.25">
      <c r="A1956" s="203">
        <v>45670</v>
      </c>
      <c r="B1956" s="128" t="s">
        <v>34</v>
      </c>
      <c r="C1956" s="157" t="str">
        <f t="shared" si="61"/>
        <v>13.01.2025_KRE1</v>
      </c>
      <c r="D1956" s="190">
        <f t="shared" si="62"/>
        <v>0</v>
      </c>
      <c r="E1956" s="248">
        <v>0</v>
      </c>
      <c r="F1956" s="249">
        <v>2.0376702572807312E-2</v>
      </c>
      <c r="G1956" s="248">
        <v>0.34771772311007365</v>
      </c>
      <c r="H1956" s="248">
        <v>7.4807154071950308E-2</v>
      </c>
      <c r="I1956" s="250">
        <v>12.7</v>
      </c>
      <c r="J1956" s="251">
        <v>3.1613233728749459</v>
      </c>
      <c r="K1956" s="250">
        <v>29</v>
      </c>
      <c r="L1956" s="250">
        <v>30.859000000000002</v>
      </c>
      <c r="M1956" s="213"/>
      <c r="N1956" s="226"/>
    </row>
    <row r="1957" spans="1:14" x14ac:dyDescent="0.25">
      <c r="A1957" s="203">
        <v>45670</v>
      </c>
      <c r="B1957" s="128" t="s">
        <v>37</v>
      </c>
      <c r="C1957" s="157" t="str">
        <f t="shared" si="61"/>
        <v>13.01.2025_KRE2</v>
      </c>
      <c r="D1957" s="190">
        <f t="shared" si="62"/>
        <v>0</v>
      </c>
      <c r="E1957" s="248">
        <v>0</v>
      </c>
      <c r="F1957" s="249">
        <v>1.8338285505252856E-2</v>
      </c>
      <c r="G1957" s="248">
        <v>0.18615191237205961</v>
      </c>
      <c r="H1957" s="248">
        <v>5.7915216055703468E-2</v>
      </c>
      <c r="I1957" s="250">
        <v>14.346</v>
      </c>
      <c r="J1957" s="251">
        <v>3.4025084059659392</v>
      </c>
      <c r="K1957" s="250">
        <v>31</v>
      </c>
      <c r="L1957" s="250">
        <v>36.253</v>
      </c>
      <c r="M1957" s="213"/>
      <c r="N1957" s="226"/>
    </row>
    <row r="1958" spans="1:14" x14ac:dyDescent="0.25">
      <c r="A1958" s="203">
        <v>45670</v>
      </c>
      <c r="B1958" s="128" t="s">
        <v>18</v>
      </c>
      <c r="C1958" s="157" t="str">
        <f t="shared" si="61"/>
        <v>13.01.2025_ORB1</v>
      </c>
      <c r="D1958" s="190">
        <f t="shared" si="62"/>
        <v>0</v>
      </c>
      <c r="E1958" s="248">
        <v>1.8061240824167022E-2</v>
      </c>
      <c r="F1958" s="249">
        <v>1.8129576895386298E-2</v>
      </c>
      <c r="G1958" s="248">
        <v>0</v>
      </c>
      <c r="H1958" s="248">
        <v>1.2065670011604816E-3</v>
      </c>
      <c r="I1958" s="250">
        <v>6.0579999999999998</v>
      </c>
      <c r="J1958" s="251">
        <v>1.3686877993235032</v>
      </c>
      <c r="K1958" s="250">
        <v>8.3409999999999993</v>
      </c>
      <c r="L1958" s="250">
        <v>11.629</v>
      </c>
      <c r="M1958" s="213"/>
      <c r="N1958" s="226"/>
    </row>
    <row r="1959" spans="1:14" x14ac:dyDescent="0.25">
      <c r="A1959" s="203">
        <v>45670</v>
      </c>
      <c r="B1959" s="128" t="s">
        <v>21</v>
      </c>
      <c r="C1959" s="157" t="str">
        <f t="shared" si="61"/>
        <v>13.01.2025_ORB2</v>
      </c>
      <c r="D1959" s="190">
        <f t="shared" si="62"/>
        <v>0</v>
      </c>
      <c r="E1959" s="248">
        <v>2.6270895744242996E-2</v>
      </c>
      <c r="F1959" s="249">
        <v>1.7846742280309077E-2</v>
      </c>
      <c r="G1959" s="248">
        <v>0</v>
      </c>
      <c r="H1959" s="248">
        <v>1.9305072018567831E-2</v>
      </c>
      <c r="I1959" s="250">
        <v>5.6440000000000001</v>
      </c>
      <c r="J1959" s="251">
        <v>1.2806877091760529</v>
      </c>
      <c r="K1959" s="250">
        <v>10.962</v>
      </c>
      <c r="L1959" s="250">
        <v>12.907</v>
      </c>
      <c r="M1959" s="213"/>
      <c r="N1959" s="226"/>
    </row>
    <row r="1960" spans="1:14" x14ac:dyDescent="0.25">
      <c r="A1960" s="203">
        <v>45670</v>
      </c>
      <c r="B1960" s="128" t="s">
        <v>10</v>
      </c>
      <c r="C1960" s="157" t="str">
        <f t="shared" si="61"/>
        <v>13.01.2025_SAL1</v>
      </c>
      <c r="D1960" s="190">
        <f t="shared" si="62"/>
        <v>0</v>
      </c>
      <c r="E1960" s="248">
        <v>4.1048274600379638E-2</v>
      </c>
      <c r="F1960" s="249">
        <v>2.0404993497821485E-2</v>
      </c>
      <c r="G1960" s="248">
        <v>0</v>
      </c>
      <c r="H1960" s="248">
        <v>3.0164175029012242E-2</v>
      </c>
      <c r="I1960" s="250">
        <v>8.4410000000000007</v>
      </c>
      <c r="J1960" s="251">
        <v>1.9157521530875827</v>
      </c>
      <c r="K1960" s="250">
        <v>5.4740000000000002</v>
      </c>
      <c r="L1960" s="250">
        <v>6.2850000000000001</v>
      </c>
      <c r="M1960" s="213"/>
      <c r="N1960" s="226"/>
    </row>
    <row r="1961" spans="1:14" x14ac:dyDescent="0.25">
      <c r="A1961" s="203">
        <v>45670</v>
      </c>
      <c r="B1961" s="128" t="s">
        <v>12</v>
      </c>
      <c r="C1961" s="157" t="str">
        <f t="shared" si="61"/>
        <v>13.01.2025_SAL2</v>
      </c>
      <c r="D1961" s="190">
        <f t="shared" si="62"/>
        <v>0</v>
      </c>
      <c r="E1961" s="248">
        <v>7.8812687232728856E-2</v>
      </c>
      <c r="F1961" s="249">
        <v>2.2495109249207512E-2</v>
      </c>
      <c r="G1961" s="248">
        <v>0</v>
      </c>
      <c r="H1961" s="248">
        <v>4.8262680046419565E-2</v>
      </c>
      <c r="I1961" s="250">
        <v>8.4359999999999999</v>
      </c>
      <c r="J1961" s="251">
        <v>1.9201328929401325</v>
      </c>
      <c r="K1961" s="250">
        <v>5.7789999999999999</v>
      </c>
      <c r="L1961" s="250">
        <v>6.4240000000000004</v>
      </c>
      <c r="M1961" s="213"/>
      <c r="N1961" s="226"/>
    </row>
    <row r="1962" spans="1:14" x14ac:dyDescent="0.25">
      <c r="A1962" s="203">
        <v>45670</v>
      </c>
      <c r="B1962" s="128" t="s">
        <v>7</v>
      </c>
      <c r="C1962" s="157" t="str">
        <f t="shared" si="61"/>
        <v>13.01.2025_STE1</v>
      </c>
      <c r="D1962" s="190">
        <f t="shared" si="62"/>
        <v>0</v>
      </c>
      <c r="E1962" s="248">
        <v>5.2541791488485923E-2</v>
      </c>
      <c r="F1962" s="249">
        <v>1.5210121123928177E-2</v>
      </c>
      <c r="G1962" s="248">
        <v>0</v>
      </c>
      <c r="H1962" s="248">
        <v>1.8098505017407351E-2</v>
      </c>
      <c r="I1962" s="250">
        <v>8.4290000000000003</v>
      </c>
      <c r="J1962" s="251">
        <v>1.9093683198525497</v>
      </c>
      <c r="K1962" s="250">
        <v>5.5659999999999998</v>
      </c>
      <c r="L1962" s="250">
        <v>5.484</v>
      </c>
      <c r="M1962" s="213"/>
      <c r="N1962" s="226"/>
    </row>
    <row r="1963" spans="1:14" x14ac:dyDescent="0.25">
      <c r="A1963" s="203">
        <v>45670</v>
      </c>
      <c r="B1963" s="128" t="s">
        <v>9</v>
      </c>
      <c r="C1963" s="157" t="str">
        <f t="shared" si="61"/>
        <v>13.01.2025_STE2</v>
      </c>
      <c r="D1963" s="190">
        <f t="shared" si="62"/>
        <v>0</v>
      </c>
      <c r="E1963" s="248">
        <v>5.9109515424546621E-2</v>
      </c>
      <c r="F1963" s="249">
        <v>1.7327011432050576E-2</v>
      </c>
      <c r="G1963" s="248">
        <v>0</v>
      </c>
      <c r="H1963" s="248">
        <v>1.8098505017407351E-2</v>
      </c>
      <c r="I1963" s="250">
        <v>7.98</v>
      </c>
      <c r="J1963" s="251">
        <v>1.8079526898525498</v>
      </c>
      <c r="K1963" s="250">
        <v>5.9829999999999997</v>
      </c>
      <c r="L1963" s="250">
        <v>5.593</v>
      </c>
      <c r="M1963" s="213"/>
      <c r="N1963" s="226"/>
    </row>
    <row r="1964" spans="1:14" x14ac:dyDescent="0.25">
      <c r="A1964" s="203">
        <v>45684</v>
      </c>
      <c r="B1964" s="128" t="s">
        <v>22</v>
      </c>
      <c r="C1964" s="157" t="str">
        <f t="shared" si="61"/>
        <v>27.01.2025_BIE1</v>
      </c>
      <c r="D1964" s="190">
        <f t="shared" si="62"/>
        <v>0</v>
      </c>
      <c r="E1964" s="248">
        <v>0.19929865575686742</v>
      </c>
      <c r="F1964" s="249">
        <v>1.1952730206971096E-2</v>
      </c>
      <c r="G1964" s="248">
        <v>2.6927635123002294E-2</v>
      </c>
      <c r="H1964" s="248">
        <v>2.8143837434128221E-2</v>
      </c>
      <c r="I1964" s="250">
        <v>3.5590000000000002</v>
      </c>
      <c r="J1964" s="251">
        <v>0.8333487607034803</v>
      </c>
      <c r="K1964" s="250">
        <v>6.5709999999999997</v>
      </c>
      <c r="L1964" s="250">
        <v>8.2430000000000003</v>
      </c>
      <c r="M1964" s="213"/>
      <c r="N1964" s="226"/>
    </row>
    <row r="1965" spans="1:14" x14ac:dyDescent="0.25">
      <c r="A1965" s="203">
        <v>45684</v>
      </c>
      <c r="B1965" s="128" t="s">
        <v>25</v>
      </c>
      <c r="C1965" s="157" t="str">
        <f t="shared" si="61"/>
        <v>27.01.2025_BIE2</v>
      </c>
      <c r="D1965" s="190">
        <f t="shared" si="62"/>
        <v>0</v>
      </c>
      <c r="E1965" s="248">
        <v>0</v>
      </c>
      <c r="F1965" s="249">
        <v>1.2589463877781015E-2</v>
      </c>
      <c r="G1965" s="248">
        <v>0</v>
      </c>
      <c r="H1965" s="248">
        <v>0</v>
      </c>
      <c r="I1965" s="250">
        <v>3.528</v>
      </c>
      <c r="J1965" s="251">
        <v>0.79686935999999997</v>
      </c>
      <c r="K1965" s="250">
        <v>6.9269999999999996</v>
      </c>
      <c r="L1965" s="250">
        <v>8.1129999999999995</v>
      </c>
      <c r="M1965" s="213"/>
      <c r="N1965" s="226"/>
    </row>
    <row r="1966" spans="1:14" x14ac:dyDescent="0.25">
      <c r="A1966" s="203">
        <v>45684</v>
      </c>
      <c r="B1966" s="128" t="s">
        <v>14</v>
      </c>
      <c r="C1966" s="157" t="str">
        <f t="shared" si="61"/>
        <v>27.01.2025_BRA1</v>
      </c>
      <c r="D1966" s="190">
        <f t="shared" si="62"/>
        <v>0</v>
      </c>
      <c r="E1966" s="248">
        <v>0</v>
      </c>
      <c r="F1966" s="249">
        <v>3.5455364584544666E-2</v>
      </c>
      <c r="G1966" s="248">
        <v>0</v>
      </c>
      <c r="H1966" s="248">
        <v>0</v>
      </c>
      <c r="I1966" s="250">
        <v>7.12</v>
      </c>
      <c r="J1966" s="251">
        <v>1.6081943999999999</v>
      </c>
      <c r="K1966" s="250">
        <v>5.859</v>
      </c>
      <c r="L1966" s="250">
        <v>5.7640000000000002</v>
      </c>
      <c r="M1966" s="213"/>
      <c r="N1966" s="226"/>
    </row>
    <row r="1967" spans="1:14" x14ac:dyDescent="0.25">
      <c r="A1967" s="203">
        <v>45684</v>
      </c>
      <c r="B1967" s="128" t="s">
        <v>17</v>
      </c>
      <c r="C1967" s="157" t="str">
        <f t="shared" si="61"/>
        <v>27.01.2025_BRA2</v>
      </c>
      <c r="D1967" s="190">
        <f t="shared" si="62"/>
        <v>0</v>
      </c>
      <c r="E1967" s="248">
        <v>1.0870835768556412E-2</v>
      </c>
      <c r="F1967" s="249">
        <v>4.0855376541893931E-2</v>
      </c>
      <c r="G1967" s="248">
        <v>0</v>
      </c>
      <c r="H1967" s="248">
        <v>0</v>
      </c>
      <c r="I1967" s="250">
        <v>8.4860000000000007</v>
      </c>
      <c r="J1967" s="251">
        <v>1.91673282</v>
      </c>
      <c r="K1967" s="250">
        <v>7.0430000000000001</v>
      </c>
      <c r="L1967" s="250">
        <v>6.165</v>
      </c>
      <c r="M1967" s="213"/>
      <c r="N1967" s="226"/>
    </row>
    <row r="1968" spans="1:14" x14ac:dyDescent="0.25">
      <c r="A1968" s="203">
        <v>45684</v>
      </c>
      <c r="B1968" s="128" t="s">
        <v>30</v>
      </c>
      <c r="C1968" s="157" t="str">
        <f t="shared" si="61"/>
        <v>27.01.2025_FAL1</v>
      </c>
      <c r="D1968" s="190">
        <f t="shared" si="62"/>
        <v>8</v>
      </c>
      <c r="E1968" s="248"/>
      <c r="F1968" s="249"/>
      <c r="G1968" s="248"/>
      <c r="H1968" s="248"/>
      <c r="I1968" s="250"/>
      <c r="J1968" s="251"/>
      <c r="K1968" s="250"/>
      <c r="L1968" s="250"/>
      <c r="M1968" s="213"/>
      <c r="N1968" s="226" t="s">
        <v>447</v>
      </c>
    </row>
    <row r="1969" spans="1:14" x14ac:dyDescent="0.25">
      <c r="A1969" s="203">
        <v>45684</v>
      </c>
      <c r="B1969" s="128" t="s">
        <v>32</v>
      </c>
      <c r="C1969" s="157" t="str">
        <f t="shared" si="61"/>
        <v>27.01.2025_FAL2</v>
      </c>
      <c r="D1969" s="190">
        <f t="shared" si="62"/>
        <v>0</v>
      </c>
      <c r="E1969" s="248">
        <v>6.8848626534190549E-2</v>
      </c>
      <c r="F1969" s="249">
        <v>3.3867691291648683E-2</v>
      </c>
      <c r="G1969" s="248">
        <v>9.7173639791704097E-2</v>
      </c>
      <c r="H1969" s="248">
        <v>0.16752284186981087</v>
      </c>
      <c r="I1969" s="250">
        <v>9.7430000000000003</v>
      </c>
      <c r="J1969" s="251">
        <v>2.3271080987691244</v>
      </c>
      <c r="K1969" s="250">
        <v>21</v>
      </c>
      <c r="L1969" s="250">
        <v>18.629000000000001</v>
      </c>
      <c r="M1969" s="213"/>
      <c r="N1969" s="226"/>
    </row>
    <row r="1970" spans="1:14" x14ac:dyDescent="0.25">
      <c r="A1970" s="203">
        <v>45684</v>
      </c>
      <c r="B1970" s="128" t="s">
        <v>26</v>
      </c>
      <c r="C1970" s="157" t="str">
        <f t="shared" si="61"/>
        <v>27.01.2025_GRU1</v>
      </c>
      <c r="D1970" s="190">
        <f t="shared" si="62"/>
        <v>0</v>
      </c>
      <c r="E1970" s="248">
        <v>0</v>
      </c>
      <c r="F1970" s="249">
        <v>2.4255996345553487E-2</v>
      </c>
      <c r="G1970" s="248">
        <v>0</v>
      </c>
      <c r="H1970" s="248">
        <v>0</v>
      </c>
      <c r="I1970" s="250">
        <v>6.5780000000000003</v>
      </c>
      <c r="J1970" s="251">
        <v>1.48577286</v>
      </c>
      <c r="K1970" s="250">
        <v>7.1609999999999996</v>
      </c>
      <c r="L1970" s="250">
        <v>6.8239999999999998</v>
      </c>
      <c r="M1970" s="213"/>
      <c r="N1970" s="226"/>
    </row>
    <row r="1971" spans="1:14" x14ac:dyDescent="0.25">
      <c r="A1971" s="203">
        <v>45684</v>
      </c>
      <c r="B1971" s="128" t="s">
        <v>28</v>
      </c>
      <c r="C1971" s="157" t="str">
        <f t="shared" si="61"/>
        <v>27.01.2025_GRU2</v>
      </c>
      <c r="D1971" s="190">
        <f t="shared" si="62"/>
        <v>0</v>
      </c>
      <c r="E1971" s="248">
        <v>0</v>
      </c>
      <c r="F1971" s="249">
        <v>1.9185294922539252E-2</v>
      </c>
      <c r="G1971" s="248">
        <v>0</v>
      </c>
      <c r="H1971" s="248">
        <v>0</v>
      </c>
      <c r="I1971" s="250">
        <v>5.9939999999999998</v>
      </c>
      <c r="J1971" s="251">
        <v>1.3538647799999999</v>
      </c>
      <c r="K1971" s="250">
        <v>8.0050000000000008</v>
      </c>
      <c r="L1971" s="250">
        <v>6.97</v>
      </c>
      <c r="M1971" s="213"/>
      <c r="N1971" s="226"/>
    </row>
    <row r="1972" spans="1:14" x14ac:dyDescent="0.25">
      <c r="A1972" s="203">
        <v>45684</v>
      </c>
      <c r="B1972" s="128" t="s">
        <v>0</v>
      </c>
      <c r="C1972" s="157" t="str">
        <f t="shared" si="61"/>
        <v>27.01.2025_KIN1</v>
      </c>
      <c r="D1972" s="190">
        <f t="shared" si="62"/>
        <v>0</v>
      </c>
      <c r="E1972" s="248">
        <v>4.8918760958503817E-2</v>
      </c>
      <c r="F1972" s="249">
        <v>3.2578446826295127E-2</v>
      </c>
      <c r="G1972" s="248">
        <v>0</v>
      </c>
      <c r="H1972" s="248">
        <v>-1.3401827349584787E-3</v>
      </c>
      <c r="I1972" s="250">
        <v>6.2359999999999998</v>
      </c>
      <c r="J1972" s="251">
        <v>1.4081173013663417</v>
      </c>
      <c r="K1972" s="250">
        <v>9.3889999999999993</v>
      </c>
      <c r="L1972" s="250">
        <v>5.68</v>
      </c>
      <c r="M1972" s="213"/>
      <c r="N1972" s="226"/>
    </row>
    <row r="1973" spans="1:14" x14ac:dyDescent="0.25">
      <c r="A1973" s="203">
        <v>45684</v>
      </c>
      <c r="B1973" s="128" t="s">
        <v>2</v>
      </c>
      <c r="C1973" s="157" t="str">
        <f t="shared" si="61"/>
        <v>27.01.2025_KIN2</v>
      </c>
      <c r="D1973" s="190">
        <f t="shared" si="62"/>
        <v>0</v>
      </c>
      <c r="E1973" s="248">
        <v>0</v>
      </c>
      <c r="F1973" s="249">
        <v>2.5180348253588475E-2</v>
      </c>
      <c r="G1973" s="248">
        <v>0</v>
      </c>
      <c r="H1973" s="248">
        <v>3.8865299313796106E-2</v>
      </c>
      <c r="I1973" s="250">
        <v>6.5919999999999996</v>
      </c>
      <c r="J1973" s="251">
        <v>1.5007675803760852</v>
      </c>
      <c r="K1973" s="250">
        <v>9.6080000000000005</v>
      </c>
      <c r="L1973" s="250">
        <v>5.9930000000000003</v>
      </c>
      <c r="M1973" s="213"/>
      <c r="N1973" s="226"/>
    </row>
    <row r="1974" spans="1:14" x14ac:dyDescent="0.25">
      <c r="A1974" s="203">
        <v>45684</v>
      </c>
      <c r="B1974" s="128" t="s">
        <v>4</v>
      </c>
      <c r="C1974" s="157" t="str">
        <f t="shared" si="61"/>
        <v>27.01.2025_KIN3</v>
      </c>
      <c r="D1974" s="190">
        <f t="shared" si="62"/>
        <v>0</v>
      </c>
      <c r="E1974" s="248">
        <v>9.0590298071303553E-3</v>
      </c>
      <c r="F1974" s="249">
        <v>2.2864393835220279E-2</v>
      </c>
      <c r="G1974" s="248">
        <v>5.8538337223917524E-3</v>
      </c>
      <c r="H1974" s="248">
        <v>3.4844751108920671E-2</v>
      </c>
      <c r="I1974" s="250">
        <v>5.8659999999999997</v>
      </c>
      <c r="J1974" s="251">
        <v>1.3401073478222107</v>
      </c>
      <c r="K1974" s="250">
        <v>9.9</v>
      </c>
      <c r="L1974" s="250">
        <v>7.0270000000000001</v>
      </c>
      <c r="M1974" s="213"/>
      <c r="N1974" s="226"/>
    </row>
    <row r="1975" spans="1:14" x14ac:dyDescent="0.25">
      <c r="A1975" s="203">
        <v>45684</v>
      </c>
      <c r="B1975" s="128" t="s">
        <v>6</v>
      </c>
      <c r="C1975" s="157" t="str">
        <f t="shared" si="61"/>
        <v>27.01.2025_KIN4</v>
      </c>
      <c r="D1975" s="190">
        <f t="shared" si="62"/>
        <v>0</v>
      </c>
      <c r="E1975" s="248">
        <v>6.5225014611338436E-2</v>
      </c>
      <c r="F1975" s="249">
        <v>3.4259571023632855E-2</v>
      </c>
      <c r="G1975" s="248">
        <v>6.0879870712874817E-2</v>
      </c>
      <c r="H1975" s="248">
        <v>2.4123289229252755E-2</v>
      </c>
      <c r="I1975" s="250">
        <v>4.6760000000000002</v>
      </c>
      <c r="J1975" s="251">
        <v>1.1107850662156862</v>
      </c>
      <c r="K1975" s="250">
        <v>9.5239999999999991</v>
      </c>
      <c r="L1975" s="250">
        <v>5.9960000000000004</v>
      </c>
      <c r="M1975" s="213"/>
      <c r="N1975" s="226"/>
    </row>
    <row r="1976" spans="1:14" x14ac:dyDescent="0.25">
      <c r="A1976" s="203">
        <v>45684</v>
      </c>
      <c r="B1976" s="128" t="s">
        <v>34</v>
      </c>
      <c r="C1976" s="157" t="str">
        <f t="shared" si="61"/>
        <v>27.01.2025_KRE1</v>
      </c>
      <c r="D1976" s="190">
        <f t="shared" si="62"/>
        <v>0</v>
      </c>
      <c r="E1976" s="248">
        <v>0</v>
      </c>
      <c r="F1976" s="249">
        <v>2.4905227066623785E-2</v>
      </c>
      <c r="G1976" s="248">
        <v>0.34771772311007365</v>
      </c>
      <c r="H1976" s="248">
        <v>4.4226030253630047E-2</v>
      </c>
      <c r="I1976" s="250">
        <v>9.8740000000000006</v>
      </c>
      <c r="J1976" s="251">
        <v>2.5137043297284589</v>
      </c>
      <c r="K1976" s="250">
        <v>23</v>
      </c>
      <c r="L1976" s="250">
        <v>18</v>
      </c>
      <c r="M1976" s="213"/>
      <c r="N1976" s="226"/>
    </row>
    <row r="1977" spans="1:14" x14ac:dyDescent="0.25">
      <c r="A1977" s="203">
        <v>45684</v>
      </c>
      <c r="B1977" s="128" t="s">
        <v>37</v>
      </c>
      <c r="C1977" s="157" t="str">
        <f t="shared" si="61"/>
        <v>27.01.2025_KRE2</v>
      </c>
      <c r="D1977" s="190">
        <f t="shared" si="62"/>
        <v>0</v>
      </c>
      <c r="E1977" s="248">
        <v>0</v>
      </c>
      <c r="F1977" s="249">
        <v>2.2564403366848305E-2</v>
      </c>
      <c r="G1977" s="248">
        <v>0.18615191237205961</v>
      </c>
      <c r="H1977" s="248">
        <v>3.618493384387915E-2</v>
      </c>
      <c r="I1977" s="250">
        <v>11.205</v>
      </c>
      <c r="J1977" s="251">
        <v>2.6864349515465493</v>
      </c>
      <c r="K1977" s="250">
        <v>24</v>
      </c>
      <c r="L1977" s="250">
        <v>22</v>
      </c>
      <c r="M1977" s="213"/>
      <c r="N1977" s="226"/>
    </row>
    <row r="1978" spans="1:14" x14ac:dyDescent="0.25">
      <c r="A1978" s="203">
        <v>45684</v>
      </c>
      <c r="B1978" s="128" t="s">
        <v>18</v>
      </c>
      <c r="C1978" s="157" t="str">
        <f t="shared" si="61"/>
        <v>27.01.2025_ORB1</v>
      </c>
      <c r="D1978" s="190">
        <f t="shared" ref="D1978:D2038" si="63">COUNTBLANK(E1978:L1978)</f>
        <v>0</v>
      </c>
      <c r="E1978" s="248">
        <v>0</v>
      </c>
      <c r="F1978" s="249">
        <v>1.6231267541033316E-2</v>
      </c>
      <c r="G1978" s="248">
        <v>0</v>
      </c>
      <c r="H1978" s="248">
        <v>0</v>
      </c>
      <c r="I1978" s="250">
        <v>4.9930000000000003</v>
      </c>
      <c r="J1978" s="251">
        <v>1.1277689099999999</v>
      </c>
      <c r="K1978" s="250">
        <v>7.3209999999999997</v>
      </c>
      <c r="L1978" s="250">
        <v>10.686999999999999</v>
      </c>
      <c r="M1978" s="213"/>
      <c r="N1978" s="226"/>
    </row>
    <row r="1979" spans="1:14" x14ac:dyDescent="0.25">
      <c r="A1979" s="203">
        <v>45684</v>
      </c>
      <c r="B1979" s="128" t="s">
        <v>21</v>
      </c>
      <c r="C1979" s="157" t="str">
        <f t="shared" ref="C1979:C2041" si="64">CONCATENATE(TEXT(A1979,"TT.MM.JJJJ"),"_",B1979)</f>
        <v>27.01.2025_ORB2</v>
      </c>
      <c r="D1979" s="190">
        <f t="shared" si="63"/>
        <v>0</v>
      </c>
      <c r="E1979" s="248">
        <v>0</v>
      </c>
      <c r="F1979" s="249">
        <v>1.808873551206179E-2</v>
      </c>
      <c r="G1979" s="248">
        <v>0</v>
      </c>
      <c r="H1979" s="248">
        <v>0</v>
      </c>
      <c r="I1979" s="250">
        <v>4.9740000000000002</v>
      </c>
      <c r="J1979" s="251">
        <v>1.12347738</v>
      </c>
      <c r="K1979" s="250">
        <v>9.8469999999999995</v>
      </c>
      <c r="L1979" s="250">
        <v>11.494999999999999</v>
      </c>
      <c r="M1979" s="213"/>
      <c r="N1979" s="226"/>
    </row>
    <row r="1980" spans="1:14" x14ac:dyDescent="0.25">
      <c r="A1980" s="203">
        <v>45684</v>
      </c>
      <c r="B1980" s="128" t="s">
        <v>10</v>
      </c>
      <c r="C1980" s="157" t="str">
        <f t="shared" si="64"/>
        <v>27.01.2025_SAL1</v>
      </c>
      <c r="D1980" s="190">
        <f t="shared" si="63"/>
        <v>0</v>
      </c>
      <c r="E1980" s="248">
        <v>2.5365283459964937E-2</v>
      </c>
      <c r="F1980" s="249">
        <v>2.5342452696238728E-2</v>
      </c>
      <c r="G1980" s="248">
        <v>0</v>
      </c>
      <c r="H1980" s="248">
        <v>1.3401827349584871E-2</v>
      </c>
      <c r="I1980" s="250">
        <v>7.2039999999999997</v>
      </c>
      <c r="J1980" s="251">
        <v>1.6312476663365809</v>
      </c>
      <c r="K1980" s="250">
        <v>5.5380000000000003</v>
      </c>
      <c r="L1980" s="250">
        <v>5.3659999999999997</v>
      </c>
      <c r="M1980" s="213"/>
      <c r="N1980" s="226"/>
    </row>
    <row r="1981" spans="1:14" x14ac:dyDescent="0.25">
      <c r="A1981" s="203">
        <v>45684</v>
      </c>
      <c r="B1981" s="128" t="s">
        <v>12</v>
      </c>
      <c r="C1981" s="157" t="str">
        <f t="shared" si="64"/>
        <v>27.01.2025_SAL2</v>
      </c>
      <c r="D1981" s="190">
        <f t="shared" si="63"/>
        <v>0</v>
      </c>
      <c r="E1981" s="248">
        <v>6.5225014611338436E-2</v>
      </c>
      <c r="F1981" s="249">
        <v>4.0090679842454208E-2</v>
      </c>
      <c r="G1981" s="248">
        <v>0</v>
      </c>
      <c r="H1981" s="248">
        <v>6.7009136747924495E-3</v>
      </c>
      <c r="I1981" s="250">
        <v>6.8659999999999997</v>
      </c>
      <c r="J1981" s="251">
        <v>1.5528635131682902</v>
      </c>
      <c r="K1981" s="250">
        <v>5.5949999999999998</v>
      </c>
      <c r="L1981" s="250">
        <v>5.476</v>
      </c>
      <c r="M1981" s="213"/>
      <c r="N1981" s="226"/>
    </row>
    <row r="1982" spans="1:14" x14ac:dyDescent="0.25">
      <c r="A1982" s="203">
        <v>45684</v>
      </c>
      <c r="B1982" s="128" t="s">
        <v>7</v>
      </c>
      <c r="C1982" s="157" t="str">
        <f t="shared" si="64"/>
        <v>27.01.2025_STE1</v>
      </c>
      <c r="D1982" s="190">
        <f t="shared" si="63"/>
        <v>0</v>
      </c>
      <c r="E1982" s="248">
        <v>2.3553477498538842E-2</v>
      </c>
      <c r="F1982" s="249">
        <v>2.1019083907792068E-2</v>
      </c>
      <c r="G1982" s="248">
        <v>0</v>
      </c>
      <c r="H1982" s="248">
        <v>0</v>
      </c>
      <c r="I1982" s="250">
        <v>6.444</v>
      </c>
      <c r="J1982" s="251">
        <v>1.4555062799999998</v>
      </c>
      <c r="K1982" s="250">
        <v>5.2290000000000001</v>
      </c>
      <c r="L1982" s="250">
        <v>4.3150000000000004</v>
      </c>
      <c r="M1982" s="213"/>
      <c r="N1982" s="226"/>
    </row>
    <row r="1983" spans="1:14" x14ac:dyDescent="0.25">
      <c r="A1983" s="203">
        <v>45684</v>
      </c>
      <c r="B1983" s="128" t="s">
        <v>9</v>
      </c>
      <c r="C1983" s="157" t="str">
        <f t="shared" si="64"/>
        <v>27.01.2025_STE2</v>
      </c>
      <c r="D1983" s="190">
        <f t="shared" si="63"/>
        <v>0</v>
      </c>
      <c r="E1983" s="248">
        <v>3.8047925189947401E-2</v>
      </c>
      <c r="F1983" s="249">
        <v>2.3413637213386622E-2</v>
      </c>
      <c r="G1983" s="248">
        <v>0</v>
      </c>
      <c r="H1983" s="248">
        <v>0</v>
      </c>
      <c r="I1983" s="250">
        <v>5.32</v>
      </c>
      <c r="J1983" s="251">
        <v>1.2016283999999999</v>
      </c>
      <c r="K1983" s="250">
        <v>5.0279999999999996</v>
      </c>
      <c r="L1983" s="250">
        <v>3.8809999999999998</v>
      </c>
      <c r="M1983" s="213"/>
      <c r="N1983" s="226"/>
    </row>
    <row r="1984" spans="1:14" x14ac:dyDescent="0.25">
      <c r="A1984" s="203">
        <v>45698</v>
      </c>
      <c r="B1984" s="128" t="s">
        <v>22</v>
      </c>
      <c r="C1984" s="157" t="str">
        <f t="shared" si="64"/>
        <v>10.02.2025_BIE1</v>
      </c>
      <c r="D1984" s="190">
        <f t="shared" si="63"/>
        <v>0</v>
      </c>
      <c r="E1984" s="248">
        <v>5.5098232905279321E-2</v>
      </c>
      <c r="F1984" s="249">
        <v>7.6339126595664549E-3</v>
      </c>
      <c r="G1984" s="248">
        <v>4.3779609803409607E-2</v>
      </c>
      <c r="H1984" s="248">
        <v>2.1474327387405134E-2</v>
      </c>
      <c r="I1984" s="250">
        <v>3.51</v>
      </c>
      <c r="J1984" s="251">
        <v>0.83333598818934485</v>
      </c>
      <c r="K1984" s="250">
        <v>4.33</v>
      </c>
      <c r="L1984" s="250">
        <v>10.504</v>
      </c>
      <c r="M1984" s="213"/>
      <c r="N1984" s="226"/>
    </row>
    <row r="1985" spans="1:14" x14ac:dyDescent="0.25">
      <c r="A1985" s="203">
        <v>45698</v>
      </c>
      <c r="B1985" s="128" t="s">
        <v>25</v>
      </c>
      <c r="C1985" s="157" t="str">
        <f t="shared" si="64"/>
        <v>10.02.2025_BIE2</v>
      </c>
      <c r="D1985" s="190">
        <f t="shared" si="63"/>
        <v>0</v>
      </c>
      <c r="E1985" s="248">
        <v>0</v>
      </c>
      <c r="F1985" s="249">
        <v>7.0818442779081794E-3</v>
      </c>
      <c r="G1985" s="248">
        <v>6.0805013615846506E-3</v>
      </c>
      <c r="H1985" s="248">
        <v>0</v>
      </c>
      <c r="I1985" s="250">
        <v>3.508</v>
      </c>
      <c r="J1985" s="251">
        <v>0.79707340850225683</v>
      </c>
      <c r="K1985" s="250">
        <v>4.4859999999999998</v>
      </c>
      <c r="L1985" s="250">
        <v>10.423999999999999</v>
      </c>
      <c r="M1985" s="213"/>
      <c r="N1985" s="226"/>
    </row>
    <row r="1986" spans="1:14" x14ac:dyDescent="0.25">
      <c r="A1986" s="203">
        <v>45698</v>
      </c>
      <c r="B1986" s="128" t="s">
        <v>14</v>
      </c>
      <c r="C1986" s="157" t="str">
        <f t="shared" si="64"/>
        <v>10.02.2025_BRA1</v>
      </c>
      <c r="D1986" s="190">
        <f t="shared" si="63"/>
        <v>0</v>
      </c>
      <c r="E1986" s="248">
        <v>6.8872791131599333E-3</v>
      </c>
      <c r="F1986" s="249">
        <v>1.9526220150638606E-2</v>
      </c>
      <c r="G1986" s="248">
        <v>-1.2161002723168998E-3</v>
      </c>
      <c r="H1986" s="248">
        <v>4.2948654774810626E-3</v>
      </c>
      <c r="I1986" s="250">
        <v>6.8330000000000002</v>
      </c>
      <c r="J1986" s="251">
        <v>1.5437329920941678</v>
      </c>
      <c r="K1986" s="250">
        <v>4.5999999999999996</v>
      </c>
      <c r="L1986" s="250">
        <v>5.4669999999999996</v>
      </c>
      <c r="M1986" s="213"/>
      <c r="N1986" s="226"/>
    </row>
    <row r="1987" spans="1:14" x14ac:dyDescent="0.25">
      <c r="A1987" s="203">
        <v>45698</v>
      </c>
      <c r="B1987" s="128" t="s">
        <v>17</v>
      </c>
      <c r="C1987" s="157" t="str">
        <f t="shared" si="64"/>
        <v>10.02.2025_BRA2</v>
      </c>
      <c r="D1987" s="190">
        <f t="shared" si="63"/>
        <v>0</v>
      </c>
      <c r="E1987" s="248">
        <v>3.443639556579961E-2</v>
      </c>
      <c r="F1987" s="249">
        <v>3.1983728434916876E-2</v>
      </c>
      <c r="G1987" s="248">
        <v>9.728802178535452E-3</v>
      </c>
      <c r="H1987" s="248">
        <v>3.0064058342367198E-2</v>
      </c>
      <c r="I1987" s="250">
        <v>8.2370000000000001</v>
      </c>
      <c r="J1987" s="251">
        <v>1.8771985101659445</v>
      </c>
      <c r="K1987" s="250">
        <v>12.205</v>
      </c>
      <c r="L1987" s="250">
        <v>5.9029999999999996</v>
      </c>
      <c r="M1987" s="213"/>
      <c r="N1987" s="226"/>
    </row>
    <row r="1988" spans="1:14" x14ac:dyDescent="0.25">
      <c r="A1988" s="203">
        <v>45698</v>
      </c>
      <c r="B1988" s="128" t="s">
        <v>30</v>
      </c>
      <c r="C1988" s="157" t="str">
        <f t="shared" si="64"/>
        <v>10.02.2025_FAL1</v>
      </c>
      <c r="D1988" s="190">
        <f t="shared" si="63"/>
        <v>8</v>
      </c>
      <c r="E1988" s="248"/>
      <c r="F1988" s="249"/>
      <c r="G1988" s="248"/>
      <c r="H1988" s="248"/>
      <c r="I1988" s="250"/>
      <c r="J1988" s="251"/>
      <c r="K1988" s="250"/>
      <c r="L1988" s="250"/>
      <c r="M1988" s="213"/>
      <c r="N1988" s="226" t="s">
        <v>447</v>
      </c>
    </row>
    <row r="1989" spans="1:14" x14ac:dyDescent="0.25">
      <c r="A1989" s="203">
        <v>45698</v>
      </c>
      <c r="B1989" s="128" t="s">
        <v>32</v>
      </c>
      <c r="C1989" s="157" t="str">
        <f t="shared" si="64"/>
        <v>10.02.2025_FAL2</v>
      </c>
      <c r="D1989" s="190">
        <f t="shared" si="63"/>
        <v>0</v>
      </c>
      <c r="E1989" s="248">
        <v>9.2289540116342939E-2</v>
      </c>
      <c r="F1989" s="249">
        <v>2.016282530203491E-2</v>
      </c>
      <c r="G1989" s="248">
        <v>9.8504122057671617E-2</v>
      </c>
      <c r="H1989" s="248">
        <v>0.23192273578397551</v>
      </c>
      <c r="I1989" s="250">
        <v>14.55</v>
      </c>
      <c r="J1989" s="251">
        <v>3.4335048426459926</v>
      </c>
      <c r="K1989" s="250">
        <v>27</v>
      </c>
      <c r="L1989" s="250">
        <v>25.585999999999999</v>
      </c>
      <c r="M1989" s="213"/>
      <c r="N1989" s="226"/>
    </row>
    <row r="1990" spans="1:14" x14ac:dyDescent="0.25">
      <c r="A1990" s="203">
        <v>45698</v>
      </c>
      <c r="B1990" s="128" t="s">
        <v>26</v>
      </c>
      <c r="C1990" s="157" t="str">
        <f t="shared" si="64"/>
        <v>10.02.2025_GRU1</v>
      </c>
      <c r="D1990" s="190">
        <f t="shared" si="63"/>
        <v>0</v>
      </c>
      <c r="E1990" s="248">
        <v>0</v>
      </c>
      <c r="F1990" s="249">
        <v>1.5179301859409905E-2</v>
      </c>
      <c r="G1990" s="248">
        <v>0</v>
      </c>
      <c r="H1990" s="248">
        <v>0</v>
      </c>
      <c r="I1990" s="250">
        <v>5.46</v>
      </c>
      <c r="J1990" s="251">
        <v>1.2332501999999999</v>
      </c>
      <c r="K1990" s="250">
        <v>4.9969999999999999</v>
      </c>
      <c r="L1990" s="250">
        <v>8.9060000000000006</v>
      </c>
      <c r="M1990" s="213"/>
      <c r="N1990" s="226"/>
    </row>
    <row r="1991" spans="1:14" x14ac:dyDescent="0.25">
      <c r="A1991" s="203">
        <v>45698</v>
      </c>
      <c r="B1991" s="128" t="s">
        <v>28</v>
      </c>
      <c r="C1991" s="157" t="str">
        <f t="shared" si="64"/>
        <v>10.02.2025_GRU2</v>
      </c>
      <c r="D1991" s="190">
        <f t="shared" si="63"/>
        <v>0</v>
      </c>
      <c r="E1991" s="248">
        <v>0</v>
      </c>
      <c r="F1991" s="249">
        <v>1.0419568890085449E-2</v>
      </c>
      <c r="G1991" s="248">
        <v>1.4593203267803202E-2</v>
      </c>
      <c r="H1991" s="248">
        <v>0</v>
      </c>
      <c r="I1991" s="250">
        <v>5.1909999999999998</v>
      </c>
      <c r="J1991" s="251">
        <v>1.1838226464054162</v>
      </c>
      <c r="K1991" s="250">
        <v>5.6040000000000001</v>
      </c>
      <c r="L1991" s="250">
        <v>8.5980000000000008</v>
      </c>
      <c r="M1991" s="213"/>
      <c r="N1991" s="226"/>
    </row>
    <row r="1992" spans="1:14" x14ac:dyDescent="0.25">
      <c r="A1992" s="203">
        <v>45698</v>
      </c>
      <c r="B1992" s="128" t="s">
        <v>0</v>
      </c>
      <c r="C1992" s="157" t="str">
        <f t="shared" si="64"/>
        <v>10.02.2025_KIN1</v>
      </c>
      <c r="D1992" s="190">
        <f t="shared" si="63"/>
        <v>0</v>
      </c>
      <c r="E1992" s="248">
        <v>0</v>
      </c>
      <c r="F1992" s="249">
        <v>8.433753905903783E-3</v>
      </c>
      <c r="G1992" s="248">
        <v>0</v>
      </c>
      <c r="H1992" s="248">
        <v>0</v>
      </c>
      <c r="I1992" s="250">
        <v>4.3049999999999997</v>
      </c>
      <c r="J1992" s="251">
        <v>0.97237034999999983</v>
      </c>
      <c r="K1992" s="250">
        <v>5.1790000000000003</v>
      </c>
      <c r="L1992" s="250">
        <v>7.1050000000000004</v>
      </c>
      <c r="M1992" s="213"/>
      <c r="N1992" s="226"/>
    </row>
    <row r="1993" spans="1:14" x14ac:dyDescent="0.25">
      <c r="A1993" s="203">
        <v>45698</v>
      </c>
      <c r="B1993" s="128" t="s">
        <v>2</v>
      </c>
      <c r="C1993" s="157" t="str">
        <f t="shared" si="64"/>
        <v>10.02.2025_KIN2</v>
      </c>
      <c r="D1993" s="190">
        <f t="shared" si="63"/>
        <v>0</v>
      </c>
      <c r="E1993" s="248">
        <v>0</v>
      </c>
      <c r="F1993" s="249">
        <v>6.9646985925822117E-3</v>
      </c>
      <c r="G1993" s="248">
        <v>0</v>
      </c>
      <c r="H1993" s="248">
        <v>0</v>
      </c>
      <c r="I1993" s="250">
        <v>5.5389999999999997</v>
      </c>
      <c r="J1993" s="251">
        <v>1.2510939299999999</v>
      </c>
      <c r="K1993" s="250">
        <v>6.343</v>
      </c>
      <c r="L1993" s="250">
        <v>7.84</v>
      </c>
      <c r="M1993" s="213"/>
      <c r="N1993" s="226"/>
    </row>
    <row r="1994" spans="1:14" x14ac:dyDescent="0.25">
      <c r="A1994" s="203">
        <v>45698</v>
      </c>
      <c r="B1994" s="128" t="s">
        <v>4</v>
      </c>
      <c r="C1994" s="157" t="str">
        <f t="shared" si="64"/>
        <v>10.02.2025_KIN3</v>
      </c>
      <c r="D1994" s="190">
        <f t="shared" si="63"/>
        <v>0</v>
      </c>
      <c r="E1994" s="248">
        <v>9.6421907584239124E-3</v>
      </c>
      <c r="F1994" s="249">
        <v>7.3045723668120309E-3</v>
      </c>
      <c r="G1994" s="248">
        <v>0</v>
      </c>
      <c r="H1994" s="248">
        <v>2.8632436516540197E-2</v>
      </c>
      <c r="I1994" s="250">
        <v>5.6589999999999998</v>
      </c>
      <c r="J1994" s="251">
        <v>1.2869154752974605</v>
      </c>
      <c r="K1994" s="250">
        <v>7.3959999999999999</v>
      </c>
      <c r="L1994" s="250">
        <v>8.8160000000000007</v>
      </c>
      <c r="M1994" s="213"/>
      <c r="N1994" s="226"/>
    </row>
    <row r="1995" spans="1:14" x14ac:dyDescent="0.25">
      <c r="A1995" s="203">
        <v>45698</v>
      </c>
      <c r="B1995" s="128" t="s">
        <v>6</v>
      </c>
      <c r="C1995" s="157" t="str">
        <f t="shared" si="64"/>
        <v>10.02.2025_KIN4</v>
      </c>
      <c r="D1995" s="190">
        <f t="shared" si="63"/>
        <v>0</v>
      </c>
      <c r="E1995" s="248">
        <v>4.1323674678959484E-2</v>
      </c>
      <c r="F1995" s="249">
        <v>8.7641618114835951E-3</v>
      </c>
      <c r="G1995" s="248">
        <v>0</v>
      </c>
      <c r="H1995" s="248">
        <v>2.2905949213232163E-2</v>
      </c>
      <c r="I1995" s="250">
        <v>5.8170000000000002</v>
      </c>
      <c r="J1995" s="251">
        <v>1.3208595062379687</v>
      </c>
      <c r="K1995" s="250">
        <v>10.135999999999999</v>
      </c>
      <c r="L1995" s="250">
        <v>9.4640000000000004</v>
      </c>
      <c r="M1995" s="213"/>
      <c r="N1995" s="226"/>
    </row>
    <row r="1996" spans="1:14" x14ac:dyDescent="0.25">
      <c r="A1996" s="203">
        <v>45698</v>
      </c>
      <c r="B1996" s="128" t="s">
        <v>34</v>
      </c>
      <c r="C1996" s="157" t="str">
        <f t="shared" si="64"/>
        <v>10.02.2025_KRE1</v>
      </c>
      <c r="D1996" s="190">
        <f t="shared" si="63"/>
        <v>0</v>
      </c>
      <c r="E1996" s="248">
        <v>0</v>
      </c>
      <c r="F1996" s="249">
        <v>1.3812544233987889E-2</v>
      </c>
      <c r="G1996" s="248">
        <v>0.42928339612787725</v>
      </c>
      <c r="H1996" s="248">
        <v>5.4401629381426363E-2</v>
      </c>
      <c r="I1996" s="250">
        <v>11.265000000000001</v>
      </c>
      <c r="J1996" s="251">
        <v>2.8943223903245108</v>
      </c>
      <c r="K1996" s="250">
        <v>29</v>
      </c>
      <c r="L1996" s="250">
        <v>29.68</v>
      </c>
      <c r="M1996" s="213"/>
      <c r="N1996" s="226"/>
    </row>
    <row r="1997" spans="1:14" x14ac:dyDescent="0.25">
      <c r="A1997" s="203">
        <v>45698</v>
      </c>
      <c r="B1997" s="128" t="s">
        <v>37</v>
      </c>
      <c r="C1997" s="157" t="str">
        <f t="shared" si="64"/>
        <v>10.02.2025_KRE2</v>
      </c>
      <c r="D1997" s="190">
        <f t="shared" si="63"/>
        <v>0</v>
      </c>
      <c r="E1997" s="248">
        <v>0</v>
      </c>
      <c r="F1997" s="249">
        <v>1.2938559145799416E-2</v>
      </c>
      <c r="G1997" s="248">
        <v>0.10458462341925627</v>
      </c>
      <c r="H1997" s="248">
        <v>1.57478400840971E-2</v>
      </c>
      <c r="I1997" s="250">
        <v>12.839</v>
      </c>
      <c r="J1997" s="251">
        <v>2.9859482741524213</v>
      </c>
      <c r="K1997" s="250">
        <v>29</v>
      </c>
      <c r="L1997" s="250">
        <v>31</v>
      </c>
      <c r="M1997" s="213"/>
      <c r="N1997" s="226"/>
    </row>
    <row r="1998" spans="1:14" x14ac:dyDescent="0.25">
      <c r="A1998" s="203">
        <v>45698</v>
      </c>
      <c r="B1998" s="128" t="s">
        <v>18</v>
      </c>
      <c r="C1998" s="157" t="str">
        <f t="shared" si="64"/>
        <v>10.02.2025_ORB1</v>
      </c>
      <c r="D1998" s="190">
        <f t="shared" si="63"/>
        <v>0</v>
      </c>
      <c r="E1998" s="248">
        <v>2.754911645263979E-3</v>
      </c>
      <c r="F1998" s="249">
        <v>1.4107757983804188E-2</v>
      </c>
      <c r="G1998" s="248">
        <v>0</v>
      </c>
      <c r="H1998" s="248">
        <v>0</v>
      </c>
      <c r="I1998" s="250">
        <v>5.0860000000000003</v>
      </c>
      <c r="J1998" s="251">
        <v>1.1487748200000001</v>
      </c>
      <c r="K1998" s="250">
        <v>6.28</v>
      </c>
      <c r="L1998" s="250">
        <v>11.196</v>
      </c>
      <c r="M1998" s="213"/>
      <c r="N1998" s="226"/>
    </row>
    <row r="1999" spans="1:14" x14ac:dyDescent="0.25">
      <c r="A1999" s="203">
        <v>45698</v>
      </c>
      <c r="B1999" s="128" t="s">
        <v>21</v>
      </c>
      <c r="C1999" s="157" t="str">
        <f t="shared" si="64"/>
        <v>10.02.2025_ORB2</v>
      </c>
      <c r="D1999" s="190">
        <f t="shared" si="63"/>
        <v>0</v>
      </c>
      <c r="E1999" s="248">
        <v>2.0661837339479742E-2</v>
      </c>
      <c r="F1999" s="249">
        <v>1.4020113784855749E-2</v>
      </c>
      <c r="G1999" s="248">
        <v>-2.4322005446337997E-3</v>
      </c>
      <c r="H1999" s="248">
        <v>0</v>
      </c>
      <c r="I1999" s="250">
        <v>4.282</v>
      </c>
      <c r="J1999" s="251">
        <v>0.96528676059909724</v>
      </c>
      <c r="K1999" s="250">
        <v>8.4290000000000003</v>
      </c>
      <c r="L1999" s="250">
        <v>12.032999999999999</v>
      </c>
      <c r="M1999" s="213"/>
      <c r="N1999" s="226"/>
    </row>
    <row r="2000" spans="1:14" x14ac:dyDescent="0.25">
      <c r="A2000" s="203">
        <v>45698</v>
      </c>
      <c r="B2000" s="128" t="s">
        <v>10</v>
      </c>
      <c r="C2000" s="157" t="str">
        <f t="shared" si="64"/>
        <v>10.02.2025_SAL1</v>
      </c>
      <c r="D2000" s="190">
        <f t="shared" si="63"/>
        <v>0</v>
      </c>
      <c r="E2000" s="248">
        <v>4.4078586324223491E-2</v>
      </c>
      <c r="F2000" s="249">
        <v>1.4763230375205532E-2</v>
      </c>
      <c r="G2000" s="248">
        <v>0</v>
      </c>
      <c r="H2000" s="248">
        <v>1.7179461909924101E-2</v>
      </c>
      <c r="I2000" s="250">
        <v>6.1550000000000002</v>
      </c>
      <c r="J2000" s="251">
        <v>1.3954601371784763</v>
      </c>
      <c r="K2000" s="250">
        <v>5.1740000000000004</v>
      </c>
      <c r="L2000" s="250">
        <v>5.3810000000000002</v>
      </c>
      <c r="M2000" s="213"/>
      <c r="N2000" s="226"/>
    </row>
    <row r="2001" spans="1:14" x14ac:dyDescent="0.25">
      <c r="A2001" s="203">
        <v>45698</v>
      </c>
      <c r="B2001" s="128" t="s">
        <v>12</v>
      </c>
      <c r="C2001" s="157" t="str">
        <f t="shared" si="64"/>
        <v>10.02.2025_SAL2</v>
      </c>
      <c r="D2001" s="190">
        <f t="shared" si="63"/>
        <v>0</v>
      </c>
      <c r="E2001" s="248">
        <v>6.1985512018439257E-2</v>
      </c>
      <c r="F2001" s="249">
        <v>1.7435026726180074E-2</v>
      </c>
      <c r="G2001" s="248">
        <v>8.2694818517551463E-2</v>
      </c>
      <c r="H2001" s="248">
        <v>2.0042705561578132E-2</v>
      </c>
      <c r="I2001" s="250">
        <v>5.4080000000000004</v>
      </c>
      <c r="J2001" s="251">
        <v>1.2918186613389162</v>
      </c>
      <c r="K2001" s="250">
        <v>5.1020000000000003</v>
      </c>
      <c r="L2001" s="250">
        <v>5.2290000000000001</v>
      </c>
      <c r="M2001" s="213"/>
      <c r="N2001" s="226"/>
    </row>
    <row r="2002" spans="1:14" x14ac:dyDescent="0.25">
      <c r="A2002" s="203">
        <v>45698</v>
      </c>
      <c r="B2002" s="128" t="s">
        <v>7</v>
      </c>
      <c r="C2002" s="157" t="str">
        <f t="shared" si="64"/>
        <v>10.02.2025_STE1</v>
      </c>
      <c r="D2002" s="190">
        <f t="shared" si="63"/>
        <v>0</v>
      </c>
      <c r="E2002" s="248">
        <v>4.9588409614751396E-2</v>
      </c>
      <c r="F2002" s="249">
        <v>1.2922809802350244E-2</v>
      </c>
      <c r="G2002" s="248">
        <v>3.6483008169508006E-3</v>
      </c>
      <c r="H2002" s="248">
        <v>0</v>
      </c>
      <c r="I2002" s="250">
        <v>6.0759999999999996</v>
      </c>
      <c r="J2002" s="251">
        <v>1.375218989101354</v>
      </c>
      <c r="K2002" s="250">
        <v>5.0709999999999997</v>
      </c>
      <c r="L2002" s="250">
        <v>5.0830000000000002</v>
      </c>
      <c r="M2002" s="213"/>
      <c r="N2002" s="226"/>
    </row>
    <row r="2003" spans="1:14" x14ac:dyDescent="0.25">
      <c r="A2003" s="203">
        <v>45698</v>
      </c>
      <c r="B2003" s="128" t="s">
        <v>9</v>
      </c>
      <c r="C2003" s="157" t="str">
        <f t="shared" si="64"/>
        <v>10.02.2025_STE2</v>
      </c>
      <c r="D2003" s="190">
        <f t="shared" si="63"/>
        <v>0</v>
      </c>
      <c r="E2003" s="248">
        <v>4.1323674678959484E-2</v>
      </c>
      <c r="F2003" s="249">
        <v>1.2379144185194641E-2</v>
      </c>
      <c r="G2003" s="248">
        <v>0</v>
      </c>
      <c r="H2003" s="248">
        <v>0</v>
      </c>
      <c r="I2003" s="250">
        <v>6.1269999999999998</v>
      </c>
      <c r="J2003" s="251">
        <v>1.3839054899999998</v>
      </c>
      <c r="K2003" s="250">
        <v>6.0060000000000002</v>
      </c>
      <c r="L2003" s="250">
        <v>5.7350000000000003</v>
      </c>
      <c r="M2003" s="213"/>
      <c r="N2003" s="226"/>
    </row>
    <row r="2004" spans="1:14" x14ac:dyDescent="0.25">
      <c r="A2004" s="203">
        <v>45726</v>
      </c>
      <c r="B2004" s="128" t="s">
        <v>22</v>
      </c>
      <c r="C2004" s="157" t="str">
        <f t="shared" si="64"/>
        <v>10.03.2025_BIE1</v>
      </c>
      <c r="D2004" s="190">
        <f t="shared" si="63"/>
        <v>0</v>
      </c>
      <c r="E2004" s="248">
        <v>0.10319170413875381</v>
      </c>
      <c r="F2004" s="249">
        <v>1.3996914014402369E-2</v>
      </c>
      <c r="G2004" s="248">
        <v>4.4662691976420331E-2</v>
      </c>
      <c r="H2004" s="248">
        <v>4.505210285628608E-2</v>
      </c>
      <c r="I2004" s="250">
        <v>3.524</v>
      </c>
      <c r="J2004" s="251">
        <v>0.84436212640736685</v>
      </c>
      <c r="K2004" s="250">
        <v>4.97</v>
      </c>
      <c r="L2004" s="250">
        <v>11.558</v>
      </c>
      <c r="M2004" s="213"/>
      <c r="N2004" s="226"/>
    </row>
    <row r="2005" spans="1:14" x14ac:dyDescent="0.25">
      <c r="A2005" s="203">
        <v>45726</v>
      </c>
      <c r="B2005" s="128" t="s">
        <v>25</v>
      </c>
      <c r="C2005" s="157" t="str">
        <f t="shared" si="64"/>
        <v>10.03.2025_BIE2</v>
      </c>
      <c r="D2005" s="190">
        <f t="shared" si="63"/>
        <v>0</v>
      </c>
      <c r="E2005" s="248">
        <v>1.9348444526016383E-2</v>
      </c>
      <c r="F2005" s="249">
        <v>9.2435553394900113E-3</v>
      </c>
      <c r="G2005" s="248">
        <v>1.0680208950883117E-2</v>
      </c>
      <c r="H2005" s="248">
        <v>2.7826298823000251E-2</v>
      </c>
      <c r="I2005" s="250">
        <v>3.4790000000000001</v>
      </c>
      <c r="J2005" s="251">
        <v>0.80256652212493362</v>
      </c>
      <c r="K2005" s="250">
        <v>5.2789999999999999</v>
      </c>
      <c r="L2005" s="250">
        <v>11.544</v>
      </c>
      <c r="M2005" s="213"/>
      <c r="N2005" s="226"/>
    </row>
    <row r="2006" spans="1:14" x14ac:dyDescent="0.25">
      <c r="A2006" s="203">
        <v>45726</v>
      </c>
      <c r="B2006" s="128" t="s">
        <v>14</v>
      </c>
      <c r="C2006" s="157" t="str">
        <f t="shared" si="64"/>
        <v>10.03.2025_BRA1</v>
      </c>
      <c r="D2006" s="190">
        <f t="shared" si="63"/>
        <v>0</v>
      </c>
      <c r="E2006" s="248">
        <v>4.3534000183536752E-2</v>
      </c>
      <c r="F2006" s="249">
        <v>2.2262544241408163E-2</v>
      </c>
      <c r="G2006" s="248">
        <v>1.2622065123770945E-2</v>
      </c>
      <c r="H2006" s="248">
        <v>2.6501236974285934E-2</v>
      </c>
      <c r="I2006" s="250">
        <v>6.8339999999999996</v>
      </c>
      <c r="J2006" s="251">
        <v>1.5614647889447779</v>
      </c>
      <c r="K2006" s="250">
        <v>5.6909999999999998</v>
      </c>
      <c r="L2006" s="250">
        <v>5.3769999999999998</v>
      </c>
      <c r="M2006" s="213"/>
      <c r="N2006" s="226"/>
    </row>
    <row r="2007" spans="1:14" x14ac:dyDescent="0.25">
      <c r="A2007" s="203">
        <v>45726</v>
      </c>
      <c r="B2007" s="128" t="s">
        <v>17</v>
      </c>
      <c r="C2007" s="157" t="str">
        <f t="shared" si="64"/>
        <v>10.03.2025_BRA2</v>
      </c>
      <c r="D2007" s="190">
        <f t="shared" si="63"/>
        <v>0</v>
      </c>
      <c r="E2007" s="248">
        <v>2.9022666789024487E-2</v>
      </c>
      <c r="F2007" s="249">
        <v>2.8793275150747276E-2</v>
      </c>
      <c r="G2007" s="248">
        <v>1.4563921296658813E-2</v>
      </c>
      <c r="H2007" s="248">
        <v>5.5652597646000446E-2</v>
      </c>
      <c r="I2007" s="250">
        <v>9.0609999999999999</v>
      </c>
      <c r="J2007" s="251">
        <v>2.0748602426009675</v>
      </c>
      <c r="K2007" s="250">
        <v>7.7039999999999997</v>
      </c>
      <c r="L2007" s="250">
        <v>6.218</v>
      </c>
      <c r="M2007" s="213"/>
      <c r="N2007" s="226"/>
    </row>
    <row r="2008" spans="1:14" x14ac:dyDescent="0.25">
      <c r="A2008" s="203">
        <v>45726</v>
      </c>
      <c r="B2008" s="128" t="s">
        <v>30</v>
      </c>
      <c r="C2008" s="157" t="str">
        <f t="shared" si="64"/>
        <v>10.03.2025_FAL1</v>
      </c>
      <c r="D2008" s="190">
        <f t="shared" si="63"/>
        <v>0</v>
      </c>
      <c r="E2008" s="248">
        <v>8.0618518858401364E-2</v>
      </c>
      <c r="F2008" s="249">
        <v>3.5812026960218547E-2</v>
      </c>
      <c r="G2008" s="248">
        <v>0.17185427130057387</v>
      </c>
      <c r="H2008" s="248">
        <v>0.17490816403028714</v>
      </c>
      <c r="I2008" s="250">
        <v>13.166</v>
      </c>
      <c r="J2008" s="251">
        <v>3.1604983336612031</v>
      </c>
      <c r="K2008" s="250">
        <v>29</v>
      </c>
      <c r="L2008" s="250">
        <v>26.024000000000001</v>
      </c>
      <c r="M2008" s="213"/>
      <c r="N2008" s="226"/>
    </row>
    <row r="2009" spans="1:14" x14ac:dyDescent="0.25">
      <c r="A2009" s="203">
        <v>45726</v>
      </c>
      <c r="B2009" s="128" t="s">
        <v>32</v>
      </c>
      <c r="C2009" s="157" t="str">
        <f t="shared" si="64"/>
        <v>10.03.2025_FAL2</v>
      </c>
      <c r="D2009" s="190">
        <f t="shared" si="63"/>
        <v>0</v>
      </c>
      <c r="E2009" s="248">
        <v>9.8354593007249719E-2</v>
      </c>
      <c r="F2009" s="249">
        <v>3.0638001969526527E-2</v>
      </c>
      <c r="G2009" s="248">
        <v>6.1168469445967016E-2</v>
      </c>
      <c r="H2009" s="248">
        <v>0.20670964839943029</v>
      </c>
      <c r="I2009" s="250">
        <v>15.193</v>
      </c>
      <c r="J2009" s="251">
        <v>3.5420723672953054</v>
      </c>
      <c r="K2009" s="250">
        <v>32</v>
      </c>
      <c r="L2009" s="250">
        <v>28.747</v>
      </c>
      <c r="M2009" s="213"/>
      <c r="N2009" s="226"/>
    </row>
    <row r="2010" spans="1:14" x14ac:dyDescent="0.25">
      <c r="A2010" s="203">
        <v>45726</v>
      </c>
      <c r="B2010" s="128" t="s">
        <v>26</v>
      </c>
      <c r="C2010" s="157" t="str">
        <f t="shared" si="64"/>
        <v>10.03.2025_GRU1</v>
      </c>
      <c r="D2010" s="190">
        <f t="shared" si="63"/>
        <v>0</v>
      </c>
      <c r="E2010" s="248">
        <v>0</v>
      </c>
      <c r="F2010" s="249">
        <v>1.4190252111906394E-2</v>
      </c>
      <c r="G2010" s="248">
        <v>0</v>
      </c>
      <c r="H2010" s="248">
        <v>0</v>
      </c>
      <c r="I2010" s="250">
        <v>5.5540000000000003</v>
      </c>
      <c r="J2010" s="251">
        <v>1.25448198</v>
      </c>
      <c r="K2010" s="250">
        <v>6.3289999999999997</v>
      </c>
      <c r="L2010" s="250">
        <v>10.186</v>
      </c>
      <c r="M2010" s="213"/>
      <c r="N2010" s="226"/>
    </row>
    <row r="2011" spans="1:14" x14ac:dyDescent="0.25">
      <c r="A2011" s="203">
        <v>45726</v>
      </c>
      <c r="B2011" s="128" t="s">
        <v>28</v>
      </c>
      <c r="C2011" s="157" t="str">
        <f t="shared" si="64"/>
        <v>10.03.2025_GRU2</v>
      </c>
      <c r="D2011" s="190">
        <f t="shared" si="63"/>
        <v>0</v>
      </c>
      <c r="E2011" s="248">
        <v>0</v>
      </c>
      <c r="F2011" s="249">
        <v>1.3219707215092148E-2</v>
      </c>
      <c r="G2011" s="248">
        <v>1.5534849383102707E-2</v>
      </c>
      <c r="H2011" s="248">
        <v>0</v>
      </c>
      <c r="I2011" s="250">
        <v>4.9790000000000001</v>
      </c>
      <c r="J2011" s="251">
        <v>1.1366693851974854</v>
      </c>
      <c r="K2011" s="250">
        <v>6.7649999999999997</v>
      </c>
      <c r="L2011" s="250">
        <v>9.5050000000000008</v>
      </c>
      <c r="M2011" s="213"/>
      <c r="N2011" s="226"/>
    </row>
    <row r="2012" spans="1:14" x14ac:dyDescent="0.25">
      <c r="A2012" s="203">
        <v>45726</v>
      </c>
      <c r="B2012" s="128" t="s">
        <v>0</v>
      </c>
      <c r="C2012" s="157" t="str">
        <f t="shared" si="64"/>
        <v>10.03.2025_KIN1</v>
      </c>
      <c r="D2012" s="190">
        <f t="shared" si="63"/>
        <v>0</v>
      </c>
      <c r="E2012" s="248">
        <v>1.4511333394512294E-2</v>
      </c>
      <c r="F2012" s="249">
        <v>9.4488743040247423E-3</v>
      </c>
      <c r="G2012" s="248">
        <v>2.4273202161097997E-2</v>
      </c>
      <c r="H2012" s="248">
        <v>6.6253092435714697E-3</v>
      </c>
      <c r="I2012" s="250">
        <v>3.782</v>
      </c>
      <c r="J2012" s="251">
        <v>0.87510531414527626</v>
      </c>
      <c r="K2012" s="250">
        <v>6.7380000000000004</v>
      </c>
      <c r="L2012" s="250">
        <v>8.0129999999999999</v>
      </c>
      <c r="M2012" s="213"/>
      <c r="N2012" s="226"/>
    </row>
    <row r="2013" spans="1:14" x14ac:dyDescent="0.25">
      <c r="A2013" s="203">
        <v>45726</v>
      </c>
      <c r="B2013" s="128" t="s">
        <v>2</v>
      </c>
      <c r="C2013" s="157" t="str">
        <f t="shared" si="64"/>
        <v>10.03.2025_KIN2</v>
      </c>
      <c r="D2013" s="190">
        <f t="shared" si="63"/>
        <v>0</v>
      </c>
      <c r="E2013" s="248">
        <v>8.0618518858401565E-3</v>
      </c>
      <c r="F2013" s="249">
        <v>1.6651294357740942E-2</v>
      </c>
      <c r="G2013" s="248">
        <v>7.7674246915513537E-3</v>
      </c>
      <c r="H2013" s="248">
        <v>6.6253092435714697E-3</v>
      </c>
      <c r="I2013" s="250">
        <v>5.0869999999999997</v>
      </c>
      <c r="J2013" s="251">
        <v>1.1570490929979478</v>
      </c>
      <c r="K2013" s="250">
        <v>8.0730000000000004</v>
      </c>
      <c r="L2013" s="250">
        <v>9.6780000000000008</v>
      </c>
      <c r="M2013" s="213"/>
      <c r="N2013" s="226"/>
    </row>
    <row r="2014" spans="1:14" x14ac:dyDescent="0.25">
      <c r="A2014" s="203">
        <v>45726</v>
      </c>
      <c r="B2014" s="128" t="s">
        <v>4</v>
      </c>
      <c r="C2014" s="157" t="str">
        <f t="shared" si="64"/>
        <v>10.03.2025_KIN3</v>
      </c>
      <c r="D2014" s="190">
        <f t="shared" si="63"/>
        <v>0</v>
      </c>
      <c r="E2014" s="248">
        <v>3.7084518674864647E-2</v>
      </c>
      <c r="F2014" s="249">
        <v>8.0269214172051257E-3</v>
      </c>
      <c r="G2014" s="248">
        <v>7.7674246915513537E-3</v>
      </c>
      <c r="H2014" s="248">
        <v>2.5176175125571645E-2</v>
      </c>
      <c r="I2014" s="250">
        <v>5.0860000000000003</v>
      </c>
      <c r="J2014" s="251">
        <v>1.1624710341157232</v>
      </c>
      <c r="K2014" s="250">
        <v>9.0860000000000003</v>
      </c>
      <c r="L2014" s="250">
        <v>10.202</v>
      </c>
      <c r="M2014" s="213"/>
      <c r="N2014" s="226"/>
    </row>
    <row r="2015" spans="1:14" x14ac:dyDescent="0.25">
      <c r="A2015" s="203">
        <v>45726</v>
      </c>
      <c r="B2015" s="128" t="s">
        <v>6</v>
      </c>
      <c r="C2015" s="157" t="str">
        <f t="shared" si="64"/>
        <v>10.03.2025_KIN4</v>
      </c>
      <c r="D2015" s="190">
        <f t="shared" si="63"/>
        <v>0</v>
      </c>
      <c r="E2015" s="248">
        <v>4.9983481692208891E-2</v>
      </c>
      <c r="F2015" s="249">
        <v>8.8193226830376673E-3</v>
      </c>
      <c r="G2015" s="248">
        <v>1.9418561728878403E-2</v>
      </c>
      <c r="H2015" s="248">
        <v>4.3727041007571764E-2</v>
      </c>
      <c r="I2015" s="250">
        <v>5.0250000000000004</v>
      </c>
      <c r="J2015" s="251">
        <v>1.1633877666316121</v>
      </c>
      <c r="K2015" s="250">
        <v>12.224</v>
      </c>
      <c r="L2015" s="250">
        <v>10.32</v>
      </c>
      <c r="M2015" s="213"/>
      <c r="N2015" s="226"/>
    </row>
    <row r="2016" spans="1:14" x14ac:dyDescent="0.25">
      <c r="A2016" s="203">
        <v>45726</v>
      </c>
      <c r="B2016" s="247" t="s">
        <v>421</v>
      </c>
      <c r="C2016" s="157" t="str">
        <f t="shared" si="64"/>
        <v>10.03.2025_KLI</v>
      </c>
      <c r="D2016" s="190">
        <f t="shared" si="63"/>
        <v>0</v>
      </c>
      <c r="E2016" s="248">
        <v>2.9022666789024487E-2</v>
      </c>
      <c r="F2016" s="249">
        <v>3.4889481705775147E-2</v>
      </c>
      <c r="G2016" s="248">
        <v>1.165113703732705E-2</v>
      </c>
      <c r="H2016" s="256">
        <v>0</v>
      </c>
      <c r="I2016" s="250">
        <v>4.2039999999999997</v>
      </c>
      <c r="J2016" s="251">
        <v>0.95578056583922644</v>
      </c>
      <c r="K2016" s="250">
        <v>5.976</v>
      </c>
      <c r="L2016" s="250">
        <v>14.404</v>
      </c>
      <c r="M2016" s="213"/>
      <c r="N2016" s="226"/>
    </row>
    <row r="2017" spans="1:14" x14ac:dyDescent="0.25">
      <c r="A2017" s="203">
        <v>45726</v>
      </c>
      <c r="B2017" s="128" t="s">
        <v>34</v>
      </c>
      <c r="C2017" s="157" t="str">
        <f t="shared" si="64"/>
        <v>10.03.2025_KRE1</v>
      </c>
      <c r="D2017" s="190">
        <f t="shared" si="63"/>
        <v>0</v>
      </c>
      <c r="E2017" s="248">
        <v>1.1286592640176226E-2</v>
      </c>
      <c r="F2017" s="249">
        <v>1.5265404357720063E-2</v>
      </c>
      <c r="G2017" s="248">
        <v>0.20098211389389142</v>
      </c>
      <c r="H2017" s="248">
        <v>9.6729514956143667E-2</v>
      </c>
      <c r="I2017" s="250">
        <v>12.089</v>
      </c>
      <c r="J2017" s="251">
        <v>2.9160523324458656</v>
      </c>
      <c r="K2017" s="250">
        <v>36</v>
      </c>
      <c r="L2017" s="250">
        <v>32.116</v>
      </c>
      <c r="M2017" s="213"/>
      <c r="N2017" s="226"/>
    </row>
    <row r="2018" spans="1:14" x14ac:dyDescent="0.25">
      <c r="A2018" s="203">
        <v>45726</v>
      </c>
      <c r="B2018" s="128" t="s">
        <v>37</v>
      </c>
      <c r="C2018" s="157" t="str">
        <f t="shared" si="64"/>
        <v>10.03.2025_KRE2</v>
      </c>
      <c r="D2018" s="190">
        <f t="shared" si="63"/>
        <v>0</v>
      </c>
      <c r="E2018" s="248">
        <v>1.1286592640176226E-2</v>
      </c>
      <c r="F2018" s="249">
        <v>1.66279613078146E-2</v>
      </c>
      <c r="G2018" s="248">
        <v>7.4761462656181901E-2</v>
      </c>
      <c r="H2018" s="248">
        <v>5.8302721343429051E-2</v>
      </c>
      <c r="I2018" s="250">
        <v>12.884</v>
      </c>
      <c r="J2018" s="251">
        <v>2.9859108716509053</v>
      </c>
      <c r="K2018" s="250">
        <v>37</v>
      </c>
      <c r="L2018" s="250">
        <v>35</v>
      </c>
      <c r="M2018" s="213"/>
      <c r="N2018" s="226"/>
    </row>
    <row r="2019" spans="1:14" x14ac:dyDescent="0.25">
      <c r="A2019" s="203">
        <v>45726</v>
      </c>
      <c r="B2019" s="128" t="s">
        <v>18</v>
      </c>
      <c r="C2019" s="157" t="str">
        <f t="shared" si="64"/>
        <v>10.03.2025_ORB1</v>
      </c>
      <c r="D2019" s="190">
        <f t="shared" si="63"/>
        <v>0</v>
      </c>
      <c r="E2019" s="248">
        <v>4.3534000183536752E-2</v>
      </c>
      <c r="F2019" s="249">
        <v>2.0696249674129145E-2</v>
      </c>
      <c r="G2019" s="248">
        <v>2.9127842593317625E-2</v>
      </c>
      <c r="H2019" s="248">
        <v>0</v>
      </c>
      <c r="I2019" s="250">
        <v>4.9820000000000002</v>
      </c>
      <c r="J2019" s="251">
        <v>1.1479018184952852</v>
      </c>
      <c r="K2019" s="250">
        <v>8.2859999999999996</v>
      </c>
      <c r="L2019" s="250">
        <v>12.239000000000001</v>
      </c>
      <c r="M2019" s="213"/>
      <c r="N2019" s="226"/>
    </row>
    <row r="2020" spans="1:14" x14ac:dyDescent="0.25">
      <c r="A2020" s="203">
        <v>45726</v>
      </c>
      <c r="B2020" s="128" t="s">
        <v>21</v>
      </c>
      <c r="C2020" s="157" t="str">
        <f t="shared" si="64"/>
        <v>10.03.2025_ORB2</v>
      </c>
      <c r="D2020" s="190">
        <f t="shared" si="63"/>
        <v>0</v>
      </c>
      <c r="E2020" s="248">
        <v>4.0309259429200717E-2</v>
      </c>
      <c r="F2020" s="249">
        <v>1.6589167531572937E-2</v>
      </c>
      <c r="G2020" s="248">
        <v>2.5244130247541928E-2</v>
      </c>
      <c r="H2020" s="248">
        <v>1.855086588200015E-2</v>
      </c>
      <c r="I2020" s="250">
        <v>4.5250000000000004</v>
      </c>
      <c r="J2020" s="251">
        <v>1.0473113758136887</v>
      </c>
      <c r="K2020" s="250">
        <v>11.956</v>
      </c>
      <c r="L2020" s="250">
        <v>13.75</v>
      </c>
      <c r="M2020" s="213"/>
      <c r="N2020" s="226"/>
    </row>
    <row r="2021" spans="1:14" x14ac:dyDescent="0.25">
      <c r="A2021" s="203">
        <v>45726</v>
      </c>
      <c r="B2021" s="128" t="s">
        <v>10</v>
      </c>
      <c r="C2021" s="157" t="str">
        <f t="shared" si="64"/>
        <v>10.03.2025_SAL1</v>
      </c>
      <c r="D2021" s="190">
        <f t="shared" si="63"/>
        <v>0</v>
      </c>
      <c r="E2021" s="248">
        <v>9.190511149857758E-2</v>
      </c>
      <c r="F2021" s="249">
        <v>1.7701713964616835E-2</v>
      </c>
      <c r="G2021" s="248">
        <v>2.4273202161097997E-2</v>
      </c>
      <c r="H2021" s="248">
        <v>4.9027288402428974E-2</v>
      </c>
      <c r="I2021" s="250">
        <v>4.9889999999999999</v>
      </c>
      <c r="J2021" s="251">
        <v>1.1606396867001902</v>
      </c>
      <c r="K2021" s="250">
        <v>5.51</v>
      </c>
      <c r="L2021" s="250">
        <v>4.9050000000000002</v>
      </c>
      <c r="M2021" s="213"/>
      <c r="N2021" s="226"/>
    </row>
    <row r="2022" spans="1:14" x14ac:dyDescent="0.25">
      <c r="A2022" s="203">
        <v>45726</v>
      </c>
      <c r="B2022" s="128" t="s">
        <v>12</v>
      </c>
      <c r="C2022" s="157" t="str">
        <f t="shared" si="64"/>
        <v>10.03.2025_SAL2</v>
      </c>
      <c r="D2022" s="190">
        <f t="shared" si="63"/>
        <v>0</v>
      </c>
      <c r="E2022" s="248">
        <v>4.5146370560704731E-2</v>
      </c>
      <c r="F2022" s="249">
        <v>2.0521834950083397E-2</v>
      </c>
      <c r="G2022" s="248">
        <v>6.0197541359523078E-2</v>
      </c>
      <c r="H2022" s="248">
        <v>1.9875927730714463E-2</v>
      </c>
      <c r="I2022" s="250">
        <v>5.32</v>
      </c>
      <c r="J2022" s="251">
        <v>1.254422415087872</v>
      </c>
      <c r="K2022" s="250">
        <v>6.3150000000000004</v>
      </c>
      <c r="L2022" s="250">
        <v>5.5010000000000003</v>
      </c>
      <c r="M2022" s="213"/>
      <c r="N2022" s="226"/>
    </row>
    <row r="2023" spans="1:14" x14ac:dyDescent="0.25">
      <c r="A2023" s="203">
        <v>45726</v>
      </c>
      <c r="B2023" s="128" t="s">
        <v>7</v>
      </c>
      <c r="C2023" s="157" t="str">
        <f t="shared" si="64"/>
        <v>10.03.2025_STE1</v>
      </c>
      <c r="D2023" s="190">
        <f t="shared" si="63"/>
        <v>0</v>
      </c>
      <c r="E2023" s="248">
        <v>6.2882444709553065E-2</v>
      </c>
      <c r="F2023" s="249">
        <v>1.283647356068807E-2</v>
      </c>
      <c r="G2023" s="248">
        <v>1.0680208950883117E-2</v>
      </c>
      <c r="H2023" s="248">
        <v>1.1925556638428678E-2</v>
      </c>
      <c r="I2023" s="250">
        <v>5.3380000000000001</v>
      </c>
      <c r="J2023" s="251">
        <v>1.2176178711668408</v>
      </c>
      <c r="K2023" s="250">
        <v>6.452</v>
      </c>
      <c r="L2023" s="250">
        <v>5.7919999999999998</v>
      </c>
      <c r="M2023" s="213"/>
      <c r="N2023" s="226"/>
    </row>
    <row r="2024" spans="1:14" x14ac:dyDescent="0.25">
      <c r="A2024" s="203">
        <v>45726</v>
      </c>
      <c r="B2024" s="128" t="s">
        <v>9</v>
      </c>
      <c r="C2024" s="157" t="str">
        <f t="shared" si="64"/>
        <v>10.03.2025_STE2</v>
      </c>
      <c r="D2024" s="190">
        <f t="shared" si="63"/>
        <v>0</v>
      </c>
      <c r="E2024" s="248">
        <v>0.10964118564742588</v>
      </c>
      <c r="F2024" s="249">
        <v>1.1790383678146164E-2</v>
      </c>
      <c r="G2024" s="248">
        <v>1.5534849383102707E-2</v>
      </c>
      <c r="H2024" s="248">
        <v>3.0476422520428828E-2</v>
      </c>
      <c r="I2024" s="250">
        <v>5.282</v>
      </c>
      <c r="J2024" s="251">
        <v>1.2143865420338298</v>
      </c>
      <c r="K2024" s="250">
        <v>7.9029999999999996</v>
      </c>
      <c r="L2024" s="250">
        <v>6.2919999999999998</v>
      </c>
      <c r="M2024" s="213"/>
      <c r="N2024" s="226"/>
    </row>
    <row r="2025" spans="1:14" x14ac:dyDescent="0.25">
      <c r="A2025" s="203">
        <v>45740</v>
      </c>
      <c r="B2025" s="128" t="s">
        <v>22</v>
      </c>
      <c r="C2025" s="157" t="str">
        <f t="shared" si="64"/>
        <v>24.03.2025_BIE1</v>
      </c>
      <c r="D2025" s="190">
        <f t="shared" si="63"/>
        <v>0</v>
      </c>
      <c r="E2025" s="248">
        <v>0</v>
      </c>
      <c r="F2025" s="249">
        <v>8.8921513684455319E-3</v>
      </c>
      <c r="G2025" s="248">
        <v>2.0511781783809354E-2</v>
      </c>
      <c r="H2025" s="248">
        <v>4.4256276646139285E-2</v>
      </c>
      <c r="I2025" s="250">
        <v>3.1360000000000001</v>
      </c>
      <c r="J2025" s="251">
        <v>0.73772933686222719</v>
      </c>
      <c r="K2025" s="250">
        <v>5.6630000000000003</v>
      </c>
      <c r="L2025" s="250">
        <v>11.077</v>
      </c>
      <c r="M2025" s="213"/>
      <c r="N2025" s="226"/>
    </row>
    <row r="2026" spans="1:14" x14ac:dyDescent="0.25">
      <c r="A2026" s="203">
        <v>45740</v>
      </c>
      <c r="B2026" s="128" t="s">
        <v>25</v>
      </c>
      <c r="C2026" s="157" t="str">
        <f t="shared" si="64"/>
        <v>24.03.2025_BIE2</v>
      </c>
      <c r="D2026" s="190">
        <f t="shared" si="63"/>
        <v>0</v>
      </c>
      <c r="E2026" s="248">
        <v>7.3181296980506638E-3</v>
      </c>
      <c r="F2026" s="249">
        <v>8.7979970572336207E-3</v>
      </c>
      <c r="G2026" s="248">
        <v>9.7675151351472849E-3</v>
      </c>
      <c r="H2026" s="248">
        <v>3.5883467550923774E-2</v>
      </c>
      <c r="I2026" s="250">
        <v>3.1749999999999998</v>
      </c>
      <c r="J2026" s="251">
        <v>0.73564634952316921</v>
      </c>
      <c r="K2026" s="250">
        <v>6.2670000000000003</v>
      </c>
      <c r="L2026" s="250">
        <v>11.010999999999999</v>
      </c>
      <c r="M2026" s="213"/>
      <c r="N2026" s="226"/>
    </row>
    <row r="2027" spans="1:14" x14ac:dyDescent="0.25">
      <c r="A2027" s="203">
        <v>45740</v>
      </c>
      <c r="B2027" s="128" t="s">
        <v>14</v>
      </c>
      <c r="C2027" s="157" t="str">
        <f t="shared" si="64"/>
        <v>24.03.2025_BRA1</v>
      </c>
      <c r="D2027" s="190">
        <f t="shared" si="63"/>
        <v>0</v>
      </c>
      <c r="E2027" s="248">
        <v>0</v>
      </c>
      <c r="F2027" s="249">
        <v>2.9119443313147499E-2</v>
      </c>
      <c r="G2027" s="248">
        <v>0</v>
      </c>
      <c r="H2027" s="248">
        <v>2.511842728564664E-2</v>
      </c>
      <c r="I2027" s="250">
        <v>6.0410000000000004</v>
      </c>
      <c r="J2027" s="251">
        <v>1.3721279751871152</v>
      </c>
      <c r="K2027" s="250">
        <v>5.7169999999999996</v>
      </c>
      <c r="L2027" s="250">
        <v>4.4509999999999996</v>
      </c>
      <c r="M2027" s="213"/>
      <c r="N2027" s="226"/>
    </row>
    <row r="2028" spans="1:14" x14ac:dyDescent="0.25">
      <c r="A2028" s="203">
        <v>45740</v>
      </c>
      <c r="B2028" s="128" t="s">
        <v>17</v>
      </c>
      <c r="C2028" s="157" t="str">
        <f t="shared" si="64"/>
        <v>24.03.2025_BRA2</v>
      </c>
      <c r="D2028" s="190">
        <f t="shared" si="63"/>
        <v>0</v>
      </c>
      <c r="E2028" s="248">
        <v>4.0249713339278917E-2</v>
      </c>
      <c r="F2028" s="249">
        <v>2.586884716348916E-2</v>
      </c>
      <c r="G2028" s="248">
        <v>1.9535030270294487E-3</v>
      </c>
      <c r="H2028" s="248">
        <v>2.0333964945523454E-2</v>
      </c>
      <c r="I2028" s="250">
        <v>6.7770000000000001</v>
      </c>
      <c r="J2028" s="251">
        <v>1.5384285411931224</v>
      </c>
      <c r="K2028" s="250">
        <v>6.6159999999999997</v>
      </c>
      <c r="L2028" s="250">
        <v>4.4619999999999997</v>
      </c>
      <c r="M2028" s="213"/>
      <c r="N2028" s="226"/>
    </row>
    <row r="2029" spans="1:14" x14ac:dyDescent="0.25">
      <c r="A2029" s="203">
        <v>45740</v>
      </c>
      <c r="B2029" s="128" t="s">
        <v>30</v>
      </c>
      <c r="C2029" s="157" t="str">
        <f t="shared" si="64"/>
        <v>24.03.2025_FAL1</v>
      </c>
      <c r="D2029" s="190">
        <f t="shared" si="63"/>
        <v>0</v>
      </c>
      <c r="E2029" s="248">
        <v>3.476111606574088E-2</v>
      </c>
      <c r="F2029" s="249">
        <v>2.8460699531848287E-2</v>
      </c>
      <c r="G2029" s="248">
        <v>7.2279612000090088E-2</v>
      </c>
      <c r="H2029" s="248">
        <v>0.10047370914258649</v>
      </c>
      <c r="I2029" s="250">
        <v>7.3979999999999997</v>
      </c>
      <c r="J2029" s="251">
        <v>1.7576998766704102</v>
      </c>
      <c r="K2029" s="250">
        <v>20</v>
      </c>
      <c r="L2029" s="250">
        <v>18.257999999999999</v>
      </c>
      <c r="M2029" s="213"/>
      <c r="N2029" s="226"/>
    </row>
    <row r="2030" spans="1:14" x14ac:dyDescent="0.25">
      <c r="A2030" s="203">
        <v>45740</v>
      </c>
      <c r="B2030" s="128" t="s">
        <v>32</v>
      </c>
      <c r="C2030" s="157" t="str">
        <f t="shared" si="64"/>
        <v>24.03.2025_FAL2</v>
      </c>
      <c r="D2030" s="190">
        <f t="shared" si="63"/>
        <v>0</v>
      </c>
      <c r="E2030" s="248">
        <v>5.6715505159893029E-2</v>
      </c>
      <c r="F2030" s="249">
        <v>3.3203420137036255E-2</v>
      </c>
      <c r="G2030" s="248">
        <v>6.0558593837913316E-2</v>
      </c>
      <c r="H2030" s="248">
        <v>0.1531027948839413</v>
      </c>
      <c r="I2030" s="250">
        <v>11.662000000000001</v>
      </c>
      <c r="J2030" s="251">
        <v>2.7277312284316171</v>
      </c>
      <c r="K2030" s="250">
        <v>31</v>
      </c>
      <c r="L2030" s="250">
        <v>25.093</v>
      </c>
      <c r="M2030" s="213"/>
      <c r="N2030" s="226"/>
    </row>
    <row r="2031" spans="1:14" x14ac:dyDescent="0.25">
      <c r="A2031" s="203">
        <v>45740</v>
      </c>
      <c r="B2031" s="128" t="s">
        <v>26</v>
      </c>
      <c r="C2031" s="157" t="str">
        <f t="shared" si="64"/>
        <v>24.03.2025_GRU1</v>
      </c>
      <c r="D2031" s="190">
        <f t="shared" si="63"/>
        <v>0</v>
      </c>
      <c r="E2031" s="248">
        <v>0</v>
      </c>
      <c r="F2031" s="249">
        <v>1.2536072443999166E-2</v>
      </c>
      <c r="G2031" s="248">
        <v>0</v>
      </c>
      <c r="H2031" s="256">
        <v>0</v>
      </c>
      <c r="I2031" s="250">
        <v>3.69</v>
      </c>
      <c r="J2031" s="251">
        <v>0.8327319852202747</v>
      </c>
      <c r="K2031" s="250">
        <v>6.0549999999999997</v>
      </c>
      <c r="L2031" s="250">
        <v>9.7870000000000008</v>
      </c>
      <c r="M2031" s="213"/>
      <c r="N2031" s="226"/>
    </row>
    <row r="2032" spans="1:14" x14ac:dyDescent="0.25">
      <c r="A2032" s="203">
        <v>45740</v>
      </c>
      <c r="B2032" s="128" t="s">
        <v>28</v>
      </c>
      <c r="C2032" s="157" t="str">
        <f t="shared" si="64"/>
        <v>24.03.2025_GRU2</v>
      </c>
      <c r="D2032" s="190">
        <f t="shared" si="63"/>
        <v>0</v>
      </c>
      <c r="E2032" s="248">
        <v>0</v>
      </c>
      <c r="F2032" s="249">
        <v>1.1034937936472623E-2</v>
      </c>
      <c r="G2032" s="248">
        <v>4.8837575675736425E-3</v>
      </c>
      <c r="H2032" s="248">
        <v>0</v>
      </c>
      <c r="I2032" s="250">
        <v>3.2749999999999999</v>
      </c>
      <c r="J2032" s="251">
        <v>0.74351643891364527</v>
      </c>
      <c r="K2032" s="250">
        <v>5.9930000000000003</v>
      </c>
      <c r="L2032" s="250">
        <v>8.8420000000000005</v>
      </c>
      <c r="M2032" s="213"/>
      <c r="N2032" s="226"/>
    </row>
    <row r="2033" spans="1:14" x14ac:dyDescent="0.25">
      <c r="A2033" s="203">
        <v>45740</v>
      </c>
      <c r="B2033" s="128" t="s">
        <v>0</v>
      </c>
      <c r="C2033" s="157" t="str">
        <f t="shared" si="64"/>
        <v>24.03.2025_KIN1</v>
      </c>
      <c r="D2033" s="190">
        <f t="shared" si="63"/>
        <v>0</v>
      </c>
      <c r="E2033" s="248">
        <v>0</v>
      </c>
      <c r="F2033" s="249">
        <v>9.0494387479279556E-3</v>
      </c>
      <c r="G2033" s="256">
        <v>0</v>
      </c>
      <c r="H2033" s="248">
        <v>0</v>
      </c>
      <c r="I2033" s="250">
        <v>1.68</v>
      </c>
      <c r="J2033" s="251">
        <v>0.37870316221727091</v>
      </c>
      <c r="K2033" s="250">
        <v>5.9720000000000004</v>
      </c>
      <c r="L2033" s="250">
        <v>6.6749999999999998</v>
      </c>
      <c r="M2033" s="213"/>
      <c r="N2033" s="226"/>
    </row>
    <row r="2034" spans="1:14" x14ac:dyDescent="0.25">
      <c r="A2034" s="203">
        <v>45740</v>
      </c>
      <c r="B2034" s="128" t="s">
        <v>2</v>
      </c>
      <c r="C2034" s="157" t="str">
        <f t="shared" si="64"/>
        <v>24.03.2025_KIN2</v>
      </c>
      <c r="D2034" s="190">
        <f t="shared" si="63"/>
        <v>0</v>
      </c>
      <c r="E2034" s="248">
        <v>0</v>
      </c>
      <c r="F2034" s="249">
        <v>7.7873464220976759E-3</v>
      </c>
      <c r="G2034" s="256">
        <v>0</v>
      </c>
      <c r="H2034" s="248">
        <v>1.4353387020369509E-2</v>
      </c>
      <c r="I2034" s="250">
        <v>4.26</v>
      </c>
      <c r="J2034" s="251">
        <v>0.96354233754743523</v>
      </c>
      <c r="K2034" s="250">
        <v>9.8840000000000003</v>
      </c>
      <c r="L2034" s="250">
        <v>9.7720000000000002</v>
      </c>
      <c r="M2034" s="213"/>
      <c r="N2034" s="226"/>
    </row>
    <row r="2035" spans="1:14" x14ac:dyDescent="0.25">
      <c r="A2035" s="203">
        <v>45740</v>
      </c>
      <c r="B2035" s="128" t="s">
        <v>4</v>
      </c>
      <c r="C2035" s="157" t="str">
        <f t="shared" si="64"/>
        <v>24.03.2025_KIN3</v>
      </c>
      <c r="D2035" s="190">
        <f t="shared" si="63"/>
        <v>0</v>
      </c>
      <c r="E2035" s="248">
        <v>0</v>
      </c>
      <c r="F2035" s="249">
        <v>8.856409528895633E-3</v>
      </c>
      <c r="G2035" s="248">
        <v>1.5628024216235673E-2</v>
      </c>
      <c r="H2035" s="248">
        <v>2.6314542870677426E-2</v>
      </c>
      <c r="I2035" s="250">
        <v>2.5859999999999999</v>
      </c>
      <c r="J2035" s="251">
        <v>0.60424628710064243</v>
      </c>
      <c r="K2035" s="250">
        <v>6.55</v>
      </c>
      <c r="L2035" s="250">
        <v>7.0430000000000001</v>
      </c>
      <c r="M2035" s="213"/>
      <c r="N2035" s="226"/>
    </row>
    <row r="2036" spans="1:14" x14ac:dyDescent="0.25">
      <c r="A2036" s="203">
        <v>45740</v>
      </c>
      <c r="B2036" s="128" t="s">
        <v>6</v>
      </c>
      <c r="C2036" s="157" t="str">
        <f t="shared" si="64"/>
        <v>24.03.2025_KIN4</v>
      </c>
      <c r="D2036" s="190">
        <f t="shared" si="63"/>
        <v>0</v>
      </c>
      <c r="E2036" s="248">
        <v>3.8420180914766212E-2</v>
      </c>
      <c r="F2036" s="249">
        <v>1.0353679827323029E-2</v>
      </c>
      <c r="G2036" s="248">
        <v>6.8372605946030911E-3</v>
      </c>
      <c r="H2036" s="248">
        <v>4.7844623401231662E-2</v>
      </c>
      <c r="I2036" s="250">
        <v>3.2949999999999999</v>
      </c>
      <c r="J2036" s="251">
        <v>0.76411701007360833</v>
      </c>
      <c r="K2036" s="250">
        <v>9.5120000000000005</v>
      </c>
      <c r="L2036" s="250">
        <v>8.6029999999999998</v>
      </c>
      <c r="M2036" s="213"/>
      <c r="N2036" s="226"/>
    </row>
    <row r="2037" spans="1:14" x14ac:dyDescent="0.25">
      <c r="A2037" s="203">
        <v>45740</v>
      </c>
      <c r="B2037" s="247" t="s">
        <v>421</v>
      </c>
      <c r="C2037" s="157" t="str">
        <f t="shared" si="64"/>
        <v>24.03.2025_KLI</v>
      </c>
      <c r="D2037" s="190">
        <f t="shared" si="63"/>
        <v>0</v>
      </c>
      <c r="E2037" s="248">
        <v>0</v>
      </c>
      <c r="F2037" s="249">
        <v>3.1797108415093776E-2</v>
      </c>
      <c r="G2037" s="248">
        <v>7.8140121081178363E-3</v>
      </c>
      <c r="H2037" s="248">
        <v>0</v>
      </c>
      <c r="I2037" s="250">
        <v>3.4209999999999998</v>
      </c>
      <c r="J2037" s="251">
        <v>0.77876877226183228</v>
      </c>
      <c r="K2037" s="250">
        <v>6.7460000000000004</v>
      </c>
      <c r="L2037" s="250">
        <v>13.757999999999999</v>
      </c>
      <c r="M2037" s="213"/>
      <c r="N2037" s="226"/>
    </row>
    <row r="2038" spans="1:14" x14ac:dyDescent="0.25">
      <c r="A2038" s="203">
        <v>45740</v>
      </c>
      <c r="B2038" s="128" t="s">
        <v>34</v>
      </c>
      <c r="C2038" s="157" t="str">
        <f t="shared" si="64"/>
        <v>24.03.2025_KRE1</v>
      </c>
      <c r="D2038" s="190">
        <f t="shared" si="63"/>
        <v>0</v>
      </c>
      <c r="E2038" s="248">
        <v>0</v>
      </c>
      <c r="F2038" s="249">
        <v>1.6344468235579872E-2</v>
      </c>
      <c r="G2038" s="248">
        <v>6.8372605946031159E-2</v>
      </c>
      <c r="H2038" s="248">
        <v>7.6551397441970634E-2</v>
      </c>
      <c r="I2038" s="250">
        <v>8.5090000000000003</v>
      </c>
      <c r="J2038" s="251">
        <v>1.9983245477422418</v>
      </c>
      <c r="K2038" s="250">
        <v>37</v>
      </c>
      <c r="L2038" s="250">
        <v>29.125</v>
      </c>
      <c r="M2038" s="213"/>
      <c r="N2038" s="226"/>
    </row>
    <row r="2039" spans="1:14" x14ac:dyDescent="0.25">
      <c r="A2039" s="203">
        <v>45740</v>
      </c>
      <c r="B2039" s="128" t="s">
        <v>37</v>
      </c>
      <c r="C2039" s="157" t="str">
        <f t="shared" si="64"/>
        <v>24.03.2025_KRE2</v>
      </c>
      <c r="D2039" s="190">
        <f t="shared" ref="D2039:D2099" si="65">COUNTBLANK(E2039:L2039)</f>
        <v>0</v>
      </c>
      <c r="E2039" s="248">
        <v>2.0124856669639441E-2</v>
      </c>
      <c r="F2039" s="249">
        <v>1.7045321517537109E-2</v>
      </c>
      <c r="G2039" s="248">
        <v>7.1302860486575345E-2</v>
      </c>
      <c r="H2039" s="248">
        <v>6.1001894836570342E-2</v>
      </c>
      <c r="I2039" s="250">
        <v>10.499000000000001</v>
      </c>
      <c r="J2039" s="251">
        <v>2.4453471150222148</v>
      </c>
      <c r="K2039" s="250">
        <v>36</v>
      </c>
      <c r="L2039" s="250">
        <v>32</v>
      </c>
      <c r="M2039" s="213"/>
      <c r="N2039" s="226"/>
    </row>
    <row r="2040" spans="1:14" x14ac:dyDescent="0.25">
      <c r="A2040" s="203">
        <v>45740</v>
      </c>
      <c r="B2040" s="128" t="s">
        <v>18</v>
      </c>
      <c r="C2040" s="157" t="str">
        <f t="shared" si="64"/>
        <v>24.03.2025_ORB1</v>
      </c>
      <c r="D2040" s="190">
        <f t="shared" si="65"/>
        <v>0</v>
      </c>
      <c r="E2040" s="248">
        <v>1.2806726971588699E-2</v>
      </c>
      <c r="F2040" s="249">
        <v>1.9826780812968313E-2</v>
      </c>
      <c r="G2040" s="248">
        <v>1.5628024216235673E-2</v>
      </c>
      <c r="H2040" s="248">
        <v>5.9805779251539456E-3</v>
      </c>
      <c r="I2040" s="250">
        <v>4.9260000000000002</v>
      </c>
      <c r="J2040" s="251">
        <v>1.126591411472978</v>
      </c>
      <c r="K2040" s="250">
        <v>6.4349999999999996</v>
      </c>
      <c r="L2040" s="250">
        <v>10.987</v>
      </c>
      <c r="M2040" s="213"/>
      <c r="N2040" s="226"/>
    </row>
    <row r="2041" spans="1:14" x14ac:dyDescent="0.25">
      <c r="A2041" s="203">
        <v>45740</v>
      </c>
      <c r="B2041" s="128" t="s">
        <v>21</v>
      </c>
      <c r="C2041" s="157" t="str">
        <f t="shared" si="64"/>
        <v>24.03.2025_ORB2</v>
      </c>
      <c r="D2041" s="190">
        <f t="shared" si="65"/>
        <v>0</v>
      </c>
      <c r="E2041" s="248">
        <v>2.378392151866477E-2</v>
      </c>
      <c r="F2041" s="249">
        <v>1.5665613272152497E-2</v>
      </c>
      <c r="G2041" s="248">
        <v>1.0744266648662029E-2</v>
      </c>
      <c r="H2041" s="248">
        <v>8.3728090952155387E-3</v>
      </c>
      <c r="I2041" s="250">
        <v>2.2000000000000002</v>
      </c>
      <c r="J2041" s="251">
        <v>0.507805917339058</v>
      </c>
      <c r="K2041" s="250">
        <v>5.1529999999999996</v>
      </c>
      <c r="L2041" s="250">
        <v>7.3769999999999998</v>
      </c>
      <c r="M2041" s="213"/>
      <c r="N2041" s="226"/>
    </row>
    <row r="2042" spans="1:14" x14ac:dyDescent="0.25">
      <c r="A2042" s="203">
        <v>45740</v>
      </c>
      <c r="B2042" s="128" t="s">
        <v>10</v>
      </c>
      <c r="C2042" s="157" t="str">
        <f t="shared" ref="C2042:C2105" si="66">CONCATENATE(TEXT(A2042,"TT.MM.JJJJ"),"_",B2042)</f>
        <v>24.03.2025_SAL1</v>
      </c>
      <c r="D2042" s="190">
        <f t="shared" si="65"/>
        <v>0</v>
      </c>
      <c r="E2042" s="248">
        <v>4.390877818830425E-2</v>
      </c>
      <c r="F2042" s="249">
        <v>1.6093342074447094E-2</v>
      </c>
      <c r="G2042" s="248">
        <v>7.8140121081178363E-3</v>
      </c>
      <c r="H2042" s="248">
        <v>3.5883467550923726E-2</v>
      </c>
      <c r="I2042" s="250">
        <v>5.0730000000000004</v>
      </c>
      <c r="J2042" s="251">
        <v>1.1628307339577111</v>
      </c>
      <c r="K2042" s="250">
        <v>6.9020000000000001</v>
      </c>
      <c r="L2042" s="250">
        <v>4.9180000000000001</v>
      </c>
      <c r="M2042" s="213"/>
      <c r="N2042" s="226"/>
    </row>
    <row r="2043" spans="1:14" x14ac:dyDescent="0.25">
      <c r="A2043" s="203">
        <v>45740</v>
      </c>
      <c r="B2043" s="128" t="s">
        <v>12</v>
      </c>
      <c r="C2043" s="157" t="str">
        <f t="shared" si="66"/>
        <v>24.03.2025_SAL2</v>
      </c>
      <c r="D2043" s="190">
        <f t="shared" si="65"/>
        <v>0</v>
      </c>
      <c r="E2043" s="248">
        <v>2.1954389094152107E-2</v>
      </c>
      <c r="F2043" s="249">
        <v>1.5244146264572789E-2</v>
      </c>
      <c r="G2043" s="248">
        <v>6.3488848378457516E-2</v>
      </c>
      <c r="H2043" s="248">
        <v>2.3922311700615831E-2</v>
      </c>
      <c r="I2043" s="250">
        <v>5.0170000000000003</v>
      </c>
      <c r="J2043" s="251">
        <v>1.1897713936746412</v>
      </c>
      <c r="K2043" s="250">
        <v>7.5839999999999996</v>
      </c>
      <c r="L2043" s="250">
        <v>5.4020000000000001</v>
      </c>
      <c r="M2043" s="213"/>
      <c r="N2043" s="226"/>
    </row>
    <row r="2044" spans="1:14" x14ac:dyDescent="0.25">
      <c r="A2044" s="203">
        <v>45740</v>
      </c>
      <c r="B2044" s="128" t="s">
        <v>7</v>
      </c>
      <c r="C2044" s="157" t="str">
        <f t="shared" si="66"/>
        <v>24.03.2025_STE1</v>
      </c>
      <c r="D2044" s="190">
        <f t="shared" si="65"/>
        <v>0</v>
      </c>
      <c r="E2044" s="248">
        <v>2.1954389094152107E-2</v>
      </c>
      <c r="F2044" s="249">
        <v>1.5331055850926607E-2</v>
      </c>
      <c r="G2044" s="256">
        <v>0</v>
      </c>
      <c r="H2044" s="248">
        <v>2.1530080530554264E-2</v>
      </c>
      <c r="I2044" s="250">
        <v>3.4710000000000001</v>
      </c>
      <c r="J2044" s="251">
        <v>0.78979116523479809</v>
      </c>
      <c r="K2044" s="250">
        <v>5.2210000000000001</v>
      </c>
      <c r="L2044" s="250">
        <v>4.819</v>
      </c>
      <c r="M2044" s="213"/>
      <c r="N2044" s="226"/>
    </row>
    <row r="2045" spans="1:14" x14ac:dyDescent="0.25">
      <c r="A2045" s="203">
        <v>45740</v>
      </c>
      <c r="B2045" s="128" t="s">
        <v>9</v>
      </c>
      <c r="C2045" s="157" t="str">
        <f t="shared" si="66"/>
        <v>24.03.2025_STE2</v>
      </c>
      <c r="D2045" s="190">
        <f t="shared" si="65"/>
        <v>0</v>
      </c>
      <c r="E2045" s="248">
        <v>5.305644031086762E-2</v>
      </c>
      <c r="F2045" s="249">
        <v>1.5901589703631928E-2</v>
      </c>
      <c r="G2045" s="248">
        <v>1.5628024216235673E-2</v>
      </c>
      <c r="H2045" s="248">
        <v>4.1864045476077694E-2</v>
      </c>
      <c r="I2045" s="250">
        <v>5.032</v>
      </c>
      <c r="J2045" s="251">
        <v>1.1614583531688565</v>
      </c>
      <c r="K2045" s="250">
        <v>11.744999999999999</v>
      </c>
      <c r="L2045" s="250">
        <v>6.9160000000000004</v>
      </c>
      <c r="M2045" s="213"/>
      <c r="N2045" s="226"/>
    </row>
    <row r="2046" spans="1:14" x14ac:dyDescent="0.25">
      <c r="A2046" s="203">
        <v>45761</v>
      </c>
      <c r="B2046" s="128" t="s">
        <v>22</v>
      </c>
      <c r="C2046" s="157" t="str">
        <f t="shared" si="66"/>
        <v>14.04.2025_BIE1</v>
      </c>
      <c r="D2046" s="190">
        <f t="shared" si="65"/>
        <v>0</v>
      </c>
      <c r="E2046" s="248">
        <v>1.5480439834223753E-2</v>
      </c>
      <c r="F2046" s="249">
        <v>8.6790678967977215E-3</v>
      </c>
      <c r="G2046" s="248">
        <v>4.205112916449278E-2</v>
      </c>
      <c r="H2046" s="248">
        <v>4.1396380411639483E-2</v>
      </c>
      <c r="I2046" s="250">
        <v>2.0760000000000001</v>
      </c>
      <c r="J2046" s="251">
        <v>0.51416152930126058</v>
      </c>
      <c r="K2046" s="250">
        <v>3.7610000000000001</v>
      </c>
      <c r="L2046" s="250">
        <v>8.93</v>
      </c>
      <c r="M2046" s="213"/>
      <c r="N2046" s="226"/>
    </row>
    <row r="2047" spans="1:14" x14ac:dyDescent="0.25">
      <c r="A2047" s="203">
        <v>45761</v>
      </c>
      <c r="B2047" s="128" t="s">
        <v>25</v>
      </c>
      <c r="C2047" s="157" t="str">
        <f t="shared" si="66"/>
        <v>14.04.2025_BIE2</v>
      </c>
      <c r="D2047" s="190">
        <f t="shared" si="65"/>
        <v>0</v>
      </c>
      <c r="E2047" s="248">
        <v>0</v>
      </c>
      <c r="F2047" s="249">
        <v>9.3283500490972462E-3</v>
      </c>
      <c r="G2047" s="248">
        <v>2.587761794738019E-2</v>
      </c>
      <c r="H2047" s="256">
        <v>0</v>
      </c>
      <c r="I2047" s="250">
        <v>2.1469999999999998</v>
      </c>
      <c r="J2047" s="251">
        <v>0.50389086264938632</v>
      </c>
      <c r="K2047" s="250">
        <v>4.1470000000000002</v>
      </c>
      <c r="L2047" s="250">
        <v>9.5440000000000005</v>
      </c>
      <c r="M2047" s="213"/>
      <c r="N2047" s="226"/>
    </row>
    <row r="2048" spans="1:14" x14ac:dyDescent="0.25">
      <c r="A2048" s="203">
        <v>45761</v>
      </c>
      <c r="B2048" s="128" t="s">
        <v>14</v>
      </c>
      <c r="C2048" s="157" t="str">
        <f t="shared" si="66"/>
        <v>14.04.2025_BRA1</v>
      </c>
      <c r="D2048" s="190">
        <f t="shared" si="65"/>
        <v>0</v>
      </c>
      <c r="E2048" s="248">
        <v>6.8801954818772321E-3</v>
      </c>
      <c r="F2048" s="249">
        <v>3.8974227301692692E-2</v>
      </c>
      <c r="G2048" s="248">
        <v>1.2130133412834461E-2</v>
      </c>
      <c r="H2048" s="248">
        <v>1.1289921930447163E-2</v>
      </c>
      <c r="I2048" s="250">
        <v>3.7549999999999999</v>
      </c>
      <c r="J2048" s="251">
        <v>0.8609979940254564</v>
      </c>
      <c r="K2048" s="250">
        <v>3.8919999999999999</v>
      </c>
      <c r="L2048" s="250">
        <v>3.0859999999999999</v>
      </c>
      <c r="M2048" s="213"/>
      <c r="N2048" s="226"/>
    </row>
    <row r="2049" spans="1:14" x14ac:dyDescent="0.25">
      <c r="A2049" s="203">
        <v>45761</v>
      </c>
      <c r="B2049" s="128" t="s">
        <v>17</v>
      </c>
      <c r="C2049" s="157" t="str">
        <f t="shared" si="66"/>
        <v>14.04.2025_BRA2</v>
      </c>
      <c r="D2049" s="190">
        <f t="shared" si="65"/>
        <v>0</v>
      </c>
      <c r="E2049" s="248">
        <v>3.784107515032463E-2</v>
      </c>
      <c r="F2049" s="249">
        <v>4.4142919201057389E-2</v>
      </c>
      <c r="G2049" s="248">
        <v>2.021688902139079E-2</v>
      </c>
      <c r="H2049" s="248">
        <v>1.756210078069553E-2</v>
      </c>
      <c r="I2049" s="250">
        <v>6.2380000000000004</v>
      </c>
      <c r="J2049" s="251">
        <v>1.4300220537389023</v>
      </c>
      <c r="K2049" s="250">
        <v>6.0149999999999997</v>
      </c>
      <c r="L2049" s="250">
        <v>4.0030000000000001</v>
      </c>
      <c r="M2049" s="213"/>
      <c r="N2049" s="226"/>
    </row>
    <row r="2050" spans="1:14" x14ac:dyDescent="0.25">
      <c r="A2050" s="203">
        <v>45761</v>
      </c>
      <c r="B2050" s="128" t="s">
        <v>30</v>
      </c>
      <c r="C2050" s="157" t="str">
        <f t="shared" si="66"/>
        <v>14.04.2025_FAL1</v>
      </c>
      <c r="D2050" s="190">
        <f t="shared" si="65"/>
        <v>0</v>
      </c>
      <c r="E2050" s="248">
        <v>7.7402199171118513E-2</v>
      </c>
      <c r="F2050" s="249">
        <v>5.2934655441519006E-2</v>
      </c>
      <c r="G2050" s="248">
        <v>0.19569948572706281</v>
      </c>
      <c r="H2050" s="248">
        <v>0.42525372604684181</v>
      </c>
      <c r="I2050" s="250">
        <v>12.11</v>
      </c>
      <c r="J2050" s="251">
        <v>3.0167128905671676</v>
      </c>
      <c r="K2050" s="250">
        <v>30.972999999999999</v>
      </c>
      <c r="L2050" s="250">
        <v>21.908000000000001</v>
      </c>
      <c r="M2050" s="213"/>
      <c r="N2050" s="226"/>
    </row>
    <row r="2051" spans="1:14" x14ac:dyDescent="0.25">
      <c r="A2051" s="203">
        <v>45761</v>
      </c>
      <c r="B2051" s="128" t="s">
        <v>32</v>
      </c>
      <c r="C2051" s="157" t="str">
        <f t="shared" si="66"/>
        <v>14.04.2025_FAL2</v>
      </c>
      <c r="D2051" s="190">
        <f t="shared" si="65"/>
        <v>0</v>
      </c>
      <c r="E2051" s="248">
        <v>0.11180317658050454</v>
      </c>
      <c r="F2051" s="249">
        <v>4.390477176304862E-2</v>
      </c>
      <c r="G2051" s="248">
        <v>7.9250204963851864E-2</v>
      </c>
      <c r="H2051" s="248">
        <v>0.19820085166784962</v>
      </c>
      <c r="I2051" s="250">
        <v>10.589</v>
      </c>
      <c r="J2051" s="251">
        <v>2.5136166709426582</v>
      </c>
      <c r="K2051" s="250">
        <v>35.460999999999999</v>
      </c>
      <c r="L2051" s="250">
        <v>24.073</v>
      </c>
      <c r="M2051" s="213"/>
      <c r="N2051" s="226"/>
    </row>
    <row r="2052" spans="1:14" x14ac:dyDescent="0.25">
      <c r="A2052" s="203">
        <v>45761</v>
      </c>
      <c r="B2052" s="128" t="s">
        <v>26</v>
      </c>
      <c r="C2052" s="157" t="str">
        <f t="shared" si="66"/>
        <v>14.04.2025_GRU1</v>
      </c>
      <c r="D2052" s="190">
        <f t="shared" si="65"/>
        <v>0</v>
      </c>
      <c r="E2052" s="248">
        <v>0</v>
      </c>
      <c r="F2052" s="249">
        <v>1.4709644878729449E-2</v>
      </c>
      <c r="G2052" s="248">
        <v>1.374748453454573E-2</v>
      </c>
      <c r="H2052" s="248">
        <v>0</v>
      </c>
      <c r="I2052" s="250">
        <v>3.004</v>
      </c>
      <c r="J2052" s="251">
        <v>0.68918826426622937</v>
      </c>
      <c r="K2052" s="250">
        <v>4.79</v>
      </c>
      <c r="L2052" s="250">
        <v>8.4979999999999993</v>
      </c>
      <c r="M2052" s="213"/>
      <c r="N2052" s="226"/>
    </row>
    <row r="2053" spans="1:14" x14ac:dyDescent="0.25">
      <c r="A2053" s="203">
        <v>45761</v>
      </c>
      <c r="B2053" s="128" t="s">
        <v>28</v>
      </c>
      <c r="C2053" s="157" t="str">
        <f t="shared" si="66"/>
        <v>14.04.2025_GRU2</v>
      </c>
      <c r="D2053" s="190">
        <f t="shared" si="65"/>
        <v>0</v>
      </c>
      <c r="E2053" s="248">
        <v>0</v>
      </c>
      <c r="F2053" s="249">
        <v>1.2149374103497297E-2</v>
      </c>
      <c r="G2053" s="248">
        <v>1.5364835656256983E-2</v>
      </c>
      <c r="H2053" s="256">
        <v>0</v>
      </c>
      <c r="I2053" s="250">
        <v>2.448</v>
      </c>
      <c r="J2053" s="251">
        <v>0.56256892341757714</v>
      </c>
      <c r="K2053" s="250">
        <v>5.2279999999999998</v>
      </c>
      <c r="L2053" s="250">
        <v>7.2389999999999999</v>
      </c>
      <c r="M2053" s="213"/>
      <c r="N2053" s="226"/>
    </row>
    <row r="2054" spans="1:14" x14ac:dyDescent="0.25">
      <c r="A2054" s="203">
        <v>45761</v>
      </c>
      <c r="B2054" s="128" t="s">
        <v>0</v>
      </c>
      <c r="C2054" s="157" t="str">
        <f t="shared" si="66"/>
        <v>14.04.2025_KIN1</v>
      </c>
      <c r="D2054" s="190">
        <f t="shared" si="65"/>
        <v>0</v>
      </c>
      <c r="E2054" s="248">
        <v>8.6002443523465217E-3</v>
      </c>
      <c r="F2054" s="249">
        <v>1.3198898877967647E-2</v>
      </c>
      <c r="G2054" s="248">
        <v>3.1538346873369622E-2</v>
      </c>
      <c r="H2054" s="248">
        <v>1.6307665010645858E-2</v>
      </c>
      <c r="I2054" s="250">
        <v>2.4009999999999998</v>
      </c>
      <c r="J2054" s="251">
        <v>0.57176794957619392</v>
      </c>
      <c r="K2054" s="250">
        <v>4.83</v>
      </c>
      <c r="L2054" s="250">
        <v>7.38</v>
      </c>
      <c r="M2054" s="213"/>
      <c r="N2054" s="226"/>
    </row>
    <row r="2055" spans="1:14" x14ac:dyDescent="0.25">
      <c r="A2055" s="203">
        <v>45761</v>
      </c>
      <c r="B2055" s="128" t="s">
        <v>2</v>
      </c>
      <c r="C2055" s="157" t="str">
        <f t="shared" si="66"/>
        <v>14.04.2025_KIN2</v>
      </c>
      <c r="D2055" s="190">
        <f t="shared" si="65"/>
        <v>0</v>
      </c>
      <c r="E2055" s="248">
        <v>1.8920537575162297E-2</v>
      </c>
      <c r="F2055" s="249">
        <v>1.0206352201417026E-2</v>
      </c>
      <c r="G2055" s="248">
        <v>2.8303644629947087E-2</v>
      </c>
      <c r="H2055" s="248">
        <v>2.7597586941092996E-2</v>
      </c>
      <c r="I2055" s="250">
        <v>3.41</v>
      </c>
      <c r="J2055" s="251">
        <v>0.80059628236292335</v>
      </c>
      <c r="K2055" s="250">
        <v>6.0359999999999996</v>
      </c>
      <c r="L2055" s="250">
        <v>8.3130000000000006</v>
      </c>
      <c r="M2055" s="213"/>
      <c r="N2055" s="226"/>
    </row>
    <row r="2056" spans="1:14" x14ac:dyDescent="0.25">
      <c r="A2056" s="203">
        <v>45761</v>
      </c>
      <c r="B2056" s="128" t="s">
        <v>4</v>
      </c>
      <c r="C2056" s="157" t="str">
        <f t="shared" si="66"/>
        <v>14.04.2025_KIN3</v>
      </c>
      <c r="D2056" s="190">
        <f t="shared" si="65"/>
        <v>0</v>
      </c>
      <c r="E2056" s="248">
        <v>6.8801954818771993E-2</v>
      </c>
      <c r="F2056" s="249">
        <v>8.0998959447516599E-3</v>
      </c>
      <c r="G2056" s="248">
        <v>2.4260266825668939E-2</v>
      </c>
      <c r="H2056" s="248">
        <v>5.5195173882185963E-2</v>
      </c>
      <c r="I2056" s="250">
        <v>3.3879999999999999</v>
      </c>
      <c r="J2056" s="251">
        <v>0.80088958527589516</v>
      </c>
      <c r="K2056" s="250">
        <v>7.1459999999999999</v>
      </c>
      <c r="L2056" s="250">
        <v>8.5719999999999992</v>
      </c>
      <c r="M2056" s="213"/>
      <c r="N2056" s="226"/>
    </row>
    <row r="2057" spans="1:14" x14ac:dyDescent="0.25">
      <c r="A2057" s="203">
        <v>45761</v>
      </c>
      <c r="B2057" s="128" t="s">
        <v>6</v>
      </c>
      <c r="C2057" s="157" t="str">
        <f t="shared" si="66"/>
        <v>14.04.2025_KIN4</v>
      </c>
      <c r="D2057" s="190">
        <f t="shared" si="65"/>
        <v>0</v>
      </c>
      <c r="E2057" s="248">
        <v>0.12556356754425899</v>
      </c>
      <c r="F2057" s="249">
        <v>9.9851175519644082E-3</v>
      </c>
      <c r="G2057" s="248">
        <v>5.7415964820749801E-2</v>
      </c>
      <c r="H2057" s="248">
        <v>6.8993967352732471E-2</v>
      </c>
      <c r="I2057" s="250">
        <v>3.28</v>
      </c>
      <c r="J2057" s="251">
        <v>0.80644173588420331</v>
      </c>
      <c r="K2057" s="250">
        <v>10.303000000000001</v>
      </c>
      <c r="L2057" s="250">
        <v>9.0860000000000003</v>
      </c>
      <c r="M2057" s="213"/>
      <c r="N2057" s="226"/>
    </row>
    <row r="2058" spans="1:14" x14ac:dyDescent="0.25">
      <c r="A2058" s="203">
        <v>45761</v>
      </c>
      <c r="B2058" s="247" t="s">
        <v>421</v>
      </c>
      <c r="C2058" s="157" t="str">
        <f t="shared" si="66"/>
        <v>14.04.2025_KLI</v>
      </c>
      <c r="D2058" s="190">
        <f t="shared" si="65"/>
        <v>0</v>
      </c>
      <c r="E2058" s="248">
        <v>1.8920537575162332E-2</v>
      </c>
      <c r="F2058" s="249">
        <v>3.3573579628800435E-2</v>
      </c>
      <c r="G2058" s="248">
        <v>4.6094506968770967E-2</v>
      </c>
      <c r="H2058" s="248">
        <v>0</v>
      </c>
      <c r="I2058" s="250">
        <v>2.0910000000000002</v>
      </c>
      <c r="J2058" s="251">
        <v>0.50808609371618096</v>
      </c>
      <c r="K2058" s="250">
        <v>6.3120000000000003</v>
      </c>
      <c r="L2058" s="250">
        <v>10.663</v>
      </c>
      <c r="M2058" s="213"/>
      <c r="N2058" s="226"/>
    </row>
    <row r="2059" spans="1:14" x14ac:dyDescent="0.25">
      <c r="A2059" s="203">
        <v>45761</v>
      </c>
      <c r="B2059" s="128" t="s">
        <v>34</v>
      </c>
      <c r="C2059" s="157" t="str">
        <f t="shared" si="66"/>
        <v>14.04.2025_KRE1</v>
      </c>
      <c r="D2059" s="190">
        <f t="shared" si="65"/>
        <v>0</v>
      </c>
      <c r="E2059" s="248">
        <v>0</v>
      </c>
      <c r="F2059" s="249">
        <v>1.9241372104258574E-2</v>
      </c>
      <c r="G2059" s="248">
        <v>5.8224640381605443E-2</v>
      </c>
      <c r="H2059" s="248">
        <v>7.777501774308021E-2</v>
      </c>
      <c r="I2059" s="250">
        <v>5.8890000000000002</v>
      </c>
      <c r="J2059" s="251">
        <v>1.3990378851617935</v>
      </c>
      <c r="K2059" s="250">
        <v>40.354999999999997</v>
      </c>
      <c r="L2059" s="250">
        <v>25.364999999999998</v>
      </c>
      <c r="M2059" s="213"/>
      <c r="N2059" s="226"/>
    </row>
    <row r="2060" spans="1:14" x14ac:dyDescent="0.25">
      <c r="A2060" s="203">
        <v>45761</v>
      </c>
      <c r="B2060" s="128" t="s">
        <v>37</v>
      </c>
      <c r="C2060" s="157" t="str">
        <f t="shared" si="66"/>
        <v>14.04.2025_KRE2</v>
      </c>
      <c r="D2060" s="190">
        <f t="shared" si="65"/>
        <v>0</v>
      </c>
      <c r="E2060" s="248">
        <v>3.4400977409386017E-2</v>
      </c>
      <c r="F2060" s="249">
        <v>2.2731724405978825E-2</v>
      </c>
      <c r="G2060" s="248">
        <v>8.0867556085563105E-2</v>
      </c>
      <c r="H2060" s="248">
        <v>8.5301632363378302E-2</v>
      </c>
      <c r="I2060" s="250">
        <v>7.5609999999999999</v>
      </c>
      <c r="J2060" s="251">
        <v>1.7965660005979094</v>
      </c>
      <c r="K2060" s="250">
        <v>42.323</v>
      </c>
      <c r="L2060" s="250">
        <v>30.302</v>
      </c>
      <c r="M2060" s="213"/>
      <c r="N2060" s="226"/>
    </row>
    <row r="2061" spans="1:14" x14ac:dyDescent="0.25">
      <c r="A2061" s="203">
        <v>45761</v>
      </c>
      <c r="B2061" s="128" t="s">
        <v>18</v>
      </c>
      <c r="C2061" s="157" t="str">
        <f t="shared" si="66"/>
        <v>14.04.2025_ORB1</v>
      </c>
      <c r="D2061" s="190">
        <f t="shared" si="65"/>
        <v>0</v>
      </c>
      <c r="E2061" s="248">
        <v>1.3760390963754428E-2</v>
      </c>
      <c r="F2061" s="249">
        <v>1.9823770245957668E-2</v>
      </c>
      <c r="G2061" s="248">
        <v>2.1834240143102042E-2</v>
      </c>
      <c r="H2061" s="256">
        <v>0</v>
      </c>
      <c r="I2061" s="250">
        <v>3.4449999999999998</v>
      </c>
      <c r="J2061" s="251">
        <v>0.79431239318833402</v>
      </c>
      <c r="K2061" s="250">
        <v>4.2539999999999996</v>
      </c>
      <c r="L2061" s="250">
        <v>8.9770000000000003</v>
      </c>
      <c r="M2061" s="213"/>
      <c r="N2061" s="226"/>
    </row>
    <row r="2062" spans="1:14" x14ac:dyDescent="0.25">
      <c r="A2062" s="203">
        <v>45761</v>
      </c>
      <c r="B2062" s="128" t="s">
        <v>21</v>
      </c>
      <c r="C2062" s="157" t="str">
        <f t="shared" si="66"/>
        <v>14.04.2025_ORB2</v>
      </c>
      <c r="D2062" s="190">
        <f t="shared" si="65"/>
        <v>0</v>
      </c>
      <c r="E2062" s="248">
        <v>2.7520781927508821E-2</v>
      </c>
      <c r="F2062" s="249">
        <v>1.7783440379753469E-2</v>
      </c>
      <c r="G2062" s="248">
        <v>3.5581724677647773E-2</v>
      </c>
      <c r="H2062" s="248">
        <v>2.5088715400993725E-3</v>
      </c>
      <c r="I2062" s="250">
        <v>2.7480000000000002</v>
      </c>
      <c r="J2062" s="251">
        <v>0.64908343933532997</v>
      </c>
      <c r="K2062" s="250">
        <v>6.0110000000000001</v>
      </c>
      <c r="L2062" s="250">
        <v>9.3360000000000003</v>
      </c>
      <c r="M2062" s="213"/>
      <c r="N2062" s="226"/>
    </row>
    <row r="2063" spans="1:14" x14ac:dyDescent="0.25">
      <c r="A2063" s="203">
        <v>45761</v>
      </c>
      <c r="B2063" s="128" t="s">
        <v>10</v>
      </c>
      <c r="C2063" s="157" t="str">
        <f t="shared" si="66"/>
        <v>14.04.2025_SAL1</v>
      </c>
      <c r="D2063" s="190">
        <f t="shared" si="65"/>
        <v>0</v>
      </c>
      <c r="E2063" s="248">
        <v>8.0842296912057132E-2</v>
      </c>
      <c r="F2063" s="249">
        <v>2.5107632458622395E-2</v>
      </c>
      <c r="G2063" s="248">
        <v>3.3964373555936518E-2</v>
      </c>
      <c r="H2063" s="248">
        <v>5.5195173882185963E-2</v>
      </c>
      <c r="I2063" s="250">
        <v>3.7349999999999999</v>
      </c>
      <c r="J2063" s="251">
        <v>0.88680161711088068</v>
      </c>
      <c r="K2063" s="250">
        <v>5.1539999999999999</v>
      </c>
      <c r="L2063" s="250">
        <v>3.8460000000000001</v>
      </c>
      <c r="M2063" s="213"/>
      <c r="N2063" s="226"/>
    </row>
    <row r="2064" spans="1:14" x14ac:dyDescent="0.25">
      <c r="A2064" s="203">
        <v>45761</v>
      </c>
      <c r="B2064" s="128" t="s">
        <v>12</v>
      </c>
      <c r="C2064" s="157" t="str">
        <f t="shared" si="66"/>
        <v>14.04.2025_SAL2</v>
      </c>
      <c r="D2064" s="190">
        <f t="shared" si="65"/>
        <v>0</v>
      </c>
      <c r="E2064" s="248">
        <v>2.0640586445631659E-2</v>
      </c>
      <c r="F2064" s="249">
        <v>3.5963515271113279E-2</v>
      </c>
      <c r="G2064" s="248">
        <v>4.366848028620407E-2</v>
      </c>
      <c r="H2064" s="248">
        <v>4.5159687721788501E-2</v>
      </c>
      <c r="I2064" s="250">
        <v>2.927</v>
      </c>
      <c r="J2064" s="251">
        <v>0.708778495184333</v>
      </c>
      <c r="K2064" s="250">
        <v>4.9210000000000003</v>
      </c>
      <c r="L2064" s="250">
        <v>3.8719999999999999</v>
      </c>
      <c r="M2064" s="213"/>
      <c r="N2064" s="226"/>
    </row>
    <row r="2065" spans="1:14" x14ac:dyDescent="0.25">
      <c r="A2065" s="203">
        <v>45761</v>
      </c>
      <c r="B2065" s="128" t="s">
        <v>7</v>
      </c>
      <c r="C2065" s="157" t="str">
        <f t="shared" si="66"/>
        <v>14.04.2025_STE1</v>
      </c>
      <c r="D2065" s="190">
        <f t="shared" si="65"/>
        <v>0</v>
      </c>
      <c r="E2065" s="248">
        <v>4.3001221761732537E-2</v>
      </c>
      <c r="F2065" s="249">
        <v>1.3660971759222632E-2</v>
      </c>
      <c r="G2065" s="248">
        <v>2.587761794738019E-2</v>
      </c>
      <c r="H2065" s="248">
        <v>3.0106458481192342E-2</v>
      </c>
      <c r="I2065" s="250">
        <v>4.5839999999999996</v>
      </c>
      <c r="J2065" s="251">
        <v>1.0646477028445602</v>
      </c>
      <c r="K2065" s="250">
        <v>6.38</v>
      </c>
      <c r="L2065" s="250">
        <v>5.6529999999999996</v>
      </c>
      <c r="M2065" s="213"/>
      <c r="N2065" s="226"/>
    </row>
    <row r="2066" spans="1:14" x14ac:dyDescent="0.25">
      <c r="A2066" s="203">
        <v>45761</v>
      </c>
      <c r="B2066" s="128" t="s">
        <v>9</v>
      </c>
      <c r="C2066" s="157" t="str">
        <f t="shared" si="66"/>
        <v>14.04.2025_STE2</v>
      </c>
      <c r="D2066" s="190">
        <f t="shared" si="65"/>
        <v>0</v>
      </c>
      <c r="E2066" s="248">
        <v>5.676161272548693E-2</v>
      </c>
      <c r="F2066" s="249">
        <v>1.6259088108576729E-2</v>
      </c>
      <c r="G2066" s="248">
        <v>2.6686293508235835E-2</v>
      </c>
      <c r="H2066" s="248">
        <v>2.257984386089425E-2</v>
      </c>
      <c r="I2066" s="250">
        <v>4.2519999999999998</v>
      </c>
      <c r="J2066" s="251">
        <v>0.98799531350965919</v>
      </c>
      <c r="K2066" s="250">
        <v>7.7160000000000002</v>
      </c>
      <c r="L2066" s="250">
        <v>5.8579999999999997</v>
      </c>
      <c r="M2066" s="213"/>
      <c r="N2066" s="226"/>
    </row>
    <row r="2067" spans="1:14" x14ac:dyDescent="0.25">
      <c r="A2067" s="203">
        <v>45782</v>
      </c>
      <c r="B2067" s="128" t="s">
        <v>22</v>
      </c>
      <c r="C2067" s="157" t="str">
        <f t="shared" si="66"/>
        <v>05.05.2025_BIE1</v>
      </c>
      <c r="D2067" s="190">
        <f t="shared" si="65"/>
        <v>0</v>
      </c>
      <c r="E2067" s="248">
        <v>3.5060305678988389E-3</v>
      </c>
      <c r="F2067" s="249">
        <v>1.1505611414475007E-2</v>
      </c>
      <c r="G2067" s="248">
        <v>5.6309561880396541E-2</v>
      </c>
      <c r="H2067" s="248">
        <v>1.947738513795368E-2</v>
      </c>
      <c r="I2067" s="250">
        <v>1.962</v>
      </c>
      <c r="J2067" s="251">
        <v>0.49281064160975907</v>
      </c>
      <c r="K2067" s="250">
        <v>4.1950000000000003</v>
      </c>
      <c r="L2067" s="250">
        <v>8.843</v>
      </c>
      <c r="M2067" s="213"/>
      <c r="N2067" s="226"/>
    </row>
    <row r="2068" spans="1:14" x14ac:dyDescent="0.25">
      <c r="A2068" s="203">
        <v>45782</v>
      </c>
      <c r="B2068" s="128" t="s">
        <v>25</v>
      </c>
      <c r="C2068" s="157" t="str">
        <f t="shared" si="66"/>
        <v>05.05.2025_BIE2</v>
      </c>
      <c r="D2068" s="190">
        <f t="shared" si="65"/>
        <v>0</v>
      </c>
      <c r="E2068" s="248">
        <v>0</v>
      </c>
      <c r="F2068" s="249">
        <v>1.1252349773417571E-2</v>
      </c>
      <c r="G2068" s="248">
        <v>3.6482251359130122E-2</v>
      </c>
      <c r="H2068" s="248">
        <v>2.3372862165544409E-2</v>
      </c>
      <c r="I2068" s="250">
        <v>2.004</v>
      </c>
      <c r="J2068" s="251">
        <v>0.48808745124415093</v>
      </c>
      <c r="K2068" s="250">
        <v>4.7960000000000003</v>
      </c>
      <c r="L2068" s="250">
        <v>9.2520000000000007</v>
      </c>
      <c r="M2068" s="213"/>
      <c r="N2068" s="226"/>
    </row>
    <row r="2069" spans="1:14" x14ac:dyDescent="0.25">
      <c r="A2069" s="203">
        <v>45782</v>
      </c>
      <c r="B2069" s="128" t="s">
        <v>14</v>
      </c>
      <c r="C2069" s="157" t="str">
        <f t="shared" si="66"/>
        <v>05.05.2025_BRA1</v>
      </c>
      <c r="D2069" s="190">
        <f t="shared" si="65"/>
        <v>0</v>
      </c>
      <c r="E2069" s="248">
        <v>8.7650764197470792E-3</v>
      </c>
      <c r="F2069" s="249">
        <v>2.9902760780005599E-2</v>
      </c>
      <c r="G2069" s="248">
        <v>4.7585545251039335E-2</v>
      </c>
      <c r="H2069" s="248">
        <v>4.9342709016149233E-2</v>
      </c>
      <c r="I2069" s="250">
        <v>3.8559999999999999</v>
      </c>
      <c r="J2069" s="251">
        <v>0.92292680779194614</v>
      </c>
      <c r="K2069" s="250">
        <v>3.7010000000000001</v>
      </c>
      <c r="L2069" s="250">
        <v>3.0169999999999999</v>
      </c>
      <c r="M2069" s="213"/>
      <c r="N2069" s="226"/>
    </row>
    <row r="2070" spans="1:14" x14ac:dyDescent="0.25">
      <c r="A2070" s="203">
        <v>45782</v>
      </c>
      <c r="B2070" s="128" t="s">
        <v>17</v>
      </c>
      <c r="C2070" s="157" t="str">
        <f t="shared" si="66"/>
        <v>05.05.2025_BRA2</v>
      </c>
      <c r="D2070" s="190">
        <f t="shared" si="65"/>
        <v>0</v>
      </c>
      <c r="E2070" s="248">
        <v>2.4542213975291799E-2</v>
      </c>
      <c r="F2070" s="249">
        <v>3.7452967562443269E-2</v>
      </c>
      <c r="G2070" s="248">
        <v>2.8551327150623616E-2</v>
      </c>
      <c r="H2070" s="248">
        <v>4.1551754960967774E-2</v>
      </c>
      <c r="I2070" s="250">
        <v>6.8559999999999999</v>
      </c>
      <c r="J2070" s="251">
        <v>1.5833849718170543</v>
      </c>
      <c r="K2070" s="250">
        <v>6.5129999999999999</v>
      </c>
      <c r="L2070" s="250">
        <v>4.0979999999999999</v>
      </c>
      <c r="M2070" s="213"/>
      <c r="N2070" s="226"/>
    </row>
    <row r="2071" spans="1:14" x14ac:dyDescent="0.25">
      <c r="A2071" s="203">
        <v>45782</v>
      </c>
      <c r="B2071" s="128" t="s">
        <v>30</v>
      </c>
      <c r="C2071" s="157" t="str">
        <f t="shared" si="66"/>
        <v>05.05.2025_FAL1</v>
      </c>
      <c r="D2071" s="190">
        <f t="shared" si="65"/>
        <v>0</v>
      </c>
      <c r="E2071" s="248">
        <v>0.10693393232091405</v>
      </c>
      <c r="F2071" s="249">
        <v>6.7304090214258233E-2</v>
      </c>
      <c r="G2071" s="248">
        <v>0.18954908858330677</v>
      </c>
      <c r="H2071" s="248">
        <v>0.31293665454978842</v>
      </c>
      <c r="I2071" s="250">
        <v>10.156000000000001</v>
      </c>
      <c r="J2071" s="251">
        <v>2.5363922562717347</v>
      </c>
      <c r="K2071" s="250">
        <v>21</v>
      </c>
      <c r="L2071" s="250">
        <v>19.234999999999999</v>
      </c>
      <c r="M2071" s="213"/>
      <c r="N2071" s="226"/>
    </row>
    <row r="2072" spans="1:14" x14ac:dyDescent="0.25">
      <c r="A2072" s="203">
        <v>45782</v>
      </c>
      <c r="B2072" s="128" t="s">
        <v>32</v>
      </c>
      <c r="C2072" s="157" t="str">
        <f t="shared" si="66"/>
        <v>05.05.2025_FAL2</v>
      </c>
      <c r="D2072" s="190">
        <f t="shared" si="65"/>
        <v>0</v>
      </c>
      <c r="E2072" s="248">
        <v>0.12446408516040822</v>
      </c>
      <c r="F2072" s="249">
        <v>6.8756758561872106E-2</v>
      </c>
      <c r="G2072" s="248">
        <v>0.12372241765270228</v>
      </c>
      <c r="H2072" s="248">
        <v>0.25580299147845781</v>
      </c>
      <c r="I2072" s="250">
        <v>9.1120000000000001</v>
      </c>
      <c r="J2072" s="251">
        <v>2.2320758808387633</v>
      </c>
      <c r="K2072" s="250">
        <v>21</v>
      </c>
      <c r="L2072" s="250">
        <v>18.88</v>
      </c>
      <c r="M2072" s="213"/>
      <c r="N2072" s="226"/>
    </row>
    <row r="2073" spans="1:14" x14ac:dyDescent="0.25">
      <c r="A2073" s="203">
        <v>45782</v>
      </c>
      <c r="B2073" s="128" t="s">
        <v>26</v>
      </c>
      <c r="C2073" s="157" t="str">
        <f t="shared" si="66"/>
        <v>05.05.2025_GRU1</v>
      </c>
      <c r="D2073" s="190">
        <f t="shared" si="65"/>
        <v>0</v>
      </c>
      <c r="E2073" s="248">
        <v>0</v>
      </c>
      <c r="F2073" s="249">
        <v>2.6972952153235263E-2</v>
      </c>
      <c r="G2073" s="248">
        <v>3.0930604413175584E-2</v>
      </c>
      <c r="H2073" s="248">
        <v>2.5969846850604958E-3</v>
      </c>
      <c r="I2073" s="250">
        <v>2.6819999999999999</v>
      </c>
      <c r="J2073" s="251">
        <v>0.63059129700815342</v>
      </c>
      <c r="K2073" s="250">
        <v>5.3689999999999998</v>
      </c>
      <c r="L2073" s="250">
        <v>7.827</v>
      </c>
      <c r="M2073" s="213"/>
      <c r="N2073" s="226"/>
    </row>
    <row r="2074" spans="1:14" x14ac:dyDescent="0.25">
      <c r="A2074" s="203">
        <v>45782</v>
      </c>
      <c r="B2074" s="128" t="s">
        <v>28</v>
      </c>
      <c r="C2074" s="157" t="str">
        <f t="shared" si="66"/>
        <v>05.05.2025_GRU2</v>
      </c>
      <c r="D2074" s="190">
        <f t="shared" si="65"/>
        <v>0</v>
      </c>
      <c r="E2074" s="248">
        <v>0</v>
      </c>
      <c r="F2074" s="249">
        <v>1.4241370627081249E-2</v>
      </c>
      <c r="G2074" s="248">
        <v>6.6619763351455086E-2</v>
      </c>
      <c r="H2074" s="248">
        <v>3.5059293248316546E-2</v>
      </c>
      <c r="I2074" s="250">
        <v>2.3279999999999998</v>
      </c>
      <c r="J2074" s="251">
        <v>0.58822874187422125</v>
      </c>
      <c r="K2074" s="250">
        <v>5.44</v>
      </c>
      <c r="L2074" s="250">
        <v>6.4749999999999996</v>
      </c>
      <c r="M2074" s="213"/>
      <c r="N2074" s="226"/>
    </row>
    <row r="2075" spans="1:14" x14ac:dyDescent="0.25">
      <c r="A2075" s="203">
        <v>45782</v>
      </c>
      <c r="B2075" s="128" t="s">
        <v>0</v>
      </c>
      <c r="C2075" s="157" t="str">
        <f t="shared" si="66"/>
        <v>05.05.2025_KIN1</v>
      </c>
      <c r="D2075" s="190">
        <f t="shared" si="65"/>
        <v>0</v>
      </c>
      <c r="E2075" s="248">
        <v>1.7530152839494377E-3</v>
      </c>
      <c r="F2075" s="249">
        <v>1.9477757570857877E-2</v>
      </c>
      <c r="G2075" s="248">
        <v>1.5861848417013099E-2</v>
      </c>
      <c r="H2075" s="248">
        <v>1.4283415767832687E-2</v>
      </c>
      <c r="I2075" s="250">
        <v>2.4569999999999999</v>
      </c>
      <c r="J2075" s="251">
        <v>0.5716277426078431</v>
      </c>
      <c r="K2075" s="250">
        <v>5.1609999999999996</v>
      </c>
      <c r="L2075" s="250">
        <v>7.2149999999999999</v>
      </c>
      <c r="M2075" s="213"/>
      <c r="N2075" s="226"/>
    </row>
    <row r="2076" spans="1:14" x14ac:dyDescent="0.25">
      <c r="A2076" s="203">
        <v>45782</v>
      </c>
      <c r="B2076" s="128" t="s">
        <v>2</v>
      </c>
      <c r="C2076" s="157" t="str">
        <f t="shared" si="66"/>
        <v>05.05.2025_KIN2</v>
      </c>
      <c r="D2076" s="190">
        <f t="shared" si="65"/>
        <v>0</v>
      </c>
      <c r="E2076" s="248">
        <v>0</v>
      </c>
      <c r="F2076" s="249">
        <v>1.5263321216996712E-2</v>
      </c>
      <c r="G2076" s="248">
        <v>2.9344419571474281E-2</v>
      </c>
      <c r="H2076" s="248">
        <v>4.0253262618437542E-2</v>
      </c>
      <c r="I2076" s="250">
        <v>3.8</v>
      </c>
      <c r="J2076" s="251">
        <v>0.8933467541572373</v>
      </c>
      <c r="K2076" s="250">
        <v>7.0919999999999996</v>
      </c>
      <c r="L2076" s="250">
        <v>8.9670000000000005</v>
      </c>
      <c r="M2076" s="213"/>
      <c r="N2076" s="226"/>
    </row>
    <row r="2077" spans="1:14" x14ac:dyDescent="0.25">
      <c r="A2077" s="203">
        <v>45782</v>
      </c>
      <c r="B2077" s="128" t="s">
        <v>4</v>
      </c>
      <c r="C2077" s="157" t="str">
        <f t="shared" si="66"/>
        <v>05.05.2025_KIN3</v>
      </c>
      <c r="D2077" s="190">
        <f t="shared" si="65"/>
        <v>0</v>
      </c>
      <c r="E2077" s="248">
        <v>1.5777137555544718E-2</v>
      </c>
      <c r="F2077" s="249">
        <v>1.4594293497504338E-2</v>
      </c>
      <c r="G2077" s="248">
        <v>2.5378957467220978E-2</v>
      </c>
      <c r="H2077" s="248">
        <v>4.4148739646028272E-2</v>
      </c>
      <c r="I2077" s="250">
        <v>3.782</v>
      </c>
      <c r="J2077" s="251">
        <v>0.8873879304689557</v>
      </c>
      <c r="K2077" s="250">
        <v>8.7439999999999998</v>
      </c>
      <c r="L2077" s="250">
        <v>9.2149999999999999</v>
      </c>
      <c r="M2077" s="213"/>
      <c r="N2077" s="226"/>
    </row>
    <row r="2078" spans="1:14" x14ac:dyDescent="0.25">
      <c r="A2078" s="203">
        <v>45782</v>
      </c>
      <c r="B2078" s="128" t="s">
        <v>6</v>
      </c>
      <c r="C2078" s="157" t="str">
        <f t="shared" si="66"/>
        <v>05.05.2025_KIN4</v>
      </c>
      <c r="D2078" s="190">
        <f t="shared" si="65"/>
        <v>0</v>
      </c>
      <c r="E2078" s="248">
        <v>6.8367596074027079E-2</v>
      </c>
      <c r="F2078" s="249">
        <v>1.5631757606441032E-2</v>
      </c>
      <c r="G2078" s="248">
        <v>3.8861528621682094E-2</v>
      </c>
      <c r="H2078" s="248">
        <v>6.6223109469042363E-2</v>
      </c>
      <c r="I2078" s="250">
        <v>3.5529999999999999</v>
      </c>
      <c r="J2078" s="251">
        <v>0.85285332403729974</v>
      </c>
      <c r="K2078" s="250">
        <v>12.771000000000001</v>
      </c>
      <c r="L2078" s="250">
        <v>9.343</v>
      </c>
      <c r="M2078" s="213"/>
      <c r="N2078" s="226"/>
    </row>
    <row r="2079" spans="1:14" x14ac:dyDescent="0.25">
      <c r="A2079" s="203">
        <v>45782</v>
      </c>
      <c r="B2079" s="247" t="s">
        <v>421</v>
      </c>
      <c r="C2079" s="157" t="str">
        <f t="shared" si="66"/>
        <v>05.05.2025_KLI</v>
      </c>
      <c r="D2079" s="190">
        <f t="shared" si="65"/>
        <v>0</v>
      </c>
      <c r="E2079" s="248">
        <v>0</v>
      </c>
      <c r="F2079" s="249">
        <v>0</v>
      </c>
      <c r="G2079" s="248">
        <v>0</v>
      </c>
      <c r="H2079" s="248">
        <v>0</v>
      </c>
      <c r="I2079" s="250">
        <v>0</v>
      </c>
      <c r="J2079" s="251">
        <v>0</v>
      </c>
      <c r="K2079" s="250">
        <v>0</v>
      </c>
      <c r="L2079" s="250">
        <v>0</v>
      </c>
      <c r="M2079" s="213"/>
      <c r="N2079" s="226" t="s">
        <v>447</v>
      </c>
    </row>
    <row r="2080" spans="1:14" x14ac:dyDescent="0.25">
      <c r="A2080" s="203">
        <v>45782</v>
      </c>
      <c r="B2080" s="128" t="s">
        <v>34</v>
      </c>
      <c r="C2080" s="157" t="str">
        <f t="shared" si="66"/>
        <v>05.05.2025_KRE1</v>
      </c>
      <c r="D2080" s="190">
        <f t="shared" si="65"/>
        <v>0</v>
      </c>
      <c r="E2080" s="248">
        <v>0</v>
      </c>
      <c r="F2080" s="249">
        <v>3.6053952984052021E-2</v>
      </c>
      <c r="G2080" s="248">
        <v>0.13720498880716347</v>
      </c>
      <c r="H2080" s="248">
        <v>0.12595375722543348</v>
      </c>
      <c r="I2080" s="250">
        <v>4.673</v>
      </c>
      <c r="J2080" s="251">
        <v>1.2003754331461576</v>
      </c>
      <c r="K2080" s="250">
        <v>26</v>
      </c>
      <c r="L2080" s="250">
        <v>19.675000000000001</v>
      </c>
      <c r="M2080" s="213"/>
      <c r="N2080" s="226"/>
    </row>
    <row r="2081" spans="1:14" x14ac:dyDescent="0.25">
      <c r="A2081" s="203">
        <v>45782</v>
      </c>
      <c r="B2081" s="128" t="s">
        <v>37</v>
      </c>
      <c r="C2081" s="157" t="str">
        <f t="shared" si="66"/>
        <v>05.05.2025_KRE2</v>
      </c>
      <c r="D2081" s="190">
        <f t="shared" si="65"/>
        <v>0</v>
      </c>
      <c r="E2081" s="248">
        <v>0</v>
      </c>
      <c r="F2081" s="249">
        <v>3.7650245271107198E-2</v>
      </c>
      <c r="G2081" s="248">
        <v>0.29661656539814524</v>
      </c>
      <c r="H2081" s="248">
        <v>0.25190751445086706</v>
      </c>
      <c r="I2081" s="250">
        <v>6.7729999999999997</v>
      </c>
      <c r="J2081" s="251">
        <v>1.8368305496405721</v>
      </c>
      <c r="K2081" s="250">
        <v>33</v>
      </c>
      <c r="L2081" s="250">
        <v>24.404</v>
      </c>
      <c r="M2081" s="213"/>
      <c r="N2081" s="226"/>
    </row>
    <row r="2082" spans="1:14" x14ac:dyDescent="0.25">
      <c r="A2082" s="203">
        <v>45782</v>
      </c>
      <c r="B2082" s="128" t="s">
        <v>18</v>
      </c>
      <c r="C2082" s="157" t="str">
        <f t="shared" si="66"/>
        <v>05.05.2025_ORB1</v>
      </c>
      <c r="D2082" s="190">
        <f t="shared" si="65"/>
        <v>0</v>
      </c>
      <c r="E2082" s="248">
        <v>0</v>
      </c>
      <c r="F2082" s="249">
        <v>1.9279383721108302E-2</v>
      </c>
      <c r="G2082" s="248">
        <v>2.5378957467220978E-2</v>
      </c>
      <c r="H2082" s="248">
        <v>6.4924617126512268E-3</v>
      </c>
      <c r="I2082" s="250">
        <v>3.5979999999999999</v>
      </c>
      <c r="J2082" s="251">
        <v>0.83436339665213899</v>
      </c>
      <c r="K2082" s="250">
        <v>4.9930000000000003</v>
      </c>
      <c r="L2082" s="250">
        <v>8.5489999999999995</v>
      </c>
      <c r="M2082" s="213"/>
      <c r="N2082" s="226"/>
    </row>
    <row r="2083" spans="1:14" x14ac:dyDescent="0.25">
      <c r="A2083" s="203">
        <v>45782</v>
      </c>
      <c r="B2083" s="128" t="s">
        <v>21</v>
      </c>
      <c r="C2083" s="157" t="str">
        <f t="shared" si="66"/>
        <v>05.05.2025_ORB2</v>
      </c>
      <c r="D2083" s="190">
        <f t="shared" si="65"/>
        <v>0</v>
      </c>
      <c r="E2083" s="248">
        <v>0</v>
      </c>
      <c r="F2083" s="249">
        <v>1.9305581644031782E-2</v>
      </c>
      <c r="G2083" s="248">
        <v>3.2516789254876853E-2</v>
      </c>
      <c r="H2083" s="248">
        <v>2.7268339193135087E-2</v>
      </c>
      <c r="I2083" s="250">
        <v>3.605</v>
      </c>
      <c r="J2083" s="251">
        <v>0.84781215755586925</v>
      </c>
      <c r="K2083" s="250">
        <v>9.8930000000000007</v>
      </c>
      <c r="L2083" s="250">
        <v>10.946</v>
      </c>
      <c r="M2083" s="213"/>
      <c r="N2083" s="226"/>
    </row>
    <row r="2084" spans="1:14" x14ac:dyDescent="0.25">
      <c r="A2084" s="203">
        <v>45782</v>
      </c>
      <c r="B2084" s="128" t="s">
        <v>10</v>
      </c>
      <c r="C2084" s="157" t="str">
        <f t="shared" si="66"/>
        <v>05.05.2025_SAL1</v>
      </c>
      <c r="D2084" s="190">
        <f t="shared" si="65"/>
        <v>0</v>
      </c>
      <c r="E2084" s="248">
        <v>4.5578397382684724E-2</v>
      </c>
      <c r="F2084" s="249">
        <v>5.2053569578412472E-2</v>
      </c>
      <c r="G2084" s="248">
        <v>3.9654621042532763E-2</v>
      </c>
      <c r="H2084" s="248">
        <v>6.3626124783981872E-2</v>
      </c>
      <c r="I2084" s="250">
        <v>4.907</v>
      </c>
      <c r="J2084" s="251">
        <v>1.1585064803837994</v>
      </c>
      <c r="K2084" s="250">
        <v>5.1589999999999998</v>
      </c>
      <c r="L2084" s="250">
        <v>3.8479999999999999</v>
      </c>
      <c r="M2084" s="213"/>
      <c r="N2084" s="226"/>
    </row>
    <row r="2085" spans="1:14" x14ac:dyDescent="0.25">
      <c r="A2085" s="203">
        <v>45782</v>
      </c>
      <c r="B2085" s="128" t="s">
        <v>12</v>
      </c>
      <c r="C2085" s="157" t="str">
        <f t="shared" si="66"/>
        <v>05.05.2025_SAL2</v>
      </c>
      <c r="D2085" s="190">
        <f t="shared" si="65"/>
        <v>0</v>
      </c>
      <c r="E2085" s="248">
        <v>0.10693393232091419</v>
      </c>
      <c r="F2085" s="249">
        <v>6.4387115033615785E-2</v>
      </c>
      <c r="G2085" s="248">
        <v>0.15782539174928048</v>
      </c>
      <c r="H2085" s="248">
        <v>0.11037184911507056</v>
      </c>
      <c r="I2085" s="250">
        <v>4.9080000000000004</v>
      </c>
      <c r="J2085" s="251">
        <v>1.2647225079024822</v>
      </c>
      <c r="K2085" s="250">
        <v>5.7839999999999998</v>
      </c>
      <c r="L2085" s="250">
        <v>4.359</v>
      </c>
      <c r="M2085" s="213"/>
      <c r="N2085" s="226"/>
    </row>
    <row r="2086" spans="1:14" x14ac:dyDescent="0.25">
      <c r="A2086" s="203">
        <v>45782</v>
      </c>
      <c r="B2086" s="128" t="s">
        <v>7</v>
      </c>
      <c r="C2086" s="157" t="str">
        <f t="shared" si="66"/>
        <v>05.05.2025_STE1</v>
      </c>
      <c r="D2086" s="190">
        <f t="shared" si="65"/>
        <v>0</v>
      </c>
      <c r="E2086" s="248">
        <v>4.3825382098735287E-2</v>
      </c>
      <c r="F2086" s="249">
        <v>3.2374579755762356E-2</v>
      </c>
      <c r="G2086" s="248">
        <v>2.3792772625519674E-2</v>
      </c>
      <c r="H2086" s="248">
        <v>4.1551754960967774E-2</v>
      </c>
      <c r="I2086" s="250">
        <v>4.9950000000000001</v>
      </c>
      <c r="J2086" s="251">
        <v>1.1593459318138564</v>
      </c>
      <c r="K2086" s="250">
        <v>7.492</v>
      </c>
      <c r="L2086" s="250">
        <v>5.718</v>
      </c>
      <c r="M2086" s="213"/>
      <c r="N2086" s="226"/>
    </row>
    <row r="2087" spans="1:14" x14ac:dyDescent="0.25">
      <c r="A2087" s="203">
        <v>45782</v>
      </c>
      <c r="B2087" s="128" t="s">
        <v>9</v>
      </c>
      <c r="C2087" s="157" t="str">
        <f t="shared" si="66"/>
        <v>05.05.2025_STE2</v>
      </c>
      <c r="D2087" s="190">
        <f t="shared" si="65"/>
        <v>0</v>
      </c>
      <c r="E2087" s="248">
        <v>4.5578397382684724E-2</v>
      </c>
      <c r="F2087" s="249">
        <v>2.5800278218613214E-2</v>
      </c>
      <c r="G2087" s="248">
        <v>2.9344419571474281E-2</v>
      </c>
      <c r="H2087" s="248">
        <v>3.7656277933377044E-2</v>
      </c>
      <c r="I2087" s="250">
        <v>4.7770000000000001</v>
      </c>
      <c r="J2087" s="251">
        <v>1.1132310921698707</v>
      </c>
      <c r="K2087" s="250">
        <v>10.047000000000001</v>
      </c>
      <c r="L2087" s="250">
        <v>5.8840000000000003</v>
      </c>
      <c r="M2087" s="213"/>
      <c r="N2087" s="226"/>
    </row>
    <row r="2088" spans="1:14" x14ac:dyDescent="0.25">
      <c r="A2088" s="203">
        <v>45803</v>
      </c>
      <c r="B2088" s="128" t="s">
        <v>22</v>
      </c>
      <c r="C2088" s="157" t="str">
        <f t="shared" si="66"/>
        <v>26.05.2025_BIE1</v>
      </c>
      <c r="D2088" s="190">
        <f t="shared" si="65"/>
        <v>0</v>
      </c>
      <c r="E2088" s="256">
        <v>0</v>
      </c>
      <c r="F2088" s="249">
        <v>1.1728872145111336E-2</v>
      </c>
      <c r="G2088" s="248">
        <v>4.5573537945708932E-2</v>
      </c>
      <c r="H2088" s="248">
        <v>1.9323966371069933E-2</v>
      </c>
      <c r="I2088" s="250">
        <v>2.9660000000000002</v>
      </c>
      <c r="J2088" s="251">
        <v>0.71120099804113579</v>
      </c>
      <c r="K2088" s="250">
        <v>6.8879999999999999</v>
      </c>
      <c r="L2088" s="250">
        <v>14.721</v>
      </c>
      <c r="M2088" s="213"/>
      <c r="N2088" s="226"/>
    </row>
    <row r="2089" spans="1:14" x14ac:dyDescent="0.25">
      <c r="A2089" s="203">
        <v>45803</v>
      </c>
      <c r="B2089" s="128" t="s">
        <v>25</v>
      </c>
      <c r="C2089" s="157" t="str">
        <f t="shared" si="66"/>
        <v>26.05.2025_BIE2</v>
      </c>
      <c r="D2089" s="190">
        <f t="shared" si="65"/>
        <v>0</v>
      </c>
      <c r="E2089" s="256">
        <v>0</v>
      </c>
      <c r="F2089" s="249">
        <v>1.1004963366242787E-2</v>
      </c>
      <c r="G2089" s="248">
        <v>3.4380037397640104E-2</v>
      </c>
      <c r="H2089" s="248">
        <v>1.7050558562708783E-2</v>
      </c>
      <c r="I2089" s="250">
        <v>3.1269999999999998</v>
      </c>
      <c r="J2089" s="251">
        <v>0.73818228779331019</v>
      </c>
      <c r="K2089" s="250">
        <v>7.8230000000000004</v>
      </c>
      <c r="L2089" s="250">
        <v>15.272</v>
      </c>
      <c r="M2089" s="213"/>
      <c r="N2089" s="226"/>
    </row>
    <row r="2090" spans="1:14" x14ac:dyDescent="0.25">
      <c r="A2090" s="203">
        <v>45803</v>
      </c>
      <c r="B2090" s="128" t="s">
        <v>14</v>
      </c>
      <c r="C2090" s="157" t="str">
        <f t="shared" si="66"/>
        <v>26.05.2025_BRA1</v>
      </c>
      <c r="D2090" s="190">
        <f t="shared" si="65"/>
        <v>0</v>
      </c>
      <c r="E2090" s="248">
        <v>1.2066357765347034E-2</v>
      </c>
      <c r="F2090" s="249">
        <v>2.0019950900328199E-2</v>
      </c>
      <c r="G2090" s="248">
        <v>4.6373073699142398E-2</v>
      </c>
      <c r="H2090" s="248">
        <v>5.1151675688126251E-2</v>
      </c>
      <c r="I2090" s="250">
        <v>5.8719999999999999</v>
      </c>
      <c r="J2090" s="251">
        <v>1.3778899956598971</v>
      </c>
      <c r="K2090" s="250">
        <v>6.7869999999999999</v>
      </c>
      <c r="L2090" s="250">
        <v>4.4820000000000002</v>
      </c>
      <c r="M2090" s="213"/>
      <c r="N2090" s="226"/>
    </row>
    <row r="2091" spans="1:14" x14ac:dyDescent="0.25">
      <c r="A2091" s="203">
        <v>45803</v>
      </c>
      <c r="B2091" s="128" t="s">
        <v>17</v>
      </c>
      <c r="C2091" s="157" t="str">
        <f t="shared" si="66"/>
        <v>26.05.2025_BRA2</v>
      </c>
      <c r="D2091" s="190">
        <f t="shared" si="65"/>
        <v>0</v>
      </c>
      <c r="E2091" s="248">
        <v>7.2398146592082199E-2</v>
      </c>
      <c r="F2091" s="249">
        <v>4.5194946907594923E-2</v>
      </c>
      <c r="G2091" s="248">
        <v>1.5191179315236305E-2</v>
      </c>
      <c r="H2091" s="248">
        <v>2.9554301508695164E-2</v>
      </c>
      <c r="I2091" s="250">
        <v>9.077</v>
      </c>
      <c r="J2091" s="251">
        <v>2.0710155959208101</v>
      </c>
      <c r="K2091" s="250">
        <v>9.8879999999999999</v>
      </c>
      <c r="L2091" s="250">
        <v>5.915</v>
      </c>
      <c r="M2091" s="213"/>
      <c r="N2091" s="226"/>
    </row>
    <row r="2092" spans="1:14" x14ac:dyDescent="0.25">
      <c r="A2092" s="203">
        <v>45803</v>
      </c>
      <c r="B2092" s="128" t="s">
        <v>30</v>
      </c>
      <c r="C2092" s="157" t="str">
        <f t="shared" si="66"/>
        <v>26.05.2025_FAL1</v>
      </c>
      <c r="D2092" s="190">
        <f t="shared" si="65"/>
        <v>0</v>
      </c>
      <c r="E2092" s="248">
        <v>0.13272993541881739</v>
      </c>
      <c r="F2092" s="249">
        <v>8.7329093599171861E-2</v>
      </c>
      <c r="G2092" s="248">
        <v>0.18149461602940231</v>
      </c>
      <c r="H2092" s="248">
        <v>0.22734078083611661</v>
      </c>
      <c r="I2092" s="250">
        <v>17.242999999999999</v>
      </c>
      <c r="J2092" s="251">
        <v>4.1048190651262262</v>
      </c>
      <c r="K2092" s="250">
        <v>45</v>
      </c>
      <c r="L2092" s="250">
        <v>31</v>
      </c>
      <c r="M2092" s="213"/>
      <c r="N2092" s="226"/>
    </row>
    <row r="2093" spans="1:14" x14ac:dyDescent="0.25">
      <c r="A2093" s="203">
        <v>45803</v>
      </c>
      <c r="B2093" s="128" t="s">
        <v>32</v>
      </c>
      <c r="C2093" s="157" t="str">
        <f t="shared" si="66"/>
        <v>26.05.2025_FAL2</v>
      </c>
      <c r="D2093" s="190">
        <f t="shared" si="65"/>
        <v>0</v>
      </c>
      <c r="E2093" s="248">
        <v>0.14652005857921394</v>
      </c>
      <c r="F2093" s="249">
        <v>6.1557263502745027E-2</v>
      </c>
      <c r="G2093" s="248">
        <v>6.9559610548713652E-2</v>
      </c>
      <c r="H2093" s="248">
        <v>0.23529770816538068</v>
      </c>
      <c r="I2093" s="250">
        <v>17.187000000000001</v>
      </c>
      <c r="J2093" s="251">
        <v>4.0076764192459207</v>
      </c>
      <c r="K2093" s="250">
        <v>51</v>
      </c>
      <c r="L2093" s="250">
        <v>34</v>
      </c>
      <c r="M2093" s="213"/>
      <c r="N2093" s="226"/>
    </row>
    <row r="2094" spans="1:14" x14ac:dyDescent="0.25">
      <c r="A2094" s="203">
        <v>45803</v>
      </c>
      <c r="B2094" s="128" t="s">
        <v>26</v>
      </c>
      <c r="C2094" s="157" t="str">
        <f t="shared" si="66"/>
        <v>26.05.2025_GRU1</v>
      </c>
      <c r="D2094" s="190">
        <f t="shared" si="65"/>
        <v>0</v>
      </c>
      <c r="E2094" s="248">
        <v>0</v>
      </c>
      <c r="F2094" s="249">
        <v>1.7881635618240348E-2</v>
      </c>
      <c r="G2094" s="248">
        <v>3.5179573151073569E-2</v>
      </c>
      <c r="H2094" s="256">
        <v>0</v>
      </c>
      <c r="I2094" s="250">
        <v>4.5670000000000002</v>
      </c>
      <c r="J2094" s="251">
        <v>1.0578266682451938</v>
      </c>
      <c r="K2094" s="250">
        <v>9.4909999999999997</v>
      </c>
      <c r="L2094" s="250">
        <v>13.199</v>
      </c>
      <c r="M2094" s="213"/>
      <c r="N2094" s="226"/>
    </row>
    <row r="2095" spans="1:14" x14ac:dyDescent="0.25">
      <c r="A2095" s="203">
        <v>45803</v>
      </c>
      <c r="B2095" s="128" t="s">
        <v>28</v>
      </c>
      <c r="C2095" s="157" t="str">
        <f t="shared" si="66"/>
        <v>26.05.2025_GRU2</v>
      </c>
      <c r="D2095" s="190">
        <f t="shared" si="65"/>
        <v>0</v>
      </c>
      <c r="E2095" s="248">
        <v>0</v>
      </c>
      <c r="F2095" s="249">
        <v>1.3281000806246918E-2</v>
      </c>
      <c r="G2095" s="248">
        <v>4.7972145206009405E-2</v>
      </c>
      <c r="H2095" s="248">
        <v>9.0936312334446798E-3</v>
      </c>
      <c r="I2095" s="250">
        <v>3.6019999999999999</v>
      </c>
      <c r="J2095" s="251">
        <v>0.85360218706003643</v>
      </c>
      <c r="K2095" s="250">
        <v>10.215999999999999</v>
      </c>
      <c r="L2095" s="250">
        <v>10.875</v>
      </c>
      <c r="M2095" s="213"/>
      <c r="N2095" s="226"/>
    </row>
    <row r="2096" spans="1:14" x14ac:dyDescent="0.25">
      <c r="A2096" s="203">
        <v>45803</v>
      </c>
      <c r="B2096" s="128" t="s">
        <v>0</v>
      </c>
      <c r="C2096" s="157" t="str">
        <f t="shared" si="66"/>
        <v>26.05.2025_KIN1</v>
      </c>
      <c r="D2096" s="190">
        <f t="shared" si="65"/>
        <v>0</v>
      </c>
      <c r="E2096" s="248">
        <v>2.2408950135644534E-2</v>
      </c>
      <c r="F2096" s="249">
        <v>1.6896077923070418E-2</v>
      </c>
      <c r="G2096" s="248">
        <v>1.039396479463536E-2</v>
      </c>
      <c r="H2096" s="256">
        <v>0</v>
      </c>
      <c r="I2096" s="250">
        <v>2.3140000000000001</v>
      </c>
      <c r="J2096" s="251">
        <v>0.52934971170887524</v>
      </c>
      <c r="K2096" s="250">
        <v>5.5369999999999999</v>
      </c>
      <c r="L2096" s="250">
        <v>8.5150000000000006</v>
      </c>
      <c r="M2096" s="213"/>
      <c r="N2096" s="226"/>
    </row>
    <row r="2097" spans="1:14" x14ac:dyDescent="0.25">
      <c r="A2097" s="203">
        <v>45803</v>
      </c>
      <c r="B2097" s="128" t="s">
        <v>2</v>
      </c>
      <c r="C2097" s="157" t="str">
        <f t="shared" si="66"/>
        <v>26.05.2025_KIN2</v>
      </c>
      <c r="D2097" s="190">
        <f t="shared" si="65"/>
        <v>0</v>
      </c>
      <c r="E2097" s="248">
        <v>2.068518474059497E-2</v>
      </c>
      <c r="F2097" s="249">
        <v>1.2261652885679266E-2</v>
      </c>
      <c r="G2097" s="248">
        <v>3.7578180411374042E-2</v>
      </c>
      <c r="H2097" s="248">
        <v>1.7050558562708783E-2</v>
      </c>
      <c r="I2097" s="250">
        <v>6.157</v>
      </c>
      <c r="J2097" s="251">
        <v>1.4250517138620444</v>
      </c>
      <c r="K2097" s="250">
        <v>11.859</v>
      </c>
      <c r="L2097" s="250">
        <v>13.471</v>
      </c>
      <c r="M2097" s="213"/>
      <c r="N2097" s="226"/>
    </row>
    <row r="2098" spans="1:14" x14ac:dyDescent="0.25">
      <c r="A2098" s="203">
        <v>45803</v>
      </c>
      <c r="B2098" s="128" t="s">
        <v>4</v>
      </c>
      <c r="C2098" s="157" t="str">
        <f t="shared" si="66"/>
        <v>26.05.2025_KIN3</v>
      </c>
      <c r="D2098" s="190">
        <f t="shared" si="65"/>
        <v>0</v>
      </c>
      <c r="E2098" s="248">
        <v>1.7237653950495802E-2</v>
      </c>
      <c r="F2098" s="249">
        <v>1.3666521440021888E-2</v>
      </c>
      <c r="G2098" s="248">
        <v>1.8389322328970264E-2</v>
      </c>
      <c r="H2098" s="248">
        <v>4.6604860071403922E-2</v>
      </c>
      <c r="I2098" s="250">
        <v>6.5060000000000002</v>
      </c>
      <c r="J2098" s="251">
        <v>1.497978194543961</v>
      </c>
      <c r="K2098" s="250">
        <v>15.754</v>
      </c>
      <c r="L2098" s="250">
        <v>15.271000000000001</v>
      </c>
      <c r="M2098" s="213"/>
      <c r="N2098" s="226"/>
    </row>
    <row r="2099" spans="1:14" x14ac:dyDescent="0.25">
      <c r="A2099" s="203">
        <v>45803</v>
      </c>
      <c r="B2099" s="128" t="s">
        <v>6</v>
      </c>
      <c r="C2099" s="157" t="str">
        <f t="shared" si="66"/>
        <v>26.05.2025_KIN4</v>
      </c>
      <c r="D2099" s="190">
        <f t="shared" si="65"/>
        <v>0</v>
      </c>
      <c r="E2099" s="248">
        <v>7.2398146592082199E-2</v>
      </c>
      <c r="F2099" s="249">
        <v>1.5358527100774719E-2</v>
      </c>
      <c r="G2099" s="248">
        <v>4.4774002192275432E-2</v>
      </c>
      <c r="H2099" s="248">
        <v>7.1612345963376733E-2</v>
      </c>
      <c r="I2099" s="250">
        <v>6.1139999999999999</v>
      </c>
      <c r="J2099" s="251">
        <v>1.4375381236908298</v>
      </c>
      <c r="K2099" s="250">
        <v>24.2</v>
      </c>
      <c r="L2099" s="250">
        <v>16.09</v>
      </c>
      <c r="M2099" s="213"/>
      <c r="N2099" s="226"/>
    </row>
    <row r="2100" spans="1:14" x14ac:dyDescent="0.25">
      <c r="A2100" s="203">
        <v>45803</v>
      </c>
      <c r="B2100" s="247" t="s">
        <v>421</v>
      </c>
      <c r="C2100" s="157" t="str">
        <f t="shared" si="66"/>
        <v>26.05.2025_KLI</v>
      </c>
      <c r="D2100" s="190">
        <f t="shared" ref="D2100:D2129" si="67">COUNTBLANK(E2100:L2100)</f>
        <v>8</v>
      </c>
      <c r="E2100" s="248"/>
      <c r="F2100" s="249"/>
      <c r="G2100" s="248"/>
      <c r="H2100" s="248"/>
      <c r="I2100" s="250"/>
      <c r="J2100" s="251"/>
      <c r="K2100" s="250"/>
      <c r="L2100" s="250"/>
      <c r="M2100" s="213"/>
      <c r="N2100" s="226" t="s">
        <v>447</v>
      </c>
    </row>
    <row r="2101" spans="1:14" x14ac:dyDescent="0.25">
      <c r="A2101" s="203">
        <v>45803</v>
      </c>
      <c r="B2101" s="128" t="s">
        <v>34</v>
      </c>
      <c r="C2101" s="157" t="str">
        <f t="shared" si="66"/>
        <v>26.05.2025_KRE1</v>
      </c>
      <c r="D2101" s="190">
        <f t="shared" si="67"/>
        <v>0</v>
      </c>
      <c r="E2101" s="248">
        <v>1.5513888555446236E-2</v>
      </c>
      <c r="F2101" s="249">
        <v>3.3083084895559549E-2</v>
      </c>
      <c r="G2101" s="248">
        <v>0.71478496356954002</v>
      </c>
      <c r="H2101" s="248">
        <v>0.444451226534608</v>
      </c>
      <c r="I2101" s="250">
        <v>9.6310000000000002</v>
      </c>
      <c r="J2101" s="251">
        <v>2.8656905222805733</v>
      </c>
      <c r="K2101" s="250">
        <v>92</v>
      </c>
      <c r="L2101" s="250">
        <v>39</v>
      </c>
      <c r="M2101" s="213"/>
      <c r="N2101" s="226"/>
    </row>
    <row r="2102" spans="1:14" x14ac:dyDescent="0.25">
      <c r="A2102" s="203">
        <v>45803</v>
      </c>
      <c r="B2102" s="128" t="s">
        <v>37</v>
      </c>
      <c r="C2102" s="157" t="str">
        <f t="shared" si="66"/>
        <v>26.05.2025_KRE2</v>
      </c>
      <c r="D2102" s="190">
        <f t="shared" si="67"/>
        <v>0</v>
      </c>
      <c r="E2102" s="248">
        <v>5.1712961851487693E-3</v>
      </c>
      <c r="F2102" s="249">
        <v>3.6959200461576927E-2</v>
      </c>
      <c r="G2102" s="248">
        <v>0.22067186794764329</v>
      </c>
      <c r="H2102" s="248">
        <v>0.19210295980651856</v>
      </c>
      <c r="I2102" s="250">
        <v>11.893000000000001</v>
      </c>
      <c r="J2102" s="251">
        <v>2.91610715485576</v>
      </c>
      <c r="K2102" s="250">
        <v>84</v>
      </c>
      <c r="L2102" s="250">
        <v>43</v>
      </c>
      <c r="M2102" s="213"/>
      <c r="N2102" s="226"/>
    </row>
    <row r="2103" spans="1:14" x14ac:dyDescent="0.25">
      <c r="A2103" s="203">
        <v>45803</v>
      </c>
      <c r="B2103" s="128" t="s">
        <v>18</v>
      </c>
      <c r="C2103" s="157" t="str">
        <f t="shared" si="66"/>
        <v>26.05.2025_ORB1</v>
      </c>
      <c r="D2103" s="190">
        <f t="shared" si="67"/>
        <v>0</v>
      </c>
      <c r="E2103" s="248">
        <v>8.6188269752479011E-3</v>
      </c>
      <c r="F2103" s="249">
        <v>2.2180647781663464E-2</v>
      </c>
      <c r="G2103" s="248">
        <v>1.6790250822103291E-2</v>
      </c>
      <c r="H2103" s="248">
        <v>1.1367039041805997E-3</v>
      </c>
      <c r="I2103" s="250">
        <v>6.101</v>
      </c>
      <c r="J2103" s="251">
        <v>1.3914164013644827</v>
      </c>
      <c r="K2103" s="250">
        <v>9.2569999999999997</v>
      </c>
      <c r="L2103" s="250">
        <v>13.124000000000001</v>
      </c>
      <c r="M2103" s="213"/>
      <c r="N2103" s="226"/>
    </row>
    <row r="2104" spans="1:14" x14ac:dyDescent="0.25">
      <c r="A2104" s="203">
        <v>45803</v>
      </c>
      <c r="B2104" s="128" t="s">
        <v>21</v>
      </c>
      <c r="C2104" s="157" t="str">
        <f t="shared" si="66"/>
        <v>26.05.2025_ORB2</v>
      </c>
      <c r="D2104" s="190">
        <f t="shared" si="67"/>
        <v>0</v>
      </c>
      <c r="E2104" s="248">
        <v>2.24089501356445E-2</v>
      </c>
      <c r="F2104" s="249">
        <v>2.0413455098416213E-2</v>
      </c>
      <c r="G2104" s="248">
        <v>3.8377716164807514E-2</v>
      </c>
      <c r="H2104" s="248">
        <v>2.1597374179431087E-2</v>
      </c>
      <c r="I2104" s="250">
        <v>6.2510000000000003</v>
      </c>
      <c r="J2104" s="251">
        <v>1.4482886033937392</v>
      </c>
      <c r="K2104" s="250">
        <v>19.411999999999999</v>
      </c>
      <c r="L2104" s="250">
        <v>17.353000000000002</v>
      </c>
      <c r="M2104" s="213"/>
      <c r="N2104" s="226"/>
    </row>
    <row r="2105" spans="1:14" x14ac:dyDescent="0.25">
      <c r="A2105" s="203">
        <v>45803</v>
      </c>
      <c r="B2105" s="128" t="s">
        <v>10</v>
      </c>
      <c r="C2105" s="157" t="str">
        <f t="shared" si="66"/>
        <v>26.05.2025_SAL1</v>
      </c>
      <c r="D2105" s="190">
        <f t="shared" si="67"/>
        <v>0</v>
      </c>
      <c r="E2105" s="248">
        <v>7.4121911987131764E-2</v>
      </c>
      <c r="F2105" s="249">
        <v>4.6502556348341925E-2</v>
      </c>
      <c r="G2105" s="248">
        <v>3.1181894383906127E-2</v>
      </c>
      <c r="H2105" s="248">
        <v>6.7065530346654384E-2</v>
      </c>
      <c r="I2105" s="250">
        <v>10.125</v>
      </c>
      <c r="J2105" s="251">
        <v>2.3315642798841978</v>
      </c>
      <c r="K2105" s="250">
        <v>10.288</v>
      </c>
      <c r="L2105" s="250">
        <v>6.4329999999999998</v>
      </c>
      <c r="M2105" s="213"/>
      <c r="N2105" s="226"/>
    </row>
    <row r="2106" spans="1:14" x14ac:dyDescent="0.25">
      <c r="A2106" s="203">
        <v>45803</v>
      </c>
      <c r="B2106" s="128" t="s">
        <v>12</v>
      </c>
      <c r="C2106" s="157" t="str">
        <f t="shared" ref="C2106:C2129" si="68">CONCATENATE(TEXT(A2106,"TT.MM.JJJJ"),"_",B2106)</f>
        <v>26.05.2025_SAL2</v>
      </c>
      <c r="D2106" s="190">
        <f t="shared" si="67"/>
        <v>0</v>
      </c>
      <c r="E2106" s="248">
        <v>0.11549228146832166</v>
      </c>
      <c r="F2106" s="249">
        <v>4.1487568190671509E-2</v>
      </c>
      <c r="G2106" s="248">
        <v>3.9976787671674487E-2</v>
      </c>
      <c r="H2106" s="248">
        <v>5.5698491304848559E-2</v>
      </c>
      <c r="I2106" s="250">
        <v>8.234</v>
      </c>
      <c r="J2106" s="251">
        <v>1.9078125615369395</v>
      </c>
      <c r="K2106" s="250">
        <v>9.8949999999999996</v>
      </c>
      <c r="L2106" s="250">
        <v>6.4390000000000001</v>
      </c>
      <c r="M2106" s="213"/>
      <c r="N2106" s="226"/>
    </row>
    <row r="2107" spans="1:14" x14ac:dyDescent="0.25">
      <c r="A2107" s="203">
        <v>45803</v>
      </c>
      <c r="B2107" s="128" t="s">
        <v>7</v>
      </c>
      <c r="C2107" s="157" t="str">
        <f t="shared" si="68"/>
        <v>26.05.2025_STE1</v>
      </c>
      <c r="D2107" s="190">
        <f t="shared" si="67"/>
        <v>0</v>
      </c>
      <c r="E2107" s="248">
        <v>4.6541665666338564E-2</v>
      </c>
      <c r="F2107" s="249">
        <v>2.7612699649776522E-2</v>
      </c>
      <c r="G2107" s="248">
        <v>2.238700109613774E-2</v>
      </c>
      <c r="H2107" s="248">
        <v>1.2503742945986432E-2</v>
      </c>
      <c r="I2107" s="250">
        <v>11.124000000000001</v>
      </c>
      <c r="J2107" s="251">
        <v>2.5337679270210454</v>
      </c>
      <c r="K2107" s="250">
        <v>15.303000000000001</v>
      </c>
      <c r="L2107" s="250">
        <v>9.3320000000000007</v>
      </c>
      <c r="M2107" s="213"/>
      <c r="N2107" s="226"/>
    </row>
    <row r="2108" spans="1:14" x14ac:dyDescent="0.25">
      <c r="A2108" s="203">
        <v>45803</v>
      </c>
      <c r="B2108" s="128" t="s">
        <v>9</v>
      </c>
      <c r="C2108" s="157" t="str">
        <f t="shared" si="68"/>
        <v>26.05.2025_STE2</v>
      </c>
      <c r="D2108" s="190">
        <f t="shared" si="67"/>
        <v>0</v>
      </c>
      <c r="E2108" s="248">
        <v>4.6541665666338564E-2</v>
      </c>
      <c r="F2108" s="249">
        <v>2.7995475091367392E-2</v>
      </c>
      <c r="G2108" s="248">
        <v>3.1181894383906127E-2</v>
      </c>
      <c r="H2108" s="248">
        <v>2.9554301508695164E-2</v>
      </c>
      <c r="I2108" s="250">
        <v>9.6310000000000002</v>
      </c>
      <c r="J2108" s="251">
        <v>2.2085642062644815</v>
      </c>
      <c r="K2108" s="250">
        <v>16.356000000000002</v>
      </c>
      <c r="L2108" s="250">
        <v>8.9619999999999997</v>
      </c>
      <c r="M2108" s="213"/>
      <c r="N2108" s="226"/>
    </row>
    <row r="2109" spans="1:14" x14ac:dyDescent="0.25">
      <c r="A2109" s="203">
        <v>45818</v>
      </c>
      <c r="B2109" s="128" t="s">
        <v>22</v>
      </c>
      <c r="C2109" s="157" t="str">
        <f t="shared" si="68"/>
        <v>10.06.2025_BIE1</v>
      </c>
      <c r="D2109" s="190">
        <f t="shared" si="67"/>
        <v>0</v>
      </c>
      <c r="E2109" s="256">
        <v>0</v>
      </c>
      <c r="F2109" s="249">
        <v>1.1794113833336834E-2</v>
      </c>
      <c r="G2109" s="248">
        <v>2.6871300318020198E-2</v>
      </c>
      <c r="H2109" s="248">
        <v>4.7481531229012781E-2</v>
      </c>
      <c r="I2109" s="250">
        <v>3.0009999999999999</v>
      </c>
      <c r="J2109" s="251">
        <v>0.71315691816661231</v>
      </c>
      <c r="K2109" s="250">
        <v>7.8360000000000003</v>
      </c>
      <c r="L2109" s="250">
        <v>12.669</v>
      </c>
      <c r="M2109" s="213"/>
      <c r="N2109" s="226"/>
    </row>
    <row r="2110" spans="1:14" x14ac:dyDescent="0.25">
      <c r="A2110" s="203">
        <v>45818</v>
      </c>
      <c r="B2110" s="128" t="s">
        <v>25</v>
      </c>
      <c r="C2110" s="157" t="str">
        <f t="shared" si="68"/>
        <v>10.06.2025_BIE2</v>
      </c>
      <c r="D2110" s="190">
        <f t="shared" si="67"/>
        <v>0</v>
      </c>
      <c r="E2110" s="248">
        <v>0</v>
      </c>
      <c r="F2110" s="249">
        <v>1.1167327086248223E-2</v>
      </c>
      <c r="G2110" s="248">
        <v>2.4428454834563813E-2</v>
      </c>
      <c r="H2110" s="248">
        <v>4.7481531229012731E-3</v>
      </c>
      <c r="I2110" s="250">
        <v>3.4529999999999998</v>
      </c>
      <c r="J2110" s="251">
        <v>0.80034313611275765</v>
      </c>
      <c r="K2110" s="250">
        <v>9.7080000000000002</v>
      </c>
      <c r="L2110" s="250">
        <v>13.728</v>
      </c>
      <c r="M2110" s="213"/>
      <c r="N2110" s="226"/>
    </row>
    <row r="2111" spans="1:14" x14ac:dyDescent="0.25">
      <c r="A2111" s="203">
        <v>45818</v>
      </c>
      <c r="B2111" s="128" t="s">
        <v>14</v>
      </c>
      <c r="C2111" s="157" t="str">
        <f t="shared" si="68"/>
        <v>10.06.2025_BRA1</v>
      </c>
      <c r="D2111" s="190">
        <f t="shared" si="67"/>
        <v>0</v>
      </c>
      <c r="E2111" s="248">
        <v>1.8536686115557669E-3</v>
      </c>
      <c r="F2111" s="249">
        <v>3.1027165766322033E-2</v>
      </c>
      <c r="G2111" s="248">
        <v>4.6414064185671275E-2</v>
      </c>
      <c r="H2111" s="248">
        <v>4.1546339825386171E-2</v>
      </c>
      <c r="I2111" s="250">
        <v>7.4710000000000001</v>
      </c>
      <c r="J2111" s="251">
        <v>1.7361636098593705</v>
      </c>
      <c r="K2111" s="250">
        <v>7.202</v>
      </c>
      <c r="L2111" s="250">
        <v>6.1680000000000001</v>
      </c>
      <c r="M2111" s="213"/>
      <c r="N2111" s="226"/>
    </row>
    <row r="2112" spans="1:14" x14ac:dyDescent="0.25">
      <c r="A2112" s="203">
        <v>45818</v>
      </c>
      <c r="B2112" s="128" t="s">
        <v>17</v>
      </c>
      <c r="C2112" s="157" t="str">
        <f t="shared" si="68"/>
        <v>10.06.2025_BRA2</v>
      </c>
      <c r="D2112" s="190">
        <f t="shared" si="67"/>
        <v>0</v>
      </c>
      <c r="E2112" s="248">
        <v>2.2244023338668855E-2</v>
      </c>
      <c r="F2112" s="249">
        <v>3.6947641648118645E-2</v>
      </c>
      <c r="G2112" s="248">
        <v>1.4657072900738309E-2</v>
      </c>
      <c r="H2112" s="248">
        <v>4.6294492948287441E-2</v>
      </c>
      <c r="I2112" s="250">
        <v>10.313000000000001</v>
      </c>
      <c r="J2112" s="251">
        <v>2.3548727389148003</v>
      </c>
      <c r="K2112" s="250">
        <v>10.335000000000001</v>
      </c>
      <c r="L2112" s="250">
        <v>7.4039999999999999</v>
      </c>
      <c r="M2112" s="213"/>
      <c r="N2112" s="226"/>
    </row>
    <row r="2113" spans="1:14" x14ac:dyDescent="0.25">
      <c r="A2113" s="203">
        <v>45818</v>
      </c>
      <c r="B2113" s="128" t="s">
        <v>30</v>
      </c>
      <c r="C2113" s="157" t="str">
        <f t="shared" si="68"/>
        <v>10.06.2025_FAL1</v>
      </c>
      <c r="D2113" s="190">
        <f t="shared" si="67"/>
        <v>0</v>
      </c>
      <c r="E2113" s="248">
        <v>7.2293075850673821E-2</v>
      </c>
      <c r="F2113" s="249">
        <v>4.9523173073395939E-2</v>
      </c>
      <c r="G2113" s="248">
        <v>0.16204208373594003</v>
      </c>
      <c r="H2113" s="248">
        <v>0.44632639355272002</v>
      </c>
      <c r="I2113" s="250">
        <v>17.620999999999999</v>
      </c>
      <c r="J2113" s="251">
        <v>4.2417633981172447</v>
      </c>
      <c r="K2113" s="250">
        <v>41</v>
      </c>
      <c r="L2113" s="250">
        <v>27</v>
      </c>
      <c r="M2113" s="213"/>
      <c r="N2113" s="226"/>
    </row>
    <row r="2114" spans="1:14" x14ac:dyDescent="0.25">
      <c r="A2114" s="203">
        <v>45818</v>
      </c>
      <c r="B2114" s="128" t="s">
        <v>32</v>
      </c>
      <c r="C2114" s="157" t="str">
        <f t="shared" si="68"/>
        <v>10.06.2025_FAL2</v>
      </c>
      <c r="D2114" s="190">
        <f t="shared" si="67"/>
        <v>0</v>
      </c>
      <c r="E2114" s="248">
        <v>0.13717147725512466</v>
      </c>
      <c r="F2114" s="249">
        <v>6.9111728659824137E-2</v>
      </c>
      <c r="G2114" s="248">
        <v>0.24428454834563826</v>
      </c>
      <c r="H2114" s="248">
        <v>0.32999664204163881</v>
      </c>
      <c r="I2114" s="250">
        <v>13.455</v>
      </c>
      <c r="J2114" s="251">
        <v>3.3292328366144814</v>
      </c>
      <c r="K2114" s="250">
        <v>36</v>
      </c>
      <c r="L2114" s="250">
        <v>24</v>
      </c>
      <c r="M2114" s="213"/>
      <c r="N2114" s="226"/>
    </row>
    <row r="2115" spans="1:14" x14ac:dyDescent="0.25">
      <c r="A2115" s="203">
        <v>45818</v>
      </c>
      <c r="B2115" s="128" t="s">
        <v>26</v>
      </c>
      <c r="C2115" s="157" t="str">
        <f t="shared" si="68"/>
        <v>10.06.2025_GRU1</v>
      </c>
      <c r="D2115" s="190">
        <f t="shared" si="67"/>
        <v>0</v>
      </c>
      <c r="E2115" s="248">
        <v>0</v>
      </c>
      <c r="F2115" s="249">
        <v>1.9239501661985937E-2</v>
      </c>
      <c r="G2115" s="248">
        <v>3.6642682251845735E-2</v>
      </c>
      <c r="H2115" s="248">
        <v>5.9351914036265855E-3</v>
      </c>
      <c r="I2115" s="250">
        <v>4.8499999999999996</v>
      </c>
      <c r="J2115" s="251">
        <v>1.1257291453645697</v>
      </c>
      <c r="K2115" s="250">
        <v>9.7249999999999996</v>
      </c>
      <c r="L2115" s="250">
        <v>11.41</v>
      </c>
      <c r="M2115" s="213"/>
      <c r="N2115" s="226"/>
    </row>
    <row r="2116" spans="1:14" x14ac:dyDescent="0.25">
      <c r="A2116" s="203">
        <v>45818</v>
      </c>
      <c r="B2116" s="128" t="s">
        <v>28</v>
      </c>
      <c r="C2116" s="157" t="str">
        <f t="shared" si="68"/>
        <v>10.06.2025_GRU2</v>
      </c>
      <c r="D2116" s="190">
        <f t="shared" si="67"/>
        <v>0</v>
      </c>
      <c r="E2116" s="248">
        <v>0</v>
      </c>
      <c r="F2116" s="249">
        <v>1.5804820455958945E-2</v>
      </c>
      <c r="G2116" s="248">
        <v>6.1885418914228357E-2</v>
      </c>
      <c r="H2116" s="248">
        <v>1.4244459368703844E-2</v>
      </c>
      <c r="I2116" s="250">
        <v>4.6079999999999997</v>
      </c>
      <c r="J2116" s="251">
        <v>1.093199094587511</v>
      </c>
      <c r="K2116" s="250">
        <v>9.9949999999999992</v>
      </c>
      <c r="L2116" s="250">
        <v>10.042</v>
      </c>
      <c r="M2116" s="213"/>
      <c r="N2116" s="226"/>
    </row>
    <row r="2117" spans="1:14" x14ac:dyDescent="0.25">
      <c r="A2117" s="203">
        <v>45818</v>
      </c>
      <c r="B2117" s="128" t="s">
        <v>0</v>
      </c>
      <c r="C2117" s="157" t="str">
        <f t="shared" si="68"/>
        <v>10.06.2025_KIN1</v>
      </c>
      <c r="D2117" s="190">
        <f t="shared" si="67"/>
        <v>0</v>
      </c>
      <c r="E2117" s="248">
        <v>1.8536686115557397E-2</v>
      </c>
      <c r="F2117" s="249">
        <v>2.952503086085503E-2</v>
      </c>
      <c r="G2117" s="248">
        <v>8.1428182781879601E-3</v>
      </c>
      <c r="H2117" s="248">
        <v>3.5611148421759611E-3</v>
      </c>
      <c r="I2117" s="250">
        <v>4.875</v>
      </c>
      <c r="J2117" s="251">
        <v>1.1085232483785306</v>
      </c>
      <c r="K2117" s="250">
        <v>13.154999999999999</v>
      </c>
      <c r="L2117" s="250">
        <v>10.206</v>
      </c>
      <c r="M2117" s="213"/>
      <c r="N2117" s="226"/>
    </row>
    <row r="2118" spans="1:14" x14ac:dyDescent="0.25">
      <c r="A2118" s="203">
        <v>45818</v>
      </c>
      <c r="B2118" s="128" t="s">
        <v>2</v>
      </c>
      <c r="C2118" s="157" t="str">
        <f t="shared" si="68"/>
        <v>10.06.2025_KIN2</v>
      </c>
      <c r="D2118" s="190">
        <f t="shared" si="67"/>
        <v>0</v>
      </c>
      <c r="E2118" s="248">
        <v>5.0049052512004935E-2</v>
      </c>
      <c r="F2118" s="249">
        <v>1.7043576610088085E-2</v>
      </c>
      <c r="G2118" s="248">
        <v>3.4199836768389349E-2</v>
      </c>
      <c r="H2118" s="248">
        <v>2.1366689053055766E-2</v>
      </c>
      <c r="I2118" s="250">
        <v>7.2409999999999997</v>
      </c>
      <c r="J2118" s="251">
        <v>1.6685855897344894</v>
      </c>
      <c r="K2118" s="250">
        <v>15.845000000000001</v>
      </c>
      <c r="L2118" s="250">
        <v>13.686999999999999</v>
      </c>
      <c r="M2118" s="213"/>
      <c r="N2118" s="226"/>
    </row>
    <row r="2119" spans="1:14" x14ac:dyDescent="0.25">
      <c r="A2119" s="203">
        <v>45818</v>
      </c>
      <c r="B2119" s="128" t="s">
        <v>4</v>
      </c>
      <c r="C2119" s="157" t="str">
        <f t="shared" si="68"/>
        <v>10.06.2025_KIN3</v>
      </c>
      <c r="D2119" s="190">
        <f t="shared" si="67"/>
        <v>0</v>
      </c>
      <c r="E2119" s="248">
        <v>2.0390354727113126E-2</v>
      </c>
      <c r="F2119" s="249">
        <v>1.7786844859978352E-2</v>
      </c>
      <c r="G2119" s="248">
        <v>1.6285636556375886E-2</v>
      </c>
      <c r="H2119" s="248">
        <v>6.4100067159167232E-2</v>
      </c>
      <c r="I2119" s="250">
        <v>7.0570000000000004</v>
      </c>
      <c r="J2119" s="251">
        <v>1.6261254893762687</v>
      </c>
      <c r="K2119" s="250">
        <v>16.38</v>
      </c>
      <c r="L2119" s="250">
        <v>14.368</v>
      </c>
      <c r="M2119" s="213"/>
      <c r="N2119" s="226"/>
    </row>
    <row r="2120" spans="1:14" x14ac:dyDescent="0.25">
      <c r="A2120" s="203">
        <v>45818</v>
      </c>
      <c r="B2120" s="128" t="s">
        <v>6</v>
      </c>
      <c r="C2120" s="157" t="str">
        <f t="shared" si="68"/>
        <v>10.06.2025_KIN4</v>
      </c>
      <c r="D2120" s="190">
        <f t="shared" si="67"/>
        <v>0</v>
      </c>
      <c r="E2120" s="248">
        <v>6.3024732792895111E-2</v>
      </c>
      <c r="F2120" s="249">
        <v>2.0385481811028245E-2</v>
      </c>
      <c r="G2120" s="248">
        <v>3.5828400424026928E-2</v>
      </c>
      <c r="H2120" s="248">
        <v>7.8344526527871064E-2</v>
      </c>
      <c r="I2120" s="250">
        <v>6.7489999999999997</v>
      </c>
      <c r="J2120" s="251">
        <v>1.5760690157466628</v>
      </c>
      <c r="K2120" s="250">
        <v>24.08</v>
      </c>
      <c r="L2120" s="250">
        <v>14.867000000000001</v>
      </c>
      <c r="M2120" s="213"/>
      <c r="N2120" s="226"/>
    </row>
    <row r="2121" spans="1:14" x14ac:dyDescent="0.25">
      <c r="A2121" s="203">
        <v>45818</v>
      </c>
      <c r="B2121" s="247" t="s">
        <v>421</v>
      </c>
      <c r="C2121" s="157" t="str">
        <f t="shared" si="68"/>
        <v>10.06.2025_KLI</v>
      </c>
      <c r="D2121" s="190">
        <f t="shared" si="67"/>
        <v>8</v>
      </c>
      <c r="E2121" s="248"/>
      <c r="F2121" s="249"/>
      <c r="G2121" s="248"/>
      <c r="H2121" s="248"/>
      <c r="I2121" s="250"/>
      <c r="J2121" s="251"/>
      <c r="K2121" s="250"/>
      <c r="L2121" s="250"/>
      <c r="M2121" s="213"/>
      <c r="N2121" s="226" t="s">
        <v>447</v>
      </c>
    </row>
    <row r="2122" spans="1:14" x14ac:dyDescent="0.25">
      <c r="A2122" s="203">
        <v>45818</v>
      </c>
      <c r="B2122" s="128" t="s">
        <v>34</v>
      </c>
      <c r="C2122" s="157" t="str">
        <f t="shared" si="68"/>
        <v>10.06.2025_KRE1</v>
      </c>
      <c r="D2122" s="190">
        <f t="shared" si="67"/>
        <v>0</v>
      </c>
      <c r="E2122" s="248">
        <v>0</v>
      </c>
      <c r="F2122" s="249">
        <v>2.2746020656335859E-2</v>
      </c>
      <c r="G2122" s="248">
        <v>7.2471082675872697E-2</v>
      </c>
      <c r="H2122" s="248">
        <v>0.10208529214237747</v>
      </c>
      <c r="I2122" s="250">
        <v>6.7830000000000004</v>
      </c>
      <c r="J2122" s="251">
        <v>1.6194291481797352</v>
      </c>
      <c r="K2122" s="250">
        <v>38</v>
      </c>
      <c r="L2122" s="250">
        <v>24</v>
      </c>
      <c r="M2122" s="213"/>
      <c r="N2122" s="226"/>
    </row>
    <row r="2123" spans="1:14" x14ac:dyDescent="0.25">
      <c r="A2123" s="203">
        <v>45818</v>
      </c>
      <c r="B2123" s="128" t="s">
        <v>37</v>
      </c>
      <c r="C2123" s="157" t="str">
        <f t="shared" si="68"/>
        <v>10.06.2025_KRE2</v>
      </c>
      <c r="D2123" s="190">
        <f t="shared" si="67"/>
        <v>0</v>
      </c>
      <c r="E2123" s="248">
        <v>0</v>
      </c>
      <c r="F2123" s="249">
        <v>3.3350923812966955E-2</v>
      </c>
      <c r="G2123" s="248">
        <v>0.11888514686154397</v>
      </c>
      <c r="H2123" s="248">
        <v>0.10920752182672934</v>
      </c>
      <c r="I2123" s="250">
        <v>9.6489999999999991</v>
      </c>
      <c r="J2123" s="251">
        <v>2.3049809877066676</v>
      </c>
      <c r="K2123" s="250">
        <v>44</v>
      </c>
      <c r="L2123" s="250">
        <v>29</v>
      </c>
      <c r="M2123" s="213"/>
      <c r="N2123" s="226"/>
    </row>
    <row r="2124" spans="1:14" x14ac:dyDescent="0.25">
      <c r="A2124" s="203">
        <v>45818</v>
      </c>
      <c r="B2124" s="128" t="s">
        <v>18</v>
      </c>
      <c r="C2124" s="157" t="str">
        <f t="shared" si="68"/>
        <v>10.06.2025_ORB1</v>
      </c>
      <c r="D2124" s="190">
        <f t="shared" si="67"/>
        <v>0</v>
      </c>
      <c r="E2124" s="248">
        <v>0</v>
      </c>
      <c r="F2124" s="249">
        <v>1.8350817202714868E-2</v>
      </c>
      <c r="G2124" s="248">
        <v>1.9542763867651077E-2</v>
      </c>
      <c r="H2124" s="248">
        <v>4.7481531229012731E-3</v>
      </c>
      <c r="I2124" s="250">
        <v>6.4020000000000001</v>
      </c>
      <c r="J2124" s="251">
        <v>1.4626400759338596</v>
      </c>
      <c r="K2124" s="250">
        <v>8.7170000000000005</v>
      </c>
      <c r="L2124" s="250">
        <v>11.904</v>
      </c>
      <c r="M2124" s="213"/>
      <c r="N2124" s="226"/>
    </row>
    <row r="2125" spans="1:14" x14ac:dyDescent="0.25">
      <c r="A2125" s="203">
        <v>45818</v>
      </c>
      <c r="B2125" s="128" t="s">
        <v>21</v>
      </c>
      <c r="C2125" s="157" t="str">
        <f t="shared" si="68"/>
        <v>10.06.2025_ORB2</v>
      </c>
      <c r="D2125" s="190">
        <f t="shared" si="67"/>
        <v>0</v>
      </c>
      <c r="E2125" s="248">
        <v>1.8536686115557283E-3</v>
      </c>
      <c r="F2125" s="249">
        <v>1.9156848409026612E-2</v>
      </c>
      <c r="G2125" s="248">
        <v>4.3156936874396083E-2</v>
      </c>
      <c r="H2125" s="248">
        <v>2.2553727333781078E-2</v>
      </c>
      <c r="I2125" s="250">
        <v>7.2169999999999996</v>
      </c>
      <c r="J2125" s="251">
        <v>1.6704812022003692</v>
      </c>
      <c r="K2125" s="250">
        <v>22.311</v>
      </c>
      <c r="L2125" s="250">
        <v>16.917000000000002</v>
      </c>
      <c r="M2125" s="213"/>
      <c r="N2125" s="226"/>
    </row>
    <row r="2126" spans="1:14" x14ac:dyDescent="0.25">
      <c r="A2126" s="203">
        <v>45818</v>
      </c>
      <c r="B2126" s="128" t="s">
        <v>10</v>
      </c>
      <c r="C2126" s="157" t="str">
        <f t="shared" si="68"/>
        <v>10.06.2025_SAL1</v>
      </c>
      <c r="D2126" s="190">
        <f t="shared" si="67"/>
        <v>0</v>
      </c>
      <c r="E2126" s="248">
        <v>8.5268756131564039E-2</v>
      </c>
      <c r="F2126" s="249">
        <v>5.2740909041637356E-2</v>
      </c>
      <c r="G2126" s="248">
        <v>2.0357045695469814E-2</v>
      </c>
      <c r="H2126" s="248">
        <v>2.1366689053055766E-2</v>
      </c>
      <c r="I2126" s="250">
        <v>7.444</v>
      </c>
      <c r="J2126" s="251">
        <v>1.703688410894278</v>
      </c>
      <c r="K2126" s="250">
        <v>9.0990000000000002</v>
      </c>
      <c r="L2126" s="250">
        <v>6.68</v>
      </c>
      <c r="M2126" s="213"/>
      <c r="N2126" s="226"/>
    </row>
    <row r="2127" spans="1:14" x14ac:dyDescent="0.25">
      <c r="A2127" s="203">
        <v>45818</v>
      </c>
      <c r="B2127" s="128" t="s">
        <v>12</v>
      </c>
      <c r="C2127" s="157" t="str">
        <f t="shared" si="68"/>
        <v>10.06.2025_SAL2</v>
      </c>
      <c r="D2127" s="190">
        <f t="shared" si="67"/>
        <v>0</v>
      </c>
      <c r="E2127" s="248">
        <v>0.10009810502400994</v>
      </c>
      <c r="F2127" s="249">
        <v>4.2298900415423439E-2</v>
      </c>
      <c r="G2127" s="248">
        <v>3.1756991284932964E-2</v>
      </c>
      <c r="H2127" s="248">
        <v>4.2733378106111483E-2</v>
      </c>
      <c r="I2127" s="250">
        <v>7.2720000000000002</v>
      </c>
      <c r="J2127" s="251">
        <v>1.6801958031272433</v>
      </c>
      <c r="K2127" s="250">
        <v>9.4139999999999997</v>
      </c>
      <c r="L2127" s="250">
        <v>7.0250000000000004</v>
      </c>
      <c r="M2127" s="213"/>
      <c r="N2127" s="226"/>
    </row>
    <row r="2128" spans="1:14" x14ac:dyDescent="0.25">
      <c r="A2128" s="203">
        <v>45818</v>
      </c>
      <c r="B2128" s="128" t="s">
        <v>7</v>
      </c>
      <c r="C2128" s="157" t="str">
        <f t="shared" si="68"/>
        <v>10.06.2025_STE1</v>
      </c>
      <c r="D2128" s="190">
        <f t="shared" si="67"/>
        <v>0</v>
      </c>
      <c r="E2128" s="248">
        <v>6.3024732792895111E-2</v>
      </c>
      <c r="F2128" s="249">
        <v>3.2096846824781866E-2</v>
      </c>
      <c r="G2128" s="248">
        <v>1.0585663761644345E-2</v>
      </c>
      <c r="H2128" s="248">
        <v>3.2050033579583602E-2</v>
      </c>
      <c r="I2128" s="250">
        <v>8.0079999999999991</v>
      </c>
      <c r="J2128" s="251">
        <v>1.826744254777583</v>
      </c>
      <c r="K2128" s="250">
        <v>12.170999999999999</v>
      </c>
      <c r="L2128" s="250">
        <v>7.9619999999999997</v>
      </c>
      <c r="M2128" s="213"/>
      <c r="N2128" s="226"/>
    </row>
    <row r="2129" spans="1:14" x14ac:dyDescent="0.25">
      <c r="A2129" s="203">
        <v>45818</v>
      </c>
      <c r="B2129" s="128" t="s">
        <v>9</v>
      </c>
      <c r="C2129" s="157" t="str">
        <f t="shared" si="68"/>
        <v>10.06.2025_STE2</v>
      </c>
      <c r="D2129" s="190">
        <f t="shared" si="67"/>
        <v>0</v>
      </c>
      <c r="E2129" s="248">
        <v>4.448804667733771E-2</v>
      </c>
      <c r="F2129" s="249">
        <v>3.198795341347669E-2</v>
      </c>
      <c r="G2129" s="248">
        <v>2.6057018490201391E-2</v>
      </c>
      <c r="H2129" s="248">
        <v>4.0359301544660858E-2</v>
      </c>
      <c r="I2129" s="250">
        <v>8.2669999999999995</v>
      </c>
      <c r="J2129" s="251">
        <v>1.8997876936427283</v>
      </c>
      <c r="K2129" s="250">
        <v>13.881</v>
      </c>
      <c r="L2129" s="250">
        <v>8.4039999999999999</v>
      </c>
      <c r="M2129" s="213"/>
      <c r="N2129" s="226"/>
    </row>
  </sheetData>
  <autoFilter ref="A3:N2129" xr:uid="{00000000-0009-0000-0000-000002000000}"/>
  <sortState xmlns:xlrd2="http://schemas.microsoft.com/office/spreadsheetml/2017/richdata2" ref="A3:K282">
    <sortCondition ref="B3:B282"/>
  </sortState>
  <mergeCells count="2">
    <mergeCell ref="P1:P3"/>
    <mergeCell ref="Q1:Q3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88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10" defaultColWidth="11.42578125" defaultRowHeight="15.75" x14ac:dyDescent="0.25"/>
  <cols>
    <col min="1" max="1" width="13.7109375" style="1" customWidth="1"/>
    <col min="2" max="2" width="9.7109375" style="1" customWidth="1"/>
    <col min="3" max="3" width="17.7109375" style="1" customWidth="1"/>
    <col min="4" max="4" width="7.28515625" style="1" customWidth="1"/>
    <col min="5" max="16" width="9.7109375" style="1" customWidth="1"/>
    <col min="17" max="17" width="14.7109375" style="1" customWidth="1"/>
    <col min="18" max="18" width="24.7109375" style="197" customWidth="1"/>
    <col min="19" max="19" width="3.7109375" style="97" customWidth="1"/>
    <col min="20" max="20" width="15.7109375" style="195" customWidth="1"/>
    <col min="21" max="21" width="21.7109375" style="195" customWidth="1"/>
    <col min="22" max="22" width="1.7109375" style="3" customWidth="1"/>
    <col min="23" max="16384" width="11.42578125" style="1"/>
  </cols>
  <sheetData>
    <row r="1" spans="1:22" s="87" customFormat="1" ht="33" customHeight="1" x14ac:dyDescent="0.25">
      <c r="A1" s="82" t="s">
        <v>179</v>
      </c>
      <c r="B1" s="88" t="s">
        <v>64</v>
      </c>
      <c r="C1" s="81" t="s">
        <v>180</v>
      </c>
      <c r="D1" s="154" t="s">
        <v>122</v>
      </c>
      <c r="E1" s="89" t="s">
        <v>63</v>
      </c>
      <c r="F1" s="89" t="s">
        <v>62</v>
      </c>
      <c r="G1" s="89" t="s">
        <v>61</v>
      </c>
      <c r="H1" s="89" t="s">
        <v>60</v>
      </c>
      <c r="I1" s="89" t="s">
        <v>59</v>
      </c>
      <c r="J1" s="89" t="s">
        <v>58</v>
      </c>
      <c r="K1" s="89" t="s">
        <v>57</v>
      </c>
      <c r="L1" s="89" t="s">
        <v>56</v>
      </c>
      <c r="M1" s="88" t="s">
        <v>55</v>
      </c>
      <c r="N1" s="88" t="s">
        <v>54</v>
      </c>
      <c r="O1" s="88" t="s">
        <v>53</v>
      </c>
      <c r="P1" s="88" t="s">
        <v>125</v>
      </c>
      <c r="Q1" s="202" t="s">
        <v>420</v>
      </c>
      <c r="R1" s="125" t="s">
        <v>121</v>
      </c>
      <c r="S1" s="194"/>
      <c r="T1" s="269" t="s">
        <v>438</v>
      </c>
      <c r="U1" s="272" t="s">
        <v>448</v>
      </c>
    </row>
    <row r="2" spans="1:22" customFormat="1" ht="12" customHeight="1" x14ac:dyDescent="0.25">
      <c r="A2" s="2"/>
      <c r="B2" s="2"/>
      <c r="C2" s="90"/>
      <c r="D2" s="90"/>
      <c r="E2" s="215" t="s">
        <v>65</v>
      </c>
      <c r="F2" s="215" t="s">
        <v>65</v>
      </c>
      <c r="G2" s="215" t="s">
        <v>65</v>
      </c>
      <c r="H2" s="215" t="s">
        <v>65</v>
      </c>
      <c r="I2" s="215" t="s">
        <v>65</v>
      </c>
      <c r="J2" s="215" t="s">
        <v>65</v>
      </c>
      <c r="K2" s="215"/>
      <c r="L2" s="215"/>
      <c r="M2" s="215"/>
      <c r="N2" s="215"/>
      <c r="O2" s="215"/>
      <c r="P2" s="215" t="s">
        <v>65</v>
      </c>
      <c r="Q2" s="215"/>
      <c r="R2" s="219"/>
      <c r="S2" s="96"/>
      <c r="T2" s="270"/>
      <c r="U2" s="273"/>
      <c r="V2" s="2"/>
    </row>
    <row r="3" spans="1:22" customFormat="1" ht="12" customHeight="1" x14ac:dyDescent="0.25">
      <c r="A3" s="2"/>
      <c r="B3" s="2"/>
      <c r="C3" s="234" t="s">
        <v>435</v>
      </c>
      <c r="D3" s="90"/>
      <c r="E3" s="191">
        <f>COUNTBLANK(E4:E1088)</f>
        <v>5</v>
      </c>
      <c r="F3" s="191">
        <f t="shared" ref="F3:P3" si="0">COUNTBLANK(F4:F1088)</f>
        <v>5</v>
      </c>
      <c r="G3" s="191">
        <f t="shared" si="0"/>
        <v>5</v>
      </c>
      <c r="H3" s="191">
        <f t="shared" si="0"/>
        <v>5</v>
      </c>
      <c r="I3" s="191">
        <f t="shared" si="0"/>
        <v>5</v>
      </c>
      <c r="J3" s="191">
        <f t="shared" si="0"/>
        <v>5</v>
      </c>
      <c r="K3" s="191">
        <f t="shared" si="0"/>
        <v>65</v>
      </c>
      <c r="L3" s="191">
        <f t="shared" si="0"/>
        <v>65</v>
      </c>
      <c r="M3" s="191">
        <f t="shared" si="0"/>
        <v>65</v>
      </c>
      <c r="N3" s="191">
        <f t="shared" si="0"/>
        <v>65</v>
      </c>
      <c r="O3" s="191">
        <f t="shared" si="0"/>
        <v>5</v>
      </c>
      <c r="P3" s="191">
        <f t="shared" si="0"/>
        <v>5</v>
      </c>
      <c r="Q3" s="214"/>
      <c r="R3" s="220"/>
      <c r="S3" s="96"/>
      <c r="T3" s="271"/>
      <c r="U3" s="274"/>
      <c r="V3" s="2"/>
    </row>
    <row r="4" spans="1:22" ht="16.5" customHeight="1" x14ac:dyDescent="0.25">
      <c r="A4" s="230">
        <v>44284</v>
      </c>
      <c r="B4" s="128" t="s">
        <v>22</v>
      </c>
      <c r="C4" s="157" t="str">
        <f>CONCATENATE(TEXT(A4,"TT.MM.JJJJ"),"_",B4)</f>
        <v>29.03.2021_BIE1</v>
      </c>
      <c r="D4" s="190">
        <f>COUNTBLANK(E4:P4)</f>
        <v>4</v>
      </c>
      <c r="E4" s="231">
        <v>3.2990850084522863E-5</v>
      </c>
      <c r="F4" s="231">
        <v>1.3752679937531771E-3</v>
      </c>
      <c r="G4" s="231">
        <v>8.3034761619866643E-2</v>
      </c>
      <c r="H4" s="231">
        <v>1.5673482226576025E-3</v>
      </c>
      <c r="I4" s="231">
        <v>2.0668092166548221E-4</v>
      </c>
      <c r="J4" s="231">
        <v>7.7899419565650926E-3</v>
      </c>
      <c r="K4" s="229"/>
      <c r="L4" s="229"/>
      <c r="M4" s="229"/>
      <c r="N4" s="229"/>
      <c r="O4" s="205">
        <v>1.7452218310017731E-4</v>
      </c>
      <c r="P4" s="232">
        <v>48.556000000000004</v>
      </c>
      <c r="Q4" s="233"/>
      <c r="R4" s="235" t="s">
        <v>440</v>
      </c>
      <c r="S4" s="96"/>
      <c r="T4" s="96"/>
      <c r="U4" s="96"/>
      <c r="V4" s="2"/>
    </row>
    <row r="5" spans="1:22" ht="16.5" customHeight="1" x14ac:dyDescent="0.25">
      <c r="A5" s="230">
        <v>44284</v>
      </c>
      <c r="B5" s="128" t="s">
        <v>25</v>
      </c>
      <c r="C5" s="157" t="str">
        <f t="shared" ref="C5:C68" si="1">CONCATENATE(TEXT(A5,"TT.MM.JJJJ"),"_",B5)</f>
        <v>29.03.2021_BIE2</v>
      </c>
      <c r="D5" s="190">
        <f t="shared" ref="D5:D68" si="2">COUNTBLANK(E5:P5)</f>
        <v>4</v>
      </c>
      <c r="E5" s="231">
        <v>1.5963277481324484E-5</v>
      </c>
      <c r="F5" s="231">
        <v>1.2320128123292204E-3</v>
      </c>
      <c r="G5" s="231">
        <v>8.0456915842705909E-2</v>
      </c>
      <c r="H5" s="231">
        <v>1.509626537067226E-3</v>
      </c>
      <c r="I5" s="231">
        <v>1.9801461862149923E-4</v>
      </c>
      <c r="J5" s="231">
        <v>8.4643461080524084E-3</v>
      </c>
      <c r="K5" s="229"/>
      <c r="L5" s="229"/>
      <c r="M5" s="229"/>
      <c r="N5" s="229"/>
      <c r="O5" s="205">
        <v>1.627084266382075E-4</v>
      </c>
      <c r="P5" s="232">
        <v>58.071999999999996</v>
      </c>
      <c r="Q5" s="233"/>
      <c r="R5" s="235" t="s">
        <v>440</v>
      </c>
      <c r="S5" s="96"/>
      <c r="T5" s="96"/>
      <c r="U5" s="96"/>
      <c r="V5" s="2"/>
    </row>
    <row r="6" spans="1:22" ht="16.5" customHeight="1" x14ac:dyDescent="0.25">
      <c r="A6" s="230">
        <v>44284</v>
      </c>
      <c r="B6" s="128" t="s">
        <v>14</v>
      </c>
      <c r="C6" s="157" t="str">
        <f t="shared" si="1"/>
        <v>29.03.2021_BRA1</v>
      </c>
      <c r="D6" s="190">
        <f t="shared" si="2"/>
        <v>4</v>
      </c>
      <c r="E6" s="231">
        <v>1.2504318335234338E-5</v>
      </c>
      <c r="F6" s="231">
        <v>1.1067483916105587E-3</v>
      </c>
      <c r="G6" s="231">
        <v>8.7446641172962969E-2</v>
      </c>
      <c r="H6" s="231">
        <v>1.6353349105238371E-3</v>
      </c>
      <c r="I6" s="231">
        <v>1.6727002722609436E-4</v>
      </c>
      <c r="J6" s="231">
        <v>5.8641155446740763E-3</v>
      </c>
      <c r="K6" s="229"/>
      <c r="L6" s="229"/>
      <c r="M6" s="229"/>
      <c r="N6" s="229"/>
      <c r="O6" s="205">
        <v>1.5205700375605261E-4</v>
      </c>
      <c r="P6" s="232">
        <v>58.803999999999995</v>
      </c>
      <c r="Q6" s="233"/>
      <c r="R6" s="235" t="s">
        <v>440</v>
      </c>
      <c r="S6" s="96"/>
      <c r="T6" s="96"/>
      <c r="U6" s="96"/>
      <c r="V6" s="2"/>
    </row>
    <row r="7" spans="1:22" ht="16.5" customHeight="1" x14ac:dyDescent="0.25">
      <c r="A7" s="230">
        <v>44284</v>
      </c>
      <c r="B7" s="128" t="s">
        <v>17</v>
      </c>
      <c r="C7" s="157" t="str">
        <f t="shared" si="1"/>
        <v>29.03.2021_BRA2</v>
      </c>
      <c r="D7" s="190">
        <f t="shared" si="2"/>
        <v>4</v>
      </c>
      <c r="E7" s="231">
        <v>5.7645487945556174E-6</v>
      </c>
      <c r="F7" s="231">
        <v>7.9527098547434128E-4</v>
      </c>
      <c r="G7" s="231">
        <v>8.8358917421461389E-2</v>
      </c>
      <c r="H7" s="231">
        <v>1.4693831173065053E-3</v>
      </c>
      <c r="I7" s="231">
        <v>1.801102353161624E-4</v>
      </c>
      <c r="J7" s="231">
        <v>6.9441781503570103E-3</v>
      </c>
      <c r="K7" s="229"/>
      <c r="L7" s="229"/>
      <c r="M7" s="229"/>
      <c r="N7" s="229"/>
      <c r="O7" s="205">
        <v>9.9806743173865627E-5</v>
      </c>
      <c r="P7" s="232">
        <v>58.559999999999995</v>
      </c>
      <c r="Q7" s="233"/>
      <c r="R7" s="235" t="s">
        <v>440</v>
      </c>
      <c r="S7" s="96"/>
      <c r="T7" s="96"/>
      <c r="U7" s="96"/>
      <c r="V7" s="2"/>
    </row>
    <row r="8" spans="1:22" ht="16.5" customHeight="1" x14ac:dyDescent="0.25">
      <c r="A8" s="230">
        <v>44284</v>
      </c>
      <c r="B8" s="128" t="s">
        <v>30</v>
      </c>
      <c r="C8" s="157" t="str">
        <f t="shared" si="1"/>
        <v>29.03.2021_FAL1</v>
      </c>
      <c r="D8" s="190">
        <f t="shared" si="2"/>
        <v>4</v>
      </c>
      <c r="E8" s="231">
        <v>5.8530484969144604E-6</v>
      </c>
      <c r="F8" s="231">
        <v>8.1349316764401595E-4</v>
      </c>
      <c r="G8" s="231">
        <v>0.3103965853739914</v>
      </c>
      <c r="H8" s="231">
        <v>3.3800214841940798E-3</v>
      </c>
      <c r="I8" s="231">
        <v>1.9578983552793081E-4</v>
      </c>
      <c r="J8" s="231">
        <v>7.8103797143460078E-3</v>
      </c>
      <c r="K8" s="229"/>
      <c r="L8" s="229"/>
      <c r="M8" s="229"/>
      <c r="N8" s="229"/>
      <c r="O8" s="205">
        <v>2.3514013436525016E-4</v>
      </c>
      <c r="P8" s="232">
        <v>260.59200000000004</v>
      </c>
      <c r="Q8" s="233"/>
      <c r="R8" s="235" t="s">
        <v>440</v>
      </c>
      <c r="S8" s="96"/>
      <c r="T8" s="96"/>
      <c r="U8" s="96"/>
      <c r="V8" s="2"/>
    </row>
    <row r="9" spans="1:22" ht="16.5" customHeight="1" x14ac:dyDescent="0.25">
      <c r="A9" s="230">
        <v>44284</v>
      </c>
      <c r="B9" s="128" t="s">
        <v>32</v>
      </c>
      <c r="C9" s="157" t="str">
        <f t="shared" si="1"/>
        <v>29.03.2021_FAL2</v>
      </c>
      <c r="D9" s="190">
        <f t="shared" si="2"/>
        <v>4</v>
      </c>
      <c r="E9" s="231">
        <v>7.8931390383033998E-6</v>
      </c>
      <c r="F9" s="231">
        <v>8.7239195487711935E-4</v>
      </c>
      <c r="G9" s="231">
        <v>0.35209684627129617</v>
      </c>
      <c r="H9" s="231">
        <v>3.6883346733771944E-3</v>
      </c>
      <c r="I9" s="231">
        <v>2.3198106824366937E-4</v>
      </c>
      <c r="J9" s="231">
        <v>7.8476444748699619E-3</v>
      </c>
      <c r="K9" s="229"/>
      <c r="L9" s="229"/>
      <c r="M9" s="229"/>
      <c r="N9" s="229"/>
      <c r="O9" s="205">
        <v>2.0830595208219362E-4</v>
      </c>
      <c r="P9" s="232">
        <v>310.85599999999999</v>
      </c>
      <c r="Q9" s="233"/>
      <c r="R9" s="235" t="s">
        <v>440</v>
      </c>
      <c r="S9" s="96"/>
      <c r="T9" s="96"/>
      <c r="V9" s="2"/>
    </row>
    <row r="10" spans="1:22" ht="16.5" customHeight="1" x14ac:dyDescent="0.25">
      <c r="A10" s="230">
        <v>44284</v>
      </c>
      <c r="B10" s="128" t="s">
        <v>26</v>
      </c>
      <c r="C10" s="157" t="str">
        <f t="shared" si="1"/>
        <v>29.03.2021_GRU1</v>
      </c>
      <c r="D10" s="190">
        <f t="shared" si="2"/>
        <v>4</v>
      </c>
      <c r="E10" s="231">
        <v>4.9663274531501982E-6</v>
      </c>
      <c r="F10" s="231">
        <v>8.7787318627705665E-4</v>
      </c>
      <c r="G10" s="231">
        <v>7.9777667830629131E-2</v>
      </c>
      <c r="H10" s="231">
        <v>2.4874536782226488E-3</v>
      </c>
      <c r="I10" s="231">
        <v>2.2005103613227333E-4</v>
      </c>
      <c r="J10" s="231">
        <v>7.7860452886793202E-3</v>
      </c>
      <c r="K10" s="229"/>
      <c r="L10" s="229"/>
      <c r="M10" s="229"/>
      <c r="N10" s="229"/>
      <c r="O10" s="205">
        <v>1.083249429342208E-4</v>
      </c>
      <c r="P10" s="232">
        <v>42.943999999999996</v>
      </c>
      <c r="Q10" s="233"/>
      <c r="R10" s="235" t="s">
        <v>440</v>
      </c>
      <c r="S10" s="96"/>
      <c r="T10" s="96"/>
      <c r="V10" s="2"/>
    </row>
    <row r="11" spans="1:22" ht="16.5" customHeight="1" x14ac:dyDescent="0.25">
      <c r="A11" s="230">
        <v>44284</v>
      </c>
      <c r="B11" s="128" t="s">
        <v>28</v>
      </c>
      <c r="C11" s="157" t="str">
        <f t="shared" si="1"/>
        <v>29.03.2021_GRU2</v>
      </c>
      <c r="D11" s="190">
        <f t="shared" si="2"/>
        <v>4</v>
      </c>
      <c r="E11" s="231">
        <v>1.0996950028174288E-5</v>
      </c>
      <c r="F11" s="231">
        <v>8.8912406936766573E-4</v>
      </c>
      <c r="G11" s="231">
        <v>9.4816602186273441E-2</v>
      </c>
      <c r="H11" s="231">
        <v>2.4856896513932906E-3</v>
      </c>
      <c r="I11" s="231">
        <v>2.0593919001951467E-4</v>
      </c>
      <c r="J11" s="231">
        <v>8.3923697592606684E-3</v>
      </c>
      <c r="K11" s="229"/>
      <c r="L11" s="229"/>
      <c r="M11" s="229"/>
      <c r="N11" s="229"/>
      <c r="O11" s="205">
        <v>1.3428633338387127E-4</v>
      </c>
      <c r="P11" s="232">
        <v>55.876000000000005</v>
      </c>
      <c r="Q11" s="233"/>
      <c r="R11" s="235" t="s">
        <v>440</v>
      </c>
      <c r="S11" s="96"/>
      <c r="V11" s="2"/>
    </row>
    <row r="12" spans="1:22" ht="16.5" customHeight="1" x14ac:dyDescent="0.25">
      <c r="A12" s="230">
        <v>44284</v>
      </c>
      <c r="B12" s="128" t="s">
        <v>0</v>
      </c>
      <c r="C12" s="157" t="str">
        <f t="shared" si="1"/>
        <v>29.03.2021_KIN1</v>
      </c>
      <c r="D12" s="190">
        <f t="shared" si="2"/>
        <v>4</v>
      </c>
      <c r="E12" s="231">
        <v>1.3480113754749386E-5</v>
      </c>
      <c r="F12" s="231">
        <v>9.2633931947328657E-4</v>
      </c>
      <c r="G12" s="231">
        <v>0.15585255314345525</v>
      </c>
      <c r="H12" s="231">
        <v>1.9301627792220053E-3</v>
      </c>
      <c r="I12" s="231">
        <v>1.9888333560385768E-4</v>
      </c>
      <c r="J12" s="231">
        <v>7.8008856392627448E-3</v>
      </c>
      <c r="K12" s="229"/>
      <c r="L12" s="229"/>
      <c r="M12" s="229"/>
      <c r="N12" s="229"/>
      <c r="O12" s="205">
        <v>9.0431248386526708E-5</v>
      </c>
      <c r="P12" s="232">
        <v>151.768</v>
      </c>
      <c r="Q12" s="233"/>
      <c r="R12" s="235" t="s">
        <v>440</v>
      </c>
      <c r="S12" s="96"/>
      <c r="V12" s="2"/>
    </row>
    <row r="13" spans="1:22" ht="16.5" customHeight="1" x14ac:dyDescent="0.25">
      <c r="A13" s="230">
        <v>44284</v>
      </c>
      <c r="B13" s="128" t="s">
        <v>2</v>
      </c>
      <c r="C13" s="157" t="str">
        <f t="shared" si="1"/>
        <v>29.03.2021_KIN2</v>
      </c>
      <c r="D13" s="190">
        <f t="shared" si="2"/>
        <v>4</v>
      </c>
      <c r="E13" s="231">
        <v>3.902032331276307E-6</v>
      </c>
      <c r="F13" s="231">
        <v>8.2171501474392189E-4</v>
      </c>
      <c r="G13" s="231">
        <v>0.22119944890576115</v>
      </c>
      <c r="H13" s="231">
        <v>2.3924537718158756E-3</v>
      </c>
      <c r="I13" s="231">
        <v>1.8665746197903208E-4</v>
      </c>
      <c r="J13" s="231">
        <v>6.376822716677495E-3</v>
      </c>
      <c r="K13" s="229"/>
      <c r="L13" s="229"/>
      <c r="M13" s="229"/>
      <c r="N13" s="229"/>
      <c r="O13" s="205">
        <v>1.1352616823691546E-4</v>
      </c>
      <c r="P13" s="232">
        <v>202.03199999999998</v>
      </c>
      <c r="Q13" s="233"/>
      <c r="R13" s="235" t="s">
        <v>440</v>
      </c>
      <c r="S13" s="96"/>
      <c r="V13" s="2"/>
    </row>
    <row r="14" spans="1:22" ht="16.5" customHeight="1" x14ac:dyDescent="0.25">
      <c r="A14" s="230">
        <v>44284</v>
      </c>
      <c r="B14" s="128" t="s">
        <v>4</v>
      </c>
      <c r="C14" s="157" t="str">
        <f t="shared" si="1"/>
        <v>29.03.2021_KIN3</v>
      </c>
      <c r="D14" s="190">
        <f t="shared" si="2"/>
        <v>4</v>
      </c>
      <c r="E14" s="231">
        <v>4.4341798922132526E-6</v>
      </c>
      <c r="F14" s="231">
        <v>9.6817085157563832E-4</v>
      </c>
      <c r="G14" s="231">
        <v>0.19674132336970304</v>
      </c>
      <c r="H14" s="231">
        <v>2.4551646486722515E-3</v>
      </c>
      <c r="I14" s="231">
        <v>2.8180530939288939E-4</v>
      </c>
      <c r="J14" s="231">
        <v>7.9637940639062897E-3</v>
      </c>
      <c r="K14" s="229"/>
      <c r="L14" s="229"/>
      <c r="M14" s="229"/>
      <c r="N14" s="229"/>
      <c r="O14" s="205">
        <v>1.1863719043052947E-4</v>
      </c>
      <c r="P14" s="232">
        <v>176.9</v>
      </c>
      <c r="Q14" s="233"/>
      <c r="R14" s="235" t="s">
        <v>440</v>
      </c>
      <c r="S14" s="96"/>
      <c r="V14" s="2"/>
    </row>
    <row r="15" spans="1:22" ht="16.5" customHeight="1" x14ac:dyDescent="0.25">
      <c r="A15" s="230">
        <v>44284</v>
      </c>
      <c r="B15" s="128" t="s">
        <v>6</v>
      </c>
      <c r="C15" s="157" t="str">
        <f t="shared" si="1"/>
        <v>29.03.2021_KIN4</v>
      </c>
      <c r="D15" s="190">
        <f t="shared" si="2"/>
        <v>4</v>
      </c>
      <c r="E15" s="231">
        <v>6.9173436187883516E-6</v>
      </c>
      <c r="F15" s="231">
        <v>8.9926923752079444E-4</v>
      </c>
      <c r="G15" s="231">
        <v>0.22165290643557156</v>
      </c>
      <c r="H15" s="231">
        <v>2.7194862072413709E-3</v>
      </c>
      <c r="I15" s="231">
        <v>1.7379597526502824E-4</v>
      </c>
      <c r="J15" s="231">
        <v>7.0653291509429426E-3</v>
      </c>
      <c r="K15" s="229"/>
      <c r="L15" s="229"/>
      <c r="M15" s="229"/>
      <c r="N15" s="229"/>
      <c r="O15" s="205">
        <v>1.3377859367911092E-4</v>
      </c>
      <c r="P15" s="232">
        <v>197.88400000000001</v>
      </c>
      <c r="Q15" s="233"/>
      <c r="R15" s="235" t="s">
        <v>440</v>
      </c>
      <c r="S15" s="96"/>
      <c r="V15" s="2"/>
    </row>
    <row r="16" spans="1:22" ht="16.5" customHeight="1" x14ac:dyDescent="0.25">
      <c r="A16" s="230">
        <v>44284</v>
      </c>
      <c r="B16" s="128" t="s">
        <v>34</v>
      </c>
      <c r="C16" s="157" t="str">
        <f t="shared" si="1"/>
        <v>29.03.2021_KRE1</v>
      </c>
      <c r="D16" s="190">
        <f t="shared" si="2"/>
        <v>4</v>
      </c>
      <c r="E16" s="231">
        <v>5.3209009359775148E-6</v>
      </c>
      <c r="F16" s="231">
        <v>8.169551455398167E-4</v>
      </c>
      <c r="G16" s="231">
        <v>0.24314074836199467</v>
      </c>
      <c r="H16" s="231">
        <v>2.6671995658518865E-3</v>
      </c>
      <c r="I16" s="231">
        <v>1.5368849933439298E-4</v>
      </c>
      <c r="J16" s="231">
        <v>5.6112990248319188E-3</v>
      </c>
      <c r="K16" s="229"/>
      <c r="L16" s="229"/>
      <c r="M16" s="229"/>
      <c r="N16" s="229"/>
      <c r="O16" s="205">
        <v>1.9052241643675608E-4</v>
      </c>
      <c r="P16" s="232">
        <v>289.38400000000001</v>
      </c>
      <c r="Q16" s="233"/>
      <c r="R16" s="235" t="s">
        <v>440</v>
      </c>
      <c r="S16" s="96"/>
      <c r="V16" s="2"/>
    </row>
    <row r="17" spans="1:22" ht="16.5" customHeight="1" x14ac:dyDescent="0.25">
      <c r="A17" s="230">
        <v>44284</v>
      </c>
      <c r="B17" s="128" t="s">
        <v>37</v>
      </c>
      <c r="C17" s="157" t="str">
        <f t="shared" si="1"/>
        <v>29.03.2021_KRE2</v>
      </c>
      <c r="D17" s="190">
        <f t="shared" si="2"/>
        <v>4</v>
      </c>
      <c r="E17" s="231">
        <v>3.9905320336351508E-6</v>
      </c>
      <c r="F17" s="231">
        <v>9.9476095980456495E-4</v>
      </c>
      <c r="G17" s="231">
        <v>0.29221059436287228</v>
      </c>
      <c r="H17" s="231">
        <v>3.3491658995220912E-3</v>
      </c>
      <c r="I17" s="231">
        <v>1.5877354132926331E-4</v>
      </c>
      <c r="J17" s="231">
        <v>5.3428386508770917E-3</v>
      </c>
      <c r="K17" s="229"/>
      <c r="L17" s="229"/>
      <c r="M17" s="229"/>
      <c r="N17" s="229"/>
      <c r="O17" s="205">
        <v>2.7547254672912147E-4</v>
      </c>
      <c r="P17" s="232">
        <v>228.14000000000001</v>
      </c>
      <c r="Q17" s="233"/>
      <c r="R17" s="235" t="s">
        <v>440</v>
      </c>
      <c r="S17" s="96"/>
      <c r="V17" s="2"/>
    </row>
    <row r="18" spans="1:22" ht="16.5" customHeight="1" x14ac:dyDescent="0.25">
      <c r="A18" s="230">
        <v>44284</v>
      </c>
      <c r="B18" s="128" t="s">
        <v>18</v>
      </c>
      <c r="C18" s="157" t="str">
        <f t="shared" si="1"/>
        <v>29.03.2021_ORB1</v>
      </c>
      <c r="D18" s="190">
        <f t="shared" si="2"/>
        <v>4</v>
      </c>
      <c r="E18" s="231">
        <v>4.6117539703228815E-6</v>
      </c>
      <c r="F18" s="231">
        <v>4.8084708263148614E-4</v>
      </c>
      <c r="G18" s="231">
        <v>5.8197020950163325E-2</v>
      </c>
      <c r="H18" s="231">
        <v>1.3784751577501715E-3</v>
      </c>
      <c r="I18" s="231">
        <v>1.5737519253307126E-4</v>
      </c>
      <c r="J18" s="231">
        <v>7.8316109539687158E-3</v>
      </c>
      <c r="K18" s="229"/>
      <c r="L18" s="229"/>
      <c r="M18" s="229"/>
      <c r="N18" s="229"/>
      <c r="O18" s="205">
        <v>5.7104708292111263E-5</v>
      </c>
      <c r="P18" s="232">
        <v>11.956000000000001</v>
      </c>
      <c r="Q18" s="233"/>
      <c r="R18" s="235" t="s">
        <v>440</v>
      </c>
      <c r="S18" s="96"/>
      <c r="V18" s="2"/>
    </row>
    <row r="19" spans="1:22" ht="16.5" customHeight="1" x14ac:dyDescent="0.25">
      <c r="A19" s="230">
        <v>44284</v>
      </c>
      <c r="B19" s="128" t="s">
        <v>21</v>
      </c>
      <c r="C19" s="157" t="str">
        <f t="shared" si="1"/>
        <v>29.03.2021_ORB2</v>
      </c>
      <c r="D19" s="190">
        <f t="shared" si="2"/>
        <v>4</v>
      </c>
      <c r="E19" s="231">
        <v>1.4898982359450594E-5</v>
      </c>
      <c r="F19" s="231">
        <v>5.6223829197591334E-4</v>
      </c>
      <c r="G19" s="231">
        <v>6.3756943759125495E-2</v>
      </c>
      <c r="H19" s="231">
        <v>1.5373649589451868E-3</v>
      </c>
      <c r="I19" s="231">
        <v>1.6229082922512389E-4</v>
      </c>
      <c r="J19" s="231">
        <v>8.1623030594457184E-3</v>
      </c>
      <c r="K19" s="229"/>
      <c r="L19" s="229"/>
      <c r="M19" s="229"/>
      <c r="N19" s="229"/>
      <c r="O19" s="205">
        <v>7.173705606934938E-5</v>
      </c>
      <c r="P19" s="232">
        <v>15.616</v>
      </c>
      <c r="Q19" s="233"/>
      <c r="R19" s="235" t="s">
        <v>440</v>
      </c>
      <c r="S19" s="96"/>
      <c r="V19" s="2"/>
    </row>
    <row r="20" spans="1:22" ht="16.5" customHeight="1" x14ac:dyDescent="0.25">
      <c r="A20" s="230">
        <v>44284</v>
      </c>
      <c r="B20" s="128" t="s">
        <v>10</v>
      </c>
      <c r="C20" s="157" t="str">
        <f t="shared" si="1"/>
        <v>29.03.2021_SAL1</v>
      </c>
      <c r="D20" s="190">
        <f t="shared" si="2"/>
        <v>4</v>
      </c>
      <c r="E20" s="231">
        <v>1.560870399849717E-5</v>
      </c>
      <c r="F20" s="231">
        <v>9.193673974562279E-4</v>
      </c>
      <c r="G20" s="231">
        <v>6.8913193211232224E-2</v>
      </c>
      <c r="H20" s="231">
        <v>1.2925397738225116E-3</v>
      </c>
      <c r="I20" s="231">
        <v>1.8083055105674945E-4</v>
      </c>
      <c r="J20" s="231">
        <v>5.8795966937434073E-3</v>
      </c>
      <c r="K20" s="229"/>
      <c r="L20" s="229"/>
      <c r="M20" s="229"/>
      <c r="N20" s="229"/>
      <c r="O20" s="205">
        <v>7.5990344647118606E-5</v>
      </c>
      <c r="P20" s="232">
        <v>50.263999999999996</v>
      </c>
      <c r="Q20" s="233"/>
      <c r="R20" s="235" t="s">
        <v>440</v>
      </c>
      <c r="S20" s="96"/>
      <c r="V20" s="2"/>
    </row>
    <row r="21" spans="1:22" ht="16.5" customHeight="1" x14ac:dyDescent="0.25">
      <c r="A21" s="230">
        <v>44284</v>
      </c>
      <c r="B21" s="128" t="s">
        <v>12</v>
      </c>
      <c r="C21" s="157" t="str">
        <f t="shared" si="1"/>
        <v>29.03.2021_SAL2</v>
      </c>
      <c r="D21" s="190">
        <f t="shared" si="2"/>
        <v>4</v>
      </c>
      <c r="E21" s="231">
        <v>9.5780814234730805E-6</v>
      </c>
      <c r="F21" s="231">
        <v>9.7317148631401737E-4</v>
      </c>
      <c r="G21" s="231">
        <v>7.1995190631396352E-2</v>
      </c>
      <c r="H21" s="231">
        <v>1.2412895328111854E-3</v>
      </c>
      <c r="I21" s="231">
        <v>1.3690762737286486E-4</v>
      </c>
      <c r="J21" s="231">
        <v>4.1958229198600068E-3</v>
      </c>
      <c r="K21" s="229"/>
      <c r="L21" s="229"/>
      <c r="M21" s="229"/>
      <c r="N21" s="229"/>
      <c r="O21" s="205">
        <v>7.0789411736997947E-5</v>
      </c>
      <c r="P21" s="232">
        <v>53.192</v>
      </c>
      <c r="Q21" s="233"/>
      <c r="R21" s="235" t="s">
        <v>440</v>
      </c>
      <c r="S21" s="96"/>
      <c r="V21" s="2"/>
    </row>
    <row r="22" spans="1:22" ht="16.5" customHeight="1" x14ac:dyDescent="0.25">
      <c r="A22" s="230">
        <v>44284</v>
      </c>
      <c r="B22" s="128" t="s">
        <v>7</v>
      </c>
      <c r="C22" s="157" t="str">
        <f t="shared" si="1"/>
        <v>29.03.2021_STE1</v>
      </c>
      <c r="D22" s="190">
        <f t="shared" si="2"/>
        <v>4</v>
      </c>
      <c r="E22" s="231">
        <v>6.2076219797417771E-6</v>
      </c>
      <c r="F22" s="231">
        <v>9.5076502964572013E-4</v>
      </c>
      <c r="G22" s="231">
        <v>0.11999699949890667</v>
      </c>
      <c r="H22" s="231">
        <v>2.0657744186835404E-3</v>
      </c>
      <c r="I22" s="231">
        <v>2.121287985188186E-4</v>
      </c>
      <c r="J22" s="231">
        <v>5.7697625363349594E-3</v>
      </c>
      <c r="K22" s="229"/>
      <c r="L22" s="229"/>
      <c r="M22" s="229"/>
      <c r="N22" s="229"/>
      <c r="O22" s="205">
        <v>9.1187156288474112E-5</v>
      </c>
      <c r="P22" s="232">
        <v>100.03999999999999</v>
      </c>
      <c r="Q22" s="233"/>
      <c r="R22" s="235" t="s">
        <v>440</v>
      </c>
      <c r="S22" s="96"/>
      <c r="V22" s="2"/>
    </row>
    <row r="23" spans="1:22" ht="16.5" customHeight="1" x14ac:dyDescent="0.25">
      <c r="A23" s="230">
        <v>44284</v>
      </c>
      <c r="B23" s="128" t="s">
        <v>9</v>
      </c>
      <c r="C23" s="157" t="str">
        <f t="shared" si="1"/>
        <v>29.03.2021_STE2</v>
      </c>
      <c r="D23" s="190">
        <f t="shared" si="2"/>
        <v>4</v>
      </c>
      <c r="E23" s="231">
        <v>6.1191222773829341E-6</v>
      </c>
      <c r="F23" s="231">
        <v>8.1512806840650434E-4</v>
      </c>
      <c r="G23" s="231">
        <v>0.11239149821743562</v>
      </c>
      <c r="H23" s="231">
        <v>1.6931099046172988E-3</v>
      </c>
      <c r="I23" s="231">
        <v>1.8803466943273305E-4</v>
      </c>
      <c r="J23" s="231">
        <v>5.9695024308979144E-3</v>
      </c>
      <c r="K23" s="229"/>
      <c r="L23" s="229"/>
      <c r="M23" s="229"/>
      <c r="N23" s="229"/>
      <c r="O23" s="205">
        <v>1.0046119085263318E-4</v>
      </c>
      <c r="P23" s="232">
        <v>80.27600000000001</v>
      </c>
      <c r="Q23" s="233"/>
      <c r="R23" s="235" t="s">
        <v>440</v>
      </c>
      <c r="S23" s="96"/>
      <c r="V23" s="2"/>
    </row>
    <row r="24" spans="1:22" ht="16.5" customHeight="1" x14ac:dyDescent="0.25">
      <c r="A24" s="230">
        <v>44300</v>
      </c>
      <c r="B24" s="128" t="s">
        <v>22</v>
      </c>
      <c r="C24" s="157" t="str">
        <f t="shared" si="1"/>
        <v>14.04.2021_BIE1</v>
      </c>
      <c r="D24" s="190">
        <f t="shared" si="2"/>
        <v>4</v>
      </c>
      <c r="E24" s="231">
        <v>2.9797964718901189E-5</v>
      </c>
      <c r="F24" s="231">
        <v>1.703353861188341E-3</v>
      </c>
      <c r="G24" s="231">
        <v>8.8787490323320853E-2</v>
      </c>
      <c r="H24" s="231">
        <v>2.0039812096302703E-3</v>
      </c>
      <c r="I24" s="231">
        <v>2.1189336084107767E-4</v>
      </c>
      <c r="J24" s="231">
        <v>3.0618646222775221E-2</v>
      </c>
      <c r="K24" s="229"/>
      <c r="L24" s="229"/>
      <c r="M24" s="229"/>
      <c r="N24" s="229"/>
      <c r="O24" s="205">
        <v>3.294181725535351E-4</v>
      </c>
      <c r="P24" s="232">
        <v>57.096000000000004</v>
      </c>
      <c r="Q24" s="233"/>
      <c r="R24" s="235" t="s">
        <v>440</v>
      </c>
      <c r="S24" s="96"/>
      <c r="V24" s="2"/>
    </row>
    <row r="25" spans="1:22" ht="16.5" customHeight="1" x14ac:dyDescent="0.25">
      <c r="A25" s="230">
        <v>44300</v>
      </c>
      <c r="B25" s="128" t="s">
        <v>25</v>
      </c>
      <c r="C25" s="157" t="str">
        <f t="shared" si="1"/>
        <v>14.04.2021_BIE2</v>
      </c>
      <c r="D25" s="190">
        <f t="shared" si="2"/>
        <v>4</v>
      </c>
      <c r="E25" s="231">
        <v>3.1482907104070868E-5</v>
      </c>
      <c r="F25" s="231">
        <v>1.7270177181954009E-3</v>
      </c>
      <c r="G25" s="231">
        <v>8.5566698674463038E-2</v>
      </c>
      <c r="H25" s="231">
        <v>1.8960598759302752E-3</v>
      </c>
      <c r="I25" s="231">
        <v>2.3217134032608861E-4</v>
      </c>
      <c r="J25" s="231">
        <v>1.2030966223900061E-2</v>
      </c>
      <c r="K25" s="229"/>
      <c r="L25" s="229"/>
      <c r="M25" s="229"/>
      <c r="N25" s="229"/>
      <c r="O25" s="205">
        <v>2.9670039379819891E-4</v>
      </c>
      <c r="P25" s="232">
        <v>60.268000000000001</v>
      </c>
      <c r="Q25" s="233"/>
      <c r="R25" s="235" t="s">
        <v>440</v>
      </c>
      <c r="S25" s="96"/>
      <c r="V25" s="2"/>
    </row>
    <row r="26" spans="1:22" ht="16.5" customHeight="1" x14ac:dyDescent="0.25">
      <c r="A26" s="230">
        <v>44300</v>
      </c>
      <c r="B26" s="128" t="s">
        <v>14</v>
      </c>
      <c r="C26" s="157" t="str">
        <f t="shared" si="1"/>
        <v>14.04.2021_BRA1</v>
      </c>
      <c r="D26" s="190">
        <f t="shared" si="2"/>
        <v>4</v>
      </c>
      <c r="E26" s="231">
        <v>6.0306225750240894E-6</v>
      </c>
      <c r="F26" s="231">
        <v>7.8070295757129145E-4</v>
      </c>
      <c r="G26" s="231">
        <v>7.0801954671514081E-2</v>
      </c>
      <c r="H26" s="231">
        <v>1.1878491431049328E-3</v>
      </c>
      <c r="I26" s="231">
        <v>1.4214107060950658E-4</v>
      </c>
      <c r="J26" s="231">
        <v>1.3983912501058413E-2</v>
      </c>
      <c r="K26" s="229"/>
      <c r="L26" s="229"/>
      <c r="M26" s="229"/>
      <c r="N26" s="229"/>
      <c r="O26" s="205">
        <v>1.0782853344170318E-4</v>
      </c>
      <c r="P26" s="232">
        <v>66.612000000000009</v>
      </c>
      <c r="Q26" s="233"/>
      <c r="R26" s="235" t="s">
        <v>440</v>
      </c>
      <c r="S26" s="96"/>
    </row>
    <row r="27" spans="1:22" ht="16.5" customHeight="1" x14ac:dyDescent="0.25">
      <c r="A27" s="230">
        <v>44300</v>
      </c>
      <c r="B27" s="128" t="s">
        <v>17</v>
      </c>
      <c r="C27" s="157" t="str">
        <f t="shared" si="1"/>
        <v>14.04.2021_BRA2</v>
      </c>
      <c r="D27" s="190">
        <f t="shared" si="2"/>
        <v>4</v>
      </c>
      <c r="E27" s="231">
        <v>4.3456801898544087E-6</v>
      </c>
      <c r="F27" s="231">
        <v>6.4175663824454668E-4</v>
      </c>
      <c r="G27" s="231">
        <v>7.654177117382073E-2</v>
      </c>
      <c r="H27" s="231">
        <v>1.1939951981196984E-3</v>
      </c>
      <c r="I27" s="231">
        <v>1.4470480159015515E-4</v>
      </c>
      <c r="J27" s="231">
        <v>1.0547714036200875E-2</v>
      </c>
      <c r="K27" s="229"/>
      <c r="L27" s="229"/>
      <c r="M27" s="229"/>
      <c r="N27" s="229"/>
      <c r="O27" s="205">
        <v>8.6809747063039592E-5</v>
      </c>
      <c r="P27" s="232">
        <v>57.339999999999996</v>
      </c>
      <c r="Q27" s="233"/>
      <c r="R27" s="235" t="s">
        <v>440</v>
      </c>
      <c r="S27" s="96"/>
    </row>
    <row r="28" spans="1:22" ht="16.5" customHeight="1" x14ac:dyDescent="0.25">
      <c r="A28" s="230">
        <v>44300</v>
      </c>
      <c r="B28" s="128" t="s">
        <v>30</v>
      </c>
      <c r="C28" s="157" t="str">
        <f t="shared" si="1"/>
        <v>14.04.2021_FAL1</v>
      </c>
      <c r="D28" s="190">
        <f t="shared" si="2"/>
        <v>4</v>
      </c>
      <c r="E28" s="231">
        <v>8.8683597844265051E-6</v>
      </c>
      <c r="F28" s="231">
        <v>9.630742843863456E-4</v>
      </c>
      <c r="G28" s="231">
        <v>0.28203197004324615</v>
      </c>
      <c r="H28" s="231">
        <v>2.7185768472569277E-3</v>
      </c>
      <c r="I28" s="231">
        <v>1.5970581962053957E-4</v>
      </c>
      <c r="J28" s="231">
        <v>1.2929519563517396E-2</v>
      </c>
      <c r="K28" s="229"/>
      <c r="L28" s="229"/>
      <c r="M28" s="229"/>
      <c r="N28" s="229"/>
      <c r="O28" s="205">
        <v>1.8137140604810976E-4</v>
      </c>
      <c r="P28" s="232">
        <v>224.72400000000002</v>
      </c>
      <c r="Q28" s="233"/>
      <c r="R28" s="235" t="s">
        <v>440</v>
      </c>
      <c r="S28" s="96"/>
    </row>
    <row r="29" spans="1:22" ht="16.5" customHeight="1" x14ac:dyDescent="0.25">
      <c r="A29" s="230">
        <v>44300</v>
      </c>
      <c r="B29" s="128" t="s">
        <v>32</v>
      </c>
      <c r="C29" s="157" t="str">
        <f t="shared" si="1"/>
        <v>14.04.2021_FAL2</v>
      </c>
      <c r="D29" s="190">
        <f t="shared" si="2"/>
        <v>4</v>
      </c>
      <c r="E29" s="231">
        <v>8.0701384430210876E-6</v>
      </c>
      <c r="F29" s="231">
        <v>9.7220998152190426E-4</v>
      </c>
      <c r="G29" s="231">
        <v>0.28382476413423197</v>
      </c>
      <c r="H29" s="231">
        <v>2.8381384733805514E-3</v>
      </c>
      <c r="I29" s="231">
        <v>1.4510731078615308E-4</v>
      </c>
      <c r="J29" s="231">
        <v>1.8618902271376549E-2</v>
      </c>
      <c r="K29" s="229"/>
      <c r="L29" s="229"/>
      <c r="M29" s="229"/>
      <c r="N29" s="229"/>
      <c r="O29" s="205">
        <v>1.6849684932764846E-4</v>
      </c>
      <c r="P29" s="232">
        <v>233.26399999999998</v>
      </c>
      <c r="Q29" s="233"/>
      <c r="R29" s="235" t="s">
        <v>440</v>
      </c>
      <c r="S29" s="96"/>
    </row>
    <row r="30" spans="1:22" ht="16.5" customHeight="1" x14ac:dyDescent="0.25">
      <c r="A30" s="230">
        <v>44300</v>
      </c>
      <c r="B30" s="128" t="s">
        <v>26</v>
      </c>
      <c r="C30" s="157" t="str">
        <f t="shared" si="1"/>
        <v>14.04.2021_GRU1</v>
      </c>
      <c r="D30" s="190">
        <f t="shared" si="2"/>
        <v>4</v>
      </c>
      <c r="E30" s="231">
        <v>1.1263023808642761E-5</v>
      </c>
      <c r="F30" s="231">
        <v>1.1809929448309059E-3</v>
      </c>
      <c r="G30" s="231">
        <v>7.7653995601826717E-2</v>
      </c>
      <c r="H30" s="231">
        <v>2.3977991608070334E-3</v>
      </c>
      <c r="I30" s="231">
        <v>1.7941092363662163E-4</v>
      </c>
      <c r="J30" s="231">
        <v>1.9500946354694175E-2</v>
      </c>
      <c r="K30" s="229"/>
      <c r="L30" s="229"/>
      <c r="M30" s="229"/>
      <c r="N30" s="229"/>
      <c r="O30" s="205">
        <v>1.0655362872089624E-4</v>
      </c>
      <c r="P30" s="232">
        <v>42.699999999999996</v>
      </c>
      <c r="Q30" s="233"/>
      <c r="R30" s="235" t="s">
        <v>440</v>
      </c>
    </row>
    <row r="31" spans="1:22" ht="16.5" customHeight="1" x14ac:dyDescent="0.25">
      <c r="A31" s="230">
        <v>44300</v>
      </c>
      <c r="B31" s="128" t="s">
        <v>28</v>
      </c>
      <c r="C31" s="157" t="str">
        <f t="shared" si="1"/>
        <v>14.04.2021_GRU2</v>
      </c>
      <c r="D31" s="190">
        <f t="shared" si="2"/>
        <v>4</v>
      </c>
      <c r="E31" s="231">
        <v>1.4455334500872493E-5</v>
      </c>
      <c r="F31" s="231">
        <v>8.1608957319861746E-4</v>
      </c>
      <c r="G31" s="231">
        <v>9.0702186572090615E-2</v>
      </c>
      <c r="H31" s="231">
        <v>2.2547963320086765E-3</v>
      </c>
      <c r="I31" s="231">
        <v>1.3798816962446779E-4</v>
      </c>
      <c r="J31" s="231">
        <v>2.1119477174731567E-2</v>
      </c>
      <c r="K31" s="229"/>
      <c r="L31" s="229"/>
      <c r="M31" s="229"/>
      <c r="N31" s="229"/>
      <c r="O31" s="205">
        <v>1.3655413018785702E-4</v>
      </c>
      <c r="P31" s="232">
        <v>61.731999999999999</v>
      </c>
      <c r="Q31" s="233"/>
      <c r="R31" s="235" t="s">
        <v>440</v>
      </c>
    </row>
    <row r="32" spans="1:22" ht="16.5" customHeight="1" x14ac:dyDescent="0.25">
      <c r="A32" s="230">
        <v>44300</v>
      </c>
      <c r="B32" s="128" t="s">
        <v>0</v>
      </c>
      <c r="C32" s="157" t="str">
        <f t="shared" si="1"/>
        <v>14.04.2021_KIN1</v>
      </c>
      <c r="D32" s="190">
        <f t="shared" si="2"/>
        <v>4</v>
      </c>
      <c r="E32" s="231">
        <v>5.4984750140871438E-6</v>
      </c>
      <c r="F32" s="231">
        <v>2.5677553904299342E-3</v>
      </c>
      <c r="G32" s="231">
        <v>0.15625878328320891</v>
      </c>
      <c r="H32" s="231">
        <v>1.8383863064563193E-3</v>
      </c>
      <c r="I32" s="231">
        <v>1.6644373021016269E-4</v>
      </c>
      <c r="J32" s="231">
        <v>2.328387810957331E-2</v>
      </c>
      <c r="K32" s="229"/>
      <c r="L32" s="229"/>
      <c r="M32" s="229"/>
      <c r="N32" s="229"/>
      <c r="O32" s="205">
        <v>8.9122572323422139E-5</v>
      </c>
      <c r="P32" s="232">
        <v>170.06799999999998</v>
      </c>
      <c r="Q32" s="233"/>
      <c r="R32" s="235" t="s">
        <v>440</v>
      </c>
    </row>
    <row r="33" spans="1:18" ht="16.5" customHeight="1" x14ac:dyDescent="0.25">
      <c r="A33" s="230">
        <v>44300</v>
      </c>
      <c r="B33" s="128" t="s">
        <v>2</v>
      </c>
      <c r="C33" s="157" t="str">
        <f t="shared" si="1"/>
        <v>14.04.2021_KIN2</v>
      </c>
      <c r="D33" s="190">
        <f t="shared" si="2"/>
        <v>4</v>
      </c>
      <c r="E33" s="231">
        <v>6.8288439164295078E-6</v>
      </c>
      <c r="F33" s="231">
        <v>7.9243443732345876E-4</v>
      </c>
      <c r="G33" s="231">
        <v>0.19995993712881094</v>
      </c>
      <c r="H33" s="231">
        <v>1.968006970184791E-3</v>
      </c>
      <c r="I33" s="231">
        <v>1.7104156035762622E-4</v>
      </c>
      <c r="J33" s="231">
        <v>2.9340433044257024E-2</v>
      </c>
      <c r="K33" s="229"/>
      <c r="L33" s="229"/>
      <c r="M33" s="229"/>
      <c r="N33" s="229"/>
      <c r="O33" s="205">
        <v>9.6230343404918859E-5</v>
      </c>
      <c r="P33" s="232">
        <v>213.744</v>
      </c>
      <c r="Q33" s="233"/>
      <c r="R33" s="235" t="s">
        <v>440</v>
      </c>
    </row>
    <row r="34" spans="1:18" ht="16.5" customHeight="1" x14ac:dyDescent="0.25">
      <c r="A34" s="230">
        <v>44300</v>
      </c>
      <c r="B34" s="128" t="s">
        <v>4</v>
      </c>
      <c r="C34" s="157" t="str">
        <f t="shared" si="1"/>
        <v>14.04.2021_KIN3</v>
      </c>
      <c r="D34" s="190">
        <f t="shared" si="2"/>
        <v>4</v>
      </c>
      <c r="E34" s="231">
        <v>3.902032331276307E-6</v>
      </c>
      <c r="F34" s="231">
        <v>1.208738914505745E-3</v>
      </c>
      <c r="G34" s="231">
        <v>0.14165673062799058</v>
      </c>
      <c r="H34" s="231">
        <v>2.2640439726574774E-3</v>
      </c>
      <c r="I34" s="231">
        <v>1.6256621580328621E-4</v>
      </c>
      <c r="J34" s="231">
        <v>7.559716088772964E-3</v>
      </c>
      <c r="K34" s="229"/>
      <c r="L34" s="229"/>
      <c r="M34" s="229"/>
      <c r="N34" s="229"/>
      <c r="O34" s="205">
        <v>8.4169734512345044E-5</v>
      </c>
      <c r="P34" s="232">
        <v>191.29600000000002</v>
      </c>
      <c r="Q34" s="233"/>
      <c r="R34" s="235" t="s">
        <v>440</v>
      </c>
    </row>
    <row r="35" spans="1:18" ht="16.5" customHeight="1" x14ac:dyDescent="0.25">
      <c r="A35" s="230">
        <v>44300</v>
      </c>
      <c r="B35" s="128" t="s">
        <v>6</v>
      </c>
      <c r="C35" s="157" t="str">
        <f t="shared" si="1"/>
        <v>14.04.2021_KIN4</v>
      </c>
      <c r="D35" s="190">
        <f t="shared" si="2"/>
        <v>4</v>
      </c>
      <c r="E35" s="231">
        <v>5.409975311728299E-6</v>
      </c>
      <c r="F35" s="231">
        <v>1.1576231145565168E-3</v>
      </c>
      <c r="G35" s="231">
        <v>0.15631010987945254</v>
      </c>
      <c r="H35" s="231">
        <v>1.9736206324869284E-3</v>
      </c>
      <c r="I35" s="231">
        <v>1.5646405558428602E-4</v>
      </c>
      <c r="J35" s="231">
        <v>9.8982862878882055E-3</v>
      </c>
      <c r="K35" s="229"/>
      <c r="L35" s="229"/>
      <c r="M35" s="229"/>
      <c r="N35" s="229"/>
      <c r="O35" s="205">
        <v>1.014088351849846E-4</v>
      </c>
      <c r="P35" s="232">
        <v>199.10399999999998</v>
      </c>
      <c r="Q35" s="233"/>
      <c r="R35" s="235" t="s">
        <v>440</v>
      </c>
    </row>
    <row r="36" spans="1:18" ht="16.5" customHeight="1" x14ac:dyDescent="0.25">
      <c r="A36" s="230">
        <v>44300</v>
      </c>
      <c r="B36" s="128" t="s">
        <v>34</v>
      </c>
      <c r="C36" s="157" t="str">
        <f t="shared" si="1"/>
        <v>14.04.2021_KRE1</v>
      </c>
      <c r="D36" s="190">
        <f t="shared" si="2"/>
        <v>4</v>
      </c>
      <c r="E36" s="231">
        <v>1.1972170774297395E-5</v>
      </c>
      <c r="F36" s="231">
        <v>5.9810301251282596E-4</v>
      </c>
      <c r="G36" s="231">
        <v>6.4941110150734074E-2</v>
      </c>
      <c r="H36" s="231">
        <v>1.5445802994536503E-3</v>
      </c>
      <c r="I36" s="231">
        <v>1.2574170378293011E-4</v>
      </c>
      <c r="J36" s="231">
        <v>1.2649836078638312E-2</v>
      </c>
      <c r="K36" s="229"/>
      <c r="L36" s="229"/>
      <c r="M36" s="229"/>
      <c r="N36" s="229"/>
      <c r="O36" s="205">
        <v>6.2046069694658649E-5</v>
      </c>
      <c r="P36" s="232">
        <v>18.3</v>
      </c>
      <c r="Q36" s="233"/>
      <c r="R36" s="235" t="s">
        <v>440</v>
      </c>
    </row>
    <row r="37" spans="1:18" ht="16.5" customHeight="1" x14ac:dyDescent="0.25">
      <c r="A37" s="230">
        <v>44300</v>
      </c>
      <c r="B37" s="128" t="s">
        <v>37</v>
      </c>
      <c r="C37" s="157" t="str">
        <f t="shared" si="1"/>
        <v>14.04.2021_KRE2</v>
      </c>
      <c r="D37" s="190">
        <f t="shared" si="2"/>
        <v>4</v>
      </c>
      <c r="E37" s="231">
        <v>6.6512698383198788E-6</v>
      </c>
      <c r="F37" s="231">
        <v>9.243197545001536E-4</v>
      </c>
      <c r="G37" s="231">
        <v>0.27763125142926554</v>
      </c>
      <c r="H37" s="231">
        <v>3.1453190299526659E-3</v>
      </c>
      <c r="I37" s="231">
        <v>1.2889862788633007E-4</v>
      </c>
      <c r="J37" s="231">
        <v>9.2554887700916164E-3</v>
      </c>
      <c r="K37" s="229"/>
      <c r="L37" s="229"/>
      <c r="M37" s="229"/>
      <c r="N37" s="229"/>
      <c r="O37" s="205">
        <v>2.6871264971254765E-4</v>
      </c>
      <c r="P37" s="232">
        <v>229.60399999999998</v>
      </c>
      <c r="Q37" s="233"/>
      <c r="R37" s="235" t="s">
        <v>440</v>
      </c>
    </row>
    <row r="38" spans="1:18" ht="16.5" customHeight="1" x14ac:dyDescent="0.25">
      <c r="A38" s="230">
        <v>44300</v>
      </c>
      <c r="B38" s="128" t="s">
        <v>18</v>
      </c>
      <c r="C38" s="157" t="str">
        <f t="shared" si="1"/>
        <v>14.04.2021_ORB1</v>
      </c>
      <c r="D38" s="190">
        <f t="shared" si="2"/>
        <v>4</v>
      </c>
      <c r="E38" s="231">
        <v>1.3568613457108231E-5</v>
      </c>
      <c r="F38" s="231">
        <v>6.1541072170885505E-4</v>
      </c>
      <c r="G38" s="231">
        <v>6.0446106811045099E-2</v>
      </c>
      <c r="H38" s="231">
        <v>1.2923795021541457E-3</v>
      </c>
      <c r="I38" s="231">
        <v>1.3809415089981243E-4</v>
      </c>
      <c r="J38" s="231">
        <v>1.3434384470334062E-2</v>
      </c>
      <c r="K38" s="229"/>
      <c r="L38" s="229"/>
      <c r="M38" s="229"/>
      <c r="N38" s="229"/>
      <c r="O38" s="205">
        <v>5.6935486089905655E-5</v>
      </c>
      <c r="P38" s="232">
        <v>16.592000000000002</v>
      </c>
      <c r="Q38" s="233"/>
      <c r="R38" s="235" t="s">
        <v>440</v>
      </c>
    </row>
    <row r="39" spans="1:18" ht="16.5" customHeight="1" x14ac:dyDescent="0.25">
      <c r="A39" s="230">
        <v>44300</v>
      </c>
      <c r="B39" s="128" t="s">
        <v>21</v>
      </c>
      <c r="C39" s="157" t="str">
        <f t="shared" si="1"/>
        <v>14.04.2021_ORB2</v>
      </c>
      <c r="D39" s="190">
        <f t="shared" si="2"/>
        <v>4</v>
      </c>
      <c r="E39" s="231">
        <v>8.1592128187718718E-6</v>
      </c>
      <c r="F39" s="231">
        <v>1.019475713205726E-3</v>
      </c>
      <c r="G39" s="231">
        <v>0.26665735425869291</v>
      </c>
      <c r="H39" s="231">
        <v>3.0946773366583749E-3</v>
      </c>
      <c r="I39" s="231">
        <v>1.3069962315996481E-4</v>
      </c>
      <c r="J39" s="231">
        <v>1.8590713033106977E-2</v>
      </c>
      <c r="K39" s="229"/>
      <c r="L39" s="229"/>
      <c r="M39" s="229"/>
      <c r="N39" s="229"/>
      <c r="O39" s="205">
        <v>2.0389389433673948E-4</v>
      </c>
      <c r="P39" s="232">
        <v>245.21999999999997</v>
      </c>
      <c r="Q39" s="233"/>
      <c r="R39" s="235" t="s">
        <v>440</v>
      </c>
    </row>
    <row r="40" spans="1:18" ht="16.5" customHeight="1" x14ac:dyDescent="0.25">
      <c r="A40" s="230">
        <v>44300</v>
      </c>
      <c r="B40" s="128" t="s">
        <v>10</v>
      </c>
      <c r="C40" s="157" t="str">
        <f t="shared" si="1"/>
        <v>14.04.2021_SAL1</v>
      </c>
      <c r="D40" s="190">
        <f t="shared" si="2"/>
        <v>4</v>
      </c>
      <c r="E40" s="231">
        <v>8.2477125211307156E-6</v>
      </c>
      <c r="F40" s="231">
        <v>7.6627913981360885E-4</v>
      </c>
      <c r="G40" s="231">
        <v>7.8644019530987153E-2</v>
      </c>
      <c r="H40" s="231">
        <v>1.3274904207769373E-3</v>
      </c>
      <c r="I40" s="231">
        <v>1.5996020213765561E-4</v>
      </c>
      <c r="J40" s="231">
        <v>7.3776061109712679E-3</v>
      </c>
      <c r="K40" s="229"/>
      <c r="L40" s="229"/>
      <c r="M40" s="229"/>
      <c r="N40" s="229"/>
      <c r="O40" s="205">
        <v>8.1270296650364212E-5</v>
      </c>
      <c r="P40" s="232">
        <v>62.22</v>
      </c>
      <c r="Q40" s="233"/>
      <c r="R40" s="235" t="s">
        <v>440</v>
      </c>
    </row>
    <row r="41" spans="1:18" ht="16.5" customHeight="1" x14ac:dyDescent="0.25">
      <c r="A41" s="230">
        <v>44300</v>
      </c>
      <c r="B41" s="128" t="s">
        <v>12</v>
      </c>
      <c r="C41" s="157" t="str">
        <f t="shared" si="1"/>
        <v>14.04.2021_SAL2</v>
      </c>
      <c r="D41" s="190">
        <f t="shared" si="2"/>
        <v>4</v>
      </c>
      <c r="E41" s="231">
        <v>5.7645487945556174E-6</v>
      </c>
      <c r="F41" s="231">
        <v>9.3783096809816951E-4</v>
      </c>
      <c r="G41" s="231">
        <v>7.385147170029803E-2</v>
      </c>
      <c r="H41" s="231">
        <v>1.4314371555651031E-3</v>
      </c>
      <c r="I41" s="231">
        <v>1.56442914241795E-4</v>
      </c>
      <c r="J41" s="231">
        <v>1.0603765923631287E-2</v>
      </c>
      <c r="K41" s="229"/>
      <c r="L41" s="229"/>
      <c r="M41" s="229"/>
      <c r="N41" s="229"/>
      <c r="O41" s="205">
        <v>7.2064243359661395E-5</v>
      </c>
      <c r="P41" s="232">
        <v>56.852000000000004</v>
      </c>
      <c r="Q41" s="233"/>
      <c r="R41" s="235" t="s">
        <v>440</v>
      </c>
    </row>
    <row r="42" spans="1:18" ht="16.5" customHeight="1" x14ac:dyDescent="0.25">
      <c r="A42" s="230">
        <v>44300</v>
      </c>
      <c r="B42" s="128" t="s">
        <v>7</v>
      </c>
      <c r="C42" s="157" t="str">
        <f t="shared" si="1"/>
        <v>14.04.2021_STE1</v>
      </c>
      <c r="D42" s="190">
        <f t="shared" si="2"/>
        <v>4</v>
      </c>
      <c r="E42" s="231">
        <v>4.7002536726817254E-6</v>
      </c>
      <c r="F42" s="231">
        <v>1.9083428206513012E-3</v>
      </c>
      <c r="G42" s="231">
        <v>0.1178168990417067</v>
      </c>
      <c r="H42" s="231">
        <v>1.8602469466304941E-3</v>
      </c>
      <c r="I42" s="231">
        <v>1.5561661722586335E-4</v>
      </c>
      <c r="J42" s="231">
        <v>1.3273965550755816E-2</v>
      </c>
      <c r="K42" s="229"/>
      <c r="L42" s="229"/>
      <c r="M42" s="229"/>
      <c r="N42" s="229"/>
      <c r="O42" s="205">
        <v>8.8039477131162706E-5</v>
      </c>
      <c r="P42" s="232">
        <v>114.43599999999999</v>
      </c>
      <c r="Q42" s="233"/>
      <c r="R42" s="235" t="s">
        <v>440</v>
      </c>
    </row>
    <row r="43" spans="1:18" ht="16.5" customHeight="1" x14ac:dyDescent="0.25">
      <c r="A43" s="230">
        <v>44300</v>
      </c>
      <c r="B43" s="128" t="s">
        <v>9</v>
      </c>
      <c r="C43" s="157" t="str">
        <f t="shared" si="1"/>
        <v>14.04.2021_STE2</v>
      </c>
      <c r="D43" s="190">
        <f t="shared" si="2"/>
        <v>4</v>
      </c>
      <c r="E43" s="231">
        <v>5.3209009359775148E-6</v>
      </c>
      <c r="F43" s="231">
        <v>1.4559151036650296E-3</v>
      </c>
      <c r="G43" s="231">
        <v>0.10375504956337969</v>
      </c>
      <c r="H43" s="231">
        <v>1.7336776754649716E-3</v>
      </c>
      <c r="I43" s="231">
        <v>1.3642041552545806E-4</v>
      </c>
      <c r="J43" s="231">
        <v>1.1519305433968844E-2</v>
      </c>
      <c r="K43" s="229"/>
      <c r="L43" s="229"/>
      <c r="M43" s="229"/>
      <c r="N43" s="229"/>
      <c r="O43" s="205">
        <v>8.7103089912910487E-5</v>
      </c>
      <c r="P43" s="232">
        <v>106.628</v>
      </c>
      <c r="Q43" s="233"/>
      <c r="R43" s="235" t="s">
        <v>440</v>
      </c>
    </row>
    <row r="44" spans="1:18" ht="16.5" customHeight="1" x14ac:dyDescent="0.25">
      <c r="A44" s="230">
        <v>44328</v>
      </c>
      <c r="B44" s="128" t="s">
        <v>22</v>
      </c>
      <c r="C44" s="157" t="str">
        <f t="shared" si="1"/>
        <v>12.05.2021_BIE1</v>
      </c>
      <c r="D44" s="190">
        <f t="shared" si="2"/>
        <v>0</v>
      </c>
      <c r="E44" s="231">
        <v>2.3946484229995091E-5</v>
      </c>
      <c r="F44" s="231">
        <v>2.0189508491087961E-3</v>
      </c>
      <c r="G44" s="231">
        <v>6.6289874001640048E-2</v>
      </c>
      <c r="H44" s="231">
        <v>1.7161958173751908E-3</v>
      </c>
      <c r="I44" s="231">
        <v>9.2065471534732586E-5</v>
      </c>
      <c r="J44" s="231">
        <v>1.4409562744448663E-2</v>
      </c>
      <c r="K44" s="229">
        <v>37</v>
      </c>
      <c r="L44" s="229">
        <v>13</v>
      </c>
      <c r="M44" s="229">
        <v>20</v>
      </c>
      <c r="N44" s="229">
        <v>6.9</v>
      </c>
      <c r="O44" s="205">
        <v>3.0052724751387564E-4</v>
      </c>
      <c r="P44" s="232">
        <v>57.096000000000004</v>
      </c>
      <c r="Q44" s="233"/>
      <c r="R44" s="235"/>
    </row>
    <row r="45" spans="1:18" ht="16.5" customHeight="1" x14ac:dyDescent="0.25">
      <c r="A45" s="230">
        <v>44328</v>
      </c>
      <c r="B45" s="128" t="s">
        <v>25</v>
      </c>
      <c r="C45" s="157" t="str">
        <f t="shared" si="1"/>
        <v>12.05.2021_BIE2</v>
      </c>
      <c r="D45" s="190">
        <f t="shared" si="2"/>
        <v>0</v>
      </c>
      <c r="E45" s="231">
        <v>4.6942843098914242E-5</v>
      </c>
      <c r="F45" s="231">
        <v>2.1609857292882897E-3</v>
      </c>
      <c r="G45" s="231">
        <v>6.8123084630066291E-2</v>
      </c>
      <c r="H45" s="231">
        <v>1.7002844788274671E-3</v>
      </c>
      <c r="I45" s="231">
        <v>1.22589191627456E-4</v>
      </c>
      <c r="J45" s="231">
        <v>1.1338263614118852E-2</v>
      </c>
      <c r="K45" s="229">
        <v>37</v>
      </c>
      <c r="L45" s="229">
        <v>13</v>
      </c>
      <c r="M45" s="229">
        <v>23</v>
      </c>
      <c r="N45" s="229">
        <v>6.8</v>
      </c>
      <c r="O45" s="205">
        <v>3.43206365188783E-4</v>
      </c>
      <c r="P45" s="232">
        <v>61</v>
      </c>
      <c r="Q45" s="233"/>
      <c r="R45" s="235"/>
    </row>
    <row r="46" spans="1:18" ht="16.5" customHeight="1" x14ac:dyDescent="0.25">
      <c r="A46" s="230">
        <v>44328</v>
      </c>
      <c r="B46" s="128" t="s">
        <v>14</v>
      </c>
      <c r="C46" s="157" t="str">
        <f t="shared" si="1"/>
        <v>12.05.2021_BRA1</v>
      </c>
      <c r="D46" s="190">
        <f t="shared" si="2"/>
        <v>0</v>
      </c>
      <c r="E46" s="231">
        <v>7.9821614099983644E-6</v>
      </c>
      <c r="F46" s="231">
        <v>8.7296787284212691E-4</v>
      </c>
      <c r="G46" s="231">
        <v>5.817576671308098E-2</v>
      </c>
      <c r="H46" s="231">
        <v>1.0396294120048738E-3</v>
      </c>
      <c r="I46" s="231">
        <v>6.6549755286605803E-5</v>
      </c>
      <c r="J46" s="231">
        <v>1.9707827704503737E-2</v>
      </c>
      <c r="K46" s="229">
        <v>33</v>
      </c>
      <c r="L46" s="229">
        <v>18</v>
      </c>
      <c r="M46" s="229">
        <v>15</v>
      </c>
      <c r="N46" s="229">
        <v>2.2000000000000002</v>
      </c>
      <c r="O46" s="205">
        <v>1.9470825254149171E-4</v>
      </c>
      <c r="P46" s="232">
        <v>79.055999999999997</v>
      </c>
      <c r="Q46" s="233"/>
      <c r="R46" s="235"/>
    </row>
    <row r="47" spans="1:18" ht="16.5" customHeight="1" x14ac:dyDescent="0.25">
      <c r="A47" s="230">
        <v>44328</v>
      </c>
      <c r="B47" s="128" t="s">
        <v>17</v>
      </c>
      <c r="C47" s="157" t="str">
        <f t="shared" si="1"/>
        <v>12.05.2021_BRA2</v>
      </c>
      <c r="D47" s="190">
        <f t="shared" si="2"/>
        <v>0</v>
      </c>
      <c r="E47" s="231">
        <v>4.6564147637435495E-6</v>
      </c>
      <c r="F47" s="231">
        <v>1.2168903117981374E-3</v>
      </c>
      <c r="G47" s="231">
        <v>6.9557128981882488E-2</v>
      </c>
      <c r="H47" s="231">
        <v>1.044908260458252E-3</v>
      </c>
      <c r="I47" s="231">
        <v>1.4381678357800384E-4</v>
      </c>
      <c r="J47" s="231">
        <v>9.5508773894160577E-3</v>
      </c>
      <c r="K47" s="229">
        <v>44</v>
      </c>
      <c r="L47" s="229">
        <v>19</v>
      </c>
      <c r="M47" s="229">
        <v>19</v>
      </c>
      <c r="N47" s="229">
        <v>2.9</v>
      </c>
      <c r="O47" s="205">
        <v>1.1948271787565862E-4</v>
      </c>
      <c r="P47" s="232">
        <v>85.155999999999992</v>
      </c>
      <c r="Q47" s="233"/>
      <c r="R47" s="235"/>
    </row>
    <row r="48" spans="1:18" ht="16.5" customHeight="1" x14ac:dyDescent="0.25">
      <c r="A48" s="230">
        <v>44328</v>
      </c>
      <c r="B48" s="128" t="s">
        <v>30</v>
      </c>
      <c r="C48" s="157" t="str">
        <f t="shared" si="1"/>
        <v>12.05.2021_FAL1</v>
      </c>
      <c r="D48" s="190">
        <f t="shared" si="2"/>
        <v>0</v>
      </c>
      <c r="E48" s="231">
        <v>5.4162687466130994E-6</v>
      </c>
      <c r="F48" s="231">
        <v>1.1838796511392372E-3</v>
      </c>
      <c r="G48" s="231">
        <v>0.21957402359098507</v>
      </c>
      <c r="H48" s="231">
        <v>2.0736744180217034E-3</v>
      </c>
      <c r="I48" s="231">
        <v>8.5781229448493744E-5</v>
      </c>
      <c r="J48" s="231">
        <v>9.8705299495308197E-3</v>
      </c>
      <c r="K48" s="229">
        <v>184</v>
      </c>
      <c r="L48" s="229">
        <v>30</v>
      </c>
      <c r="M48" s="229">
        <v>81</v>
      </c>
      <c r="N48" s="229">
        <v>16</v>
      </c>
      <c r="O48" s="205">
        <v>1.8640020689641152E-4</v>
      </c>
      <c r="P48" s="232">
        <v>266.69200000000001</v>
      </c>
      <c r="Q48" s="233"/>
      <c r="R48" s="235"/>
    </row>
    <row r="49" spans="1:18" ht="16.5" customHeight="1" x14ac:dyDescent="0.25">
      <c r="A49" s="230">
        <v>44328</v>
      </c>
      <c r="B49" s="128" t="s">
        <v>32</v>
      </c>
      <c r="C49" s="157" t="str">
        <f t="shared" si="1"/>
        <v>12.05.2021_FAL2</v>
      </c>
      <c r="D49" s="190">
        <f t="shared" si="2"/>
        <v>0</v>
      </c>
      <c r="E49" s="231">
        <v>8.0769892166125545E-6</v>
      </c>
      <c r="F49" s="231">
        <v>2.2851334967975492E-3</v>
      </c>
      <c r="G49" s="231">
        <v>0.222025252599129</v>
      </c>
      <c r="H49" s="231">
        <v>2.3361875611179967E-3</v>
      </c>
      <c r="I49" s="231">
        <v>1.583011116661484E-4</v>
      </c>
      <c r="J49" s="231">
        <v>1.8638901753712602E-2</v>
      </c>
      <c r="K49" s="229">
        <v>171</v>
      </c>
      <c r="L49" s="229">
        <v>31</v>
      </c>
      <c r="M49" s="229">
        <v>87</v>
      </c>
      <c r="N49" s="229">
        <v>16</v>
      </c>
      <c r="O49" s="205">
        <v>2.1436111413723259E-4</v>
      </c>
      <c r="P49" s="232">
        <v>280.11199999999997</v>
      </c>
      <c r="Q49" s="233"/>
      <c r="R49" s="235"/>
    </row>
    <row r="50" spans="1:18" ht="16.5" customHeight="1" x14ac:dyDescent="0.25">
      <c r="A50" s="230">
        <v>44328</v>
      </c>
      <c r="B50" s="128" t="s">
        <v>26</v>
      </c>
      <c r="C50" s="157" t="str">
        <f t="shared" si="1"/>
        <v>12.05.2021_GRU1</v>
      </c>
      <c r="D50" s="190">
        <f t="shared" si="2"/>
        <v>0</v>
      </c>
      <c r="E50" s="231">
        <v>2.5276536582505814E-5</v>
      </c>
      <c r="F50" s="231">
        <v>1.495741155915533E-3</v>
      </c>
      <c r="G50" s="231">
        <v>7.2391108832950968E-2</v>
      </c>
      <c r="H50" s="231">
        <v>2.3578753052389805E-3</v>
      </c>
      <c r="I50" s="231">
        <v>9.6035602712242675E-5</v>
      </c>
      <c r="J50" s="231">
        <v>3.7063058201228009E-2</v>
      </c>
      <c r="K50" s="229">
        <v>13</v>
      </c>
      <c r="L50" s="229">
        <v>4.4000000000000004</v>
      </c>
      <c r="M50" s="229">
        <v>7.6</v>
      </c>
      <c r="N50" s="229">
        <v>1.7</v>
      </c>
      <c r="O50" s="205">
        <v>1.3840233780273864E-4</v>
      </c>
      <c r="P50" s="232">
        <v>54.655999999999999</v>
      </c>
      <c r="Q50" s="233"/>
      <c r="R50" s="235"/>
    </row>
    <row r="51" spans="1:18" ht="16.5" customHeight="1" x14ac:dyDescent="0.25">
      <c r="A51" s="230">
        <v>44328</v>
      </c>
      <c r="B51" s="128" t="s">
        <v>28</v>
      </c>
      <c r="C51" s="157" t="str">
        <f t="shared" si="1"/>
        <v>12.05.2021_GRU2</v>
      </c>
      <c r="D51" s="190">
        <f t="shared" si="2"/>
        <v>0</v>
      </c>
      <c r="E51" s="231">
        <v>7.9821614099983644E-6</v>
      </c>
      <c r="F51" s="231">
        <v>9.9891554126791283E-4</v>
      </c>
      <c r="G51" s="231">
        <v>8.3542441396809192E-2</v>
      </c>
      <c r="H51" s="231">
        <v>1.8266680917817179E-3</v>
      </c>
      <c r="I51" s="231">
        <v>7.2215332709165935E-5</v>
      </c>
      <c r="J51" s="231">
        <v>7.1842541949674868E-3</v>
      </c>
      <c r="K51" s="229">
        <v>19</v>
      </c>
      <c r="L51" s="229">
        <v>4.7</v>
      </c>
      <c r="M51" s="229">
        <v>7.9</v>
      </c>
      <c r="N51" s="229">
        <v>2</v>
      </c>
      <c r="O51" s="205">
        <v>1.4519195359062251E-4</v>
      </c>
      <c r="P51" s="232">
        <v>68.807999999999993</v>
      </c>
      <c r="Q51" s="233"/>
      <c r="R51" s="235"/>
    </row>
    <row r="52" spans="1:18" ht="16.5" customHeight="1" x14ac:dyDescent="0.25">
      <c r="A52" s="230">
        <v>44328</v>
      </c>
      <c r="B52" s="128" t="s">
        <v>0</v>
      </c>
      <c r="C52" s="157" t="str">
        <f t="shared" si="1"/>
        <v>12.05.2021_KIN1</v>
      </c>
      <c r="D52" s="190">
        <f t="shared" si="2"/>
        <v>0</v>
      </c>
      <c r="E52" s="231">
        <v>3.9907728225101746E-6</v>
      </c>
      <c r="F52" s="231">
        <v>9.6713614026253092E-4</v>
      </c>
      <c r="G52" s="231">
        <v>0.11664716382774863</v>
      </c>
      <c r="H52" s="231">
        <v>1.2427294007934123E-3</v>
      </c>
      <c r="I52" s="231">
        <v>7.5207828940708257E-5</v>
      </c>
      <c r="J52" s="231">
        <v>1.4376364886024407E-2</v>
      </c>
      <c r="K52" s="229">
        <v>36</v>
      </c>
      <c r="L52" s="229">
        <v>9.9</v>
      </c>
      <c r="M52" s="229">
        <v>6.4</v>
      </c>
      <c r="N52" s="229">
        <v>1.8</v>
      </c>
      <c r="O52" s="205">
        <v>9.3912244637192914E-5</v>
      </c>
      <c r="P52" s="232">
        <v>195.68800000000002</v>
      </c>
      <c r="Q52" s="233"/>
      <c r="R52" s="235"/>
    </row>
    <row r="53" spans="1:18" ht="16.5" customHeight="1" x14ac:dyDescent="0.25">
      <c r="A53" s="230">
        <v>44328</v>
      </c>
      <c r="B53" s="128" t="s">
        <v>2</v>
      </c>
      <c r="C53" s="157" t="str">
        <f t="shared" si="1"/>
        <v>12.05.2021_KIN2</v>
      </c>
      <c r="D53" s="190">
        <f t="shared" si="2"/>
        <v>0</v>
      </c>
      <c r="E53" s="231">
        <v>6.9365924773302144E-6</v>
      </c>
      <c r="F53" s="231">
        <v>1.099356781948946E-3</v>
      </c>
      <c r="G53" s="231">
        <v>0.14906751565073595</v>
      </c>
      <c r="H53" s="231">
        <v>1.4697048344399408E-3</v>
      </c>
      <c r="I53" s="231">
        <v>1.0146203896727138E-4</v>
      </c>
      <c r="J53" s="231">
        <v>3.1776036057461883E-2</v>
      </c>
      <c r="K53" s="229">
        <v>122</v>
      </c>
      <c r="L53" s="229">
        <v>26</v>
      </c>
      <c r="M53" s="229">
        <v>16</v>
      </c>
      <c r="N53" s="229">
        <v>5.8</v>
      </c>
      <c r="O53" s="205">
        <v>9.3953640917230719E-5</v>
      </c>
      <c r="P53" s="232">
        <v>237.65600000000001</v>
      </c>
      <c r="Q53" s="233"/>
      <c r="R53" s="235"/>
    </row>
    <row r="54" spans="1:18" ht="16.5" customHeight="1" x14ac:dyDescent="0.25">
      <c r="A54" s="230">
        <v>44328</v>
      </c>
      <c r="B54" s="128" t="s">
        <v>4</v>
      </c>
      <c r="C54" s="157" t="str">
        <f t="shared" si="1"/>
        <v>12.05.2021_KIN3</v>
      </c>
      <c r="D54" s="190">
        <f t="shared" si="2"/>
        <v>0</v>
      </c>
      <c r="E54" s="231">
        <v>8.0769892166125545E-6</v>
      </c>
      <c r="F54" s="231">
        <v>1.1592914914284472E-3</v>
      </c>
      <c r="G54" s="231">
        <v>0.13960727794698244</v>
      </c>
      <c r="H54" s="231">
        <v>1.7131703417259719E-3</v>
      </c>
      <c r="I54" s="231">
        <v>1.0094316726647609E-4</v>
      </c>
      <c r="J54" s="231">
        <v>1.0996357352291214E-2</v>
      </c>
      <c r="K54" s="229">
        <v>110</v>
      </c>
      <c r="L54" s="229">
        <v>26</v>
      </c>
      <c r="M54" s="229">
        <v>19</v>
      </c>
      <c r="N54" s="229">
        <v>5.2</v>
      </c>
      <c r="O54" s="205">
        <v>1.1261048834532351E-4</v>
      </c>
      <c r="P54" s="232">
        <v>203.25199999999998</v>
      </c>
      <c r="Q54" s="233"/>
      <c r="R54" s="235"/>
    </row>
    <row r="55" spans="1:18" ht="16.5" customHeight="1" x14ac:dyDescent="0.25">
      <c r="A55" s="230">
        <v>44328</v>
      </c>
      <c r="B55" s="128" t="s">
        <v>6</v>
      </c>
      <c r="C55" s="157" t="str">
        <f t="shared" si="1"/>
        <v>12.05.2021_KIN4</v>
      </c>
      <c r="D55" s="190">
        <f t="shared" si="2"/>
        <v>0</v>
      </c>
      <c r="E55" s="231">
        <v>6.2715663010748547E-6</v>
      </c>
      <c r="F55" s="231">
        <v>1.5338568452801567E-3</v>
      </c>
      <c r="G55" s="231">
        <v>0.11198429560862241</v>
      </c>
      <c r="H55" s="231">
        <v>1.5584843481092432E-3</v>
      </c>
      <c r="I55" s="231">
        <v>1.6344859298088907E-4</v>
      </c>
      <c r="J55" s="231">
        <v>1.2783881569380174E-2</v>
      </c>
      <c r="K55" s="229">
        <v>77</v>
      </c>
      <c r="L55" s="229">
        <v>25</v>
      </c>
      <c r="M55" s="229">
        <v>64</v>
      </c>
      <c r="N55" s="229">
        <v>5.9</v>
      </c>
      <c r="O55" s="205">
        <v>1.4517809522473512E-4</v>
      </c>
      <c r="P55" s="232">
        <v>212.28</v>
      </c>
      <c r="Q55" s="233"/>
      <c r="R55" s="235"/>
    </row>
    <row r="56" spans="1:18" ht="16.5" customHeight="1" x14ac:dyDescent="0.25">
      <c r="A56" s="230">
        <v>44328</v>
      </c>
      <c r="B56" s="128" t="s">
        <v>34</v>
      </c>
      <c r="C56" s="157" t="str">
        <f t="shared" si="1"/>
        <v>12.05.2021_KRE1</v>
      </c>
      <c r="D56" s="190">
        <f t="shared" si="2"/>
        <v>0</v>
      </c>
      <c r="E56" s="231">
        <v>8.0769892166125545E-6</v>
      </c>
      <c r="F56" s="231">
        <v>1.5436933834306083E-3</v>
      </c>
      <c r="G56" s="231">
        <v>0.20874505993085199</v>
      </c>
      <c r="H56" s="231">
        <v>2.5066749837811737E-3</v>
      </c>
      <c r="I56" s="231">
        <v>1.0090348275921548E-4</v>
      </c>
      <c r="J56" s="231">
        <v>1.2138943379677771E-2</v>
      </c>
      <c r="K56" s="229">
        <v>176</v>
      </c>
      <c r="L56" s="229">
        <v>29</v>
      </c>
      <c r="M56" s="229">
        <v>84</v>
      </c>
      <c r="N56" s="229">
        <v>18</v>
      </c>
      <c r="O56" s="205">
        <v>2.6552405518195948E-4</v>
      </c>
      <c r="P56" s="232">
        <v>277.67199999999997</v>
      </c>
      <c r="Q56" s="233"/>
      <c r="R56" s="235"/>
    </row>
    <row r="57" spans="1:18" ht="16.5" customHeight="1" x14ac:dyDescent="0.25">
      <c r="A57" s="230">
        <v>44328</v>
      </c>
      <c r="B57" s="128" t="s">
        <v>37</v>
      </c>
      <c r="C57" s="157" t="str">
        <f t="shared" si="1"/>
        <v>12.05.2021_KRE2</v>
      </c>
      <c r="D57" s="190">
        <f t="shared" si="2"/>
        <v>0</v>
      </c>
      <c r="E57" s="231">
        <v>7.4119630403571948E-6</v>
      </c>
      <c r="F57" s="231">
        <v>1.6761808245891636E-3</v>
      </c>
      <c r="G57" s="231">
        <v>0.28049435697021197</v>
      </c>
      <c r="H57" s="231">
        <v>3.2456034016967871E-3</v>
      </c>
      <c r="I57" s="231">
        <v>9.9566618999966629E-5</v>
      </c>
      <c r="J57" s="231">
        <v>1.8485957600970968E-2</v>
      </c>
      <c r="K57" s="229">
        <v>169</v>
      </c>
      <c r="L57" s="229">
        <v>30</v>
      </c>
      <c r="M57" s="229">
        <v>80</v>
      </c>
      <c r="N57" s="229">
        <v>17</v>
      </c>
      <c r="O57" s="205">
        <v>3.7300864691638253E-4</v>
      </c>
      <c r="P57" s="232">
        <v>276.452</v>
      </c>
      <c r="Q57" s="233"/>
      <c r="R57" s="235"/>
    </row>
    <row r="58" spans="1:18" ht="16.5" customHeight="1" x14ac:dyDescent="0.25">
      <c r="A58" s="230">
        <v>44328</v>
      </c>
      <c r="B58" s="128" t="s">
        <v>18</v>
      </c>
      <c r="C58" s="157" t="str">
        <f t="shared" si="1"/>
        <v>12.05.2021_ORB1</v>
      </c>
      <c r="D58" s="190">
        <f t="shared" si="2"/>
        <v>0</v>
      </c>
      <c r="E58" s="231">
        <v>1.643969338302371E-5</v>
      </c>
      <c r="F58" s="231">
        <v>1.0139136536838555E-3</v>
      </c>
      <c r="G58" s="231">
        <v>5.7979353741030352E-2</v>
      </c>
      <c r="H58" s="231">
        <v>1.374096793954878E-3</v>
      </c>
      <c r="I58" s="231">
        <v>7.0220507575465696E-5</v>
      </c>
      <c r="J58" s="231">
        <v>2.6754568275620345E-2</v>
      </c>
      <c r="K58" s="229">
        <v>24</v>
      </c>
      <c r="L58" s="229">
        <v>5.3</v>
      </c>
      <c r="M58" s="229">
        <v>25</v>
      </c>
      <c r="N58" s="229">
        <v>7.2</v>
      </c>
      <c r="O58" s="205">
        <v>6.1912473123915303E-5</v>
      </c>
      <c r="P58" s="232">
        <v>20.496000000000002</v>
      </c>
      <c r="Q58" s="233"/>
      <c r="R58" s="235"/>
    </row>
    <row r="59" spans="1:18" ht="16.5" customHeight="1" x14ac:dyDescent="0.25">
      <c r="A59" s="230">
        <v>44328</v>
      </c>
      <c r="B59" s="128" t="s">
        <v>21</v>
      </c>
      <c r="C59" s="157" t="str">
        <f t="shared" si="1"/>
        <v>12.05.2021_ORB2</v>
      </c>
      <c r="D59" s="190">
        <f t="shared" si="2"/>
        <v>0</v>
      </c>
      <c r="E59" s="231">
        <v>1.2638576173741913E-5</v>
      </c>
      <c r="F59" s="231">
        <v>1.0791943078103411E-3</v>
      </c>
      <c r="G59" s="231">
        <v>5.7866208180333271E-2</v>
      </c>
      <c r="H59" s="231">
        <v>1.3671980345117463E-3</v>
      </c>
      <c r="I59" s="231">
        <v>8.7816126885942509E-5</v>
      </c>
      <c r="J59" s="231">
        <v>6.8229382998554822E-3</v>
      </c>
      <c r="K59" s="229">
        <v>28</v>
      </c>
      <c r="L59" s="229">
        <v>6.1</v>
      </c>
      <c r="M59" s="229">
        <v>37</v>
      </c>
      <c r="N59" s="229">
        <v>7.9</v>
      </c>
      <c r="O59" s="205">
        <v>7.6166651822804691E-5</v>
      </c>
      <c r="P59" s="232">
        <v>24.156000000000002</v>
      </c>
      <c r="Q59" s="233"/>
      <c r="R59" s="235"/>
    </row>
    <row r="60" spans="1:18" ht="16.5" customHeight="1" x14ac:dyDescent="0.25">
      <c r="A60" s="230">
        <v>44328</v>
      </c>
      <c r="B60" s="128" t="s">
        <v>10</v>
      </c>
      <c r="C60" s="157" t="str">
        <f t="shared" si="1"/>
        <v>12.05.2021_SAL1</v>
      </c>
      <c r="D60" s="190">
        <f t="shared" si="2"/>
        <v>0</v>
      </c>
      <c r="E60" s="231">
        <v>1.197293423250854E-5</v>
      </c>
      <c r="F60" s="231">
        <v>1.0505496014985205E-3</v>
      </c>
      <c r="G60" s="231">
        <v>8.5479744872910018E-2</v>
      </c>
      <c r="H60" s="231">
        <v>1.5104684898445439E-3</v>
      </c>
      <c r="I60" s="231">
        <v>9.6953387733579623E-5</v>
      </c>
      <c r="J60" s="231">
        <v>1.8988731240342237E-2</v>
      </c>
      <c r="K60" s="229">
        <v>39</v>
      </c>
      <c r="L60" s="229">
        <v>19</v>
      </c>
      <c r="M60" s="229">
        <v>18</v>
      </c>
      <c r="N60" s="229">
        <v>3.6</v>
      </c>
      <c r="O60" s="205">
        <v>2.0316838257608444E-4</v>
      </c>
      <c r="P60" s="232">
        <v>96.38000000000001</v>
      </c>
      <c r="Q60" s="233"/>
      <c r="R60" s="235"/>
    </row>
    <row r="61" spans="1:18" ht="16.5" customHeight="1" x14ac:dyDescent="0.25">
      <c r="A61" s="230">
        <v>44328</v>
      </c>
      <c r="B61" s="128" t="s">
        <v>12</v>
      </c>
      <c r="C61" s="157" t="str">
        <f t="shared" si="1"/>
        <v>12.05.2021_SAL2</v>
      </c>
      <c r="D61" s="190">
        <f t="shared" si="2"/>
        <v>0</v>
      </c>
      <c r="E61" s="231">
        <v>8.1724327882047582E-6</v>
      </c>
      <c r="F61" s="231">
        <v>1.4299607505389939E-3</v>
      </c>
      <c r="G61" s="231">
        <v>8.2254739701653729E-2</v>
      </c>
      <c r="H61" s="231">
        <v>1.4856864056150357E-3</v>
      </c>
      <c r="I61" s="231">
        <v>1.0846435088358441E-4</v>
      </c>
      <c r="J61" s="231">
        <v>3.6500126360003624E-3</v>
      </c>
      <c r="K61" s="229">
        <v>43</v>
      </c>
      <c r="L61" s="229">
        <v>19</v>
      </c>
      <c r="M61" s="229">
        <v>19</v>
      </c>
      <c r="N61" s="229">
        <v>4.0999999999999996</v>
      </c>
      <c r="O61" s="205">
        <v>1.6492635602306847E-4</v>
      </c>
      <c r="P61" s="232">
        <v>100.52799999999999</v>
      </c>
      <c r="Q61" s="233"/>
      <c r="R61" s="235"/>
    </row>
    <row r="62" spans="1:18" ht="16.5" customHeight="1" x14ac:dyDescent="0.25">
      <c r="A62" s="230">
        <v>44328</v>
      </c>
      <c r="B62" s="128" t="s">
        <v>7</v>
      </c>
      <c r="C62" s="157" t="str">
        <f t="shared" si="1"/>
        <v>12.05.2021_STE1</v>
      </c>
      <c r="D62" s="190">
        <f t="shared" si="2"/>
        <v>0</v>
      </c>
      <c r="E62" s="231">
        <v>6.6514932925096296E-6</v>
      </c>
      <c r="F62" s="231">
        <v>1.4701049123082165E-3</v>
      </c>
      <c r="G62" s="231">
        <v>0.12799528703689358</v>
      </c>
      <c r="H62" s="231">
        <v>1.958901535328753E-3</v>
      </c>
      <c r="I62" s="231">
        <v>5.232576790733061E-5</v>
      </c>
      <c r="J62" s="231">
        <v>1.6210721645853469E-2</v>
      </c>
      <c r="K62" s="229">
        <v>80</v>
      </c>
      <c r="L62" s="229">
        <v>19</v>
      </c>
      <c r="M62" s="229">
        <v>20</v>
      </c>
      <c r="N62" s="229">
        <v>3.7</v>
      </c>
      <c r="O62" s="205">
        <v>1.3111587724558903E-4</v>
      </c>
      <c r="P62" s="232">
        <v>146.88800000000001</v>
      </c>
      <c r="Q62" s="233"/>
      <c r="R62" s="235"/>
    </row>
    <row r="63" spans="1:18" ht="16.5" customHeight="1" x14ac:dyDescent="0.25">
      <c r="A63" s="230">
        <v>44328</v>
      </c>
      <c r="B63" s="128" t="s">
        <v>9</v>
      </c>
      <c r="C63" s="157" t="str">
        <f t="shared" si="1"/>
        <v>12.05.2021_STE2</v>
      </c>
      <c r="D63" s="190">
        <f t="shared" si="2"/>
        <v>0</v>
      </c>
      <c r="E63" s="231">
        <v>3.8959450158959844E-6</v>
      </c>
      <c r="F63" s="231">
        <v>1.3846530234634434E-3</v>
      </c>
      <c r="G63" s="231">
        <v>0.11903660702042174</v>
      </c>
      <c r="H63" s="231">
        <v>2.0935310972147987E-3</v>
      </c>
      <c r="I63" s="231">
        <v>6.8744166346072826E-5</v>
      </c>
      <c r="J63" s="231">
        <v>9.7910320823637875E-3</v>
      </c>
      <c r="K63" s="229">
        <v>32</v>
      </c>
      <c r="L63" s="229">
        <v>8.1</v>
      </c>
      <c r="M63" s="229">
        <v>8.5</v>
      </c>
      <c r="N63" s="229">
        <v>1.6</v>
      </c>
      <c r="O63" s="205">
        <v>1.5082238412863591E-4</v>
      </c>
      <c r="P63" s="232">
        <v>140.29999999999998</v>
      </c>
      <c r="Q63" s="233"/>
      <c r="R63" s="235"/>
    </row>
    <row r="64" spans="1:18" ht="16.5" customHeight="1" x14ac:dyDescent="0.25">
      <c r="A64" s="230">
        <v>44356</v>
      </c>
      <c r="B64" s="128" t="s">
        <v>22</v>
      </c>
      <c r="C64" s="157" t="str">
        <f t="shared" si="1"/>
        <v>09.06.2021_BIE1</v>
      </c>
      <c r="D64" s="190">
        <f t="shared" si="2"/>
        <v>0</v>
      </c>
      <c r="E64" s="231">
        <v>2.1570862944816223E-5</v>
      </c>
      <c r="F64" s="231">
        <v>1.7839578561295452E-3</v>
      </c>
      <c r="G64" s="231">
        <v>7.197472599760911E-2</v>
      </c>
      <c r="H64" s="231">
        <v>1.6567721737789326E-3</v>
      </c>
      <c r="I64" s="231">
        <v>9.2025787027471948E-5</v>
      </c>
      <c r="J64" s="231">
        <v>5.2751696991420478E-3</v>
      </c>
      <c r="K64" s="229">
        <v>23</v>
      </c>
      <c r="L64" s="229">
        <v>7</v>
      </c>
      <c r="M64" s="229">
        <v>6.5</v>
      </c>
      <c r="N64" s="229">
        <v>3.3</v>
      </c>
      <c r="O64" s="205">
        <v>1.8438520049638598E-4</v>
      </c>
      <c r="P64" s="232">
        <v>63.196000000000005</v>
      </c>
      <c r="Q64" s="233"/>
      <c r="R64" s="235"/>
    </row>
    <row r="65" spans="1:18" ht="16.5" customHeight="1" x14ac:dyDescent="0.25">
      <c r="A65" s="230">
        <v>44356</v>
      </c>
      <c r="B65" s="128" t="s">
        <v>25</v>
      </c>
      <c r="C65" s="157" t="str">
        <f t="shared" si="1"/>
        <v>09.06.2021_BIE2</v>
      </c>
      <c r="D65" s="190">
        <f t="shared" si="2"/>
        <v>0</v>
      </c>
      <c r="E65" s="231">
        <v>1.786457354214862E-5</v>
      </c>
      <c r="F65" s="231">
        <v>1.7658202705220325E-3</v>
      </c>
      <c r="G65" s="231">
        <v>6.5219864685715778E-2</v>
      </c>
      <c r="H65" s="231">
        <v>1.3893039820048034E-3</v>
      </c>
      <c r="I65" s="231">
        <v>7.654456343446112E-5</v>
      </c>
      <c r="J65" s="231">
        <v>5.5249488751362551E-3</v>
      </c>
      <c r="K65" s="229">
        <v>22</v>
      </c>
      <c r="L65" s="229">
        <v>6.7</v>
      </c>
      <c r="M65" s="229">
        <v>6.4</v>
      </c>
      <c r="N65" s="229">
        <v>3.1</v>
      </c>
      <c r="O65" s="205">
        <v>1.6706537244558307E-4</v>
      </c>
      <c r="P65" s="232">
        <v>59.536000000000001</v>
      </c>
      <c r="Q65" s="233"/>
      <c r="R65" s="235"/>
    </row>
    <row r="66" spans="1:18" ht="16.5" customHeight="1" x14ac:dyDescent="0.25">
      <c r="A66" s="230">
        <v>44356</v>
      </c>
      <c r="B66" s="128" t="s">
        <v>14</v>
      </c>
      <c r="C66" s="157" t="str">
        <f t="shared" si="1"/>
        <v>09.06.2021_BRA1</v>
      </c>
      <c r="D66" s="190">
        <f t="shared" si="2"/>
        <v>0</v>
      </c>
      <c r="E66" s="231">
        <v>7.5067908469713849E-6</v>
      </c>
      <c r="F66" s="231">
        <v>1.1123885424344001E-3</v>
      </c>
      <c r="G66" s="231">
        <v>6.9432061917521146E-2</v>
      </c>
      <c r="H66" s="231">
        <v>1.2142163222488211E-3</v>
      </c>
      <c r="I66" s="231">
        <v>4.1174162836102833E-5</v>
      </c>
      <c r="J66" s="231">
        <v>1.1597376387800905E-2</v>
      </c>
      <c r="K66" s="229">
        <v>48</v>
      </c>
      <c r="L66" s="229">
        <v>22</v>
      </c>
      <c r="M66" s="229">
        <v>19</v>
      </c>
      <c r="N66" s="229">
        <v>3.3</v>
      </c>
      <c r="O66" s="205">
        <v>1.7391051110582863E-4</v>
      </c>
      <c r="P66" s="232">
        <v>67.588000000000008</v>
      </c>
      <c r="Q66" s="233"/>
      <c r="R66" s="235"/>
    </row>
    <row r="67" spans="1:18" ht="16.5" customHeight="1" x14ac:dyDescent="0.25">
      <c r="A67" s="230">
        <v>44356</v>
      </c>
      <c r="B67" s="128" t="s">
        <v>17</v>
      </c>
      <c r="C67" s="157" t="str">
        <f t="shared" si="1"/>
        <v>09.06.2021_BRA2</v>
      </c>
      <c r="D67" s="190">
        <f t="shared" si="2"/>
        <v>0</v>
      </c>
      <c r="E67" s="231">
        <v>7.8873336033841742E-6</v>
      </c>
      <c r="F67" s="231">
        <v>1.0900749477756452E-3</v>
      </c>
      <c r="G67" s="231">
        <v>6.9554744681149624E-2</v>
      </c>
      <c r="H67" s="231">
        <v>1.3213662285358786E-3</v>
      </c>
      <c r="I67" s="231">
        <v>4.6281184050607084E-5</v>
      </c>
      <c r="J67" s="231">
        <v>1.3017580421350643E-2</v>
      </c>
      <c r="K67" s="229">
        <v>54</v>
      </c>
      <c r="L67" s="229">
        <v>23</v>
      </c>
      <c r="M67" s="229">
        <v>22</v>
      </c>
      <c r="N67" s="229">
        <v>4.0999999999999996</v>
      </c>
      <c r="O67" s="205">
        <v>8.1838031596794989E-5</v>
      </c>
      <c r="P67" s="232">
        <v>69.295999999999992</v>
      </c>
      <c r="Q67" s="233"/>
      <c r="R67" s="235"/>
    </row>
    <row r="68" spans="1:18" ht="16.5" customHeight="1" x14ac:dyDescent="0.25">
      <c r="A68" s="230">
        <v>44356</v>
      </c>
      <c r="B68" s="128" t="s">
        <v>30</v>
      </c>
      <c r="C68" s="157" t="str">
        <f t="shared" si="1"/>
        <v>09.06.2021_FAL1</v>
      </c>
      <c r="D68" s="190">
        <f t="shared" si="2"/>
        <v>0</v>
      </c>
      <c r="E68" s="231">
        <v>3.8959450158959844E-6</v>
      </c>
      <c r="F68" s="231">
        <v>1.0133609407475415E-3</v>
      </c>
      <c r="G68" s="231">
        <v>0.15288438437639087</v>
      </c>
      <c r="H68" s="231">
        <v>1.8444825521087892E-3</v>
      </c>
      <c r="I68" s="231">
        <v>6.6829227288877694E-5</v>
      </c>
      <c r="J68" s="231">
        <v>2.858759110904979E-3</v>
      </c>
      <c r="K68" s="229">
        <v>226</v>
      </c>
      <c r="L68" s="229">
        <v>45</v>
      </c>
      <c r="M68" s="229">
        <v>70</v>
      </c>
      <c r="N68" s="229">
        <v>17</v>
      </c>
      <c r="O68" s="205">
        <v>1.5726715012795436E-4</v>
      </c>
      <c r="P68" s="232">
        <v>213.744</v>
      </c>
      <c r="Q68" s="233"/>
      <c r="R68" s="235"/>
    </row>
    <row r="69" spans="1:18" ht="16.5" customHeight="1" x14ac:dyDescent="0.25">
      <c r="A69" s="230">
        <v>44356</v>
      </c>
      <c r="B69" s="128" t="s">
        <v>32</v>
      </c>
      <c r="C69" s="157" t="str">
        <f t="shared" ref="C69:C132" si="3">CONCATENATE(TEXT(A69,"TT.MM.JJJJ"),"_",B69)</f>
        <v>09.06.2021_FAL2</v>
      </c>
      <c r="D69" s="190">
        <f t="shared" ref="D69:D132" si="4">COUNTBLANK(E69:P69)</f>
        <v>0</v>
      </c>
      <c r="E69" s="231">
        <v>5.7013679314336842E-6</v>
      </c>
      <c r="F69" s="231">
        <v>1.2713556320987679E-3</v>
      </c>
      <c r="G69" s="231">
        <v>0.19974835699373322</v>
      </c>
      <c r="H69" s="231">
        <v>2.3487943177311048E-3</v>
      </c>
      <c r="I69" s="231">
        <v>5.4161208684508542E-5</v>
      </c>
      <c r="J69" s="231">
        <v>3.9399320479313483E-3</v>
      </c>
      <c r="K69" s="229">
        <v>231</v>
      </c>
      <c r="L69" s="229">
        <v>41</v>
      </c>
      <c r="M69" s="229">
        <v>63</v>
      </c>
      <c r="N69" s="229">
        <v>16</v>
      </c>
      <c r="O69" s="205">
        <v>1.5860577886386344E-4</v>
      </c>
      <c r="P69" s="232">
        <v>220.57599999999999</v>
      </c>
      <c r="Q69" s="233"/>
      <c r="R69" s="235"/>
    </row>
    <row r="70" spans="1:18" ht="16.5" customHeight="1" x14ac:dyDescent="0.25">
      <c r="A70" s="230">
        <v>44356</v>
      </c>
      <c r="B70" s="128" t="s">
        <v>26</v>
      </c>
      <c r="C70" s="157" t="str">
        <f t="shared" si="3"/>
        <v>09.06.2021_GRU1</v>
      </c>
      <c r="D70" s="190">
        <f t="shared" si="4"/>
        <v>0</v>
      </c>
      <c r="E70" s="231">
        <v>9.5973129473296695E-6</v>
      </c>
      <c r="F70" s="231">
        <v>1.3036905334976355E-3</v>
      </c>
      <c r="G70" s="231">
        <v>7.4551155590955459E-2</v>
      </c>
      <c r="H70" s="231">
        <v>3.0986097050012783E-3</v>
      </c>
      <c r="I70" s="231">
        <v>5.2485410794844853E-5</v>
      </c>
      <c r="J70" s="231">
        <v>3.6903154826832818E-3</v>
      </c>
      <c r="K70" s="229">
        <v>42</v>
      </c>
      <c r="L70" s="229">
        <v>14</v>
      </c>
      <c r="M70" s="229">
        <v>21</v>
      </c>
      <c r="N70" s="229">
        <v>5.6</v>
      </c>
      <c r="O70" s="205">
        <v>1.1376967359519399E-4</v>
      </c>
      <c r="P70" s="232">
        <v>49.044000000000004</v>
      </c>
      <c r="Q70" s="233"/>
      <c r="R70" s="235"/>
    </row>
    <row r="71" spans="1:18" ht="16.5" customHeight="1" x14ac:dyDescent="0.25">
      <c r="A71" s="230">
        <v>44356</v>
      </c>
      <c r="B71" s="128" t="s">
        <v>28</v>
      </c>
      <c r="C71" s="157" t="str">
        <f t="shared" si="3"/>
        <v>09.06.2021_GRU2</v>
      </c>
      <c r="D71" s="190">
        <f t="shared" si="4"/>
        <v>0</v>
      </c>
      <c r="E71" s="231">
        <v>1.8434771911789787E-5</v>
      </c>
      <c r="F71" s="231">
        <v>1.4394894737760661E-3</v>
      </c>
      <c r="G71" s="231">
        <v>8.3868182655490911E-2</v>
      </c>
      <c r="H71" s="231">
        <v>2.8277375110797622E-3</v>
      </c>
      <c r="I71" s="231">
        <v>5.4640008081555314E-5</v>
      </c>
      <c r="J71" s="231">
        <v>2.5325112921533201E-2</v>
      </c>
      <c r="K71" s="229">
        <v>59</v>
      </c>
      <c r="L71" s="229">
        <v>14</v>
      </c>
      <c r="M71" s="229">
        <v>21</v>
      </c>
      <c r="N71" s="229">
        <v>5.9</v>
      </c>
      <c r="O71" s="205">
        <v>1.1825450902278776E-4</v>
      </c>
      <c r="P71" s="232">
        <v>62.463999999999999</v>
      </c>
      <c r="Q71" s="233"/>
      <c r="R71" s="235"/>
    </row>
    <row r="72" spans="1:18" ht="16.5" customHeight="1" x14ac:dyDescent="0.25">
      <c r="A72" s="230">
        <v>44356</v>
      </c>
      <c r="B72" s="128" t="s">
        <v>0</v>
      </c>
      <c r="C72" s="157" t="str">
        <f t="shared" si="3"/>
        <v>09.06.2021_KIN1</v>
      </c>
      <c r="D72" s="190">
        <f t="shared" si="4"/>
        <v>0</v>
      </c>
      <c r="E72" s="231">
        <v>4.7512425703577397E-6</v>
      </c>
      <c r="F72" s="231">
        <v>1.1759501319023357E-3</v>
      </c>
      <c r="G72" s="231">
        <v>0.13969560389077082</v>
      </c>
      <c r="H72" s="231">
        <v>1.5538380493582268E-3</v>
      </c>
      <c r="I72" s="231">
        <v>4.1174162836102833E-5</v>
      </c>
      <c r="J72" s="231">
        <v>1.8462974418380979E-2</v>
      </c>
      <c r="K72" s="229">
        <v>145</v>
      </c>
      <c r="L72" s="229">
        <v>34</v>
      </c>
      <c r="M72" s="229">
        <v>22</v>
      </c>
      <c r="N72" s="229">
        <v>7</v>
      </c>
      <c r="O72" s="205">
        <v>1.0685613719363327E-4</v>
      </c>
      <c r="P72" s="232">
        <v>181.78</v>
      </c>
      <c r="Q72" s="233"/>
      <c r="R72" s="235"/>
    </row>
    <row r="73" spans="1:18" ht="16.5" customHeight="1" x14ac:dyDescent="0.25">
      <c r="A73" s="230">
        <v>44356</v>
      </c>
      <c r="B73" s="128" t="s">
        <v>2</v>
      </c>
      <c r="C73" s="157" t="str">
        <f t="shared" si="3"/>
        <v>09.06.2021_KIN2</v>
      </c>
      <c r="D73" s="190">
        <f t="shared" si="4"/>
        <v>0</v>
      </c>
      <c r="E73" s="231">
        <v>3.04064746143423E-6</v>
      </c>
      <c r="F73" s="231">
        <v>8.0959622867002822E-4</v>
      </c>
      <c r="G73" s="231">
        <v>0.12967790904591406</v>
      </c>
      <c r="H73" s="231">
        <v>1.267720358680946E-3</v>
      </c>
      <c r="I73" s="231">
        <v>4.3109267310668206E-5</v>
      </c>
      <c r="J73" s="231">
        <v>8.6237499528143465E-3</v>
      </c>
      <c r="K73" s="229">
        <v>142</v>
      </c>
      <c r="L73" s="229">
        <v>36</v>
      </c>
      <c r="M73" s="229">
        <v>19</v>
      </c>
      <c r="N73" s="229">
        <v>7.3</v>
      </c>
      <c r="O73" s="205">
        <v>8.343871756119385E-5</v>
      </c>
      <c r="P73" s="232">
        <v>194.71200000000002</v>
      </c>
      <c r="Q73" s="233"/>
      <c r="R73" s="235"/>
    </row>
    <row r="74" spans="1:18" ht="16.5" customHeight="1" x14ac:dyDescent="0.25">
      <c r="A74" s="230">
        <v>44356</v>
      </c>
      <c r="B74" s="128" t="s">
        <v>4</v>
      </c>
      <c r="C74" s="157" t="str">
        <f t="shared" si="3"/>
        <v>09.06.2021_KIN3</v>
      </c>
      <c r="D74" s="190">
        <f t="shared" si="4"/>
        <v>0</v>
      </c>
      <c r="E74" s="231">
        <v>4.0862163941023791E-6</v>
      </c>
      <c r="F74" s="231">
        <v>1.0117621349555383E-3</v>
      </c>
      <c r="G74" s="231">
        <v>0.10987914499069111</v>
      </c>
      <c r="H74" s="231">
        <v>1.7451343961882053E-3</v>
      </c>
      <c r="I74" s="231">
        <v>6.0565021354513109E-5</v>
      </c>
      <c r="J74" s="231">
        <v>1.1157925705242506E-2</v>
      </c>
      <c r="K74" s="229">
        <v>147</v>
      </c>
      <c r="L74" s="229">
        <v>35</v>
      </c>
      <c r="M74" s="229">
        <v>25</v>
      </c>
      <c r="N74" s="229">
        <v>6.9</v>
      </c>
      <c r="O74" s="205">
        <v>8.8433987897504197E-5</v>
      </c>
      <c r="P74" s="232">
        <v>180.316</v>
      </c>
      <c r="Q74" s="233"/>
      <c r="R74" s="235"/>
    </row>
    <row r="75" spans="1:18" ht="16.5" customHeight="1" x14ac:dyDescent="0.25">
      <c r="A75" s="230">
        <v>44356</v>
      </c>
      <c r="B75" s="128" t="s">
        <v>6</v>
      </c>
      <c r="C75" s="157" t="str">
        <f t="shared" si="3"/>
        <v>09.06.2021_KIN4</v>
      </c>
      <c r="D75" s="190">
        <f t="shared" si="4"/>
        <v>0</v>
      </c>
      <c r="E75" s="231">
        <v>3.7062894026676041E-6</v>
      </c>
      <c r="F75" s="231">
        <v>1.3986695527468114E-3</v>
      </c>
      <c r="G75" s="231">
        <v>0.12842211120200475</v>
      </c>
      <c r="H75" s="231">
        <v>1.9925580136882204E-3</v>
      </c>
      <c r="I75" s="231">
        <v>7.0799099935395867E-5</v>
      </c>
      <c r="J75" s="231">
        <v>1.9712478630983993E-2</v>
      </c>
      <c r="K75" s="229">
        <v>123</v>
      </c>
      <c r="L75" s="229">
        <v>31</v>
      </c>
      <c r="M75" s="229">
        <v>54</v>
      </c>
      <c r="N75" s="229">
        <v>7.2</v>
      </c>
      <c r="O75" s="205">
        <v>1.2984636152149254E-4</v>
      </c>
      <c r="P75" s="232">
        <v>166.89600000000002</v>
      </c>
      <c r="Q75" s="233"/>
      <c r="R75" s="235"/>
    </row>
    <row r="76" spans="1:18" ht="16.5" customHeight="1" x14ac:dyDescent="0.25">
      <c r="A76" s="230">
        <v>44356</v>
      </c>
      <c r="B76" s="128" t="s">
        <v>34</v>
      </c>
      <c r="C76" s="157" t="str">
        <f t="shared" si="3"/>
        <v>09.06.2021_KRE1</v>
      </c>
      <c r="D76" s="190">
        <f t="shared" si="4"/>
        <v>0</v>
      </c>
      <c r="E76" s="231">
        <v>4.0862163941023791E-6</v>
      </c>
      <c r="F76" s="231">
        <v>1.3693455033014521E-3</v>
      </c>
      <c r="G76" s="231">
        <v>0.18616095194462962</v>
      </c>
      <c r="H76" s="231">
        <v>2.3464679759634434E-3</v>
      </c>
      <c r="I76" s="231">
        <v>5.2026518284176379E-5</v>
      </c>
      <c r="J76" s="231">
        <v>4.0684133250782689E-3</v>
      </c>
      <c r="K76" s="229">
        <v>90</v>
      </c>
      <c r="L76" s="229">
        <v>15</v>
      </c>
      <c r="M76" s="229">
        <v>25</v>
      </c>
      <c r="N76" s="229">
        <v>6.5</v>
      </c>
      <c r="O76" s="205">
        <v>1.9278998647624134E-4</v>
      </c>
      <c r="P76" s="232">
        <v>212.524</v>
      </c>
      <c r="Q76" s="233"/>
      <c r="R76" s="235"/>
    </row>
    <row r="77" spans="1:18" ht="16.5" customHeight="1" x14ac:dyDescent="0.25">
      <c r="A77" s="230">
        <v>44356</v>
      </c>
      <c r="B77" s="128" t="s">
        <v>37</v>
      </c>
      <c r="C77" s="157" t="str">
        <f t="shared" si="3"/>
        <v>09.06.2021_KRE2</v>
      </c>
      <c r="D77" s="190">
        <f t="shared" si="4"/>
        <v>0</v>
      </c>
      <c r="E77" s="231">
        <v>3.9907728225101746E-6</v>
      </c>
      <c r="F77" s="231">
        <v>9.3455793367339828E-4</v>
      </c>
      <c r="G77" s="231">
        <v>0.1516702946283412</v>
      </c>
      <c r="H77" s="231">
        <v>2.0748008763957723E-3</v>
      </c>
      <c r="I77" s="231">
        <v>5.2246011096321467E-5</v>
      </c>
      <c r="J77" s="231">
        <v>3.5997989558733778E-3</v>
      </c>
      <c r="K77" s="229">
        <v>101</v>
      </c>
      <c r="L77" s="229">
        <v>17</v>
      </c>
      <c r="M77" s="229">
        <v>27</v>
      </c>
      <c r="N77" s="229">
        <v>7</v>
      </c>
      <c r="O77" s="205">
        <v>2.1226331517713146E-4</v>
      </c>
      <c r="P77" s="232">
        <v>216.184</v>
      </c>
      <c r="Q77" s="233"/>
      <c r="R77" s="235"/>
    </row>
    <row r="78" spans="1:18" ht="16.5" customHeight="1" x14ac:dyDescent="0.25">
      <c r="A78" s="230">
        <v>44356</v>
      </c>
      <c r="B78" s="128" t="s">
        <v>18</v>
      </c>
      <c r="C78" s="157" t="str">
        <f t="shared" si="3"/>
        <v>09.06.2021_ORB1</v>
      </c>
      <c r="D78" s="190">
        <f t="shared" si="4"/>
        <v>0</v>
      </c>
      <c r="E78" s="231">
        <v>2.2806087490712756E-5</v>
      </c>
      <c r="F78" s="231">
        <v>1.1676514736942791E-3</v>
      </c>
      <c r="G78" s="231">
        <v>5.6299348740494276E-2</v>
      </c>
      <c r="H78" s="231">
        <v>1.5442631531786442E-3</v>
      </c>
      <c r="I78" s="231">
        <v>5.1946761473167236E-5</v>
      </c>
      <c r="J78" s="231">
        <v>3.5497164656909878E-2</v>
      </c>
      <c r="K78" s="229">
        <v>14</v>
      </c>
      <c r="L78" s="229">
        <v>2.2000000000000002</v>
      </c>
      <c r="M78" s="229">
        <v>7.4</v>
      </c>
      <c r="N78" s="229">
        <v>3.5</v>
      </c>
      <c r="O78" s="205">
        <v>4.6927198567857306E-5</v>
      </c>
      <c r="P78" s="232">
        <v>22.448</v>
      </c>
      <c r="Q78" s="233"/>
      <c r="R78" s="235"/>
    </row>
    <row r="79" spans="1:18" ht="16.5" customHeight="1" x14ac:dyDescent="0.25">
      <c r="A79" s="230">
        <v>44356</v>
      </c>
      <c r="B79" s="128" t="s">
        <v>21</v>
      </c>
      <c r="C79" s="157" t="str">
        <f t="shared" si="3"/>
        <v>09.06.2021_ORB2</v>
      </c>
      <c r="D79" s="190">
        <f t="shared" si="4"/>
        <v>0</v>
      </c>
      <c r="E79" s="231">
        <v>1.5299296643741367E-5</v>
      </c>
      <c r="F79" s="231">
        <v>1.7332348961858872E-3</v>
      </c>
      <c r="G79" s="231">
        <v>6.6399067345442347E-2</v>
      </c>
      <c r="H79" s="231">
        <v>1.543771068731025E-3</v>
      </c>
      <c r="I79" s="231">
        <v>5.9048737086867698E-5</v>
      </c>
      <c r="J79" s="231">
        <v>2.2920204938067956E-2</v>
      </c>
      <c r="K79" s="229">
        <v>47</v>
      </c>
      <c r="L79" s="229">
        <v>6</v>
      </c>
      <c r="M79" s="229">
        <v>27</v>
      </c>
      <c r="N79" s="229">
        <v>9.1999999999999993</v>
      </c>
      <c r="O79" s="205">
        <v>4.7575680682574668E-5</v>
      </c>
      <c r="P79" s="232">
        <v>30.5</v>
      </c>
      <c r="Q79" s="233"/>
      <c r="R79" s="235"/>
    </row>
    <row r="80" spans="1:18" ht="16.5" customHeight="1" x14ac:dyDescent="0.25">
      <c r="A80" s="230">
        <v>44356</v>
      </c>
      <c r="B80" s="128" t="s">
        <v>10</v>
      </c>
      <c r="C80" s="157" t="str">
        <f t="shared" si="3"/>
        <v>09.06.2021_SAL1</v>
      </c>
      <c r="D80" s="190">
        <f t="shared" si="4"/>
        <v>0</v>
      </c>
      <c r="E80" s="231">
        <v>8.6471875862537258E-6</v>
      </c>
      <c r="F80" s="231">
        <v>1.4102271465966498E-3</v>
      </c>
      <c r="G80" s="231">
        <v>8.9099574986002003E-2</v>
      </c>
      <c r="H80" s="231">
        <v>2.2479521222828094E-3</v>
      </c>
      <c r="I80" s="231">
        <v>5.7373068462699974E-5</v>
      </c>
      <c r="J80" s="231">
        <v>1.5332740229977788E-2</v>
      </c>
      <c r="K80" s="229">
        <v>51</v>
      </c>
      <c r="L80" s="229">
        <v>20</v>
      </c>
      <c r="M80" s="229">
        <v>19</v>
      </c>
      <c r="N80" s="229">
        <v>6.8</v>
      </c>
      <c r="O80" s="205">
        <v>1.667066642911303E-4</v>
      </c>
      <c r="P80" s="232">
        <v>80.27600000000001</v>
      </c>
      <c r="Q80" s="233"/>
      <c r="R80" s="235"/>
    </row>
    <row r="81" spans="1:18" ht="16.5" customHeight="1" x14ac:dyDescent="0.25">
      <c r="A81" s="230">
        <v>44356</v>
      </c>
      <c r="B81" s="128" t="s">
        <v>12</v>
      </c>
      <c r="C81" s="157" t="str">
        <f t="shared" si="3"/>
        <v>09.06.2021_SAL2</v>
      </c>
      <c r="D81" s="190">
        <f t="shared" si="4"/>
        <v>0</v>
      </c>
      <c r="E81" s="231">
        <v>8.8374589644601196E-6</v>
      </c>
      <c r="F81" s="231">
        <v>1.9914047991307581E-3</v>
      </c>
      <c r="G81" s="231">
        <v>8.6149775342534471E-2</v>
      </c>
      <c r="H81" s="231">
        <v>1.9765030174936017E-3</v>
      </c>
      <c r="I81" s="231">
        <v>1.1738224818457239E-4</v>
      </c>
      <c r="J81" s="231">
        <v>1.1247786606255222E-2</v>
      </c>
      <c r="K81" s="229">
        <v>55</v>
      </c>
      <c r="L81" s="229">
        <v>17</v>
      </c>
      <c r="M81" s="229">
        <v>16</v>
      </c>
      <c r="N81" s="229">
        <v>4.8</v>
      </c>
      <c r="O81" s="205">
        <v>1.5234045635058351E-4</v>
      </c>
      <c r="P81" s="232">
        <v>89.792000000000002</v>
      </c>
      <c r="Q81" s="233"/>
      <c r="R81" s="235"/>
    </row>
    <row r="82" spans="1:18" ht="16.5" customHeight="1" x14ac:dyDescent="0.25">
      <c r="A82" s="230">
        <v>44356</v>
      </c>
      <c r="B82" s="128" t="s">
        <v>7</v>
      </c>
      <c r="C82" s="157" t="str">
        <f t="shared" si="3"/>
        <v>09.06.2021_STE1</v>
      </c>
      <c r="D82" s="190">
        <f t="shared" si="4"/>
        <v>0</v>
      </c>
      <c r="E82" s="231">
        <v>5.0363417551783245E-6</v>
      </c>
      <c r="F82" s="231">
        <v>1.3484439548042024E-3</v>
      </c>
      <c r="G82" s="231">
        <v>0.10252206653689683</v>
      </c>
      <c r="H82" s="231">
        <v>2.1917605477136861E-3</v>
      </c>
      <c r="I82" s="231">
        <v>4.7677639203494833E-5</v>
      </c>
      <c r="J82" s="231">
        <v>2.7845554868354042E-3</v>
      </c>
      <c r="K82" s="229">
        <v>94</v>
      </c>
      <c r="L82" s="229">
        <v>20</v>
      </c>
      <c r="M82" s="229">
        <v>19</v>
      </c>
      <c r="N82" s="229">
        <v>4.5</v>
      </c>
      <c r="O82" s="205">
        <v>1.2523715843616105E-4</v>
      </c>
      <c r="P82" s="232">
        <v>116.38799999999999</v>
      </c>
      <c r="Q82" s="233"/>
      <c r="R82" s="235"/>
    </row>
    <row r="83" spans="1:18" ht="16.5" customHeight="1" x14ac:dyDescent="0.25">
      <c r="A83" s="230">
        <v>44356</v>
      </c>
      <c r="B83" s="128" t="s">
        <v>9</v>
      </c>
      <c r="C83" s="157" t="str">
        <f t="shared" si="3"/>
        <v>09.06.2021_STE2</v>
      </c>
      <c r="D83" s="190">
        <f t="shared" si="4"/>
        <v>0</v>
      </c>
      <c r="E83" s="231">
        <v>5.0363417551783245E-6</v>
      </c>
      <c r="F83" s="231">
        <v>1.5667476452806773E-3</v>
      </c>
      <c r="G83" s="231">
        <v>0.11403022019634966</v>
      </c>
      <c r="H83" s="231">
        <v>2.1914075603527432E-3</v>
      </c>
      <c r="I83" s="231">
        <v>5.5138714364980377E-5</v>
      </c>
      <c r="J83" s="231">
        <v>5.1324162517262847E-3</v>
      </c>
      <c r="K83" s="229">
        <v>84</v>
      </c>
      <c r="L83" s="229">
        <v>18</v>
      </c>
      <c r="M83" s="229">
        <v>23</v>
      </c>
      <c r="N83" s="229">
        <v>4.5999999999999996</v>
      </c>
      <c r="O83" s="205">
        <v>1.045102287797419E-4</v>
      </c>
      <c r="P83" s="232">
        <v>105.164</v>
      </c>
      <c r="Q83" s="233"/>
      <c r="R83" s="235"/>
    </row>
    <row r="84" spans="1:18" ht="16.5" customHeight="1" x14ac:dyDescent="0.25">
      <c r="A84" s="230">
        <v>44384</v>
      </c>
      <c r="B84" s="128" t="s">
        <v>22</v>
      </c>
      <c r="C84" s="157" t="str">
        <f t="shared" si="3"/>
        <v>07.07.2021_BIE1</v>
      </c>
      <c r="D84" s="190">
        <f t="shared" si="4"/>
        <v>0</v>
      </c>
      <c r="E84" s="231">
        <v>4.9271567158780338E-5</v>
      </c>
      <c r="F84" s="231">
        <v>3.4476286238732949E-3</v>
      </c>
      <c r="G84" s="231">
        <v>0.10426919027511722</v>
      </c>
      <c r="H84" s="231">
        <v>2.461292991738002E-3</v>
      </c>
      <c r="I84" s="231">
        <v>1.3320965336322818E-4</v>
      </c>
      <c r="J84" s="231">
        <v>3.8171772040693955E-2</v>
      </c>
      <c r="K84" s="229">
        <v>53</v>
      </c>
      <c r="L84" s="229">
        <v>16</v>
      </c>
      <c r="M84" s="229">
        <v>19</v>
      </c>
      <c r="N84" s="229">
        <v>8.9</v>
      </c>
      <c r="O84" s="205">
        <v>2.828173950042198E-4</v>
      </c>
      <c r="P84" s="232">
        <v>71.24799999999999</v>
      </c>
      <c r="Q84" s="233"/>
      <c r="R84" s="235"/>
    </row>
    <row r="85" spans="1:18" ht="16.5" customHeight="1" x14ac:dyDescent="0.25">
      <c r="A85" s="230">
        <v>44384</v>
      </c>
      <c r="B85" s="128" t="s">
        <v>25</v>
      </c>
      <c r="C85" s="157" t="str">
        <f t="shared" si="3"/>
        <v>07.07.2021_BIE2</v>
      </c>
      <c r="D85" s="190">
        <f t="shared" si="4"/>
        <v>0</v>
      </c>
      <c r="E85" s="231">
        <v>4.8169206447651603E-5</v>
      </c>
      <c r="F85" s="231">
        <v>3.3550868872261712E-3</v>
      </c>
      <c r="G85" s="231">
        <v>9.0375668998927405E-2</v>
      </c>
      <c r="H85" s="231">
        <v>2.6526529488836922E-3</v>
      </c>
      <c r="I85" s="231">
        <v>1.9665141490381519E-4</v>
      </c>
      <c r="J85" s="231">
        <v>1.2731695358177846E-2</v>
      </c>
      <c r="K85" s="229">
        <v>45</v>
      </c>
      <c r="L85" s="229">
        <v>16</v>
      </c>
      <c r="M85" s="229">
        <v>21</v>
      </c>
      <c r="N85" s="229">
        <v>8.8000000000000007</v>
      </c>
      <c r="O85" s="205">
        <v>2.8232081466513366E-4</v>
      </c>
      <c r="P85" s="232">
        <v>66.124000000000009</v>
      </c>
      <c r="Q85" s="233"/>
      <c r="R85" s="235"/>
    </row>
    <row r="86" spans="1:18" ht="16.5" customHeight="1" x14ac:dyDescent="0.25">
      <c r="A86" s="230">
        <v>44384</v>
      </c>
      <c r="B86" s="128" t="s">
        <v>14</v>
      </c>
      <c r="C86" s="157" t="str">
        <f t="shared" si="3"/>
        <v>07.07.2021_BRA1</v>
      </c>
      <c r="D86" s="190">
        <f t="shared" si="4"/>
        <v>0</v>
      </c>
      <c r="E86" s="231">
        <v>1.518026534607185E-5</v>
      </c>
      <c r="F86" s="231">
        <v>1.089693886289243E-3</v>
      </c>
      <c r="G86" s="231">
        <v>7.4742323860783097E-2</v>
      </c>
      <c r="H86" s="231">
        <v>2.0769283197894137E-3</v>
      </c>
      <c r="I86" s="231">
        <v>1.853786751699015E-4</v>
      </c>
      <c r="J86" s="231">
        <v>4.7224395629518207E-3</v>
      </c>
      <c r="K86" s="229">
        <v>42</v>
      </c>
      <c r="L86" s="229">
        <v>22</v>
      </c>
      <c r="M86" s="229">
        <v>15</v>
      </c>
      <c r="N86" s="229">
        <v>3.7</v>
      </c>
      <c r="O86" s="205">
        <v>1.5749364434823843E-4</v>
      </c>
      <c r="P86" s="232">
        <v>80.52000000000001</v>
      </c>
      <c r="Q86" s="233"/>
      <c r="R86" s="235"/>
    </row>
    <row r="87" spans="1:18" ht="16.5" customHeight="1" x14ac:dyDescent="0.25">
      <c r="A87" s="230">
        <v>44384</v>
      </c>
      <c r="B87" s="128" t="s">
        <v>17</v>
      </c>
      <c r="C87" s="157" t="str">
        <f t="shared" si="3"/>
        <v>07.07.2021_BRA2</v>
      </c>
      <c r="D87" s="190">
        <f t="shared" si="4"/>
        <v>0</v>
      </c>
      <c r="E87" s="231">
        <v>1.6282626057200582E-5</v>
      </c>
      <c r="F87" s="231">
        <v>9.5465322222502047E-4</v>
      </c>
      <c r="G87" s="231">
        <v>8.3761359334043481E-2</v>
      </c>
      <c r="H87" s="231">
        <v>1.5374738414793577E-3</v>
      </c>
      <c r="I87" s="231">
        <v>1.1779809607340158E-4</v>
      </c>
      <c r="J87" s="231">
        <v>9.2381542928432637E-3</v>
      </c>
      <c r="K87" s="229">
        <v>48</v>
      </c>
      <c r="L87" s="229">
        <v>24</v>
      </c>
      <c r="M87" s="229">
        <v>17</v>
      </c>
      <c r="N87" s="229">
        <v>4.5</v>
      </c>
      <c r="O87" s="205">
        <v>1.2094443052379621E-4</v>
      </c>
      <c r="P87" s="232">
        <v>82.228000000000009</v>
      </c>
      <c r="Q87" s="233"/>
      <c r="R87" s="235"/>
    </row>
    <row r="88" spans="1:18" ht="16.5" customHeight="1" x14ac:dyDescent="0.25">
      <c r="A88" s="230">
        <v>44384</v>
      </c>
      <c r="B88" s="128" t="s">
        <v>30</v>
      </c>
      <c r="C88" s="157" t="str">
        <f t="shared" si="3"/>
        <v>07.07.2021_FAL1</v>
      </c>
      <c r="D88" s="190">
        <f t="shared" si="4"/>
        <v>0</v>
      </c>
      <c r="E88" s="231">
        <v>1.3144799705981706E-5</v>
      </c>
      <c r="F88" s="231">
        <v>2.2458344565123912E-3</v>
      </c>
      <c r="G88" s="231">
        <v>0.18297430423549818</v>
      </c>
      <c r="H88" s="231">
        <v>2.7135660999361316E-3</v>
      </c>
      <c r="I88" s="231">
        <v>1.6039349583319874E-4</v>
      </c>
      <c r="J88" s="231">
        <v>9.7722596258260578E-3</v>
      </c>
      <c r="K88" s="229">
        <v>194</v>
      </c>
      <c r="L88" s="229">
        <v>44</v>
      </c>
      <c r="M88" s="229">
        <v>76</v>
      </c>
      <c r="N88" s="229">
        <v>26</v>
      </c>
      <c r="O88" s="205">
        <v>1.8716271091631209E-4</v>
      </c>
      <c r="P88" s="232">
        <v>243.024</v>
      </c>
      <c r="Q88" s="233"/>
      <c r="R88" s="235"/>
    </row>
    <row r="89" spans="1:18" ht="16.5" customHeight="1" x14ac:dyDescent="0.25">
      <c r="A89" s="230">
        <v>44384</v>
      </c>
      <c r="B89" s="128" t="s">
        <v>32</v>
      </c>
      <c r="C89" s="157" t="str">
        <f t="shared" si="3"/>
        <v>07.07.2021_FAL2</v>
      </c>
      <c r="D89" s="190">
        <f t="shared" si="4"/>
        <v>0</v>
      </c>
      <c r="E89" s="231">
        <v>9.3283016308126861E-6</v>
      </c>
      <c r="F89" s="231">
        <v>1.1843833269763119E-3</v>
      </c>
      <c r="G89" s="231">
        <v>0.19308083829184261</v>
      </c>
      <c r="H89" s="231">
        <v>3.0241898321965561E-3</v>
      </c>
      <c r="I89" s="231">
        <v>1.733253079975463E-4</v>
      </c>
      <c r="J89" s="231">
        <v>1.0589642394424384E-2</v>
      </c>
      <c r="K89" s="229">
        <v>188</v>
      </c>
      <c r="L89" s="229">
        <v>44</v>
      </c>
      <c r="M89" s="229">
        <v>69</v>
      </c>
      <c r="N89" s="229">
        <v>19</v>
      </c>
      <c r="O89" s="205">
        <v>1.8431072923912812E-4</v>
      </c>
      <c r="P89" s="232">
        <v>223.99200000000002</v>
      </c>
      <c r="Q89" s="233"/>
      <c r="R89" s="235"/>
    </row>
    <row r="90" spans="1:18" ht="16.5" customHeight="1" x14ac:dyDescent="0.25">
      <c r="A90" s="230">
        <v>44384</v>
      </c>
      <c r="B90" s="128" t="s">
        <v>26</v>
      </c>
      <c r="C90" s="157" t="str">
        <f t="shared" si="3"/>
        <v>07.07.2021_GRU1</v>
      </c>
      <c r="D90" s="190">
        <f t="shared" si="4"/>
        <v>0</v>
      </c>
      <c r="E90" s="231">
        <v>2.9257620449254685E-5</v>
      </c>
      <c r="F90" s="231">
        <v>1.7900974506141871E-3</v>
      </c>
      <c r="G90" s="231">
        <v>8.8758346901864155E-2</v>
      </c>
      <c r="H90" s="231">
        <v>3.5017403415883862E-3</v>
      </c>
      <c r="I90" s="231">
        <v>1.60570383638642E-4</v>
      </c>
      <c r="J90" s="231">
        <v>3.3734718076168228E-2</v>
      </c>
      <c r="K90" s="229">
        <v>16</v>
      </c>
      <c r="L90" s="229">
        <v>5</v>
      </c>
      <c r="M90" s="229">
        <v>6.8</v>
      </c>
      <c r="N90" s="229">
        <v>1.9</v>
      </c>
      <c r="O90" s="205">
        <v>1.7308711270807965E-4</v>
      </c>
      <c r="P90" s="232">
        <v>57.339999999999996</v>
      </c>
      <c r="Q90" s="233"/>
      <c r="R90" s="235"/>
    </row>
    <row r="91" spans="1:18" ht="16.5" customHeight="1" x14ac:dyDescent="0.25">
      <c r="A91" s="230">
        <v>44384</v>
      </c>
      <c r="B91" s="128" t="s">
        <v>28</v>
      </c>
      <c r="C91" s="157" t="str">
        <f t="shared" si="3"/>
        <v>07.07.2021_GRU2</v>
      </c>
      <c r="D91" s="190">
        <f t="shared" si="4"/>
        <v>0</v>
      </c>
      <c r="E91" s="231">
        <v>1.3653666116004242E-5</v>
      </c>
      <c r="F91" s="231">
        <v>1.3636945907609993E-3</v>
      </c>
      <c r="G91" s="231">
        <v>8.9905641002894762E-2</v>
      </c>
      <c r="H91" s="231">
        <v>2.9964543145190063E-3</v>
      </c>
      <c r="I91" s="231">
        <v>1.5378067212170219E-4</v>
      </c>
      <c r="J91" s="231">
        <v>5.5371411121393826E-3</v>
      </c>
      <c r="K91" s="229">
        <v>16</v>
      </c>
      <c r="L91" s="229">
        <v>4.5999999999999996</v>
      </c>
      <c r="M91" s="229">
        <v>6.6</v>
      </c>
      <c r="N91" s="229">
        <v>2.2999999999999998</v>
      </c>
      <c r="O91" s="205">
        <v>1.5515249142786708E-4</v>
      </c>
      <c r="P91" s="232">
        <v>60.268000000000001</v>
      </c>
      <c r="Q91" s="233"/>
      <c r="R91" s="235"/>
    </row>
    <row r="92" spans="1:18" ht="16.5" customHeight="1" x14ac:dyDescent="0.25">
      <c r="A92" s="230">
        <v>44384</v>
      </c>
      <c r="B92" s="128" t="s">
        <v>0</v>
      </c>
      <c r="C92" s="157" t="str">
        <f t="shared" si="3"/>
        <v>07.07.2021_KIN1</v>
      </c>
      <c r="D92" s="190">
        <f t="shared" si="4"/>
        <v>0</v>
      </c>
      <c r="E92" s="231">
        <v>9.9223454636791672E-6</v>
      </c>
      <c r="F92" s="231">
        <v>2.3196435318874448E-3</v>
      </c>
      <c r="G92" s="231">
        <v>0.14829459101896067</v>
      </c>
      <c r="H92" s="231">
        <v>2.7355249551781293E-3</v>
      </c>
      <c r="I92" s="231">
        <v>1.9033370177760759E-4</v>
      </c>
      <c r="J92" s="231">
        <v>1.0855882840654862E-2</v>
      </c>
      <c r="K92" s="229">
        <v>39</v>
      </c>
      <c r="L92" s="229">
        <v>7.9</v>
      </c>
      <c r="M92" s="229">
        <v>9.1</v>
      </c>
      <c r="N92" s="229">
        <v>2.9</v>
      </c>
      <c r="O92" s="205">
        <v>1.5329376235413106E-4</v>
      </c>
      <c r="P92" s="232">
        <v>138.83599999999998</v>
      </c>
      <c r="Q92" s="233"/>
      <c r="R92" s="235"/>
    </row>
    <row r="93" spans="1:18" ht="16.5" customHeight="1" x14ac:dyDescent="0.25">
      <c r="A93" s="230">
        <v>44384</v>
      </c>
      <c r="B93" s="128" t="s">
        <v>2</v>
      </c>
      <c r="C93" s="157" t="str">
        <f t="shared" si="3"/>
        <v>07.07.2021_KIN2</v>
      </c>
      <c r="D93" s="190">
        <f t="shared" si="4"/>
        <v>0</v>
      </c>
      <c r="E93" s="231">
        <v>8.7348073297064877E-6</v>
      </c>
      <c r="F93" s="231">
        <v>2.4124116216948741E-3</v>
      </c>
      <c r="G93" s="231">
        <v>0.12166951534642172</v>
      </c>
      <c r="H93" s="231">
        <v>2.4389183815483992E-3</v>
      </c>
      <c r="I93" s="231">
        <v>1.1519974557008385E-4</v>
      </c>
      <c r="J93" s="231">
        <v>9.7010769991791018E-3</v>
      </c>
      <c r="K93" s="229">
        <v>40</v>
      </c>
      <c r="L93" s="229">
        <v>7.8</v>
      </c>
      <c r="M93" s="229">
        <v>8.3000000000000007</v>
      </c>
      <c r="N93" s="229">
        <v>3.1</v>
      </c>
      <c r="O93" s="205">
        <v>1.2583935952712805E-4</v>
      </c>
      <c r="P93" s="232">
        <v>132.00400000000002</v>
      </c>
      <c r="Q93" s="233"/>
      <c r="R93" s="235"/>
    </row>
    <row r="94" spans="1:18" ht="16.5" customHeight="1" x14ac:dyDescent="0.25">
      <c r="A94" s="230">
        <v>44384</v>
      </c>
      <c r="B94" s="128" t="s">
        <v>4</v>
      </c>
      <c r="C94" s="157" t="str">
        <f t="shared" si="3"/>
        <v>07.07.2021_KIN3</v>
      </c>
      <c r="D94" s="190">
        <f t="shared" si="4"/>
        <v>0</v>
      </c>
      <c r="E94" s="231">
        <v>2.3406206265755801E-5</v>
      </c>
      <c r="F94" s="231">
        <v>2.9928810463839221E-3</v>
      </c>
      <c r="G94" s="231">
        <v>0.13623537960300985</v>
      </c>
      <c r="H94" s="231">
        <v>3.0648708709856472E-3</v>
      </c>
      <c r="I94" s="231">
        <v>1.333866687013358E-4</v>
      </c>
      <c r="J94" s="231">
        <v>1.5375484089122284E-2</v>
      </c>
      <c r="K94" s="229">
        <v>47</v>
      </c>
      <c r="L94" s="229">
        <v>9.9</v>
      </c>
      <c r="M94" s="229">
        <v>9.8000000000000007</v>
      </c>
      <c r="N94" s="229">
        <v>2.8</v>
      </c>
      <c r="O94" s="205">
        <v>1.3618251576795674E-4</v>
      </c>
      <c r="P94" s="232">
        <v>162.01600000000002</v>
      </c>
      <c r="Q94" s="233"/>
      <c r="R94" s="235"/>
    </row>
    <row r="95" spans="1:18" ht="16.5" customHeight="1" x14ac:dyDescent="0.25">
      <c r="A95" s="230">
        <v>44384</v>
      </c>
      <c r="B95" s="128" t="s">
        <v>6</v>
      </c>
      <c r="C95" s="157" t="str">
        <f t="shared" si="3"/>
        <v>07.07.2021_KIN4</v>
      </c>
      <c r="D95" s="190">
        <f t="shared" si="4"/>
        <v>0</v>
      </c>
      <c r="E95" s="231">
        <v>1.3568488693160296E-5</v>
      </c>
      <c r="F95" s="231">
        <v>1.6050376322448007E-3</v>
      </c>
      <c r="G95" s="231">
        <v>0.11889513661478558</v>
      </c>
      <c r="H95" s="231">
        <v>2.4608787910145001E-3</v>
      </c>
      <c r="I95" s="231">
        <v>1.5680970043250515E-4</v>
      </c>
      <c r="J95" s="231">
        <v>1.1696671119523633E-2</v>
      </c>
      <c r="K95" s="229">
        <v>46</v>
      </c>
      <c r="L95" s="229">
        <v>10</v>
      </c>
      <c r="M95" s="229">
        <v>15</v>
      </c>
      <c r="N95" s="229">
        <v>2.9</v>
      </c>
      <c r="O95" s="205">
        <v>1.2064650070539965E-4</v>
      </c>
      <c r="P95" s="232">
        <v>158.11199999999999</v>
      </c>
      <c r="Q95" s="233"/>
      <c r="R95" s="235"/>
    </row>
    <row r="96" spans="1:18" ht="16.5" customHeight="1" x14ac:dyDescent="0.25">
      <c r="A96" s="230">
        <v>44384</v>
      </c>
      <c r="B96" s="128" t="s">
        <v>34</v>
      </c>
      <c r="C96" s="157" t="str">
        <f t="shared" si="3"/>
        <v>07.07.2021_KRE1</v>
      </c>
      <c r="D96" s="190">
        <f t="shared" si="4"/>
        <v>0</v>
      </c>
      <c r="E96" s="231">
        <v>8.5650020157788827E-6</v>
      </c>
      <c r="F96" s="231">
        <v>8.9906455664574153E-4</v>
      </c>
      <c r="G96" s="231">
        <v>0.19427084025728777</v>
      </c>
      <c r="H96" s="231">
        <v>2.8314236907934992E-3</v>
      </c>
      <c r="I96" s="231">
        <v>1.8816972752904102E-4</v>
      </c>
      <c r="J96" s="231">
        <v>4.5115064967212706E-4</v>
      </c>
      <c r="K96" s="229">
        <v>80</v>
      </c>
      <c r="L96" s="229">
        <v>16</v>
      </c>
      <c r="M96" s="229">
        <v>25</v>
      </c>
      <c r="N96" s="229">
        <v>8.4</v>
      </c>
      <c r="O96" s="205">
        <v>2.4131037528789804E-4</v>
      </c>
      <c r="P96" s="232">
        <v>251.32</v>
      </c>
      <c r="Q96" s="233"/>
      <c r="R96" s="235"/>
    </row>
    <row r="97" spans="1:18" ht="16.5" customHeight="1" x14ac:dyDescent="0.25">
      <c r="A97" s="230">
        <v>44384</v>
      </c>
      <c r="B97" s="128" t="s">
        <v>37</v>
      </c>
      <c r="C97" s="157" t="str">
        <f t="shared" si="3"/>
        <v>07.07.2021_KRE2</v>
      </c>
      <c r="D97" s="190">
        <f t="shared" si="4"/>
        <v>0</v>
      </c>
      <c r="E97" s="231">
        <v>8.1413130286002911E-6</v>
      </c>
      <c r="F97" s="231">
        <v>1.0029398572058989E-3</v>
      </c>
      <c r="G97" s="231">
        <v>0.18256680217576432</v>
      </c>
      <c r="H97" s="231">
        <v>2.9154955580956029E-3</v>
      </c>
      <c r="I97" s="231">
        <v>1.4598396268711256E-4</v>
      </c>
      <c r="J97" s="231">
        <v>1.4460479942579412E-3</v>
      </c>
      <c r="K97" s="229">
        <v>79</v>
      </c>
      <c r="L97" s="229">
        <v>16</v>
      </c>
      <c r="M97" s="229">
        <v>25</v>
      </c>
      <c r="N97" s="229">
        <v>6.7</v>
      </c>
      <c r="O97" s="205">
        <v>2.7775130113761914E-4</v>
      </c>
      <c r="P97" s="232">
        <v>231.06799999999998</v>
      </c>
      <c r="Q97" s="233"/>
      <c r="R97" s="235"/>
    </row>
    <row r="98" spans="1:18" ht="16.5" customHeight="1" x14ac:dyDescent="0.25">
      <c r="A98" s="230">
        <v>44384</v>
      </c>
      <c r="B98" s="128" t="s">
        <v>18</v>
      </c>
      <c r="C98" s="157" t="str">
        <f t="shared" si="3"/>
        <v>07.07.2021_ORB1</v>
      </c>
      <c r="D98" s="190">
        <f t="shared" si="4"/>
        <v>0</v>
      </c>
      <c r="E98" s="231">
        <v>2.7815649110270736E-5</v>
      </c>
      <c r="F98" s="231">
        <v>4.784169807955322E-3</v>
      </c>
      <c r="G98" s="231">
        <v>5.7850172146617973E-2</v>
      </c>
      <c r="H98" s="231">
        <v>1.7637564371118001E-3</v>
      </c>
      <c r="I98" s="231">
        <v>1.4986172087911602E-4</v>
      </c>
      <c r="J98" s="231">
        <v>2.8511908307454582E-2</v>
      </c>
      <c r="K98" s="229">
        <v>9.4</v>
      </c>
      <c r="L98" s="229">
        <v>1.5</v>
      </c>
      <c r="M98" s="229">
        <v>5.6</v>
      </c>
      <c r="N98" s="229">
        <v>2.9</v>
      </c>
      <c r="O98" s="205">
        <v>6.7201788916744455E-5</v>
      </c>
      <c r="P98" s="232">
        <v>22.936</v>
      </c>
      <c r="Q98" s="233"/>
      <c r="R98" s="235"/>
    </row>
    <row r="99" spans="1:18" ht="16.5" customHeight="1" x14ac:dyDescent="0.25">
      <c r="A99" s="230">
        <v>44384</v>
      </c>
      <c r="B99" s="128" t="s">
        <v>21</v>
      </c>
      <c r="C99" s="157" t="str">
        <f t="shared" si="3"/>
        <v>07.07.2021_ORB2</v>
      </c>
      <c r="D99" s="190">
        <f t="shared" si="4"/>
        <v>0</v>
      </c>
      <c r="E99" s="231">
        <v>2.3151773060744534E-5</v>
      </c>
      <c r="F99" s="231">
        <v>1.3927832149997017E-3</v>
      </c>
      <c r="G99" s="231">
        <v>8.3229697295442676E-2</v>
      </c>
      <c r="H99" s="231">
        <v>1.8032298437727083E-3</v>
      </c>
      <c r="I99" s="231">
        <v>1.1836803955034901E-4</v>
      </c>
      <c r="J99" s="231">
        <v>3.7743957242743882E-2</v>
      </c>
      <c r="K99" s="229">
        <v>16</v>
      </c>
      <c r="L99" s="229">
        <v>2.2000000000000002</v>
      </c>
      <c r="M99" s="229">
        <v>11</v>
      </c>
      <c r="N99" s="229">
        <v>3.9</v>
      </c>
      <c r="O99" s="205">
        <v>9.9563254883465688E-5</v>
      </c>
      <c r="P99" s="232">
        <v>34.647999999999996</v>
      </c>
      <c r="Q99" s="233"/>
      <c r="R99" s="235"/>
    </row>
    <row r="100" spans="1:18" ht="16.5" customHeight="1" x14ac:dyDescent="0.25">
      <c r="A100" s="230">
        <v>44384</v>
      </c>
      <c r="B100" s="128" t="s">
        <v>10</v>
      </c>
      <c r="C100" s="157" t="str">
        <f t="shared" si="3"/>
        <v>07.07.2021_SAL1</v>
      </c>
      <c r="D100" s="190">
        <f t="shared" si="4"/>
        <v>0</v>
      </c>
      <c r="E100" s="231">
        <v>1.6791492467223118E-5</v>
      </c>
      <c r="F100" s="231">
        <v>1.9304584335544227E-3</v>
      </c>
      <c r="G100" s="231">
        <v>9.877744961394487E-2</v>
      </c>
      <c r="H100" s="231">
        <v>3.5110435385140889E-3</v>
      </c>
      <c r="I100" s="231">
        <v>1.4167437889364476E-4</v>
      </c>
      <c r="J100" s="231">
        <v>3.4050173000872118E-2</v>
      </c>
      <c r="K100" s="229">
        <v>17</v>
      </c>
      <c r="L100" s="229">
        <v>6.8</v>
      </c>
      <c r="M100" s="229">
        <v>7.1</v>
      </c>
      <c r="N100" s="229">
        <v>2.2999999999999998</v>
      </c>
      <c r="O100" s="205">
        <v>1.8381405697476629E-4</v>
      </c>
      <c r="P100" s="232">
        <v>79.543999999999997</v>
      </c>
      <c r="Q100" s="233"/>
      <c r="R100" s="235"/>
    </row>
    <row r="101" spans="1:18" ht="16.5" customHeight="1" x14ac:dyDescent="0.25">
      <c r="A101" s="230">
        <v>44384</v>
      </c>
      <c r="B101" s="128" t="s">
        <v>12</v>
      </c>
      <c r="C101" s="157" t="str">
        <f t="shared" si="3"/>
        <v>07.07.2021_SAL2</v>
      </c>
      <c r="D101" s="190">
        <f t="shared" si="4"/>
        <v>0</v>
      </c>
      <c r="E101" s="231">
        <v>1.0346034450857757E-5</v>
      </c>
      <c r="F101" s="231">
        <v>2.0613790622575506E-3</v>
      </c>
      <c r="G101" s="231">
        <v>0.10440580134805014</v>
      </c>
      <c r="H101" s="231">
        <v>2.6846365495913015E-3</v>
      </c>
      <c r="I101" s="231">
        <v>1.0968765628452897E-4</v>
      </c>
      <c r="J101" s="231">
        <v>8.6836495571051622E-3</v>
      </c>
      <c r="K101" s="229">
        <v>18</v>
      </c>
      <c r="L101" s="229">
        <v>6.6</v>
      </c>
      <c r="M101" s="229">
        <v>6.9</v>
      </c>
      <c r="N101" s="229">
        <v>2.2000000000000002</v>
      </c>
      <c r="O101" s="205">
        <v>1.7592493789281283E-4</v>
      </c>
      <c r="P101" s="232">
        <v>80.27600000000001</v>
      </c>
      <c r="Q101" s="233"/>
      <c r="R101" s="235"/>
    </row>
    <row r="102" spans="1:18" ht="16.5" customHeight="1" x14ac:dyDescent="0.25">
      <c r="A102" s="230">
        <v>44384</v>
      </c>
      <c r="B102" s="128" t="s">
        <v>7</v>
      </c>
      <c r="C102" s="157" t="str">
        <f t="shared" si="3"/>
        <v>07.07.2021_STE1</v>
      </c>
      <c r="D102" s="190">
        <f t="shared" si="4"/>
        <v>0</v>
      </c>
      <c r="E102" s="231">
        <v>1.0685095546952688E-5</v>
      </c>
      <c r="F102" s="231">
        <v>2.0681170452510815E-3</v>
      </c>
      <c r="G102" s="231">
        <v>0.12519036727275179</v>
      </c>
      <c r="H102" s="231">
        <v>2.7372101226620189E-3</v>
      </c>
      <c r="I102" s="231">
        <v>1.1897892101255043E-4</v>
      </c>
      <c r="J102" s="231">
        <v>1.7418987423204441E-2</v>
      </c>
      <c r="K102" s="229">
        <v>35</v>
      </c>
      <c r="L102" s="229">
        <v>8.3000000000000007</v>
      </c>
      <c r="M102" s="229">
        <v>8.4</v>
      </c>
      <c r="N102" s="229">
        <v>2.2000000000000002</v>
      </c>
      <c r="O102" s="205">
        <v>1.3633860488601824E-4</v>
      </c>
      <c r="P102" s="232">
        <v>138.83599999999998</v>
      </c>
      <c r="Q102" s="233"/>
      <c r="R102" s="235"/>
    </row>
    <row r="103" spans="1:18" ht="16.5" customHeight="1" x14ac:dyDescent="0.25">
      <c r="A103" s="230">
        <v>44384</v>
      </c>
      <c r="B103" s="128" t="s">
        <v>9</v>
      </c>
      <c r="C103" s="157" t="str">
        <f t="shared" si="3"/>
        <v>07.07.2021_STE2</v>
      </c>
      <c r="D103" s="190">
        <f t="shared" si="4"/>
        <v>0</v>
      </c>
      <c r="E103" s="231">
        <v>1.4162532526026777E-5</v>
      </c>
      <c r="F103" s="231">
        <v>4.9002543124918932E-3</v>
      </c>
      <c r="G103" s="231">
        <v>0.13674117350358991</v>
      </c>
      <c r="H103" s="231">
        <v>3.0584464856550884E-3</v>
      </c>
      <c r="I103" s="231">
        <v>1.2881959645856018E-4</v>
      </c>
      <c r="J103" s="231">
        <v>2.0332138382340444E-2</v>
      </c>
      <c r="K103" s="229">
        <v>6.8</v>
      </c>
      <c r="L103" s="229">
        <v>1.6</v>
      </c>
      <c r="M103" s="229">
        <v>1.8</v>
      </c>
      <c r="N103" s="229">
        <v>0.5</v>
      </c>
      <c r="O103" s="205">
        <v>1.6725546514582745E-4</v>
      </c>
      <c r="P103" s="232">
        <v>138.34799999999998</v>
      </c>
      <c r="Q103" s="233"/>
      <c r="R103" s="235"/>
    </row>
    <row r="104" spans="1:18" ht="16.5" customHeight="1" x14ac:dyDescent="0.25">
      <c r="A104" s="230">
        <v>44412</v>
      </c>
      <c r="B104" s="128" t="s">
        <v>22</v>
      </c>
      <c r="C104" s="157" t="str">
        <f t="shared" si="3"/>
        <v>04.08.2021_BIE1</v>
      </c>
      <c r="D104" s="190">
        <f t="shared" si="4"/>
        <v>0</v>
      </c>
      <c r="E104" s="231">
        <v>2.4598931387045499E-5</v>
      </c>
      <c r="F104" s="231">
        <v>2.1366414128046176E-3</v>
      </c>
      <c r="G104" s="231">
        <v>5.9829819576673361E-2</v>
      </c>
      <c r="H104" s="231">
        <v>1.4750463569328427E-3</v>
      </c>
      <c r="I104" s="231">
        <v>1.4214349809312131E-4</v>
      </c>
      <c r="J104" s="231">
        <v>6.6488778332726992E-3</v>
      </c>
      <c r="K104" s="229">
        <v>12</v>
      </c>
      <c r="L104" s="229">
        <v>2.7</v>
      </c>
      <c r="M104" s="229">
        <v>4.2</v>
      </c>
      <c r="N104" s="229">
        <v>2.6</v>
      </c>
      <c r="O104" s="205">
        <v>1.2442796100927864E-4</v>
      </c>
      <c r="P104" s="232">
        <v>66.612000000000009</v>
      </c>
      <c r="Q104" s="233"/>
      <c r="R104" s="235"/>
    </row>
    <row r="105" spans="1:18" ht="16.5" customHeight="1" x14ac:dyDescent="0.25">
      <c r="A105" s="230">
        <v>44412</v>
      </c>
      <c r="B105" s="128" t="s">
        <v>25</v>
      </c>
      <c r="C105" s="157" t="str">
        <f t="shared" si="3"/>
        <v>04.08.2021_BIE2</v>
      </c>
      <c r="D105" s="190">
        <f t="shared" si="4"/>
        <v>0</v>
      </c>
      <c r="E105" s="231">
        <v>2.444306316331181E-5</v>
      </c>
      <c r="F105" s="231">
        <v>1.6660858962567065E-3</v>
      </c>
      <c r="G105" s="231">
        <v>6.1334828046401967E-2</v>
      </c>
      <c r="H105" s="231">
        <v>1.5793031492096913E-3</v>
      </c>
      <c r="I105" s="231">
        <v>1.1624582410437306E-4</v>
      </c>
      <c r="J105" s="231">
        <v>8.3132277805809257E-3</v>
      </c>
      <c r="K105" s="229">
        <v>14</v>
      </c>
      <c r="L105" s="229">
        <v>3.3</v>
      </c>
      <c r="M105" s="229">
        <v>5.5</v>
      </c>
      <c r="N105" s="229">
        <v>2.5</v>
      </c>
      <c r="O105" s="205">
        <v>1.4479363391832885E-4</v>
      </c>
      <c r="P105" s="232">
        <v>71.003999999999991</v>
      </c>
      <c r="Q105" s="233"/>
      <c r="R105" s="235"/>
    </row>
    <row r="106" spans="1:18" ht="16.5" customHeight="1" x14ac:dyDescent="0.25">
      <c r="A106" s="230">
        <v>44412</v>
      </c>
      <c r="B106" s="128" t="s">
        <v>14</v>
      </c>
      <c r="C106" s="157" t="str">
        <f t="shared" si="3"/>
        <v>04.08.2021_BRA1</v>
      </c>
      <c r="D106" s="190">
        <f t="shared" si="4"/>
        <v>0</v>
      </c>
      <c r="E106" s="231">
        <v>6.8501309977459272E-6</v>
      </c>
      <c r="F106" s="231">
        <v>3.6466483732209816E-4</v>
      </c>
      <c r="G106" s="231">
        <v>3.5187603314523273E-2</v>
      </c>
      <c r="H106" s="231">
        <v>8.0845201910347757E-4</v>
      </c>
      <c r="I106" s="231">
        <v>5.0187202421694036E-5</v>
      </c>
      <c r="J106" s="231">
        <v>3.82304585877606E-3</v>
      </c>
      <c r="K106" s="229">
        <v>29</v>
      </c>
      <c r="L106" s="229">
        <v>9.6</v>
      </c>
      <c r="M106" s="229">
        <v>12</v>
      </c>
      <c r="N106" s="229">
        <v>1.7</v>
      </c>
      <c r="O106" s="205">
        <v>8.1273139471883674E-5</v>
      </c>
      <c r="P106" s="232">
        <v>88.084000000000003</v>
      </c>
      <c r="Q106" s="233"/>
      <c r="R106" s="235"/>
    </row>
    <row r="107" spans="1:18" ht="16.5" customHeight="1" x14ac:dyDescent="0.25">
      <c r="A107" s="230">
        <v>44412</v>
      </c>
      <c r="B107" s="128" t="s">
        <v>17</v>
      </c>
      <c r="C107" s="157" t="str">
        <f t="shared" si="3"/>
        <v>04.08.2021_BRA2</v>
      </c>
      <c r="D107" s="190">
        <f t="shared" si="4"/>
        <v>0</v>
      </c>
      <c r="E107" s="231">
        <v>1.4089680340871813E-5</v>
      </c>
      <c r="F107" s="231">
        <v>5.000311593215237E-4</v>
      </c>
      <c r="G107" s="231">
        <v>5.5810387441997927E-2</v>
      </c>
      <c r="H107" s="231">
        <v>1.1664748797195778E-3</v>
      </c>
      <c r="I107" s="231">
        <v>7.6677478819947787E-5</v>
      </c>
      <c r="J107" s="231">
        <v>7.8987191243985733E-3</v>
      </c>
      <c r="K107" s="229">
        <v>35</v>
      </c>
      <c r="L107" s="229">
        <v>12</v>
      </c>
      <c r="M107" s="229">
        <v>14</v>
      </c>
      <c r="N107" s="229">
        <v>2.2000000000000002</v>
      </c>
      <c r="O107" s="205">
        <v>6.9901439243201185E-5</v>
      </c>
      <c r="P107" s="232">
        <v>88.816000000000003</v>
      </c>
      <c r="Q107" s="233"/>
      <c r="R107" s="235"/>
    </row>
    <row r="108" spans="1:18" ht="16.5" customHeight="1" x14ac:dyDescent="0.25">
      <c r="A108" s="230">
        <v>44412</v>
      </c>
      <c r="B108" s="128" t="s">
        <v>30</v>
      </c>
      <c r="C108" s="157" t="str">
        <f t="shared" si="3"/>
        <v>04.08.2021_FAL1</v>
      </c>
      <c r="D108" s="190">
        <f t="shared" si="4"/>
        <v>0</v>
      </c>
      <c r="E108" s="231">
        <v>1.6814095474805964E-5</v>
      </c>
      <c r="F108" s="231">
        <v>1.2540533049031645E-3</v>
      </c>
      <c r="G108" s="231">
        <v>0.14933670878130789</v>
      </c>
      <c r="H108" s="231">
        <v>2.5040091594067068E-3</v>
      </c>
      <c r="I108" s="231">
        <v>1.0337337898799272E-4</v>
      </c>
      <c r="J108" s="231">
        <v>8.0033432447152164E-3</v>
      </c>
      <c r="K108" s="229">
        <v>191</v>
      </c>
      <c r="L108" s="229">
        <v>23</v>
      </c>
      <c r="M108" s="229">
        <v>77</v>
      </c>
      <c r="N108" s="229">
        <v>16</v>
      </c>
      <c r="O108" s="205">
        <v>1.796852761683976E-4</v>
      </c>
      <c r="P108" s="232">
        <v>281.57599999999996</v>
      </c>
      <c r="Q108" s="233"/>
      <c r="R108" s="235"/>
    </row>
    <row r="109" spans="1:18" ht="16.5" customHeight="1" x14ac:dyDescent="0.25">
      <c r="A109" s="230">
        <v>44412</v>
      </c>
      <c r="B109" s="128" t="s">
        <v>32</v>
      </c>
      <c r="C109" s="157" t="str">
        <f t="shared" si="3"/>
        <v>04.08.2021_FAL2</v>
      </c>
      <c r="D109" s="190">
        <f t="shared" si="4"/>
        <v>0</v>
      </c>
      <c r="E109" s="231">
        <v>1.1287583309025082E-5</v>
      </c>
      <c r="F109" s="231">
        <v>1.3737757584664115E-3</v>
      </c>
      <c r="G109" s="231">
        <v>0.15516108131674672</v>
      </c>
      <c r="H109" s="231">
        <v>2.248901157026504E-3</v>
      </c>
      <c r="I109" s="231">
        <v>9.1268051733805425E-5</v>
      </c>
      <c r="J109" s="231">
        <v>8.067689917289983E-3</v>
      </c>
      <c r="K109" s="229">
        <v>182</v>
      </c>
      <c r="L109" s="229">
        <v>22</v>
      </c>
      <c r="M109" s="229">
        <v>109</v>
      </c>
      <c r="N109" s="229">
        <v>16</v>
      </c>
      <c r="O109" s="205">
        <v>1.6645791575434647E-4</v>
      </c>
      <c r="P109" s="232">
        <v>274.988</v>
      </c>
      <c r="Q109" s="233"/>
      <c r="R109" s="235"/>
    </row>
    <row r="110" spans="1:18" ht="16.5" customHeight="1" x14ac:dyDescent="0.25">
      <c r="A110" s="230">
        <v>44412</v>
      </c>
      <c r="B110" s="128" t="s">
        <v>26</v>
      </c>
      <c r="C110" s="157" t="str">
        <f t="shared" si="3"/>
        <v>04.08.2021_GRU1</v>
      </c>
      <c r="D110" s="190">
        <f t="shared" si="4"/>
        <v>0</v>
      </c>
      <c r="E110" s="231">
        <v>1.7047645596452235E-5</v>
      </c>
      <c r="F110" s="231">
        <v>1.1187051557671934E-3</v>
      </c>
      <c r="G110" s="231">
        <v>5.4875383361599313E-2</v>
      </c>
      <c r="H110" s="231">
        <v>2.130701618649073E-3</v>
      </c>
      <c r="I110" s="231">
        <v>1.2111582011562376E-4</v>
      </c>
      <c r="J110" s="231">
        <v>7.5548980174966066E-3</v>
      </c>
      <c r="K110" s="229">
        <v>27</v>
      </c>
      <c r="L110" s="229">
        <v>6.3</v>
      </c>
      <c r="M110" s="229">
        <v>16</v>
      </c>
      <c r="N110" s="229">
        <v>4.7</v>
      </c>
      <c r="O110" s="205">
        <v>1.0957914749842275E-4</v>
      </c>
      <c r="P110" s="232">
        <v>51.728000000000002</v>
      </c>
      <c r="Q110" s="233"/>
      <c r="R110" s="235"/>
    </row>
    <row r="111" spans="1:18" ht="16.5" customHeight="1" x14ac:dyDescent="0.25">
      <c r="A111" s="230">
        <v>44412</v>
      </c>
      <c r="B111" s="128" t="s">
        <v>28</v>
      </c>
      <c r="C111" s="157" t="str">
        <f t="shared" si="3"/>
        <v>04.08.2021_GRU2</v>
      </c>
      <c r="D111" s="190">
        <f t="shared" si="4"/>
        <v>0</v>
      </c>
      <c r="E111" s="231">
        <v>9.1079503162960563E-6</v>
      </c>
      <c r="F111" s="231">
        <v>6.9752308397647554E-4</v>
      </c>
      <c r="G111" s="231">
        <v>6.2153893726215596E-2</v>
      </c>
      <c r="H111" s="231">
        <v>1.624289988325581E-3</v>
      </c>
      <c r="I111" s="231">
        <v>6.2139084040806468E-5</v>
      </c>
      <c r="J111" s="231">
        <v>5.931105922672931E-3</v>
      </c>
      <c r="K111" s="229">
        <v>34</v>
      </c>
      <c r="L111" s="229">
        <v>5</v>
      </c>
      <c r="M111" s="229">
        <v>14</v>
      </c>
      <c r="N111" s="229">
        <v>3.9</v>
      </c>
      <c r="O111" s="205">
        <v>1.2037823872673474E-4</v>
      </c>
      <c r="P111" s="232">
        <v>70.271999999999991</v>
      </c>
      <c r="Q111" s="233"/>
      <c r="R111" s="235"/>
    </row>
    <row r="112" spans="1:18" ht="16.5" customHeight="1" x14ac:dyDescent="0.25">
      <c r="A112" s="230">
        <v>44412</v>
      </c>
      <c r="B112" s="128" t="s">
        <v>0</v>
      </c>
      <c r="C112" s="157" t="str">
        <f t="shared" si="3"/>
        <v>04.08.2021_KIN1</v>
      </c>
      <c r="D112" s="190">
        <f t="shared" si="4"/>
        <v>0</v>
      </c>
      <c r="E112" s="231">
        <v>8.4072999513572424E-6</v>
      </c>
      <c r="F112" s="231">
        <v>6.2608110723980364E-4</v>
      </c>
      <c r="G112" s="231">
        <v>9.5968314088868037E-2</v>
      </c>
      <c r="H112" s="231">
        <v>1.4798067094132343E-3</v>
      </c>
      <c r="I112" s="231">
        <v>6.6343450316585058E-5</v>
      </c>
      <c r="J112" s="231">
        <v>8.7316565779440927E-3</v>
      </c>
      <c r="K112" s="229">
        <v>96</v>
      </c>
      <c r="L112" s="229">
        <v>11</v>
      </c>
      <c r="M112" s="229">
        <v>9.5</v>
      </c>
      <c r="N112" s="229">
        <v>2.4</v>
      </c>
      <c r="O112" s="205">
        <v>7.173145017829626E-5</v>
      </c>
      <c r="P112" s="232">
        <v>232.53199999999998</v>
      </c>
      <c r="Q112" s="233"/>
      <c r="R112" s="235"/>
    </row>
    <row r="113" spans="1:18" ht="16.5" customHeight="1" x14ac:dyDescent="0.25">
      <c r="A113" s="230">
        <v>44412</v>
      </c>
      <c r="B113" s="128" t="s">
        <v>2</v>
      </c>
      <c r="C113" s="157" t="str">
        <f t="shared" si="3"/>
        <v>04.08.2021_KIN2</v>
      </c>
      <c r="D113" s="190">
        <f t="shared" si="4"/>
        <v>0</v>
      </c>
      <c r="E113" s="231">
        <v>8.874400194649785E-6</v>
      </c>
      <c r="F113" s="231">
        <v>5.6906615883739009E-4</v>
      </c>
      <c r="G113" s="231">
        <v>0.10787815812809134</v>
      </c>
      <c r="H113" s="231">
        <v>1.823040188658982E-3</v>
      </c>
      <c r="I113" s="231">
        <v>9.0808707647211813E-5</v>
      </c>
      <c r="J113" s="231">
        <v>8.1675782363245849E-3</v>
      </c>
      <c r="K113" s="229">
        <v>79</v>
      </c>
      <c r="L113" s="229">
        <v>10</v>
      </c>
      <c r="M113" s="229">
        <v>9.3000000000000007</v>
      </c>
      <c r="N113" s="229">
        <v>2.9</v>
      </c>
      <c r="O113" s="205">
        <v>7.8636312447854181E-5</v>
      </c>
      <c r="P113" s="232">
        <v>243.268</v>
      </c>
      <c r="Q113" s="233"/>
      <c r="R113" s="235"/>
    </row>
    <row r="114" spans="1:18" ht="16.5" customHeight="1" x14ac:dyDescent="0.25">
      <c r="A114" s="230">
        <v>44412</v>
      </c>
      <c r="B114" s="128" t="s">
        <v>4</v>
      </c>
      <c r="C114" s="157" t="str">
        <f t="shared" si="3"/>
        <v>04.08.2021_KIN3</v>
      </c>
      <c r="D114" s="190">
        <f t="shared" si="4"/>
        <v>0</v>
      </c>
      <c r="E114" s="231">
        <v>2.4287194939578121E-5</v>
      </c>
      <c r="F114" s="231">
        <v>6.9729425424685512E-4</v>
      </c>
      <c r="G114" s="231">
        <v>0.10652232752726758</v>
      </c>
      <c r="H114" s="231">
        <v>1.8106385244097704E-3</v>
      </c>
      <c r="I114" s="231">
        <v>9.3533222596944973E-5</v>
      </c>
      <c r="J114" s="231">
        <v>7.6652952985127639E-3</v>
      </c>
      <c r="K114" s="229">
        <v>70</v>
      </c>
      <c r="L114" s="229">
        <v>11</v>
      </c>
      <c r="M114" s="229">
        <v>13</v>
      </c>
      <c r="N114" s="229">
        <v>2.9</v>
      </c>
      <c r="O114" s="205">
        <v>8.9863367724174031E-5</v>
      </c>
      <c r="P114" s="232">
        <v>226.18800000000002</v>
      </c>
      <c r="Q114" s="233"/>
      <c r="R114" s="235"/>
    </row>
    <row r="115" spans="1:18" ht="16.5" customHeight="1" x14ac:dyDescent="0.25">
      <c r="A115" s="230">
        <v>44412</v>
      </c>
      <c r="B115" s="128" t="s">
        <v>6</v>
      </c>
      <c r="C115" s="157" t="str">
        <f t="shared" si="3"/>
        <v>04.08.2021_KIN4</v>
      </c>
      <c r="D115" s="190">
        <f t="shared" si="4"/>
        <v>0</v>
      </c>
      <c r="E115" s="231">
        <v>1.5958081314041982E-5</v>
      </c>
      <c r="F115" s="231">
        <v>7.8642658636953714E-4</v>
      </c>
      <c r="G115" s="231">
        <v>0.10572242084597024</v>
      </c>
      <c r="H115" s="231">
        <v>1.7866081362082429E-3</v>
      </c>
      <c r="I115" s="231">
        <v>7.213213450102297E-5</v>
      </c>
      <c r="J115" s="231">
        <v>6.5444153255417355E-3</v>
      </c>
      <c r="K115" s="229">
        <v>97</v>
      </c>
      <c r="L115" s="229">
        <v>15</v>
      </c>
      <c r="M115" s="229">
        <v>43</v>
      </c>
      <c r="N115" s="229">
        <v>3.7</v>
      </c>
      <c r="O115" s="205">
        <v>1.0241442889002728E-4</v>
      </c>
      <c r="P115" s="232">
        <v>237.16800000000001</v>
      </c>
      <c r="Q115" s="233"/>
      <c r="R115" s="235"/>
    </row>
    <row r="116" spans="1:18" ht="16.5" customHeight="1" x14ac:dyDescent="0.25">
      <c r="A116" s="230">
        <v>44412</v>
      </c>
      <c r="B116" s="128" t="s">
        <v>34</v>
      </c>
      <c r="C116" s="157" t="str">
        <f t="shared" si="3"/>
        <v>04.08.2021_KRE1</v>
      </c>
      <c r="D116" s="190">
        <f t="shared" si="4"/>
        <v>0</v>
      </c>
      <c r="E116" s="231">
        <v>1.4089680340871813E-5</v>
      </c>
      <c r="F116" s="231">
        <v>8.9989201178298248E-4</v>
      </c>
      <c r="G116" s="231">
        <v>0.1660612569455947</v>
      </c>
      <c r="H116" s="231">
        <v>2.9111293247885283E-3</v>
      </c>
      <c r="I116" s="231">
        <v>1.258824526760728E-4</v>
      </c>
      <c r="J116" s="231">
        <v>6.6818785707465902E-3</v>
      </c>
      <c r="K116" s="229">
        <v>61</v>
      </c>
      <c r="L116" s="229">
        <v>8.5</v>
      </c>
      <c r="M116" s="229">
        <v>49</v>
      </c>
      <c r="N116" s="229">
        <v>7.6</v>
      </c>
      <c r="O116" s="205">
        <v>2.6908939616882021E-4</v>
      </c>
      <c r="P116" s="232">
        <v>304.26800000000003</v>
      </c>
      <c r="Q116" s="233"/>
      <c r="R116" s="235"/>
    </row>
    <row r="117" spans="1:18" ht="16.5" customHeight="1" x14ac:dyDescent="0.25">
      <c r="A117" s="230">
        <v>44412</v>
      </c>
      <c r="B117" s="128" t="s">
        <v>37</v>
      </c>
      <c r="C117" s="157" t="str">
        <f t="shared" si="3"/>
        <v>04.08.2021_KRE2</v>
      </c>
      <c r="D117" s="190">
        <f t="shared" si="4"/>
        <v>0</v>
      </c>
      <c r="E117" s="231">
        <v>9.0297639904749512E-6</v>
      </c>
      <c r="F117" s="231">
        <v>1.3880329261585854E-3</v>
      </c>
      <c r="G117" s="231">
        <v>0.15068424018422968</v>
      </c>
      <c r="H117" s="231">
        <v>2.8339960529700516E-3</v>
      </c>
      <c r="I117" s="231">
        <v>9.2187512099261152E-5</v>
      </c>
      <c r="J117" s="231">
        <v>9.6470268099667841E-3</v>
      </c>
      <c r="K117" s="229">
        <v>64</v>
      </c>
      <c r="L117" s="229">
        <v>6.8</v>
      </c>
      <c r="M117" s="229">
        <v>31</v>
      </c>
      <c r="N117" s="229">
        <v>5.7</v>
      </c>
      <c r="O117" s="205">
        <v>2.8481112514800415E-4</v>
      </c>
      <c r="P117" s="232">
        <v>243.756</v>
      </c>
      <c r="Q117" s="233"/>
      <c r="R117" s="235"/>
    </row>
    <row r="118" spans="1:18" ht="16.5" customHeight="1" x14ac:dyDescent="0.25">
      <c r="A118" s="230">
        <v>44412</v>
      </c>
      <c r="B118" s="128" t="s">
        <v>18</v>
      </c>
      <c r="C118" s="157" t="str">
        <f t="shared" si="3"/>
        <v>04.08.2021_ORB1</v>
      </c>
      <c r="D118" s="190">
        <f t="shared" si="4"/>
        <v>0</v>
      </c>
      <c r="E118" s="231">
        <v>1.4245548564605502E-5</v>
      </c>
      <c r="F118" s="231">
        <v>6.5630628791222168E-4</v>
      </c>
      <c r="G118" s="231">
        <v>3.4807131892844061E-2</v>
      </c>
      <c r="H118" s="231">
        <v>1.2755934836022639E-3</v>
      </c>
      <c r="I118" s="231">
        <v>8.3420041082381594E-5</v>
      </c>
      <c r="J118" s="231">
        <v>9.4972602886880964E-3</v>
      </c>
      <c r="K118" s="229">
        <v>5</v>
      </c>
      <c r="L118" s="229">
        <v>0.6</v>
      </c>
      <c r="M118" s="229">
        <v>3.8</v>
      </c>
      <c r="N118" s="229">
        <v>1.4</v>
      </c>
      <c r="O118" s="205">
        <v>4.3113362257444513E-5</v>
      </c>
      <c r="P118" s="232">
        <v>15.372</v>
      </c>
      <c r="Q118" s="233"/>
      <c r="R118" s="235"/>
    </row>
    <row r="119" spans="1:18" ht="16.5" customHeight="1" x14ac:dyDescent="0.25">
      <c r="A119" s="230">
        <v>44412</v>
      </c>
      <c r="B119" s="128" t="s">
        <v>21</v>
      </c>
      <c r="C119" s="157" t="str">
        <f t="shared" si="3"/>
        <v>04.08.2021_ORB2</v>
      </c>
      <c r="D119" s="190">
        <f t="shared" si="4"/>
        <v>0</v>
      </c>
      <c r="E119" s="231">
        <v>1.1054033187378811E-5</v>
      </c>
      <c r="F119" s="231">
        <v>5.5870503054499475E-4</v>
      </c>
      <c r="G119" s="231">
        <v>3.8929204364685235E-2</v>
      </c>
      <c r="H119" s="231">
        <v>1.2158487977090657E-3</v>
      </c>
      <c r="I119" s="231">
        <v>5.9976283809837634E-5</v>
      </c>
      <c r="J119" s="231">
        <v>7.3035386478608596E-3</v>
      </c>
      <c r="K119" s="229">
        <v>22</v>
      </c>
      <c r="L119" s="229">
        <v>2.8</v>
      </c>
      <c r="M119" s="229">
        <v>26</v>
      </c>
      <c r="N119" s="229">
        <v>5.9</v>
      </c>
      <c r="O119" s="205">
        <v>4.9148336511165705E-5</v>
      </c>
      <c r="P119" s="232">
        <v>19.763999999999999</v>
      </c>
      <c r="Q119" s="233"/>
      <c r="R119" s="235"/>
    </row>
    <row r="120" spans="1:18" ht="16.5" customHeight="1" x14ac:dyDescent="0.25">
      <c r="A120" s="230">
        <v>44412</v>
      </c>
      <c r="B120" s="128" t="s">
        <v>10</v>
      </c>
      <c r="C120" s="157" t="str">
        <f t="shared" si="3"/>
        <v>04.08.2021_SAL1</v>
      </c>
      <c r="D120" s="190">
        <f t="shared" si="4"/>
        <v>0</v>
      </c>
      <c r="E120" s="231">
        <v>1.2610697713081603E-5</v>
      </c>
      <c r="F120" s="231">
        <v>1.5173795798574107E-3</v>
      </c>
      <c r="G120" s="231">
        <v>6.8116444919352856E-2</v>
      </c>
      <c r="H120" s="231">
        <v>2.1770722094184292E-3</v>
      </c>
      <c r="I120" s="231">
        <v>9.3447729881500672E-5</v>
      </c>
      <c r="J120" s="231">
        <v>8.412027631944461E-3</v>
      </c>
      <c r="K120" s="229">
        <v>27</v>
      </c>
      <c r="L120" s="229">
        <v>8.4</v>
      </c>
      <c r="M120" s="229">
        <v>14</v>
      </c>
      <c r="N120" s="229">
        <v>5.4</v>
      </c>
      <c r="O120" s="205">
        <v>2.011558010449713E-4</v>
      </c>
      <c r="P120" s="232">
        <v>89.548000000000002</v>
      </c>
      <c r="Q120" s="233"/>
      <c r="R120" s="235"/>
    </row>
    <row r="121" spans="1:18" ht="16.5" customHeight="1" x14ac:dyDescent="0.25">
      <c r="A121" s="230">
        <v>44412</v>
      </c>
      <c r="B121" s="128" t="s">
        <v>12</v>
      </c>
      <c r="C121" s="157" t="str">
        <f t="shared" si="3"/>
        <v>04.08.2021_SAL2</v>
      </c>
      <c r="D121" s="190">
        <f t="shared" si="4"/>
        <v>0</v>
      </c>
      <c r="E121" s="231">
        <v>6.772449099833345E-6</v>
      </c>
      <c r="F121" s="231">
        <v>9.3504315107585342E-4</v>
      </c>
      <c r="G121" s="231">
        <v>5.9023130143302537E-2</v>
      </c>
      <c r="H121" s="231">
        <v>1.325016074550581E-3</v>
      </c>
      <c r="I121" s="231">
        <v>5.7388336578452907E-5</v>
      </c>
      <c r="J121" s="231">
        <v>7.0076771117371026E-3</v>
      </c>
      <c r="K121" s="229">
        <v>44</v>
      </c>
      <c r="L121" s="229">
        <v>12</v>
      </c>
      <c r="M121" s="229">
        <v>18</v>
      </c>
      <c r="N121" s="229">
        <v>3</v>
      </c>
      <c r="O121" s="205">
        <v>8.7163636965047295E-5</v>
      </c>
      <c r="P121" s="232">
        <v>103.212</v>
      </c>
      <c r="Q121" s="233"/>
      <c r="R121" s="235"/>
    </row>
    <row r="122" spans="1:18" ht="16.5" customHeight="1" x14ac:dyDescent="0.25">
      <c r="A122" s="230">
        <v>44412</v>
      </c>
      <c r="B122" s="128" t="s">
        <v>7</v>
      </c>
      <c r="C122" s="157" t="str">
        <f t="shared" si="3"/>
        <v>04.08.2021_STE1</v>
      </c>
      <c r="D122" s="190">
        <f t="shared" si="4"/>
        <v>0</v>
      </c>
      <c r="E122" s="231">
        <v>6.5388989781870728E-6</v>
      </c>
      <c r="F122" s="231">
        <v>7.4228915153581561E-4</v>
      </c>
      <c r="G122" s="231">
        <v>8.7008799339878096E-2</v>
      </c>
      <c r="H122" s="231">
        <v>1.833245399949211E-3</v>
      </c>
      <c r="I122" s="231">
        <v>7.604781118155289E-5</v>
      </c>
      <c r="J122" s="231">
        <v>6.2968538516694345E-3</v>
      </c>
      <c r="K122" s="229">
        <v>89</v>
      </c>
      <c r="L122" s="229">
        <v>11</v>
      </c>
      <c r="M122" s="229">
        <v>21</v>
      </c>
      <c r="N122" s="229">
        <v>3</v>
      </c>
      <c r="O122" s="205">
        <v>8.6216128431169443E-5</v>
      </c>
      <c r="P122" s="232">
        <v>158.6</v>
      </c>
      <c r="Q122" s="233"/>
      <c r="R122" s="235"/>
    </row>
    <row r="123" spans="1:18" ht="16.5" customHeight="1" x14ac:dyDescent="0.25">
      <c r="A123" s="230">
        <v>44412</v>
      </c>
      <c r="B123" s="128" t="s">
        <v>9</v>
      </c>
      <c r="C123" s="157" t="str">
        <f t="shared" si="3"/>
        <v>04.08.2021_STE2</v>
      </c>
      <c r="D123" s="190">
        <f t="shared" si="4"/>
        <v>0</v>
      </c>
      <c r="E123" s="231">
        <v>6.694767201920761E-6</v>
      </c>
      <c r="F123" s="231">
        <v>7.6158131502916931E-4</v>
      </c>
      <c r="G123" s="231">
        <v>8.4614689861040163E-2</v>
      </c>
      <c r="H123" s="231">
        <v>1.7145258835538685E-3</v>
      </c>
      <c r="I123" s="231">
        <v>7.4243528789543999E-5</v>
      </c>
      <c r="J123" s="231">
        <v>6.4713464079048585E-3</v>
      </c>
      <c r="K123" s="229">
        <v>89</v>
      </c>
      <c r="L123" s="229">
        <v>13</v>
      </c>
      <c r="M123" s="229">
        <v>21</v>
      </c>
      <c r="N123" s="229">
        <v>3.2</v>
      </c>
      <c r="O123" s="205">
        <v>9.0200760485150151E-5</v>
      </c>
      <c r="P123" s="232">
        <v>153.72</v>
      </c>
      <c r="Q123" s="233"/>
      <c r="R123" s="235"/>
    </row>
    <row r="124" spans="1:18" ht="16.5" customHeight="1" x14ac:dyDescent="0.25">
      <c r="A124" s="230">
        <v>44454</v>
      </c>
      <c r="B124" s="128" t="s">
        <v>22</v>
      </c>
      <c r="C124" s="157" t="str">
        <f t="shared" si="3"/>
        <v>15.09.2021_BIE1</v>
      </c>
      <c r="D124" s="190">
        <f t="shared" si="4"/>
        <v>0</v>
      </c>
      <c r="E124" s="231">
        <v>2.9378396731032841E-5</v>
      </c>
      <c r="F124" s="231">
        <v>2.970529333921443E-3</v>
      </c>
      <c r="G124" s="231">
        <v>7.6357100899033123E-2</v>
      </c>
      <c r="H124" s="231">
        <v>1.6939340342376362E-3</v>
      </c>
      <c r="I124" s="231">
        <v>1.1369286896706666E-4</v>
      </c>
      <c r="J124" s="231">
        <v>1.2232382472495891E-2</v>
      </c>
      <c r="K124" s="229">
        <v>29</v>
      </c>
      <c r="L124" s="229">
        <v>11</v>
      </c>
      <c r="M124" s="229">
        <v>6.4</v>
      </c>
      <c r="N124" s="229">
        <v>3.9</v>
      </c>
      <c r="O124" s="205">
        <v>1.9895374093884452E-4</v>
      </c>
      <c r="P124" s="232">
        <v>77.591999999999999</v>
      </c>
      <c r="Q124" s="233"/>
      <c r="R124" s="235"/>
    </row>
    <row r="125" spans="1:18" ht="16.5" customHeight="1" x14ac:dyDescent="0.25">
      <c r="A125" s="230">
        <v>44454</v>
      </c>
      <c r="B125" s="128" t="s">
        <v>25</v>
      </c>
      <c r="C125" s="157" t="str">
        <f t="shared" si="3"/>
        <v>15.09.2021_BIE2</v>
      </c>
      <c r="D125" s="190">
        <f t="shared" si="4"/>
        <v>0</v>
      </c>
      <c r="E125" s="231">
        <v>2.7563608732110675E-5</v>
      </c>
      <c r="F125" s="231">
        <v>2.5011564631929502E-3</v>
      </c>
      <c r="G125" s="231">
        <v>7.1585774993864509E-2</v>
      </c>
      <c r="H125" s="231">
        <v>3.0120084939630927E-3</v>
      </c>
      <c r="I125" s="231">
        <v>2.7883379520434262E-4</v>
      </c>
      <c r="J125" s="231">
        <v>1.015737560747019E-2</v>
      </c>
      <c r="K125" s="229">
        <v>27</v>
      </c>
      <c r="L125" s="229">
        <v>11</v>
      </c>
      <c r="M125" s="229">
        <v>6.6</v>
      </c>
      <c r="N125" s="229">
        <v>3.1</v>
      </c>
      <c r="O125" s="205">
        <v>1.8012649533128344E-4</v>
      </c>
      <c r="P125" s="232">
        <v>74.908000000000001</v>
      </c>
      <c r="Q125" s="233"/>
      <c r="R125" s="235"/>
    </row>
    <row r="126" spans="1:18" ht="16.5" customHeight="1" x14ac:dyDescent="0.25">
      <c r="A126" s="230">
        <v>44454</v>
      </c>
      <c r="B126" s="128" t="s">
        <v>14</v>
      </c>
      <c r="C126" s="157" t="str">
        <f t="shared" si="3"/>
        <v>15.09.2021_BRA1</v>
      </c>
      <c r="D126" s="190">
        <f t="shared" si="4"/>
        <v>0</v>
      </c>
      <c r="E126" s="231">
        <v>4.68471094010953E-5</v>
      </c>
      <c r="F126" s="231">
        <v>5.177819493579071E-3</v>
      </c>
      <c r="G126" s="231">
        <v>6.9681274467228951E-2</v>
      </c>
      <c r="H126" s="231">
        <v>1.4015437396274151E-2</v>
      </c>
      <c r="I126" s="231">
        <v>2.6292842389468328E-3</v>
      </c>
      <c r="J126" s="231">
        <v>1.6405570344074732E-2</v>
      </c>
      <c r="K126" s="229">
        <v>63</v>
      </c>
      <c r="L126" s="229">
        <v>35</v>
      </c>
      <c r="M126" s="229">
        <v>16</v>
      </c>
      <c r="N126" s="229">
        <v>2.8</v>
      </c>
      <c r="O126" s="205">
        <v>1.6158747653514477E-4</v>
      </c>
      <c r="P126" s="232">
        <v>90.524000000000001</v>
      </c>
      <c r="Q126" s="233"/>
      <c r="R126" s="235"/>
    </row>
    <row r="127" spans="1:18" ht="16.5" customHeight="1" x14ac:dyDescent="0.25">
      <c r="A127" s="230">
        <v>44454</v>
      </c>
      <c r="B127" s="128" t="s">
        <v>17</v>
      </c>
      <c r="C127" s="157" t="str">
        <f t="shared" si="3"/>
        <v>15.09.2021_BRA2</v>
      </c>
      <c r="D127" s="190">
        <f t="shared" si="4"/>
        <v>0</v>
      </c>
      <c r="E127" s="231">
        <v>4.68471094010953E-5</v>
      </c>
      <c r="F127" s="231">
        <v>5.1870330402651469E-3</v>
      </c>
      <c r="G127" s="231">
        <v>7.746495889302922E-2</v>
      </c>
      <c r="H127" s="231">
        <v>2.5146134055937922E-3</v>
      </c>
      <c r="I127" s="231">
        <v>3.2908569206314324E-4</v>
      </c>
      <c r="J127" s="231">
        <v>2.2866932319061038E-2</v>
      </c>
      <c r="K127" s="229">
        <v>68</v>
      </c>
      <c r="L127" s="229">
        <v>35</v>
      </c>
      <c r="M127" s="229">
        <v>18</v>
      </c>
      <c r="N127" s="229">
        <v>3.7</v>
      </c>
      <c r="O127" s="205">
        <v>1.3626976856252567E-4</v>
      </c>
      <c r="P127" s="232">
        <v>88.816000000000003</v>
      </c>
      <c r="Q127" s="233"/>
      <c r="R127" s="235"/>
    </row>
    <row r="128" spans="1:18" ht="16.5" customHeight="1" x14ac:dyDescent="0.25">
      <c r="A128" s="230">
        <v>44454</v>
      </c>
      <c r="B128" s="128" t="s">
        <v>30</v>
      </c>
      <c r="C128" s="157" t="str">
        <f t="shared" si="3"/>
        <v>15.09.2021_FAL1</v>
      </c>
      <c r="D128" s="190">
        <f t="shared" si="4"/>
        <v>0</v>
      </c>
      <c r="E128" s="231">
        <v>3.391573424312135E-5</v>
      </c>
      <c r="F128" s="231">
        <v>4.26135278203418E-3</v>
      </c>
      <c r="G128" s="231">
        <v>0.18071271969949246</v>
      </c>
      <c r="H128" s="231">
        <v>5.9722668268799772E-3</v>
      </c>
      <c r="I128" s="231">
        <v>1.5647291532882935E-3</v>
      </c>
      <c r="J128" s="231">
        <v>1.2235376482938499E-2</v>
      </c>
      <c r="K128" s="229">
        <v>224</v>
      </c>
      <c r="L128" s="229">
        <v>60</v>
      </c>
      <c r="M128" s="229">
        <v>104</v>
      </c>
      <c r="N128" s="229">
        <v>20</v>
      </c>
      <c r="O128" s="205">
        <v>2.3873090495272019E-4</v>
      </c>
      <c r="P128" s="232">
        <v>215.696</v>
      </c>
      <c r="Q128" s="233"/>
      <c r="R128" s="235"/>
    </row>
    <row r="129" spans="1:18" ht="16.5" customHeight="1" x14ac:dyDescent="0.25">
      <c r="A129" s="230">
        <v>44454</v>
      </c>
      <c r="B129" s="128" t="s">
        <v>32</v>
      </c>
      <c r="C129" s="157" t="str">
        <f t="shared" si="3"/>
        <v>15.09.2021_FAL2</v>
      </c>
      <c r="D129" s="190">
        <f t="shared" si="4"/>
        <v>0</v>
      </c>
      <c r="E129" s="231">
        <v>1.7354783087303068E-5</v>
      </c>
      <c r="F129" s="231">
        <v>1.2510391383644577E-3</v>
      </c>
      <c r="G129" s="231">
        <v>0.18255883811722409</v>
      </c>
      <c r="H129" s="231">
        <v>3.1567598238187015E-3</v>
      </c>
      <c r="I129" s="231">
        <v>2.8184529693814873E-4</v>
      </c>
      <c r="J129" s="231">
        <v>6.3616277689696413E-3</v>
      </c>
      <c r="K129" s="229">
        <v>220</v>
      </c>
      <c r="L129" s="229">
        <v>62</v>
      </c>
      <c r="M129" s="229">
        <v>79</v>
      </c>
      <c r="N129" s="229">
        <v>16</v>
      </c>
      <c r="O129" s="205">
        <v>2.8534349478703857E-4</v>
      </c>
      <c r="P129" s="232">
        <v>205.44799999999998</v>
      </c>
      <c r="Q129" s="233"/>
      <c r="R129" s="235"/>
    </row>
    <row r="130" spans="1:18" ht="16.5" customHeight="1" x14ac:dyDescent="0.25">
      <c r="A130" s="230">
        <v>44454</v>
      </c>
      <c r="B130" s="128" t="s">
        <v>26</v>
      </c>
      <c r="C130" s="157" t="str">
        <f t="shared" si="3"/>
        <v>15.09.2021_GRU1</v>
      </c>
      <c r="D130" s="190">
        <f t="shared" si="4"/>
        <v>0</v>
      </c>
      <c r="E130" s="231">
        <v>1.6107437913479286E-5</v>
      </c>
      <c r="F130" s="231">
        <v>2.0246675794547983E-3</v>
      </c>
      <c r="G130" s="231">
        <v>7.2329304506576667E-2</v>
      </c>
      <c r="H130" s="231">
        <v>2.3097654555781521E-3</v>
      </c>
      <c r="I130" s="231">
        <v>1.5035477717599246E-4</v>
      </c>
      <c r="J130" s="231">
        <v>7.0500090921956108E-3</v>
      </c>
      <c r="K130" s="229">
        <v>55</v>
      </c>
      <c r="L130" s="229">
        <v>20</v>
      </c>
      <c r="M130" s="229">
        <v>20</v>
      </c>
      <c r="N130" s="229">
        <v>4.9000000000000004</v>
      </c>
      <c r="O130" s="205">
        <v>1.3247575306503899E-4</v>
      </c>
      <c r="P130" s="232">
        <v>62.22</v>
      </c>
      <c r="Q130" s="233"/>
      <c r="R130" s="235"/>
    </row>
    <row r="131" spans="1:18" ht="16.5" customHeight="1" x14ac:dyDescent="0.25">
      <c r="A131" s="230">
        <v>44454</v>
      </c>
      <c r="B131" s="128" t="s">
        <v>28</v>
      </c>
      <c r="C131" s="157" t="str">
        <f t="shared" si="3"/>
        <v>15.09.2021_GRU2</v>
      </c>
      <c r="D131" s="190">
        <f t="shared" si="4"/>
        <v>0</v>
      </c>
      <c r="E131" s="231">
        <v>3.5277008999704527E-5</v>
      </c>
      <c r="F131" s="231">
        <v>2.3333211385120197E-3</v>
      </c>
      <c r="G131" s="231">
        <v>7.4307229298128746E-2</v>
      </c>
      <c r="H131" s="231">
        <v>1.974407146315828E-3</v>
      </c>
      <c r="I131" s="231">
        <v>8.5890534306070016E-5</v>
      </c>
      <c r="J131" s="231">
        <v>7.2599570043907092E-3</v>
      </c>
      <c r="K131" s="229">
        <v>69</v>
      </c>
      <c r="L131" s="229">
        <v>17</v>
      </c>
      <c r="M131" s="229">
        <v>16</v>
      </c>
      <c r="N131" s="229">
        <v>5</v>
      </c>
      <c r="O131" s="205">
        <v>1.3181052465225732E-4</v>
      </c>
      <c r="P131" s="232">
        <v>68.564000000000007</v>
      </c>
      <c r="Q131" s="233"/>
      <c r="R131" s="235"/>
    </row>
    <row r="132" spans="1:18" ht="16.5" customHeight="1" x14ac:dyDescent="0.25">
      <c r="A132" s="230">
        <v>44454</v>
      </c>
      <c r="B132" s="128" t="s">
        <v>0</v>
      </c>
      <c r="C132" s="157" t="str">
        <f t="shared" si="3"/>
        <v>15.09.2021_KIN1</v>
      </c>
      <c r="D132" s="190">
        <f t="shared" si="4"/>
        <v>0</v>
      </c>
      <c r="E132" s="231">
        <v>1.5539995088380902E-5</v>
      </c>
      <c r="F132" s="231">
        <v>2.2571206054195453E-3</v>
      </c>
      <c r="G132" s="231">
        <v>0.1254245949671132</v>
      </c>
      <c r="H132" s="231">
        <v>2.4344773770178319E-3</v>
      </c>
      <c r="I132" s="231">
        <v>8.6579256788776925E-4</v>
      </c>
      <c r="J132" s="231">
        <v>5.7252297550180811E-2</v>
      </c>
      <c r="K132" s="229">
        <v>133</v>
      </c>
      <c r="L132" s="229">
        <v>42</v>
      </c>
      <c r="M132" s="229">
        <v>14</v>
      </c>
      <c r="N132" s="229">
        <v>5</v>
      </c>
      <c r="O132" s="205">
        <v>1.5319010372167853E-4</v>
      </c>
      <c r="P132" s="232">
        <v>164.21200000000002</v>
      </c>
      <c r="Q132" s="233"/>
      <c r="R132" s="235"/>
    </row>
    <row r="133" spans="1:18" ht="16.5" customHeight="1" x14ac:dyDescent="0.25">
      <c r="A133" s="230">
        <v>44454</v>
      </c>
      <c r="B133" s="128" t="s">
        <v>2</v>
      </c>
      <c r="C133" s="157" t="str">
        <f t="shared" ref="C133:C196" si="5">CONCATENATE(TEXT(A133,"TT.MM.JJJJ"),"_",B133)</f>
        <v>15.09.2021_KIN2</v>
      </c>
      <c r="D133" s="190">
        <f t="shared" ref="D133:D196" si="6">COUNTBLANK(E133:P133)</f>
        <v>0</v>
      </c>
      <c r="E133" s="231">
        <v>2.8131051557209062E-5</v>
      </c>
      <c r="F133" s="231">
        <v>2.9263613113511347E-3</v>
      </c>
      <c r="G133" s="231">
        <v>0.13067669320473341</v>
      </c>
      <c r="H133" s="231">
        <v>2.0081910680050572E-3</v>
      </c>
      <c r="I133" s="231">
        <v>1.6989380338033113E-4</v>
      </c>
      <c r="J133" s="231">
        <v>6.9529100604365773E-3</v>
      </c>
      <c r="K133" s="229">
        <v>142</v>
      </c>
      <c r="L133" s="229">
        <v>53</v>
      </c>
      <c r="M133" s="229">
        <v>15</v>
      </c>
      <c r="N133" s="229">
        <v>6.3</v>
      </c>
      <c r="O133" s="205">
        <v>9.9930705369946101E-5</v>
      </c>
      <c r="P133" s="232">
        <v>173.23999999999998</v>
      </c>
      <c r="Q133" s="233"/>
      <c r="R133" s="235"/>
    </row>
    <row r="134" spans="1:18" ht="16.5" customHeight="1" x14ac:dyDescent="0.25">
      <c r="A134" s="230">
        <v>44454</v>
      </c>
      <c r="B134" s="128" t="s">
        <v>4</v>
      </c>
      <c r="C134" s="157" t="str">
        <f t="shared" si="5"/>
        <v>15.09.2021_KIN3</v>
      </c>
      <c r="D134" s="190">
        <f t="shared" si="6"/>
        <v>0</v>
      </c>
      <c r="E134" s="231">
        <v>3.8453071755209866E-5</v>
      </c>
      <c r="F134" s="231">
        <v>5.4792785223232382E-3</v>
      </c>
      <c r="G134" s="231">
        <v>7.8513077931174638E-2</v>
      </c>
      <c r="H134" s="231">
        <v>3.8159747210520021E-3</v>
      </c>
      <c r="I134" s="231">
        <v>5.0170352842893943E-4</v>
      </c>
      <c r="J134" s="231">
        <v>1.5841962018439345E-2</v>
      </c>
      <c r="K134" s="229">
        <v>64</v>
      </c>
      <c r="L134" s="229">
        <v>12</v>
      </c>
      <c r="M134" s="229">
        <v>8.4</v>
      </c>
      <c r="N134" s="229">
        <v>3.5</v>
      </c>
      <c r="O134" s="205">
        <v>1.300483101213053E-4</v>
      </c>
      <c r="P134" s="232">
        <v>63.928000000000004</v>
      </c>
      <c r="Q134" s="233"/>
      <c r="R134" s="235"/>
    </row>
    <row r="135" spans="1:18" ht="16.5" customHeight="1" x14ac:dyDescent="0.25">
      <c r="A135" s="230">
        <v>44454</v>
      </c>
      <c r="B135" s="128" t="s">
        <v>6</v>
      </c>
      <c r="C135" s="157" t="str">
        <f t="shared" si="5"/>
        <v>15.09.2021_KIN4</v>
      </c>
      <c r="D135" s="190">
        <f t="shared" si="6"/>
        <v>0</v>
      </c>
      <c r="E135" s="231">
        <v>2.2119244735344176E-5</v>
      </c>
      <c r="F135" s="231">
        <v>5.4617095109096205E-3</v>
      </c>
      <c r="G135" s="231">
        <v>0.14556316233727296</v>
      </c>
      <c r="H135" s="231">
        <v>2.2435440228812157E-3</v>
      </c>
      <c r="I135" s="231">
        <v>1.6222517178981542E-4</v>
      </c>
      <c r="J135" s="231">
        <v>9.7046754797510872E-3</v>
      </c>
      <c r="K135" s="229">
        <v>147</v>
      </c>
      <c r="L135" s="229">
        <v>45</v>
      </c>
      <c r="M135" s="229">
        <v>75</v>
      </c>
      <c r="N135" s="229">
        <v>7.9</v>
      </c>
      <c r="O135" s="205">
        <v>1.9663394616558545E-4</v>
      </c>
      <c r="P135" s="232">
        <v>194.46800000000002</v>
      </c>
      <c r="Q135" s="233"/>
      <c r="R135" s="235"/>
    </row>
    <row r="136" spans="1:18" ht="16.5" customHeight="1" x14ac:dyDescent="0.25">
      <c r="A136" s="230">
        <v>44454</v>
      </c>
      <c r="B136" s="128" t="s">
        <v>34</v>
      </c>
      <c r="C136" s="157" t="str">
        <f t="shared" si="5"/>
        <v>15.09.2021_KRE1</v>
      </c>
      <c r="D136" s="190">
        <f t="shared" si="6"/>
        <v>0</v>
      </c>
      <c r="E136" s="231">
        <v>2.1551801910245788E-5</v>
      </c>
      <c r="F136" s="231">
        <v>1.808048026587062E-3</v>
      </c>
      <c r="G136" s="231">
        <v>0.21144891753325465</v>
      </c>
      <c r="H136" s="231">
        <v>3.7208323501413637E-3</v>
      </c>
      <c r="I136" s="231">
        <v>3.0394204626802026E-4</v>
      </c>
      <c r="J136" s="231">
        <v>6.0533281436565859E-3</v>
      </c>
      <c r="K136" s="229">
        <v>88</v>
      </c>
      <c r="L136" s="229">
        <v>20</v>
      </c>
      <c r="M136" s="229">
        <v>30</v>
      </c>
      <c r="N136" s="229">
        <v>6.7</v>
      </c>
      <c r="O136" s="205">
        <v>3.324435304495669E-4</v>
      </c>
      <c r="P136" s="232">
        <v>209.84</v>
      </c>
      <c r="Q136" s="233"/>
      <c r="R136" s="235"/>
    </row>
    <row r="137" spans="1:18" ht="16.5" customHeight="1" x14ac:dyDescent="0.25">
      <c r="A137" s="230">
        <v>44454</v>
      </c>
      <c r="B137" s="128" t="s">
        <v>37</v>
      </c>
      <c r="C137" s="157" t="str">
        <f t="shared" si="5"/>
        <v>15.09.2021_KRE2</v>
      </c>
      <c r="D137" s="190">
        <f t="shared" si="6"/>
        <v>0</v>
      </c>
      <c r="E137" s="231">
        <v>1.8943181979838836E-5</v>
      </c>
      <c r="F137" s="231">
        <v>3.7216880602200155E-3</v>
      </c>
      <c r="G137" s="231">
        <v>0.21714835690216577</v>
      </c>
      <c r="H137" s="231">
        <v>3.6520376135881082E-3</v>
      </c>
      <c r="I137" s="231">
        <v>6.151089286476649E-4</v>
      </c>
      <c r="J137" s="231">
        <v>3.9469626122425418E-2</v>
      </c>
      <c r="K137" s="229">
        <v>99</v>
      </c>
      <c r="L137" s="229">
        <v>20</v>
      </c>
      <c r="M137" s="229">
        <v>28</v>
      </c>
      <c r="N137" s="229">
        <v>6.7</v>
      </c>
      <c r="O137" s="205">
        <v>4.504100809703269E-4</v>
      </c>
      <c r="P137" s="232">
        <v>219.11199999999999</v>
      </c>
      <c r="Q137" s="233"/>
      <c r="R137" s="235"/>
    </row>
    <row r="138" spans="1:18" ht="16.5" customHeight="1" x14ac:dyDescent="0.25">
      <c r="A138" s="230">
        <v>44454</v>
      </c>
      <c r="B138" s="128" t="s">
        <v>18</v>
      </c>
      <c r="C138" s="157" t="str">
        <f t="shared" si="5"/>
        <v>15.09.2021_ORB1</v>
      </c>
      <c r="D138" s="190">
        <f t="shared" si="6"/>
        <v>0</v>
      </c>
      <c r="E138" s="231">
        <v>2.4614670112557927E-5</v>
      </c>
      <c r="F138" s="231">
        <v>3.0813070519597574E-3</v>
      </c>
      <c r="G138" s="231">
        <v>5.3228853197349213E-2</v>
      </c>
      <c r="H138" s="231">
        <v>3.1291430054764488E-3</v>
      </c>
      <c r="I138" s="231">
        <v>3.4106249776060627E-4</v>
      </c>
      <c r="J138" s="231">
        <v>8.8496346839471145E-3</v>
      </c>
      <c r="K138" s="229">
        <v>14</v>
      </c>
      <c r="L138" s="229">
        <v>2.7</v>
      </c>
      <c r="M138" s="229">
        <v>5.8</v>
      </c>
      <c r="N138" s="229">
        <v>2.7</v>
      </c>
      <c r="O138" s="205">
        <v>6.4275976975383979E-5</v>
      </c>
      <c r="P138" s="232">
        <v>18.3</v>
      </c>
      <c r="Q138" s="233"/>
      <c r="R138" s="235"/>
    </row>
    <row r="139" spans="1:18" ht="16.5" customHeight="1" x14ac:dyDescent="0.25">
      <c r="A139" s="230">
        <v>44454</v>
      </c>
      <c r="B139" s="128" t="s">
        <v>21</v>
      </c>
      <c r="C139" s="157" t="str">
        <f t="shared" si="5"/>
        <v>15.09.2021_ORB2</v>
      </c>
      <c r="D139" s="190">
        <f t="shared" si="6"/>
        <v>0</v>
      </c>
      <c r="E139" s="231">
        <v>3.7204991551819897E-5</v>
      </c>
      <c r="F139" s="231">
        <v>1.2775616716282313E-3</v>
      </c>
      <c r="G139" s="231">
        <v>5.6083312423570224E-2</v>
      </c>
      <c r="H139" s="231">
        <v>1.9261459771005348E-3</v>
      </c>
      <c r="I139" s="231">
        <v>1.4979436059477485E-4</v>
      </c>
      <c r="J139" s="231">
        <v>8.4365428386922077E-3</v>
      </c>
      <c r="K139" s="229">
        <v>46</v>
      </c>
      <c r="L139" s="229">
        <v>8.6</v>
      </c>
      <c r="M139" s="229">
        <v>35</v>
      </c>
      <c r="N139" s="229">
        <v>9</v>
      </c>
      <c r="O139" s="205">
        <v>6.8141641417504759E-5</v>
      </c>
      <c r="P139" s="232">
        <v>25.131999999999998</v>
      </c>
      <c r="Q139" s="233"/>
      <c r="R139" s="235"/>
    </row>
    <row r="140" spans="1:18" ht="16.5" customHeight="1" x14ac:dyDescent="0.25">
      <c r="A140" s="230">
        <v>44454</v>
      </c>
      <c r="B140" s="128" t="s">
        <v>10</v>
      </c>
      <c r="C140" s="157" t="str">
        <f t="shared" si="5"/>
        <v>15.09.2021_SAL1</v>
      </c>
      <c r="D140" s="190">
        <f t="shared" si="6"/>
        <v>0</v>
      </c>
      <c r="E140" s="231">
        <v>1.2023613643729771E-5</v>
      </c>
      <c r="F140" s="231">
        <v>1.4369370117946327E-3</v>
      </c>
      <c r="G140" s="231">
        <v>8.0670321353799798E-2</v>
      </c>
      <c r="H140" s="231">
        <v>1.5780461822559589E-3</v>
      </c>
      <c r="I140" s="231">
        <v>7.027397039164632E-5</v>
      </c>
      <c r="J140" s="231">
        <v>3.8739240566600937E-3</v>
      </c>
      <c r="K140" s="229">
        <v>70</v>
      </c>
      <c r="L140" s="229">
        <v>34</v>
      </c>
      <c r="M140" s="229">
        <v>18</v>
      </c>
      <c r="N140" s="229">
        <v>5.4</v>
      </c>
      <c r="O140" s="205">
        <v>1.4187993917855066E-4</v>
      </c>
      <c r="P140" s="232">
        <v>102.72399999999999</v>
      </c>
      <c r="Q140" s="233"/>
      <c r="R140" s="235"/>
    </row>
    <row r="141" spans="1:18" ht="16.5" customHeight="1" x14ac:dyDescent="0.25">
      <c r="A141" s="230">
        <v>44454</v>
      </c>
      <c r="B141" s="128" t="s">
        <v>12</v>
      </c>
      <c r="C141" s="157" t="str">
        <f t="shared" si="5"/>
        <v>15.09.2021_SAL2</v>
      </c>
      <c r="D141" s="190">
        <f t="shared" si="6"/>
        <v>0</v>
      </c>
      <c r="E141" s="231">
        <v>1.8829252397079442E-5</v>
      </c>
      <c r="F141" s="231">
        <v>2.0341921362387379E-3</v>
      </c>
      <c r="G141" s="231">
        <v>9.1995278316158405E-2</v>
      </c>
      <c r="H141" s="231">
        <v>1.9646126866397673E-3</v>
      </c>
      <c r="I141" s="231">
        <v>8.0218074813348831E-5</v>
      </c>
      <c r="J141" s="231">
        <v>5.7051188876619773E-3</v>
      </c>
      <c r="K141" s="229">
        <v>83</v>
      </c>
      <c r="L141" s="229">
        <v>35</v>
      </c>
      <c r="M141" s="229">
        <v>22</v>
      </c>
      <c r="N141" s="229">
        <v>6.1</v>
      </c>
      <c r="O141" s="205">
        <v>1.7012872974962419E-4</v>
      </c>
      <c r="P141" s="232">
        <v>110.77600000000001</v>
      </c>
      <c r="Q141" s="233"/>
      <c r="R141" s="235"/>
    </row>
    <row r="142" spans="1:18" ht="16.5" customHeight="1" x14ac:dyDescent="0.25">
      <c r="A142" s="230">
        <v>44454</v>
      </c>
      <c r="B142" s="128" t="s">
        <v>7</v>
      </c>
      <c r="C142" s="157" t="str">
        <f t="shared" si="5"/>
        <v>15.09.2021_STE1</v>
      </c>
      <c r="D142" s="190">
        <f t="shared" si="6"/>
        <v>0</v>
      </c>
      <c r="E142" s="231">
        <v>8.1669135099328453E-6</v>
      </c>
      <c r="F142" s="231">
        <v>2.9336833048190518E-3</v>
      </c>
      <c r="G142" s="231">
        <v>0.1206467599656194</v>
      </c>
      <c r="H142" s="231">
        <v>2.5475482933025599E-3</v>
      </c>
      <c r="I142" s="231">
        <v>3.5167342984716648E-4</v>
      </c>
      <c r="J142" s="231">
        <v>2.1518488060013156E-2</v>
      </c>
      <c r="K142" s="229">
        <v>119</v>
      </c>
      <c r="L142" s="229">
        <v>35</v>
      </c>
      <c r="M142" s="229">
        <v>22</v>
      </c>
      <c r="N142" s="229">
        <v>5.3</v>
      </c>
      <c r="O142" s="205">
        <v>1.34561611121509E-4</v>
      </c>
      <c r="P142" s="232">
        <v>136.15200000000002</v>
      </c>
      <c r="Q142" s="233"/>
      <c r="R142" s="235"/>
    </row>
    <row r="143" spans="1:18" ht="16.5" customHeight="1" x14ac:dyDescent="0.25">
      <c r="A143" s="230">
        <v>44454</v>
      </c>
      <c r="B143" s="128" t="s">
        <v>9</v>
      </c>
      <c r="C143" s="157" t="str">
        <f t="shared" si="5"/>
        <v>15.09.2021_STE2</v>
      </c>
      <c r="D143" s="190">
        <f t="shared" si="6"/>
        <v>0</v>
      </c>
      <c r="E143" s="231">
        <v>1.4405844467750322E-5</v>
      </c>
      <c r="F143" s="231">
        <v>2.4002331765833594E-3</v>
      </c>
      <c r="G143" s="231">
        <v>0.12973539948051074</v>
      </c>
      <c r="H143" s="231">
        <v>2.2473046871985688E-3</v>
      </c>
      <c r="I143" s="231">
        <v>8.2599278060263318E-5</v>
      </c>
      <c r="J143" s="231">
        <v>4.0613116504658771E-3</v>
      </c>
      <c r="K143" s="229">
        <v>124</v>
      </c>
      <c r="L143" s="229">
        <v>35</v>
      </c>
      <c r="M143" s="229">
        <v>22</v>
      </c>
      <c r="N143" s="229">
        <v>5.2</v>
      </c>
      <c r="O143" s="205">
        <v>1.366114699521384E-4</v>
      </c>
      <c r="P143" s="232">
        <v>140.05599999999998</v>
      </c>
      <c r="Q143" s="233"/>
      <c r="R143" s="235"/>
    </row>
    <row r="144" spans="1:18" ht="16.5" customHeight="1" x14ac:dyDescent="0.25">
      <c r="A144" s="230">
        <v>44482</v>
      </c>
      <c r="B144" s="128" t="s">
        <v>22</v>
      </c>
      <c r="C144" s="157" t="str">
        <f t="shared" si="5"/>
        <v>13.10.2021_BIE1</v>
      </c>
      <c r="D144" s="190">
        <f t="shared" si="6"/>
        <v>0</v>
      </c>
      <c r="E144" s="231">
        <v>3.1466748566336589E-5</v>
      </c>
      <c r="F144" s="231">
        <v>4.0069322581977075E-3</v>
      </c>
      <c r="G144" s="231">
        <v>9.3166192858178343E-2</v>
      </c>
      <c r="H144" s="231">
        <v>1.828588864809307E-3</v>
      </c>
      <c r="I144" s="231">
        <v>1.310567479963948E-4</v>
      </c>
      <c r="J144" s="231">
        <v>1.1199499360226291E-2</v>
      </c>
      <c r="K144" s="229">
        <v>52</v>
      </c>
      <c r="L144" s="229">
        <v>24</v>
      </c>
      <c r="M144" s="229">
        <v>14</v>
      </c>
      <c r="N144" s="229">
        <v>7.6</v>
      </c>
      <c r="O144" s="205">
        <v>2.1743213503662101E-4</v>
      </c>
      <c r="P144" s="232">
        <v>75.884</v>
      </c>
      <c r="Q144" s="233"/>
      <c r="R144" s="235"/>
    </row>
    <row r="145" spans="1:18" ht="16.5" customHeight="1" x14ac:dyDescent="0.25">
      <c r="A145" s="230">
        <v>44482</v>
      </c>
      <c r="B145" s="128" t="s">
        <v>25</v>
      </c>
      <c r="C145" s="157" t="str">
        <f t="shared" si="5"/>
        <v>13.10.2021_BIE2</v>
      </c>
      <c r="D145" s="190">
        <f t="shared" si="6"/>
        <v>0</v>
      </c>
      <c r="E145" s="231">
        <v>2.6603941528338932E-5</v>
      </c>
      <c r="F145" s="231">
        <v>3.4317054253513611E-3</v>
      </c>
      <c r="G145" s="231">
        <v>9.5311715915943382E-2</v>
      </c>
      <c r="H145" s="231">
        <v>1.8026312877906265E-3</v>
      </c>
      <c r="I145" s="231">
        <v>1.5508967654758387E-4</v>
      </c>
      <c r="J145" s="231">
        <v>1.3965084723542485E-2</v>
      </c>
      <c r="K145" s="229">
        <v>51</v>
      </c>
      <c r="L145" s="229">
        <v>23</v>
      </c>
      <c r="M145" s="229">
        <v>17</v>
      </c>
      <c r="N145" s="229">
        <v>7.3</v>
      </c>
      <c r="O145" s="205">
        <v>2.2198999332513524E-4</v>
      </c>
      <c r="P145" s="232">
        <v>75.152000000000001</v>
      </c>
      <c r="Q145" s="233"/>
      <c r="R145" s="235"/>
    </row>
    <row r="146" spans="1:18" ht="16.5" customHeight="1" x14ac:dyDescent="0.25">
      <c r="A146" s="230">
        <v>44482</v>
      </c>
      <c r="B146" s="128" t="s">
        <v>14</v>
      </c>
      <c r="C146" s="157" t="str">
        <f t="shared" si="5"/>
        <v>13.10.2021_BRA1</v>
      </c>
      <c r="D146" s="190">
        <f t="shared" si="6"/>
        <v>0</v>
      </c>
      <c r="E146" s="231">
        <v>1.17288187033382E-5</v>
      </c>
      <c r="F146" s="231">
        <v>1.5354981259974737E-3</v>
      </c>
      <c r="G146" s="231">
        <v>7.4585024534373032E-2</v>
      </c>
      <c r="H146" s="231">
        <v>9.0586287550496758E-4</v>
      </c>
      <c r="I146" s="231">
        <v>9.6622291592646077E-5</v>
      </c>
      <c r="J146" s="231">
        <v>9.1961313079943607E-3</v>
      </c>
      <c r="K146" s="229">
        <v>45</v>
      </c>
      <c r="L146" s="229">
        <v>33</v>
      </c>
      <c r="M146" s="229">
        <v>12</v>
      </c>
      <c r="N146" s="229">
        <v>2.2999999999999998</v>
      </c>
      <c r="O146" s="205">
        <v>8.6494773511305045E-5</v>
      </c>
      <c r="P146" s="232">
        <v>89.304000000000002</v>
      </c>
      <c r="Q146" s="233"/>
      <c r="R146" s="235"/>
    </row>
    <row r="147" spans="1:18" ht="16.5" customHeight="1" x14ac:dyDescent="0.25">
      <c r="A147" s="230">
        <v>44482</v>
      </c>
      <c r="B147" s="128" t="s">
        <v>17</v>
      </c>
      <c r="C147" s="157" t="str">
        <f t="shared" si="5"/>
        <v>13.10.2021_BRA2</v>
      </c>
      <c r="D147" s="190">
        <f t="shared" si="6"/>
        <v>0</v>
      </c>
      <c r="E147" s="231">
        <v>1.6019458102557489E-5</v>
      </c>
      <c r="F147" s="231">
        <v>2.0056399508742934E-3</v>
      </c>
      <c r="G147" s="231">
        <v>8.258881491619606E-2</v>
      </c>
      <c r="H147" s="231">
        <v>2.0500933830613086E-3</v>
      </c>
      <c r="I147" s="231">
        <v>1.1237708428689002E-4</v>
      </c>
      <c r="J147" s="231">
        <v>7.653727983900716E-3</v>
      </c>
      <c r="K147" s="229">
        <v>53</v>
      </c>
      <c r="L147" s="229">
        <v>35</v>
      </c>
      <c r="M147" s="229">
        <v>17</v>
      </c>
      <c r="N147" s="229">
        <v>3.6</v>
      </c>
      <c r="O147" s="205">
        <v>7.3119149990959027E-5</v>
      </c>
      <c r="P147" s="232">
        <v>90.28</v>
      </c>
      <c r="Q147" s="233"/>
      <c r="R147" s="235"/>
    </row>
    <row r="148" spans="1:18" ht="16.5" customHeight="1" x14ac:dyDescent="0.25">
      <c r="A148" s="230">
        <v>44482</v>
      </c>
      <c r="B148" s="128" t="s">
        <v>30</v>
      </c>
      <c r="C148" s="157" t="str">
        <f t="shared" si="5"/>
        <v>13.10.2021_FAL1</v>
      </c>
      <c r="D148" s="190">
        <f t="shared" si="6"/>
        <v>0</v>
      </c>
      <c r="E148" s="231">
        <v>9.0589090195786196E-6</v>
      </c>
      <c r="F148" s="231">
        <v>1.9469688370658215E-3</v>
      </c>
      <c r="G148" s="231">
        <v>0.20995963378974294</v>
      </c>
      <c r="H148" s="231">
        <v>2.1881481407800248E-3</v>
      </c>
      <c r="I148" s="231">
        <v>1.8742827336014049E-4</v>
      </c>
      <c r="J148" s="231">
        <v>9.6343235941145737E-3</v>
      </c>
      <c r="K148" s="229">
        <v>176</v>
      </c>
      <c r="L148" s="229">
        <v>67</v>
      </c>
      <c r="M148" s="229">
        <v>118</v>
      </c>
      <c r="N148" s="229">
        <v>22</v>
      </c>
      <c r="O148" s="205">
        <v>1.9184065401006174E-4</v>
      </c>
      <c r="P148" s="232">
        <v>246.928</v>
      </c>
      <c r="Q148" s="233"/>
      <c r="R148" s="235"/>
    </row>
    <row r="149" spans="1:18" ht="16.5" customHeight="1" x14ac:dyDescent="0.25">
      <c r="A149" s="230">
        <v>44482</v>
      </c>
      <c r="B149" s="128" t="s">
        <v>32</v>
      </c>
      <c r="C149" s="157" t="str">
        <f t="shared" si="5"/>
        <v>13.10.2021_FAL2</v>
      </c>
      <c r="D149" s="190">
        <f t="shared" si="6"/>
        <v>0</v>
      </c>
      <c r="E149" s="231">
        <v>1.0107471096259946E-5</v>
      </c>
      <c r="F149" s="231">
        <v>3.339923118936852E-3</v>
      </c>
      <c r="G149" s="231">
        <v>0.20957778993350307</v>
      </c>
      <c r="H149" s="231">
        <v>2.1757085716669392E-3</v>
      </c>
      <c r="I149" s="231">
        <v>2.175324546501586E-4</v>
      </c>
      <c r="J149" s="231">
        <v>1.2538506358033694E-2</v>
      </c>
      <c r="K149" s="229">
        <v>73</v>
      </c>
      <c r="L149" s="229">
        <v>25</v>
      </c>
      <c r="M149" s="229">
        <v>41</v>
      </c>
      <c r="N149" s="229">
        <v>7.7</v>
      </c>
      <c r="O149" s="205">
        <v>2.153128121382299E-4</v>
      </c>
      <c r="P149" s="232">
        <v>250.58799999999997</v>
      </c>
      <c r="Q149" s="233"/>
      <c r="R149" s="235"/>
    </row>
    <row r="150" spans="1:18" ht="16.5" customHeight="1" x14ac:dyDescent="0.25">
      <c r="A150" s="230">
        <v>44482</v>
      </c>
      <c r="B150" s="128" t="s">
        <v>26</v>
      </c>
      <c r="C150" s="157" t="str">
        <f t="shared" si="5"/>
        <v>13.10.2021_GRU1</v>
      </c>
      <c r="D150" s="190">
        <f t="shared" si="6"/>
        <v>0</v>
      </c>
      <c r="E150" s="231">
        <v>7.4376232016622204E-5</v>
      </c>
      <c r="F150" s="231">
        <v>1.1817317458964821E-3</v>
      </c>
      <c r="G150" s="231">
        <v>8.0702208464260378E-2</v>
      </c>
      <c r="H150" s="231">
        <v>5.3176816245340168E-3</v>
      </c>
      <c r="I150" s="231">
        <v>1.0647245622937048E-4</v>
      </c>
      <c r="J150" s="231">
        <v>7.9090557259670312E-3</v>
      </c>
      <c r="K150" s="229">
        <v>18</v>
      </c>
      <c r="L150" s="229">
        <v>7.9</v>
      </c>
      <c r="M150" s="229">
        <v>6.4</v>
      </c>
      <c r="N150" s="229">
        <v>1.8</v>
      </c>
      <c r="O150" s="205">
        <v>1.2356875013545913E-4</v>
      </c>
      <c r="P150" s="232">
        <v>60.756</v>
      </c>
      <c r="Q150" s="233"/>
      <c r="R150" s="235"/>
    </row>
    <row r="151" spans="1:18" ht="16.5" customHeight="1" x14ac:dyDescent="0.25">
      <c r="A151" s="230">
        <v>44482</v>
      </c>
      <c r="B151" s="128" t="s">
        <v>28</v>
      </c>
      <c r="C151" s="157" t="str">
        <f t="shared" si="5"/>
        <v>13.10.2021_GRU2</v>
      </c>
      <c r="D151" s="190">
        <f t="shared" si="6"/>
        <v>0</v>
      </c>
      <c r="E151" s="231">
        <v>1.5352135154522229E-5</v>
      </c>
      <c r="F151" s="231">
        <v>1.745279125412768E-3</v>
      </c>
      <c r="G151" s="231">
        <v>8.2450025711873737E-2</v>
      </c>
      <c r="H151" s="231">
        <v>2.4516103208679285E-3</v>
      </c>
      <c r="I151" s="231">
        <v>1.2231020370057536E-4</v>
      </c>
      <c r="J151" s="231">
        <v>9.9933437299569491E-3</v>
      </c>
      <c r="K151" s="229">
        <v>22</v>
      </c>
      <c r="L151" s="229">
        <v>7.4</v>
      </c>
      <c r="M151" s="229">
        <v>6</v>
      </c>
      <c r="N151" s="229">
        <v>1.8</v>
      </c>
      <c r="O151" s="205">
        <v>1.1151441828417413E-4</v>
      </c>
      <c r="P151" s="232">
        <v>65.14800000000001</v>
      </c>
      <c r="Q151" s="233"/>
      <c r="R151" s="235"/>
    </row>
    <row r="152" spans="1:18" ht="16.5" customHeight="1" x14ac:dyDescent="0.25">
      <c r="A152" s="230">
        <v>44482</v>
      </c>
      <c r="B152" s="128" t="s">
        <v>0</v>
      </c>
      <c r="C152" s="157" t="str">
        <f t="shared" si="5"/>
        <v>13.10.2021_KIN1</v>
      </c>
      <c r="D152" s="190">
        <f t="shared" si="6"/>
        <v>0</v>
      </c>
      <c r="E152" s="231">
        <v>9.0589090195786196E-6</v>
      </c>
      <c r="F152" s="231">
        <v>1.2786154153766518E-3</v>
      </c>
      <c r="G152" s="231">
        <v>0.15961401768136521</v>
      </c>
      <c r="H152" s="231">
        <v>1.7423505895373997E-3</v>
      </c>
      <c r="I152" s="231">
        <v>1.331261478742459E-4</v>
      </c>
      <c r="J152" s="231">
        <v>1.3085526968863252E-2</v>
      </c>
      <c r="K152" s="229">
        <v>121</v>
      </c>
      <c r="L152" s="229">
        <v>45</v>
      </c>
      <c r="M152" s="229">
        <v>16</v>
      </c>
      <c r="N152" s="229">
        <v>5.3</v>
      </c>
      <c r="O152" s="205">
        <v>1.1910258054137857E-4</v>
      </c>
      <c r="P152" s="232">
        <v>181.536</v>
      </c>
      <c r="Q152" s="233"/>
      <c r="R152" s="235"/>
    </row>
    <row r="153" spans="1:18" ht="16.5" customHeight="1" x14ac:dyDescent="0.25">
      <c r="A153" s="230">
        <v>44482</v>
      </c>
      <c r="B153" s="128" t="s">
        <v>2</v>
      </c>
      <c r="C153" s="157" t="str">
        <f t="shared" si="5"/>
        <v>13.10.2021_KIN2</v>
      </c>
      <c r="D153" s="190">
        <f t="shared" si="6"/>
        <v>0</v>
      </c>
      <c r="E153" s="231">
        <v>1.153789019320589E-5</v>
      </c>
      <c r="F153" s="231">
        <v>1.1890405218025451E-3</v>
      </c>
      <c r="G153" s="231">
        <v>0.17315890572675169</v>
      </c>
      <c r="H153" s="231">
        <v>1.5932557316025791E-3</v>
      </c>
      <c r="I153" s="231">
        <v>1.2857346814297346E-4</v>
      </c>
      <c r="J153" s="231">
        <v>1.0834221877966781E-2</v>
      </c>
      <c r="K153" s="229">
        <v>137</v>
      </c>
      <c r="L153" s="229">
        <v>48</v>
      </c>
      <c r="M153" s="229">
        <v>16</v>
      </c>
      <c r="N153" s="229">
        <v>6.6</v>
      </c>
      <c r="O153" s="205">
        <v>1.0315170064693907E-4</v>
      </c>
      <c r="P153" s="232">
        <v>197.88400000000001</v>
      </c>
      <c r="Q153" s="233"/>
      <c r="R153" s="235"/>
    </row>
    <row r="154" spans="1:18" ht="16.5" customHeight="1" x14ac:dyDescent="0.25">
      <c r="A154" s="230">
        <v>44482</v>
      </c>
      <c r="B154" s="128" t="s">
        <v>4</v>
      </c>
      <c r="C154" s="157" t="str">
        <f t="shared" si="5"/>
        <v>13.10.2021_KIN3</v>
      </c>
      <c r="D154" s="190">
        <f t="shared" si="6"/>
        <v>0</v>
      </c>
      <c r="E154" s="231">
        <v>1.0870567245170632E-5</v>
      </c>
      <c r="F154" s="231">
        <v>1.493029422437556E-3</v>
      </c>
      <c r="G154" s="231">
        <v>0.17625722199421626</v>
      </c>
      <c r="H154" s="231">
        <v>2.5061062234074676E-3</v>
      </c>
      <c r="I154" s="231">
        <v>1.5895261591352159E-4</v>
      </c>
      <c r="J154" s="231">
        <v>1.1140815568541537E-2</v>
      </c>
      <c r="K154" s="229">
        <v>136</v>
      </c>
      <c r="L154" s="229">
        <v>47</v>
      </c>
      <c r="M154" s="229">
        <v>20</v>
      </c>
      <c r="N154" s="229">
        <v>5.9</v>
      </c>
      <c r="O154" s="205">
        <v>1.3008588213594564E-4</v>
      </c>
      <c r="P154" s="232">
        <v>198.61599999999999</v>
      </c>
      <c r="Q154" s="233"/>
      <c r="R154" s="235"/>
    </row>
    <row r="155" spans="1:18" ht="16.5" customHeight="1" x14ac:dyDescent="0.25">
      <c r="A155" s="230">
        <v>44482</v>
      </c>
      <c r="B155" s="128" t="s">
        <v>6</v>
      </c>
      <c r="C155" s="157" t="str">
        <f t="shared" si="5"/>
        <v>13.10.2021_KIN4</v>
      </c>
      <c r="D155" s="190">
        <f t="shared" si="6"/>
        <v>0</v>
      </c>
      <c r="E155" s="231">
        <v>1.5352135154522229E-5</v>
      </c>
      <c r="F155" s="231">
        <v>1.2817755348023758E-3</v>
      </c>
      <c r="G155" s="231">
        <v>0.16410995604547363</v>
      </c>
      <c r="H155" s="231">
        <v>1.9543048096165574E-3</v>
      </c>
      <c r="I155" s="231">
        <v>1.4137621498122797E-4</v>
      </c>
      <c r="J155" s="231">
        <v>1.1796950014508567E-2</v>
      </c>
      <c r="K155" s="229">
        <v>127</v>
      </c>
      <c r="L155" s="229">
        <v>47</v>
      </c>
      <c r="M155" s="229">
        <v>50</v>
      </c>
      <c r="N155" s="229">
        <v>7.3</v>
      </c>
      <c r="O155" s="205">
        <v>1.3083784754778247E-4</v>
      </c>
      <c r="P155" s="232">
        <v>211.792</v>
      </c>
      <c r="Q155" s="233"/>
      <c r="R155" s="235"/>
    </row>
    <row r="156" spans="1:18" ht="16.5" customHeight="1" x14ac:dyDescent="0.25">
      <c r="A156" s="230">
        <v>44482</v>
      </c>
      <c r="B156" s="128" t="s">
        <v>34</v>
      </c>
      <c r="C156" s="157" t="str">
        <f t="shared" si="5"/>
        <v>13.10.2021_KRE1</v>
      </c>
      <c r="D156" s="190">
        <f t="shared" si="6"/>
        <v>0</v>
      </c>
      <c r="E156" s="231">
        <v>8.486741380800243E-6</v>
      </c>
      <c r="F156" s="231">
        <v>1.6693268482980844E-3</v>
      </c>
      <c r="G156" s="231">
        <v>0.2614701952951875</v>
      </c>
      <c r="H156" s="231">
        <v>2.8330920617000428E-3</v>
      </c>
      <c r="I156" s="231">
        <v>1.3287781988890375E-4</v>
      </c>
      <c r="J156" s="231">
        <v>7.2369131553874019E-3</v>
      </c>
      <c r="K156" s="229">
        <v>216</v>
      </c>
      <c r="L156" s="229">
        <v>60</v>
      </c>
      <c r="M156" s="229">
        <v>111</v>
      </c>
      <c r="N156" s="229">
        <v>21</v>
      </c>
      <c r="O156" s="205">
        <v>2.8415920990983959E-4</v>
      </c>
      <c r="P156" s="232">
        <v>270.84000000000003</v>
      </c>
      <c r="Q156" s="233"/>
      <c r="R156" s="235"/>
    </row>
    <row r="157" spans="1:18" ht="16.5" customHeight="1" x14ac:dyDescent="0.25">
      <c r="A157" s="230">
        <v>44482</v>
      </c>
      <c r="B157" s="128" t="s">
        <v>37</v>
      </c>
      <c r="C157" s="157" t="str">
        <f t="shared" si="5"/>
        <v>13.10.2021_KRE2</v>
      </c>
      <c r="D157" s="190">
        <f t="shared" si="6"/>
        <v>0</v>
      </c>
      <c r="E157" s="231">
        <v>1.1919129321851961E-5</v>
      </c>
      <c r="F157" s="231">
        <v>2.7801718496762496E-3</v>
      </c>
      <c r="G157" s="231">
        <v>0.25073856534698424</v>
      </c>
      <c r="H157" s="231">
        <v>3.0454076143643202E-3</v>
      </c>
      <c r="I157" s="231">
        <v>1.1414291258870733E-4</v>
      </c>
      <c r="J157" s="231">
        <v>8.403340498099255E-3</v>
      </c>
      <c r="K157" s="229">
        <v>203</v>
      </c>
      <c r="L157" s="229">
        <v>60</v>
      </c>
      <c r="M157" s="229">
        <v>104</v>
      </c>
      <c r="N157" s="229">
        <v>21</v>
      </c>
      <c r="O157" s="205">
        <v>3.430952557526624E-4</v>
      </c>
      <c r="P157" s="232">
        <v>253.51599999999999</v>
      </c>
      <c r="Q157" s="233"/>
      <c r="R157" s="235"/>
    </row>
    <row r="158" spans="1:18" ht="16.5" customHeight="1" x14ac:dyDescent="0.25">
      <c r="A158" s="230">
        <v>44482</v>
      </c>
      <c r="B158" s="128" t="s">
        <v>18</v>
      </c>
      <c r="C158" s="157" t="str">
        <f t="shared" si="5"/>
        <v>13.10.2021_ORB1</v>
      </c>
      <c r="D158" s="190">
        <f t="shared" si="6"/>
        <v>0</v>
      </c>
      <c r="E158" s="231">
        <v>1.4302955186222352E-5</v>
      </c>
      <c r="F158" s="231">
        <v>1.4542147869157657E-3</v>
      </c>
      <c r="G158" s="231">
        <v>6.2262901079834704E-2</v>
      </c>
      <c r="H158" s="231">
        <v>1.1094237565540195E-3</v>
      </c>
      <c r="I158" s="231">
        <v>9.4883995695251136E-5</v>
      </c>
      <c r="J158" s="231">
        <v>9.7059063778410261E-3</v>
      </c>
      <c r="K158" s="229">
        <v>30</v>
      </c>
      <c r="L158" s="229">
        <v>6.4</v>
      </c>
      <c r="M158" s="229">
        <v>14</v>
      </c>
      <c r="N158" s="229">
        <v>6.5</v>
      </c>
      <c r="O158" s="205">
        <v>5.3317935517709237E-5</v>
      </c>
      <c r="P158" s="232">
        <v>22.936</v>
      </c>
      <c r="Q158" s="233"/>
      <c r="R158" s="235"/>
    </row>
    <row r="159" spans="1:18" ht="16.5" customHeight="1" x14ac:dyDescent="0.25">
      <c r="A159" s="230">
        <v>44482</v>
      </c>
      <c r="B159" s="128" t="s">
        <v>21</v>
      </c>
      <c r="C159" s="157" t="str">
        <f t="shared" si="5"/>
        <v>13.10.2021_ORB2</v>
      </c>
      <c r="D159" s="190">
        <f t="shared" si="6"/>
        <v>0</v>
      </c>
      <c r="E159" s="231">
        <v>1.7449877199503429E-5</v>
      </c>
      <c r="F159" s="231">
        <v>2.8051661613276943E-3</v>
      </c>
      <c r="G159" s="231">
        <v>7.4145211079245446E-2</v>
      </c>
      <c r="H159" s="231">
        <v>1.3804551594298149E-3</v>
      </c>
      <c r="I159" s="231">
        <v>1.0567240746449932E-4</v>
      </c>
      <c r="J159" s="231">
        <v>1.1359840062596868E-2</v>
      </c>
      <c r="K159" s="229">
        <v>39</v>
      </c>
      <c r="L159" s="229">
        <v>7.7</v>
      </c>
      <c r="M159" s="229">
        <v>31</v>
      </c>
      <c r="N159" s="229">
        <v>8.1999999999999993</v>
      </c>
      <c r="O159" s="205">
        <v>6.719467245014523E-5</v>
      </c>
      <c r="P159" s="232">
        <v>33.184000000000005</v>
      </c>
      <c r="Q159" s="233"/>
      <c r="R159" s="235"/>
    </row>
    <row r="160" spans="1:18" ht="16.5" customHeight="1" x14ac:dyDescent="0.25">
      <c r="A160" s="230">
        <v>44482</v>
      </c>
      <c r="B160" s="128" t="s">
        <v>10</v>
      </c>
      <c r="C160" s="157" t="str">
        <f t="shared" si="5"/>
        <v>13.10.2021_SAL1</v>
      </c>
      <c r="D160" s="190">
        <f t="shared" si="6"/>
        <v>0</v>
      </c>
      <c r="E160" s="231">
        <v>1.4779967515743851E-5</v>
      </c>
      <c r="F160" s="231">
        <v>2.8498173243654704E-3</v>
      </c>
      <c r="G160" s="231">
        <v>9.4552557711090501E-2</v>
      </c>
      <c r="H160" s="231">
        <v>1.2895028836628138E-3</v>
      </c>
      <c r="I160" s="231">
        <v>1.441630664106831E-4</v>
      </c>
      <c r="J160" s="231">
        <v>1.6661970632778984E-2</v>
      </c>
      <c r="K160" s="229">
        <v>53</v>
      </c>
      <c r="L160" s="229">
        <v>32</v>
      </c>
      <c r="M160" s="229">
        <v>16</v>
      </c>
      <c r="N160" s="229">
        <v>3.7</v>
      </c>
      <c r="O160" s="205">
        <v>9.3262314570985609E-5</v>
      </c>
      <c r="P160" s="232">
        <v>106.384</v>
      </c>
      <c r="Q160" s="233"/>
      <c r="R160" s="235"/>
    </row>
    <row r="161" spans="1:18" ht="16.5" customHeight="1" x14ac:dyDescent="0.25">
      <c r="A161" s="230">
        <v>44482</v>
      </c>
      <c r="B161" s="128" t="s">
        <v>12</v>
      </c>
      <c r="C161" s="157" t="str">
        <f t="shared" si="5"/>
        <v>13.10.2021_SAL2</v>
      </c>
      <c r="D161" s="190">
        <f t="shared" si="6"/>
        <v>0</v>
      </c>
      <c r="E161" s="231">
        <v>6.7702384644651072E-6</v>
      </c>
      <c r="F161" s="231">
        <v>6.2218906115355237E-4</v>
      </c>
      <c r="G161" s="231">
        <v>9.6402048810619881E-2</v>
      </c>
      <c r="H161" s="231">
        <v>1.3616860162439391E-3</v>
      </c>
      <c r="I161" s="231">
        <v>1.012025037283409E-4</v>
      </c>
      <c r="J161" s="231">
        <v>5.1989777151238382E-3</v>
      </c>
      <c r="K161" s="229">
        <v>60</v>
      </c>
      <c r="L161" s="229">
        <v>32</v>
      </c>
      <c r="M161" s="229">
        <v>16</v>
      </c>
      <c r="N161" s="229">
        <v>3.7</v>
      </c>
      <c r="O161" s="205">
        <v>8.2484242099224977E-5</v>
      </c>
      <c r="P161" s="232">
        <v>114.19200000000001</v>
      </c>
      <c r="Q161" s="233"/>
      <c r="R161" s="235"/>
    </row>
    <row r="162" spans="1:18" ht="16.5" customHeight="1" x14ac:dyDescent="0.25">
      <c r="A162" s="230">
        <v>44482</v>
      </c>
      <c r="B162" s="128" t="s">
        <v>7</v>
      </c>
      <c r="C162" s="157" t="str">
        <f t="shared" si="5"/>
        <v>13.10.2021_STE1</v>
      </c>
      <c r="D162" s="190">
        <f t="shared" si="6"/>
        <v>0</v>
      </c>
      <c r="E162" s="231">
        <v>9.8213872768707572E-6</v>
      </c>
      <c r="F162" s="231">
        <v>2.0359634050033356E-3</v>
      </c>
      <c r="G162" s="231">
        <v>0.13278639190620883</v>
      </c>
      <c r="H162" s="231">
        <v>1.8689212248825286E-3</v>
      </c>
      <c r="I162" s="231">
        <v>1.0989380443346868E-4</v>
      </c>
      <c r="J162" s="231">
        <v>1.2527765520863134E-2</v>
      </c>
      <c r="K162" s="229">
        <v>34</v>
      </c>
      <c r="L162" s="229">
        <v>13</v>
      </c>
      <c r="M162" s="229">
        <v>7.7</v>
      </c>
      <c r="N162" s="229">
        <v>1.7</v>
      </c>
      <c r="O162" s="205">
        <v>1.0016657661463649E-4</v>
      </c>
      <c r="P162" s="232">
        <v>142.00799999999998</v>
      </c>
      <c r="Q162" s="233"/>
      <c r="R162" s="235"/>
    </row>
    <row r="163" spans="1:18" ht="16.5" customHeight="1" x14ac:dyDescent="0.25">
      <c r="A163" s="230">
        <v>44482</v>
      </c>
      <c r="B163" s="128" t="s">
        <v>9</v>
      </c>
      <c r="C163" s="157" t="str">
        <f t="shared" si="5"/>
        <v>13.10.2021_STE2</v>
      </c>
      <c r="D163" s="190">
        <f t="shared" si="6"/>
        <v>0</v>
      </c>
      <c r="E163" s="231">
        <v>4.767651728740784E-6</v>
      </c>
      <c r="F163" s="231">
        <v>2.1195264576938421E-3</v>
      </c>
      <c r="G163" s="231">
        <v>0.1327649360393019</v>
      </c>
      <c r="H163" s="231">
        <v>1.8277313947900049E-3</v>
      </c>
      <c r="I163" s="231">
        <v>1.155225721012237E-4</v>
      </c>
      <c r="J163" s="231">
        <v>6.4650709946615197E-3</v>
      </c>
      <c r="K163" s="229">
        <v>33</v>
      </c>
      <c r="L163" s="229">
        <v>13</v>
      </c>
      <c r="M163" s="229">
        <v>11</v>
      </c>
      <c r="N163" s="229">
        <v>1.6</v>
      </c>
      <c r="O163" s="205">
        <v>9.339903555495593E-5</v>
      </c>
      <c r="P163" s="232">
        <v>142.98399999999998</v>
      </c>
      <c r="Q163" s="233"/>
      <c r="R163" s="235"/>
    </row>
    <row r="164" spans="1:18" ht="16.5" customHeight="1" x14ac:dyDescent="0.25">
      <c r="A164" s="230">
        <v>44510</v>
      </c>
      <c r="B164" s="128" t="s">
        <v>22</v>
      </c>
      <c r="C164" s="157" t="str">
        <f t="shared" si="5"/>
        <v>10.11.2021_BIE1</v>
      </c>
      <c r="D164" s="190">
        <f t="shared" si="6"/>
        <v>0</v>
      </c>
      <c r="E164" s="231">
        <v>2.460135479261461E-5</v>
      </c>
      <c r="F164" s="231">
        <v>2.4640645724623334E-3</v>
      </c>
      <c r="G164" s="231">
        <v>0.11393127803555926</v>
      </c>
      <c r="H164" s="231">
        <v>2.1141326350701314E-3</v>
      </c>
      <c r="I164" s="231">
        <v>1.7078994077852374E-4</v>
      </c>
      <c r="J164" s="231">
        <v>1.8098743783194659E-2</v>
      </c>
      <c r="K164" s="229">
        <v>16</v>
      </c>
      <c r="L164" s="229">
        <v>5.9</v>
      </c>
      <c r="M164" s="229">
        <v>3.8</v>
      </c>
      <c r="N164" s="229">
        <v>2.5</v>
      </c>
      <c r="O164" s="205">
        <v>2.9035801529969971E-4</v>
      </c>
      <c r="P164" s="232">
        <v>80.52000000000001</v>
      </c>
      <c r="Q164" s="233"/>
      <c r="R164" s="235"/>
    </row>
    <row r="165" spans="1:18" ht="16.5" customHeight="1" x14ac:dyDescent="0.25">
      <c r="A165" s="230">
        <v>44510</v>
      </c>
      <c r="B165" s="128" t="s">
        <v>25</v>
      </c>
      <c r="C165" s="157" t="str">
        <f t="shared" si="5"/>
        <v>10.11.2021_BIE2</v>
      </c>
      <c r="D165" s="190">
        <f t="shared" si="6"/>
        <v>0</v>
      </c>
      <c r="E165" s="231">
        <v>3.2229844715247287E-5</v>
      </c>
      <c r="F165" s="231">
        <v>2.0596697392496408E-3</v>
      </c>
      <c r="G165" s="231">
        <v>9.7249986521922183E-2</v>
      </c>
      <c r="H165" s="231">
        <v>2.3735152312979678E-3</v>
      </c>
      <c r="I165" s="231">
        <v>1.3425747940142013E-4</v>
      </c>
      <c r="J165" s="231">
        <v>1.2225379580932515E-2</v>
      </c>
      <c r="K165" s="229">
        <v>13</v>
      </c>
      <c r="L165" s="229">
        <v>5.7</v>
      </c>
      <c r="M165" s="229">
        <v>4.8</v>
      </c>
      <c r="N165" s="229">
        <v>2.6</v>
      </c>
      <c r="O165" s="205">
        <v>2.8826143001635336E-4</v>
      </c>
      <c r="P165" s="232">
        <v>71.97999999999999</v>
      </c>
      <c r="Q165" s="233"/>
      <c r="R165" s="235"/>
    </row>
    <row r="166" spans="1:18" ht="16.5" customHeight="1" x14ac:dyDescent="0.25">
      <c r="A166" s="230">
        <v>44510</v>
      </c>
      <c r="B166" s="128" t="s">
        <v>14</v>
      </c>
      <c r="C166" s="157" t="str">
        <f t="shared" si="5"/>
        <v>10.11.2021_BRA1</v>
      </c>
      <c r="D166" s="190">
        <f t="shared" si="6"/>
        <v>0</v>
      </c>
      <c r="E166" s="231">
        <v>9.7262319676138776E-6</v>
      </c>
      <c r="F166" s="231">
        <v>1.4182646694480281E-3</v>
      </c>
      <c r="G166" s="231">
        <v>9.1024453067320057E-2</v>
      </c>
      <c r="H166" s="231">
        <v>1.4204623201764294E-3</v>
      </c>
      <c r="I166" s="231">
        <v>1.4753185275179312E-4</v>
      </c>
      <c r="J166" s="231">
        <v>6.092929320626243E-3</v>
      </c>
      <c r="K166" s="229">
        <v>30</v>
      </c>
      <c r="L166" s="229">
        <v>15</v>
      </c>
      <c r="M166" s="229">
        <v>10</v>
      </c>
      <c r="N166" s="229">
        <v>2.7</v>
      </c>
      <c r="O166" s="205">
        <v>1.3865397654283805E-4</v>
      </c>
      <c r="P166" s="232">
        <v>78.567999999999998</v>
      </c>
      <c r="Q166" s="233"/>
      <c r="R166" s="235"/>
    </row>
    <row r="167" spans="1:18" ht="16.5" customHeight="1" x14ac:dyDescent="0.25">
      <c r="A167" s="230">
        <v>44510</v>
      </c>
      <c r="B167" s="128" t="s">
        <v>17</v>
      </c>
      <c r="C167" s="157" t="str">
        <f t="shared" si="5"/>
        <v>10.11.2021_BRA2</v>
      </c>
      <c r="D167" s="190">
        <f t="shared" si="6"/>
        <v>0</v>
      </c>
      <c r="E167" s="231">
        <v>8.2958128706679318E-6</v>
      </c>
      <c r="F167" s="231">
        <v>1.1596096302567962E-3</v>
      </c>
      <c r="G167" s="231">
        <v>0.10010575720090617</v>
      </c>
      <c r="H167" s="231">
        <v>1.3125621564266242E-3</v>
      </c>
      <c r="I167" s="231">
        <v>1.056999398689217E-4</v>
      </c>
      <c r="J167" s="231">
        <v>7.1604690952459726E-3</v>
      </c>
      <c r="K167" s="229">
        <v>35</v>
      </c>
      <c r="L167" s="229">
        <v>18</v>
      </c>
      <c r="M167" s="229">
        <v>12</v>
      </c>
      <c r="N167" s="229">
        <v>3.2</v>
      </c>
      <c r="O167" s="205">
        <v>9.7523402689110675E-5</v>
      </c>
      <c r="P167" s="232">
        <v>85.399999999999991</v>
      </c>
      <c r="Q167" s="233"/>
      <c r="R167" s="235"/>
    </row>
    <row r="168" spans="1:18" ht="16.5" customHeight="1" x14ac:dyDescent="0.25">
      <c r="A168" s="230">
        <v>44510</v>
      </c>
      <c r="B168" s="128" t="s">
        <v>30</v>
      </c>
      <c r="C168" s="157" t="str">
        <f t="shared" si="5"/>
        <v>10.11.2021_FAL1</v>
      </c>
      <c r="D168" s="190">
        <f t="shared" si="6"/>
        <v>0</v>
      </c>
      <c r="E168" s="231">
        <v>7.4375614125003652E-6</v>
      </c>
      <c r="F168" s="231">
        <v>1.8264684095125805E-3</v>
      </c>
      <c r="G168" s="231">
        <v>0.32303811487210132</v>
      </c>
      <c r="H168" s="231">
        <v>3.118251568654E-3</v>
      </c>
      <c r="I168" s="231">
        <v>1.7125888556293874E-4</v>
      </c>
      <c r="J168" s="231">
        <v>1.1464002517267901E-2</v>
      </c>
      <c r="K168" s="229">
        <v>140</v>
      </c>
      <c r="L168" s="229">
        <v>35</v>
      </c>
      <c r="M168" s="229">
        <v>73</v>
      </c>
      <c r="N168" s="229">
        <v>20</v>
      </c>
      <c r="O168" s="205">
        <v>2.5815623710971093E-4</v>
      </c>
      <c r="P168" s="232">
        <v>270.84000000000003</v>
      </c>
      <c r="Q168" s="233"/>
      <c r="R168" s="235"/>
    </row>
    <row r="169" spans="1:18" ht="16.5" customHeight="1" x14ac:dyDescent="0.25">
      <c r="A169" s="230">
        <v>44510</v>
      </c>
      <c r="B169" s="128" t="s">
        <v>32</v>
      </c>
      <c r="C169" s="157" t="str">
        <f t="shared" si="5"/>
        <v>10.11.2021_FAL2</v>
      </c>
      <c r="D169" s="190">
        <f t="shared" si="6"/>
        <v>0</v>
      </c>
      <c r="E169" s="231">
        <v>8.9631358187031897E-6</v>
      </c>
      <c r="F169" s="231">
        <v>2.0948328660525392E-3</v>
      </c>
      <c r="G169" s="231">
        <v>0.3118944732742045</v>
      </c>
      <c r="H169" s="231">
        <v>2.9847905988587904E-3</v>
      </c>
      <c r="I169" s="231">
        <v>1.4722577822990276E-4</v>
      </c>
      <c r="J169" s="231">
        <v>9.1376179540936953E-3</v>
      </c>
      <c r="K169" s="229">
        <v>128</v>
      </c>
      <c r="L169" s="229">
        <v>34</v>
      </c>
      <c r="M169" s="229">
        <v>59</v>
      </c>
      <c r="N169" s="229">
        <v>17</v>
      </c>
      <c r="O169" s="205">
        <v>2.7930502439148903E-4</v>
      </c>
      <c r="P169" s="232">
        <v>279.13599999999997</v>
      </c>
      <c r="Q169" s="233"/>
      <c r="R169" s="235"/>
    </row>
    <row r="170" spans="1:18" ht="16.5" customHeight="1" x14ac:dyDescent="0.25">
      <c r="A170" s="230">
        <v>44510</v>
      </c>
      <c r="B170" s="128" t="s">
        <v>26</v>
      </c>
      <c r="C170" s="157" t="str">
        <f t="shared" si="5"/>
        <v>10.11.2021_GRU1</v>
      </c>
      <c r="D170" s="190">
        <f t="shared" si="6"/>
        <v>0</v>
      </c>
      <c r="E170" s="231">
        <v>1.3635632238187096E-5</v>
      </c>
      <c r="F170" s="231">
        <v>1.2688381760681908E-3</v>
      </c>
      <c r="G170" s="231">
        <v>0.10351984898922528</v>
      </c>
      <c r="H170" s="231">
        <v>2.8586243780608527E-3</v>
      </c>
      <c r="I170" s="231">
        <v>1.5106118519141808E-4</v>
      </c>
      <c r="J170" s="231">
        <v>8.5939974142180669E-3</v>
      </c>
      <c r="K170" s="229">
        <v>32</v>
      </c>
      <c r="L170" s="229">
        <v>11</v>
      </c>
      <c r="M170" s="229">
        <v>12</v>
      </c>
      <c r="N170" s="229">
        <v>4.3</v>
      </c>
      <c r="O170" s="205">
        <v>1.3496236232878815E-4</v>
      </c>
      <c r="P170" s="232">
        <v>63.440000000000005</v>
      </c>
      <c r="Q170" s="233"/>
      <c r="R170" s="235"/>
    </row>
    <row r="171" spans="1:18" ht="16.5" customHeight="1" x14ac:dyDescent="0.25">
      <c r="A171" s="230">
        <v>44510</v>
      </c>
      <c r="B171" s="128" t="s">
        <v>28</v>
      </c>
      <c r="C171" s="157" t="str">
        <f t="shared" si="5"/>
        <v>10.11.2021_GRU2</v>
      </c>
      <c r="D171" s="190">
        <f t="shared" si="6"/>
        <v>0</v>
      </c>
      <c r="E171" s="231">
        <v>1.2014284631108839E-5</v>
      </c>
      <c r="F171" s="231">
        <v>1.1595110964662389E-3</v>
      </c>
      <c r="G171" s="231">
        <v>0.1222489696592188</v>
      </c>
      <c r="H171" s="231">
        <v>2.3044312205045955E-3</v>
      </c>
      <c r="I171" s="231">
        <v>1.1130099635040743E-4</v>
      </c>
      <c r="J171" s="231">
        <v>9.1755072505285938E-3</v>
      </c>
      <c r="K171" s="229">
        <v>36</v>
      </c>
      <c r="L171" s="229">
        <v>10</v>
      </c>
      <c r="M171" s="229">
        <v>10</v>
      </c>
      <c r="N171" s="229">
        <v>4.2</v>
      </c>
      <c r="O171" s="205">
        <v>1.309745685317528E-4</v>
      </c>
      <c r="P171" s="232">
        <v>72.22399999999999</v>
      </c>
      <c r="Q171" s="233"/>
      <c r="R171" s="235"/>
    </row>
    <row r="172" spans="1:18" ht="16.5" customHeight="1" x14ac:dyDescent="0.25">
      <c r="A172" s="230">
        <v>44510</v>
      </c>
      <c r="B172" s="128" t="s">
        <v>0</v>
      </c>
      <c r="C172" s="157" t="str">
        <f t="shared" si="5"/>
        <v>10.11.2021_KIN1</v>
      </c>
      <c r="D172" s="190">
        <f t="shared" si="6"/>
        <v>0</v>
      </c>
      <c r="E172" s="231">
        <v>6.8653937737219869E-6</v>
      </c>
      <c r="F172" s="231">
        <v>6.4944421143443504E-3</v>
      </c>
      <c r="G172" s="231">
        <v>0.22125543329199501</v>
      </c>
      <c r="H172" s="231">
        <v>3.9263823183284894E-3</v>
      </c>
      <c r="I172" s="231">
        <v>1.463980182787623E-4</v>
      </c>
      <c r="J172" s="231">
        <v>9.0311355914952842E-3</v>
      </c>
      <c r="K172" s="229">
        <v>88</v>
      </c>
      <c r="L172" s="229">
        <v>22</v>
      </c>
      <c r="M172" s="229">
        <v>12</v>
      </c>
      <c r="N172" s="229">
        <v>5</v>
      </c>
      <c r="O172" s="205">
        <v>1.3860835366589767E-4</v>
      </c>
      <c r="P172" s="232">
        <v>193.49200000000002</v>
      </c>
      <c r="Q172" s="233"/>
      <c r="R172" s="235"/>
    </row>
    <row r="173" spans="1:18" ht="16.5" customHeight="1" x14ac:dyDescent="0.25">
      <c r="A173" s="230">
        <v>44510</v>
      </c>
      <c r="B173" s="128" t="s">
        <v>2</v>
      </c>
      <c r="C173" s="157" t="str">
        <f t="shared" si="5"/>
        <v>10.11.2021_KIN2</v>
      </c>
      <c r="D173" s="190">
        <f t="shared" si="6"/>
        <v>0</v>
      </c>
      <c r="E173" s="231">
        <v>5.4349746767760411E-6</v>
      </c>
      <c r="F173" s="231">
        <v>1.3009352384272608E-3</v>
      </c>
      <c r="G173" s="231">
        <v>0.19907581701312552</v>
      </c>
      <c r="H173" s="231">
        <v>2.3366134461723109E-3</v>
      </c>
      <c r="I173" s="231">
        <v>2.0655024335887237E-4</v>
      </c>
      <c r="J173" s="231">
        <v>8.5245836412725685E-3</v>
      </c>
      <c r="K173" s="229">
        <v>82</v>
      </c>
      <c r="L173" s="229">
        <v>23</v>
      </c>
      <c r="M173" s="229">
        <v>10</v>
      </c>
      <c r="N173" s="229">
        <v>5.6</v>
      </c>
      <c r="O173" s="205">
        <v>1.2874155755813798E-4</v>
      </c>
      <c r="P173" s="232">
        <v>183.732</v>
      </c>
      <c r="Q173" s="233"/>
      <c r="R173" s="235"/>
    </row>
    <row r="174" spans="1:18" ht="16.5" customHeight="1" x14ac:dyDescent="0.25">
      <c r="A174" s="230">
        <v>44510</v>
      </c>
      <c r="B174" s="128" t="s">
        <v>4</v>
      </c>
      <c r="C174" s="157" t="str">
        <f t="shared" si="5"/>
        <v>10.11.2021_KIN3</v>
      </c>
      <c r="D174" s="190">
        <f t="shared" si="6"/>
        <v>0</v>
      </c>
      <c r="E174" s="231">
        <v>1.1156651064559823E-5</v>
      </c>
      <c r="F174" s="231">
        <v>1.7173275203849932E-3</v>
      </c>
      <c r="G174" s="231">
        <v>0.18092748566143627</v>
      </c>
      <c r="H174" s="231">
        <v>2.3957205083942564E-3</v>
      </c>
      <c r="I174" s="231">
        <v>1.377617823824793E-4</v>
      </c>
      <c r="J174" s="231">
        <v>9.4151460317308568E-3</v>
      </c>
      <c r="K174" s="229">
        <v>71</v>
      </c>
      <c r="L174" s="229">
        <v>24</v>
      </c>
      <c r="M174" s="229">
        <v>14</v>
      </c>
      <c r="N174" s="229">
        <v>5.0999999999999996</v>
      </c>
      <c r="O174" s="205">
        <v>1.4669792462889393E-4</v>
      </c>
      <c r="P174" s="232">
        <v>171.77599999999998</v>
      </c>
      <c r="Q174" s="233"/>
      <c r="R174" s="235"/>
    </row>
    <row r="175" spans="1:18" ht="16.5" customHeight="1" x14ac:dyDescent="0.25">
      <c r="A175" s="230">
        <v>44510</v>
      </c>
      <c r="B175" s="128" t="s">
        <v>6</v>
      </c>
      <c r="C175" s="157" t="str">
        <f t="shared" si="5"/>
        <v>10.11.2021_KIN4</v>
      </c>
      <c r="D175" s="190">
        <f t="shared" si="6"/>
        <v>0</v>
      </c>
      <c r="E175" s="231">
        <v>7.9906979894273677E-5</v>
      </c>
      <c r="F175" s="231">
        <v>2.7990404307381249E-3</v>
      </c>
      <c r="G175" s="231">
        <v>0.22071605744125258</v>
      </c>
      <c r="H175" s="231">
        <v>3.0523771640349855E-3</v>
      </c>
      <c r="I175" s="231">
        <v>2.0986164072712795E-4</v>
      </c>
      <c r="J175" s="231">
        <v>1.8068350492486739E-2</v>
      </c>
      <c r="K175" s="229">
        <v>78</v>
      </c>
      <c r="L175" s="229">
        <v>23</v>
      </c>
      <c r="M175" s="229">
        <v>37</v>
      </c>
      <c r="N175" s="229">
        <v>6.1</v>
      </c>
      <c r="O175" s="205">
        <v>1.6773095677953518E-4</v>
      </c>
      <c r="P175" s="232">
        <v>195.68800000000002</v>
      </c>
      <c r="Q175" s="233"/>
      <c r="R175" s="235"/>
    </row>
    <row r="176" spans="1:18" ht="16.5" customHeight="1" x14ac:dyDescent="0.25">
      <c r="A176" s="230">
        <v>44510</v>
      </c>
      <c r="B176" s="128" t="s">
        <v>34</v>
      </c>
      <c r="C176" s="157" t="str">
        <f t="shared" si="5"/>
        <v>10.11.2021_KRE1</v>
      </c>
      <c r="D176" s="190">
        <f t="shared" si="6"/>
        <v>0</v>
      </c>
      <c r="E176" s="231">
        <v>2.002401368238758E-5</v>
      </c>
      <c r="F176" s="231">
        <v>3.2035875434453147E-3</v>
      </c>
      <c r="G176" s="231">
        <v>0.39327979859241669</v>
      </c>
      <c r="H176" s="231">
        <v>3.8382894340764219E-3</v>
      </c>
      <c r="I176" s="231">
        <v>1.5856626834237375E-4</v>
      </c>
      <c r="J176" s="231">
        <v>1.0470286186160358E-2</v>
      </c>
      <c r="K176" s="229">
        <v>54</v>
      </c>
      <c r="L176" s="229">
        <v>13</v>
      </c>
      <c r="M176" s="229">
        <v>25</v>
      </c>
      <c r="N176" s="229">
        <v>6.3</v>
      </c>
      <c r="O176" s="205">
        <v>3.6540735257299591E-4</v>
      </c>
      <c r="P176" s="232">
        <v>281.08799999999997</v>
      </c>
      <c r="Q176" s="233"/>
      <c r="R176" s="235"/>
    </row>
    <row r="177" spans="1:18" ht="16.5" customHeight="1" x14ac:dyDescent="0.25">
      <c r="A177" s="230">
        <v>44510</v>
      </c>
      <c r="B177" s="128" t="s">
        <v>37</v>
      </c>
      <c r="C177" s="157" t="str">
        <f t="shared" si="5"/>
        <v>10.11.2021_KRE2</v>
      </c>
      <c r="D177" s="190">
        <f t="shared" si="6"/>
        <v>0</v>
      </c>
      <c r="E177" s="231">
        <v>1.0679638735038323E-5</v>
      </c>
      <c r="F177" s="231">
        <v>2.3949188048537954E-3</v>
      </c>
      <c r="G177" s="231">
        <v>0.39337090359320331</v>
      </c>
      <c r="H177" s="231">
        <v>4.3906856568920669E-3</v>
      </c>
      <c r="I177" s="231">
        <v>1.4719824582548038E-4</v>
      </c>
      <c r="J177" s="231">
        <v>2.2631560534046712E-2</v>
      </c>
      <c r="K177" s="229">
        <v>59</v>
      </c>
      <c r="L177" s="229">
        <v>13</v>
      </c>
      <c r="M177" s="229">
        <v>24</v>
      </c>
      <c r="N177" s="229">
        <v>6.5</v>
      </c>
      <c r="O177" s="205">
        <v>4.7013710276278041E-4</v>
      </c>
      <c r="P177" s="232">
        <v>317.44399999999996</v>
      </c>
      <c r="Q177" s="233"/>
      <c r="R177" s="235"/>
    </row>
    <row r="178" spans="1:18" ht="16.5" customHeight="1" x14ac:dyDescent="0.25">
      <c r="A178" s="230">
        <v>44510</v>
      </c>
      <c r="B178" s="128" t="s">
        <v>18</v>
      </c>
      <c r="C178" s="157" t="str">
        <f t="shared" si="5"/>
        <v>10.11.2021_ORB1</v>
      </c>
      <c r="D178" s="190">
        <f t="shared" si="6"/>
        <v>0</v>
      </c>
      <c r="E178" s="231">
        <v>1.6591625741335864E-5</v>
      </c>
      <c r="F178" s="231">
        <v>1.2397035257239218E-3</v>
      </c>
      <c r="G178" s="231">
        <v>8.4700670369378075E-2</v>
      </c>
      <c r="H178" s="231">
        <v>1.7440655295760041E-3</v>
      </c>
      <c r="I178" s="231">
        <v>1.1339810741452782E-4</v>
      </c>
      <c r="J178" s="231">
        <v>8.9068777621664555E-3</v>
      </c>
      <c r="K178" s="229">
        <v>9.1999999999999993</v>
      </c>
      <c r="L178" s="229">
        <v>1.7</v>
      </c>
      <c r="M178" s="229">
        <v>4.0999999999999996</v>
      </c>
      <c r="N178" s="229">
        <v>2.4</v>
      </c>
      <c r="O178" s="205">
        <v>6.2956469593915834E-5</v>
      </c>
      <c r="P178" s="232">
        <v>24.887999999999998</v>
      </c>
      <c r="Q178" s="233"/>
      <c r="R178" s="235"/>
    </row>
    <row r="179" spans="1:18" ht="16.5" customHeight="1" x14ac:dyDescent="0.25">
      <c r="A179" s="230">
        <v>44510</v>
      </c>
      <c r="B179" s="128" t="s">
        <v>21</v>
      </c>
      <c r="C179" s="157" t="str">
        <f t="shared" si="5"/>
        <v>10.11.2021_ORB2</v>
      </c>
      <c r="D179" s="190">
        <f t="shared" si="6"/>
        <v>0</v>
      </c>
      <c r="E179" s="231">
        <v>1.6019458102557489E-5</v>
      </c>
      <c r="F179" s="231">
        <v>1.8883975367075246E-3</v>
      </c>
      <c r="G179" s="231">
        <v>0.10172094028393543</v>
      </c>
      <c r="H179" s="231">
        <v>1.7827871801640212E-3</v>
      </c>
      <c r="I179" s="231">
        <v>1.2435189239215719E-4</v>
      </c>
      <c r="J179" s="231">
        <v>1.2501601692618981E-2</v>
      </c>
      <c r="K179" s="229">
        <v>25</v>
      </c>
      <c r="L179" s="229">
        <v>3.8</v>
      </c>
      <c r="M179" s="229">
        <v>19</v>
      </c>
      <c r="N179" s="229">
        <v>6.1</v>
      </c>
      <c r="O179" s="205">
        <v>7.7699155307114258E-5</v>
      </c>
      <c r="P179" s="232">
        <v>32.696000000000005</v>
      </c>
      <c r="Q179" s="233"/>
      <c r="R179" s="235"/>
    </row>
    <row r="180" spans="1:18" ht="16.5" customHeight="1" x14ac:dyDescent="0.25">
      <c r="A180" s="230">
        <v>44510</v>
      </c>
      <c r="B180" s="128" t="s">
        <v>10</v>
      </c>
      <c r="C180" s="157" t="str">
        <f t="shared" si="5"/>
        <v>10.11.2021_SAL1</v>
      </c>
      <c r="D180" s="190">
        <f t="shared" si="6"/>
        <v>0</v>
      </c>
      <c r="E180" s="231">
        <v>1.6782554251468173E-5</v>
      </c>
      <c r="F180" s="231">
        <v>3.591661597894823E-3</v>
      </c>
      <c r="G180" s="231">
        <v>0.12349715849785774</v>
      </c>
      <c r="H180" s="231">
        <v>2.1291501732039714E-3</v>
      </c>
      <c r="I180" s="231">
        <v>1.5210974072347826E-4</v>
      </c>
      <c r="J180" s="231">
        <v>1.5468571782132772E-2</v>
      </c>
      <c r="K180" s="229">
        <v>31</v>
      </c>
      <c r="L180" s="229">
        <v>15</v>
      </c>
      <c r="M180" s="229">
        <v>11</v>
      </c>
      <c r="N180" s="229">
        <v>3.4</v>
      </c>
      <c r="O180" s="205">
        <v>1.2922008100203417E-4</v>
      </c>
      <c r="P180" s="232">
        <v>94.183999999999997</v>
      </c>
      <c r="Q180" s="233"/>
      <c r="R180" s="235"/>
    </row>
    <row r="181" spans="1:18" ht="16.5" customHeight="1" x14ac:dyDescent="0.25">
      <c r="A181" s="230">
        <v>44510</v>
      </c>
      <c r="B181" s="128" t="s">
        <v>12</v>
      </c>
      <c r="C181" s="157" t="str">
        <f t="shared" si="5"/>
        <v>10.11.2021_SAL2</v>
      </c>
      <c r="D181" s="190">
        <f t="shared" si="6"/>
        <v>0</v>
      </c>
      <c r="E181" s="231">
        <v>9.7262319676138776E-6</v>
      </c>
      <c r="F181" s="231">
        <v>1.6835496251181733E-3</v>
      </c>
      <c r="G181" s="231">
        <v>0.12565189097598295</v>
      </c>
      <c r="H181" s="231">
        <v>2.1725941627313539E-3</v>
      </c>
      <c r="I181" s="231">
        <v>1.384790551522364E-4</v>
      </c>
      <c r="J181" s="231">
        <v>8.8362796094601844E-3</v>
      </c>
      <c r="K181" s="229">
        <v>34</v>
      </c>
      <c r="L181" s="229">
        <v>15</v>
      </c>
      <c r="M181" s="229">
        <v>11</v>
      </c>
      <c r="N181" s="229">
        <v>3.7</v>
      </c>
      <c r="O181" s="205">
        <v>1.1892023668046781E-4</v>
      </c>
      <c r="P181" s="232">
        <v>96.624000000000009</v>
      </c>
      <c r="Q181" s="233"/>
      <c r="R181" s="235"/>
    </row>
    <row r="182" spans="1:18" ht="16.5" customHeight="1" x14ac:dyDescent="0.25">
      <c r="A182" s="230">
        <v>44510</v>
      </c>
      <c r="B182" s="128" t="s">
        <v>7</v>
      </c>
      <c r="C182" s="157" t="str">
        <f t="shared" si="5"/>
        <v>10.11.2021_STE1</v>
      </c>
      <c r="D182" s="190">
        <f t="shared" si="6"/>
        <v>0</v>
      </c>
      <c r="E182" s="231">
        <v>1.17288187033382E-5</v>
      </c>
      <c r="F182" s="231">
        <v>2.9289463564809073E-3</v>
      </c>
      <c r="G182" s="231">
        <v>0.14998364813729842</v>
      </c>
      <c r="H182" s="231">
        <v>2.4332671332102794E-3</v>
      </c>
      <c r="I182" s="231">
        <v>1.2904259170923535E-4</v>
      </c>
      <c r="J182" s="231">
        <v>7.9900462411388127E-3</v>
      </c>
      <c r="K182" s="229">
        <v>50</v>
      </c>
      <c r="L182" s="229">
        <v>16</v>
      </c>
      <c r="M182" s="229">
        <v>13</v>
      </c>
      <c r="N182" s="229">
        <v>3.5</v>
      </c>
      <c r="O182" s="205">
        <v>1.3313951430708431E-4</v>
      </c>
      <c r="P182" s="232">
        <v>126.63600000000001</v>
      </c>
      <c r="Q182" s="233"/>
      <c r="R182" s="235"/>
    </row>
    <row r="183" spans="1:18" ht="16.5" customHeight="1" x14ac:dyDescent="0.25">
      <c r="A183" s="230">
        <v>44510</v>
      </c>
      <c r="B183" s="128" t="s">
        <v>9</v>
      </c>
      <c r="C183" s="157" t="str">
        <f t="shared" si="5"/>
        <v>10.11.2021_STE2</v>
      </c>
      <c r="D183" s="190">
        <f t="shared" si="6"/>
        <v>0</v>
      </c>
      <c r="E183" s="231">
        <v>6.1029155164298502E-6</v>
      </c>
      <c r="F183" s="231">
        <v>2.8858749332410882E-3</v>
      </c>
      <c r="G183" s="231">
        <v>0.1556025630889806</v>
      </c>
      <c r="H183" s="231">
        <v>2.5282058802096447E-3</v>
      </c>
      <c r="I183" s="231">
        <v>1.2002000824180449E-4</v>
      </c>
      <c r="J183" s="231">
        <v>9.6634749687397031E-3</v>
      </c>
      <c r="K183" s="229">
        <v>53</v>
      </c>
      <c r="L183" s="229">
        <v>16</v>
      </c>
      <c r="M183" s="229">
        <v>12</v>
      </c>
      <c r="N183" s="229">
        <v>3.5</v>
      </c>
      <c r="O183" s="205">
        <v>1.4305193329178443E-4</v>
      </c>
      <c r="P183" s="232">
        <v>131.51600000000002</v>
      </c>
      <c r="Q183" s="233"/>
      <c r="R183" s="235"/>
    </row>
    <row r="184" spans="1:18" ht="16.5" customHeight="1" x14ac:dyDescent="0.25">
      <c r="A184" s="230">
        <v>44537</v>
      </c>
      <c r="B184" s="128" t="s">
        <v>22</v>
      </c>
      <c r="C184" s="157" t="str">
        <f t="shared" si="5"/>
        <v>07.12.2021_BIE1</v>
      </c>
      <c r="D184" s="190">
        <f t="shared" si="6"/>
        <v>0</v>
      </c>
      <c r="E184" s="231">
        <v>3.6302757335890085E-5</v>
      </c>
      <c r="F184" s="231">
        <v>3.0956777470867156E-3</v>
      </c>
      <c r="G184" s="231">
        <v>0.10209590152930124</v>
      </c>
      <c r="H184" s="231">
        <v>2.2757274169946068E-3</v>
      </c>
      <c r="I184" s="231">
        <v>1.3300504671948541E-4</v>
      </c>
      <c r="J184" s="231">
        <v>7.1037938658690672E-3</v>
      </c>
      <c r="K184" s="229">
        <v>46</v>
      </c>
      <c r="L184" s="229">
        <v>17</v>
      </c>
      <c r="M184" s="229">
        <v>22</v>
      </c>
      <c r="N184" s="229">
        <v>6.9</v>
      </c>
      <c r="O184" s="205">
        <v>3.2761566734552418E-4</v>
      </c>
      <c r="P184" s="232">
        <v>66.612000000000009</v>
      </c>
      <c r="Q184" s="233"/>
      <c r="R184" s="235"/>
    </row>
    <row r="185" spans="1:18" ht="16.5" customHeight="1" x14ac:dyDescent="0.25">
      <c r="A185" s="230">
        <v>44537</v>
      </c>
      <c r="B185" s="128" t="s">
        <v>25</v>
      </c>
      <c r="C185" s="157" t="str">
        <f t="shared" si="5"/>
        <v>07.12.2021_BIE2</v>
      </c>
      <c r="D185" s="190">
        <f t="shared" si="6"/>
        <v>0</v>
      </c>
      <c r="E185" s="231">
        <v>4.5908598799625913E-5</v>
      </c>
      <c r="F185" s="231">
        <v>9.5839430843632882E-3</v>
      </c>
      <c r="G185" s="231">
        <v>0.11350663520690933</v>
      </c>
      <c r="H185" s="231">
        <v>3.7070479937354409E-3</v>
      </c>
      <c r="I185" s="231">
        <v>1.5468488324490263E-4</v>
      </c>
      <c r="J185" s="231">
        <v>2.1604060587831913E-2</v>
      </c>
      <c r="K185" s="229">
        <v>50</v>
      </c>
      <c r="L185" s="229">
        <v>17</v>
      </c>
      <c r="M185" s="229">
        <v>25</v>
      </c>
      <c r="N185" s="229">
        <v>6.9</v>
      </c>
      <c r="O185" s="205">
        <v>3.8766446702541912E-4</v>
      </c>
      <c r="P185" s="232">
        <v>70.271999999999991</v>
      </c>
      <c r="Q185" s="233"/>
      <c r="R185" s="235"/>
    </row>
    <row r="186" spans="1:18" ht="16.5" customHeight="1" x14ac:dyDescent="0.25">
      <c r="A186" s="230">
        <v>44537</v>
      </c>
      <c r="B186" s="128" t="s">
        <v>14</v>
      </c>
      <c r="C186" s="157" t="str">
        <f t="shared" si="5"/>
        <v>07.12.2021_BRA1</v>
      </c>
      <c r="D186" s="190">
        <f t="shared" si="6"/>
        <v>0</v>
      </c>
      <c r="E186" s="231">
        <v>9.0756893339725212E-6</v>
      </c>
      <c r="F186" s="231">
        <v>1.2726106034753749E-3</v>
      </c>
      <c r="G186" s="231">
        <v>7.3707526927774339E-2</v>
      </c>
      <c r="H186" s="231">
        <v>1.7058928304404914E-3</v>
      </c>
      <c r="I186" s="231">
        <v>1.4271099460672079E-4</v>
      </c>
      <c r="J186" s="231">
        <v>4.9433550936750607E-3</v>
      </c>
      <c r="K186" s="229">
        <v>33</v>
      </c>
      <c r="L186" s="229">
        <v>18</v>
      </c>
      <c r="M186" s="229">
        <v>16</v>
      </c>
      <c r="N186" s="229">
        <v>2.4</v>
      </c>
      <c r="O186" s="205">
        <v>1.5535735452269628E-4</v>
      </c>
      <c r="P186" s="232">
        <v>49.532000000000004</v>
      </c>
      <c r="Q186" s="233"/>
      <c r="R186" s="235"/>
    </row>
    <row r="187" spans="1:18" ht="16.5" customHeight="1" x14ac:dyDescent="0.25">
      <c r="A187" s="230">
        <v>44537</v>
      </c>
      <c r="B187" s="128" t="s">
        <v>17</v>
      </c>
      <c r="C187" s="157" t="str">
        <f t="shared" si="5"/>
        <v>07.12.2021_BRA2</v>
      </c>
      <c r="D187" s="190">
        <f t="shared" si="6"/>
        <v>0</v>
      </c>
      <c r="E187" s="231">
        <v>1.1990452865221855E-5</v>
      </c>
      <c r="F187" s="231">
        <v>2.1031406449797023E-3</v>
      </c>
      <c r="G187" s="231">
        <v>8.3174170992582938E-2</v>
      </c>
      <c r="H187" s="231">
        <v>1.8994358748915714E-3</v>
      </c>
      <c r="I187" s="231">
        <v>1.4860713117373294E-4</v>
      </c>
      <c r="J187" s="231">
        <v>7.0667589006801045E-3</v>
      </c>
      <c r="K187" s="229">
        <v>36</v>
      </c>
      <c r="L187" s="229">
        <v>19</v>
      </c>
      <c r="M187" s="229">
        <v>25</v>
      </c>
      <c r="N187" s="229">
        <v>3.5</v>
      </c>
      <c r="O187" s="205">
        <v>1.4046869610228742E-4</v>
      </c>
      <c r="P187" s="232">
        <v>54.167999999999999</v>
      </c>
      <c r="Q187" s="233"/>
      <c r="R187" s="235"/>
    </row>
    <row r="188" spans="1:18" ht="16.5" customHeight="1" x14ac:dyDescent="0.25">
      <c r="A188" s="230">
        <v>44537</v>
      </c>
      <c r="B188" s="128" t="s">
        <v>30</v>
      </c>
      <c r="C188" s="157" t="str">
        <f t="shared" si="5"/>
        <v>07.12.2021_FAL1</v>
      </c>
      <c r="D188" s="190">
        <f t="shared" si="6"/>
        <v>0</v>
      </c>
      <c r="E188" s="231">
        <v>1.0201672359372667E-5</v>
      </c>
      <c r="F188" s="231">
        <v>2.8274142379310628E-3</v>
      </c>
      <c r="G188" s="231">
        <v>0.28067718694395372</v>
      </c>
      <c r="H188" s="231">
        <v>3.7138877975968431E-3</v>
      </c>
      <c r="I188" s="231">
        <v>1.9849849709739073E-4</v>
      </c>
      <c r="J188" s="231">
        <v>9.9216323174198696E-3</v>
      </c>
      <c r="K188" s="229">
        <v>169</v>
      </c>
      <c r="L188" s="229">
        <v>35</v>
      </c>
      <c r="M188" s="229">
        <v>160</v>
      </c>
      <c r="N188" s="229">
        <v>27</v>
      </c>
      <c r="O188" s="205">
        <v>2.2714765259665784E-4</v>
      </c>
      <c r="P188" s="232">
        <v>228.38400000000001</v>
      </c>
      <c r="Q188" s="233"/>
      <c r="R188" s="235"/>
    </row>
    <row r="189" spans="1:18" ht="16.5" customHeight="1" x14ac:dyDescent="0.25">
      <c r="A189" s="230">
        <v>44537</v>
      </c>
      <c r="B189" s="128" t="s">
        <v>32</v>
      </c>
      <c r="C189" s="157" t="str">
        <f t="shared" si="5"/>
        <v>07.12.2021_FAL2</v>
      </c>
      <c r="D189" s="190">
        <f t="shared" si="6"/>
        <v>0</v>
      </c>
      <c r="E189" s="231">
        <v>1.0797932527989063E-5</v>
      </c>
      <c r="F189" s="231">
        <v>2.351489121501917E-3</v>
      </c>
      <c r="G189" s="231">
        <v>0.26758112531678296</v>
      </c>
      <c r="H189" s="231">
        <v>4.0617203452620095E-3</v>
      </c>
      <c r="I189" s="231">
        <v>2.482098148567327E-4</v>
      </c>
      <c r="J189" s="231">
        <v>6.4453338207823936E-3</v>
      </c>
      <c r="K189" s="229">
        <v>64</v>
      </c>
      <c r="L189" s="229">
        <v>17</v>
      </c>
      <c r="M189" s="229">
        <v>49</v>
      </c>
      <c r="N189" s="229">
        <v>7.6</v>
      </c>
      <c r="O189" s="205">
        <v>2.2160003217803928E-4</v>
      </c>
      <c r="P189" s="232">
        <v>232.28799999999998</v>
      </c>
      <c r="Q189" s="233"/>
      <c r="R189" s="235"/>
    </row>
    <row r="190" spans="1:18" ht="16.5" customHeight="1" x14ac:dyDescent="0.25">
      <c r="A190" s="230">
        <v>44537</v>
      </c>
      <c r="B190" s="128" t="s">
        <v>26</v>
      </c>
      <c r="C190" s="157" t="str">
        <f t="shared" si="5"/>
        <v>07.12.2021_GRU1</v>
      </c>
      <c r="D190" s="190">
        <f t="shared" si="6"/>
        <v>0</v>
      </c>
      <c r="E190" s="231">
        <v>1.8880284187247156E-5</v>
      </c>
      <c r="F190" s="231">
        <v>2.1661245065732033E-3</v>
      </c>
      <c r="G190" s="231">
        <v>0.10137385449558277</v>
      </c>
      <c r="H190" s="231">
        <v>3.6094013576079774E-3</v>
      </c>
      <c r="I190" s="231">
        <v>1.6242538697064057E-4</v>
      </c>
      <c r="J190" s="231">
        <v>8.6662343084794504E-3</v>
      </c>
      <c r="K190" s="229">
        <v>12</v>
      </c>
      <c r="L190" s="229">
        <v>5.4</v>
      </c>
      <c r="M190" s="229">
        <v>9</v>
      </c>
      <c r="N190" s="229">
        <v>1.7</v>
      </c>
      <c r="O190" s="205">
        <v>1.5050658860550303E-4</v>
      </c>
      <c r="P190" s="232">
        <v>44.652000000000001</v>
      </c>
      <c r="Q190" s="233"/>
      <c r="R190" s="235"/>
    </row>
    <row r="191" spans="1:18" ht="16.5" customHeight="1" x14ac:dyDescent="0.25">
      <c r="A191" s="230">
        <v>44537</v>
      </c>
      <c r="B191" s="128" t="s">
        <v>28</v>
      </c>
      <c r="C191" s="157" t="str">
        <f t="shared" si="5"/>
        <v>07.12.2021_GRU2</v>
      </c>
      <c r="D191" s="190">
        <f t="shared" si="6"/>
        <v>0</v>
      </c>
      <c r="E191" s="231">
        <v>2.5545219395278122E-4</v>
      </c>
      <c r="F191" s="231">
        <v>5.1544814166844012E-3</v>
      </c>
      <c r="G191" s="231">
        <v>0.10858770638213319</v>
      </c>
      <c r="H191" s="231">
        <v>3.2475549487207492E-3</v>
      </c>
      <c r="I191" s="231">
        <v>1.4240869393475204E-4</v>
      </c>
      <c r="J191" s="231">
        <v>8.9401848710123546E-3</v>
      </c>
      <c r="K191" s="229">
        <v>14</v>
      </c>
      <c r="L191" s="229">
        <v>5.3</v>
      </c>
      <c r="M191" s="229">
        <v>8.3000000000000007</v>
      </c>
      <c r="N191" s="229">
        <v>1.9</v>
      </c>
      <c r="O191" s="205">
        <v>1.5563582567096248E-4</v>
      </c>
      <c r="P191" s="232">
        <v>51.484000000000002</v>
      </c>
      <c r="Q191" s="233"/>
      <c r="R191" s="235"/>
    </row>
    <row r="192" spans="1:18" ht="16.5" customHeight="1" x14ac:dyDescent="0.25">
      <c r="A192" s="230">
        <v>44537</v>
      </c>
      <c r="B192" s="128" t="s">
        <v>0</v>
      </c>
      <c r="C192" s="157" t="str">
        <f t="shared" si="5"/>
        <v>07.12.2021_KIN1</v>
      </c>
      <c r="D192" s="190">
        <f t="shared" si="6"/>
        <v>0</v>
      </c>
      <c r="E192" s="231">
        <v>2.5902331586978615E-5</v>
      </c>
      <c r="F192" s="231">
        <v>6.5336144063833273E-3</v>
      </c>
      <c r="G192" s="231">
        <v>0.1937936213278908</v>
      </c>
      <c r="H192" s="231">
        <v>3.1970157488165479E-3</v>
      </c>
      <c r="I192" s="231">
        <v>2.4527653834298266E-4</v>
      </c>
      <c r="J192" s="231">
        <v>2.824922033040982E-2</v>
      </c>
      <c r="K192" s="229">
        <v>96</v>
      </c>
      <c r="L192" s="229">
        <v>21</v>
      </c>
      <c r="M192" s="229">
        <v>27</v>
      </c>
      <c r="N192" s="229">
        <v>6</v>
      </c>
      <c r="O192" s="205">
        <v>1.77406570730758E-4</v>
      </c>
      <c r="P192" s="232">
        <v>147.376</v>
      </c>
      <c r="Q192" s="233"/>
      <c r="R192" s="235"/>
    </row>
    <row r="193" spans="1:18" ht="16.5" customHeight="1" x14ac:dyDescent="0.25">
      <c r="A193" s="230">
        <v>44537</v>
      </c>
      <c r="B193" s="128" t="s">
        <v>2</v>
      </c>
      <c r="C193" s="157" t="str">
        <f t="shared" si="5"/>
        <v>07.12.2021_KIN2</v>
      </c>
      <c r="D193" s="190">
        <f t="shared" si="6"/>
        <v>0</v>
      </c>
      <c r="E193" s="231">
        <v>1.0996685917527862E-5</v>
      </c>
      <c r="F193" s="231">
        <v>1.6573685237612399E-3</v>
      </c>
      <c r="G193" s="231">
        <v>0.17397713738728426</v>
      </c>
      <c r="H193" s="231">
        <v>2.551554183562771E-3</v>
      </c>
      <c r="I193" s="231">
        <v>2.441274823215331E-4</v>
      </c>
      <c r="J193" s="231">
        <v>5.7234379599300934E-3</v>
      </c>
      <c r="K193" s="229">
        <v>87</v>
      </c>
      <c r="L193" s="229">
        <v>23</v>
      </c>
      <c r="M193" s="229">
        <v>22</v>
      </c>
      <c r="N193" s="229">
        <v>6.1</v>
      </c>
      <c r="O193" s="205">
        <v>1.3795057713899688E-4</v>
      </c>
      <c r="P193" s="232">
        <v>153.476</v>
      </c>
      <c r="Q193" s="233"/>
      <c r="R193" s="235"/>
    </row>
    <row r="194" spans="1:18" ht="16.5" customHeight="1" x14ac:dyDescent="0.25">
      <c r="A194" s="230">
        <v>44537</v>
      </c>
      <c r="B194" s="128" t="s">
        <v>4</v>
      </c>
      <c r="C194" s="157" t="str">
        <f t="shared" si="5"/>
        <v>07.12.2021_KIN3</v>
      </c>
      <c r="D194" s="190">
        <f t="shared" si="6"/>
        <v>0</v>
      </c>
      <c r="E194" s="231">
        <v>1.7422902421622492E-5</v>
      </c>
      <c r="F194" s="231">
        <v>3.7394895700512674E-3</v>
      </c>
      <c r="G194" s="231">
        <v>0.18842262824646513</v>
      </c>
      <c r="H194" s="231">
        <v>3.2398979233802302E-3</v>
      </c>
      <c r="I194" s="231">
        <v>1.2949773198871114E-4</v>
      </c>
      <c r="J194" s="231">
        <v>7.0058290449878007E-3</v>
      </c>
      <c r="K194" s="229">
        <v>86</v>
      </c>
      <c r="L194" s="229">
        <v>23</v>
      </c>
      <c r="M194" s="229">
        <v>26</v>
      </c>
      <c r="N194" s="229">
        <v>5.2</v>
      </c>
      <c r="O194" s="205">
        <v>1.5930301402682881E-4</v>
      </c>
      <c r="P194" s="232">
        <v>149.328</v>
      </c>
      <c r="Q194" s="233"/>
      <c r="R194" s="235"/>
    </row>
    <row r="195" spans="1:18" ht="16.5" customHeight="1" x14ac:dyDescent="0.25">
      <c r="A195" s="230">
        <v>44537</v>
      </c>
      <c r="B195" s="128" t="s">
        <v>6</v>
      </c>
      <c r="C195" s="157" t="str">
        <f t="shared" si="5"/>
        <v>07.12.2021_KIN4</v>
      </c>
      <c r="D195" s="190">
        <f t="shared" si="6"/>
        <v>0</v>
      </c>
      <c r="E195" s="231">
        <v>1.225531429361373E-5</v>
      </c>
      <c r="F195" s="231">
        <v>3.6152303529062148E-3</v>
      </c>
      <c r="G195" s="231">
        <v>0.18517542620824082</v>
      </c>
      <c r="H195" s="231">
        <v>3.1672625843153454E-3</v>
      </c>
      <c r="I195" s="231">
        <v>1.6097403027722217E-4</v>
      </c>
      <c r="J195" s="231">
        <v>9.0951291212178053E-3</v>
      </c>
      <c r="K195" s="229">
        <v>83</v>
      </c>
      <c r="L195" s="229">
        <v>23</v>
      </c>
      <c r="M195" s="229">
        <v>43</v>
      </c>
      <c r="N195" s="229">
        <v>5.6</v>
      </c>
      <c r="O195" s="205">
        <v>1.6254069221259665E-4</v>
      </c>
      <c r="P195" s="232">
        <v>152.988</v>
      </c>
      <c r="Q195" s="233"/>
      <c r="R195" s="235"/>
    </row>
    <row r="196" spans="1:18" ht="16.5" customHeight="1" x14ac:dyDescent="0.25">
      <c r="A196" s="230">
        <v>44537</v>
      </c>
      <c r="B196" s="128" t="s">
        <v>34</v>
      </c>
      <c r="C196" s="157" t="str">
        <f t="shared" si="5"/>
        <v>07.12.2021_KRE1</v>
      </c>
      <c r="D196" s="190">
        <f t="shared" si="6"/>
        <v>0</v>
      </c>
      <c r="E196" s="231">
        <v>1.16594833979769E-5</v>
      </c>
      <c r="F196" s="231">
        <v>1.8372345425370267E-3</v>
      </c>
      <c r="G196" s="231">
        <v>0.3300490104549913</v>
      </c>
      <c r="H196" s="231">
        <v>4.1134258915926473E-3</v>
      </c>
      <c r="I196" s="231">
        <v>1.6968236635521268E-4</v>
      </c>
      <c r="J196" s="231">
        <v>7.1800623630635168E-3</v>
      </c>
      <c r="K196" s="229">
        <v>157</v>
      </c>
      <c r="L196" s="229">
        <v>33</v>
      </c>
      <c r="M196" s="229">
        <v>59</v>
      </c>
      <c r="N196" s="229">
        <v>16</v>
      </c>
      <c r="O196" s="205">
        <v>2.8559742342869273E-4</v>
      </c>
      <c r="P196" s="232">
        <v>296.46000000000004</v>
      </c>
      <c r="Q196" s="233"/>
      <c r="R196" s="235"/>
    </row>
    <row r="197" spans="1:18" ht="16.5" customHeight="1" x14ac:dyDescent="0.25">
      <c r="A197" s="230">
        <v>44537</v>
      </c>
      <c r="B197" s="128" t="s">
        <v>37</v>
      </c>
      <c r="C197" s="157" t="str">
        <f t="shared" ref="C197:C260" si="7">CONCATENATE(TEXT(A197,"TT.MM.JJJJ"),"_",B197)</f>
        <v>07.12.2021_KRE2</v>
      </c>
      <c r="D197" s="190">
        <f t="shared" ref="D197:D260" si="8">COUNTBLANK(E197:P197)</f>
        <v>0</v>
      </c>
      <c r="E197" s="231">
        <v>1.364658802038532E-5</v>
      </c>
      <c r="F197" s="231">
        <v>9.2239967660987261E-3</v>
      </c>
      <c r="G197" s="231">
        <v>0.34907120931929719</v>
      </c>
      <c r="H197" s="231">
        <v>5.0487599520253499E-3</v>
      </c>
      <c r="I197" s="231">
        <v>1.8365187044684474E-4</v>
      </c>
      <c r="J197" s="231">
        <v>2.5615404967133402E-2</v>
      </c>
      <c r="K197" s="229">
        <v>152</v>
      </c>
      <c r="L197" s="229">
        <v>31</v>
      </c>
      <c r="M197" s="229">
        <v>85</v>
      </c>
      <c r="N197" s="229">
        <v>14</v>
      </c>
      <c r="O197" s="205">
        <v>3.3848047781844274E-4</v>
      </c>
      <c r="P197" s="232">
        <v>264.74</v>
      </c>
      <c r="Q197" s="233"/>
      <c r="R197" s="235"/>
    </row>
    <row r="198" spans="1:18" ht="16.5" customHeight="1" x14ac:dyDescent="0.25">
      <c r="A198" s="230">
        <v>44537</v>
      </c>
      <c r="B198" s="128" t="s">
        <v>18</v>
      </c>
      <c r="C198" s="157" t="str">
        <f t="shared" si="7"/>
        <v>07.12.2021_ORB1</v>
      </c>
      <c r="D198" s="190">
        <f t="shared" si="8"/>
        <v>0</v>
      </c>
      <c r="E198" s="231">
        <v>2.5041209989970345E-5</v>
      </c>
      <c r="F198" s="231">
        <v>3.0538547436410055E-3</v>
      </c>
      <c r="G198" s="231">
        <v>0.11048893041400472</v>
      </c>
      <c r="H198" s="231">
        <v>2.5841977202191021E-3</v>
      </c>
      <c r="I198" s="231">
        <v>2.3547929290996801E-4</v>
      </c>
      <c r="J198" s="231">
        <v>1.2305790773864081E-2</v>
      </c>
      <c r="K198" s="229">
        <v>23</v>
      </c>
      <c r="L198" s="229">
        <v>4.0999999999999996</v>
      </c>
      <c r="M198" s="229">
        <v>16</v>
      </c>
      <c r="N198" s="229">
        <v>7.1</v>
      </c>
      <c r="O198" s="205">
        <v>1.2510459180130749E-4</v>
      </c>
      <c r="P198" s="232">
        <v>32.451999999999998</v>
      </c>
      <c r="Q198" s="233"/>
      <c r="R198" s="235"/>
    </row>
    <row r="199" spans="1:18" ht="16.5" customHeight="1" x14ac:dyDescent="0.25">
      <c r="A199" s="230">
        <v>44537</v>
      </c>
      <c r="B199" s="128" t="s">
        <v>21</v>
      </c>
      <c r="C199" s="157" t="str">
        <f t="shared" si="7"/>
        <v>07.12.2021_ORB2</v>
      </c>
      <c r="D199" s="190">
        <f t="shared" si="8"/>
        <v>0</v>
      </c>
      <c r="E199" s="231">
        <v>2.6829561222839964E-5</v>
      </c>
      <c r="F199" s="231">
        <v>4.8430451269132783E-3</v>
      </c>
      <c r="G199" s="231">
        <v>9.0155981975547472E-2</v>
      </c>
      <c r="H199" s="231">
        <v>1.8223454748863672E-3</v>
      </c>
      <c r="I199" s="231">
        <v>2.5350154599728753E-4</v>
      </c>
      <c r="J199" s="231">
        <v>2.9880659560697416E-2</v>
      </c>
      <c r="K199" s="229">
        <v>19</v>
      </c>
      <c r="L199" s="229">
        <v>3.1</v>
      </c>
      <c r="M199" s="229">
        <v>21</v>
      </c>
      <c r="N199" s="229">
        <v>5.7</v>
      </c>
      <c r="O199" s="205">
        <v>9.8902892620193034E-5</v>
      </c>
      <c r="P199" s="232">
        <v>31.475999999999999</v>
      </c>
      <c r="Q199" s="233"/>
      <c r="R199" s="235"/>
    </row>
    <row r="200" spans="1:18" ht="16.5" customHeight="1" x14ac:dyDescent="0.25">
      <c r="A200" s="230">
        <v>44537</v>
      </c>
      <c r="B200" s="128" t="s">
        <v>10</v>
      </c>
      <c r="C200" s="157" t="str">
        <f t="shared" si="7"/>
        <v>07.12.2021_SAL1</v>
      </c>
      <c r="D200" s="190">
        <f t="shared" si="8"/>
        <v>0</v>
      </c>
      <c r="E200" s="231">
        <v>1.8284024018630763E-5</v>
      </c>
      <c r="F200" s="231">
        <v>5.8098443093334666E-3</v>
      </c>
      <c r="G200" s="231">
        <v>8.8585106300108782E-2</v>
      </c>
      <c r="H200" s="231">
        <v>2.1057294156437895E-3</v>
      </c>
      <c r="I200" s="231">
        <v>2.2861532399070332E-4</v>
      </c>
      <c r="J200" s="231">
        <v>1.1839628617915109E-2</v>
      </c>
      <c r="K200" s="229">
        <v>25</v>
      </c>
      <c r="L200" s="229">
        <v>9.9</v>
      </c>
      <c r="M200" s="229">
        <v>9.6999999999999993</v>
      </c>
      <c r="N200" s="229">
        <v>2.2000000000000002</v>
      </c>
      <c r="O200" s="205">
        <v>2.4172476014276453E-4</v>
      </c>
      <c r="P200" s="232">
        <v>53.436</v>
      </c>
      <c r="Q200" s="233"/>
      <c r="R200" s="235"/>
    </row>
    <row r="201" spans="1:18" ht="16.5" customHeight="1" x14ac:dyDescent="0.25">
      <c r="A201" s="230">
        <v>44537</v>
      </c>
      <c r="B201" s="128" t="s">
        <v>12</v>
      </c>
      <c r="C201" s="157" t="str">
        <f t="shared" si="7"/>
        <v>07.12.2021_SAL2</v>
      </c>
      <c r="D201" s="190">
        <f t="shared" si="8"/>
        <v>0</v>
      </c>
      <c r="E201" s="231">
        <v>1.1063223229360505E-5</v>
      </c>
      <c r="F201" s="231">
        <v>1.3112563851588629E-3</v>
      </c>
      <c r="G201" s="231">
        <v>9.0519012018951669E-2</v>
      </c>
      <c r="H201" s="231">
        <v>2.0588153082453098E-3</v>
      </c>
      <c r="I201" s="231">
        <v>1.7394572664212915E-4</v>
      </c>
      <c r="J201" s="231">
        <v>5.1389649336456584E-3</v>
      </c>
      <c r="K201" s="229">
        <v>26</v>
      </c>
      <c r="L201" s="229">
        <v>11</v>
      </c>
      <c r="M201" s="229">
        <v>8.6999999999999993</v>
      </c>
      <c r="N201" s="229">
        <v>2.5</v>
      </c>
      <c r="O201" s="205">
        <v>1.2532509824781524E-4</v>
      </c>
      <c r="P201" s="232">
        <v>58.315999999999995</v>
      </c>
      <c r="Q201" s="233"/>
      <c r="R201" s="235"/>
    </row>
    <row r="202" spans="1:18" ht="16.5" customHeight="1" x14ac:dyDescent="0.25">
      <c r="A202" s="230">
        <v>44537</v>
      </c>
      <c r="B202" s="128" t="s">
        <v>7</v>
      </c>
      <c r="C202" s="157" t="str">
        <f t="shared" si="7"/>
        <v>07.12.2021_STE1</v>
      </c>
      <c r="D202" s="190">
        <f t="shared" si="8"/>
        <v>0</v>
      </c>
      <c r="E202" s="231">
        <v>1.119543930706666E-5</v>
      </c>
      <c r="F202" s="231">
        <v>2.5280988387285453E-3</v>
      </c>
      <c r="G202" s="231">
        <v>0.10809913877718516</v>
      </c>
      <c r="H202" s="231">
        <v>2.4210731605288703E-3</v>
      </c>
      <c r="I202" s="231">
        <v>1.8144525186720501E-4</v>
      </c>
      <c r="J202" s="231">
        <v>5.1868759798820874E-3</v>
      </c>
      <c r="K202" s="229">
        <v>15</v>
      </c>
      <c r="L202" s="229">
        <v>4.5</v>
      </c>
      <c r="M202" s="229">
        <v>3.8</v>
      </c>
      <c r="N202" s="229">
        <v>0.8</v>
      </c>
      <c r="O202" s="205">
        <v>1.2563837828961471E-4</v>
      </c>
      <c r="P202" s="232">
        <v>85.643999999999991</v>
      </c>
      <c r="Q202" s="233"/>
      <c r="R202" s="235"/>
    </row>
    <row r="203" spans="1:18" ht="16.5" customHeight="1" x14ac:dyDescent="0.25">
      <c r="A203" s="230">
        <v>44537</v>
      </c>
      <c r="B203" s="128" t="s">
        <v>9</v>
      </c>
      <c r="C203" s="157" t="str">
        <f t="shared" si="7"/>
        <v>07.12.2021_STE2</v>
      </c>
      <c r="D203" s="190">
        <f t="shared" si="8"/>
        <v>0</v>
      </c>
      <c r="E203" s="231">
        <v>9.0095812951194424E-6</v>
      </c>
      <c r="F203" s="231">
        <v>1.5195094964838335E-3</v>
      </c>
      <c r="G203" s="231">
        <v>0.10907641907438526</v>
      </c>
      <c r="H203" s="231">
        <v>2.4491816136910341E-3</v>
      </c>
      <c r="I203" s="231">
        <v>1.4643009613360538E-4</v>
      </c>
      <c r="J203" s="231">
        <v>4.2179199801871299E-3</v>
      </c>
      <c r="K203" s="229">
        <v>15</v>
      </c>
      <c r="L203" s="229">
        <v>5.0999999999999996</v>
      </c>
      <c r="M203" s="229">
        <v>9.1</v>
      </c>
      <c r="N203" s="229">
        <v>1.2</v>
      </c>
      <c r="O203" s="205">
        <v>1.3453885448556265E-4</v>
      </c>
      <c r="P203" s="232">
        <v>86.61999999999999</v>
      </c>
      <c r="Q203" s="233"/>
      <c r="R203" s="235"/>
    </row>
    <row r="204" spans="1:18" ht="16.5" customHeight="1" x14ac:dyDescent="0.25">
      <c r="A204" s="230">
        <v>44565</v>
      </c>
      <c r="B204" s="128" t="s">
        <v>22</v>
      </c>
      <c r="C204" s="157" t="str">
        <f t="shared" si="7"/>
        <v>04.01.2022_BIE1</v>
      </c>
      <c r="D204" s="190">
        <f t="shared" si="8"/>
        <v>0</v>
      </c>
      <c r="E204" s="231">
        <v>6.3310912731789131E-5</v>
      </c>
      <c r="F204" s="231">
        <v>3.2830909012832978E-3</v>
      </c>
      <c r="G204" s="231">
        <v>0.10129675267250005</v>
      </c>
      <c r="H204" s="231">
        <v>2.3796191543022163E-3</v>
      </c>
      <c r="I204" s="231">
        <v>2.4510623003408491E-4</v>
      </c>
      <c r="J204" s="231">
        <v>1.1002827044931711E-2</v>
      </c>
      <c r="K204" s="229">
        <v>12</v>
      </c>
      <c r="L204" s="229">
        <v>4.4000000000000004</v>
      </c>
      <c r="M204" s="229">
        <v>4.9821238653839899</v>
      </c>
      <c r="N204" s="229">
        <v>2.3407279963432601</v>
      </c>
      <c r="O204" s="205">
        <v>3.2815674577374795E-4</v>
      </c>
      <c r="P204" s="232">
        <v>41.967999999999996</v>
      </c>
      <c r="Q204" s="233"/>
      <c r="R204" s="235"/>
    </row>
    <row r="205" spans="1:18" ht="16.5" customHeight="1" x14ac:dyDescent="0.25">
      <c r="A205" s="230">
        <v>44565</v>
      </c>
      <c r="B205" s="128" t="s">
        <v>25</v>
      </c>
      <c r="C205" s="157" t="str">
        <f t="shared" si="7"/>
        <v>04.01.2022_BIE2</v>
      </c>
      <c r="D205" s="190">
        <f t="shared" si="8"/>
        <v>0</v>
      </c>
      <c r="E205" s="231">
        <v>6.1984793585084509E-5</v>
      </c>
      <c r="F205" s="231">
        <v>4.3629615451359609E-3</v>
      </c>
      <c r="G205" s="231">
        <v>0.10020931094301708</v>
      </c>
      <c r="H205" s="231">
        <v>2.3136048727168423E-3</v>
      </c>
      <c r="I205" s="231">
        <v>2.4470528628471778E-4</v>
      </c>
      <c r="J205" s="231">
        <v>1.546322005975765E-2</v>
      </c>
      <c r="K205" s="229">
        <v>12</v>
      </c>
      <c r="L205" s="229">
        <v>4.4000000000000004</v>
      </c>
      <c r="M205" s="229">
        <v>5.2864497415860097</v>
      </c>
      <c r="N205" s="229">
        <v>2.3704130580353899</v>
      </c>
      <c r="O205" s="205">
        <v>3.3641197322127749E-4</v>
      </c>
      <c r="P205" s="232">
        <v>42.455999999999996</v>
      </c>
      <c r="Q205" s="233"/>
      <c r="R205" s="235"/>
    </row>
    <row r="206" spans="1:18" ht="16.5" customHeight="1" x14ac:dyDescent="0.25">
      <c r="A206" s="230">
        <v>44565</v>
      </c>
      <c r="B206" s="128" t="s">
        <v>14</v>
      </c>
      <c r="C206" s="157" t="str">
        <f t="shared" si="7"/>
        <v>04.01.2022_BRA1</v>
      </c>
      <c r="D206" s="190">
        <f t="shared" si="8"/>
        <v>0</v>
      </c>
      <c r="E206" s="231">
        <v>2.7976087887914311E-5</v>
      </c>
      <c r="F206" s="231">
        <v>3.7486417937500388E-3</v>
      </c>
      <c r="G206" s="231">
        <v>0.10994302239546308</v>
      </c>
      <c r="H206" s="231">
        <v>3.1765074701626834E-3</v>
      </c>
      <c r="I206" s="231">
        <v>2.0649982810604995E-4</v>
      </c>
      <c r="J206" s="231">
        <v>8.1382779279411815E-3</v>
      </c>
      <c r="K206" s="229">
        <v>9.1</v>
      </c>
      <c r="L206" s="229">
        <v>5.0999999999999996</v>
      </c>
      <c r="M206" s="229">
        <v>4.4688048304562802</v>
      </c>
      <c r="N206" s="229">
        <v>1.93125518544307</v>
      </c>
      <c r="O206" s="205">
        <v>5.478421585688604E-4</v>
      </c>
      <c r="P206" s="232">
        <v>34.647999999999996</v>
      </c>
      <c r="Q206" s="233"/>
      <c r="R206" s="235"/>
    </row>
    <row r="207" spans="1:18" ht="16.5" customHeight="1" x14ac:dyDescent="0.25">
      <c r="A207" s="230">
        <v>44565</v>
      </c>
      <c r="B207" s="128" t="s">
        <v>17</v>
      </c>
      <c r="C207" s="157" t="str">
        <f t="shared" si="7"/>
        <v>04.01.2022_BRA2</v>
      </c>
      <c r="D207" s="190">
        <f t="shared" si="8"/>
        <v>0</v>
      </c>
      <c r="E207" s="231">
        <v>2.466143439391599E-5</v>
      </c>
      <c r="F207" s="231">
        <v>2.8376317000393374E-3</v>
      </c>
      <c r="G207" s="231">
        <v>0.10804550363238112</v>
      </c>
      <c r="H207" s="231">
        <v>3.1915919423948381E-3</v>
      </c>
      <c r="I207" s="231">
        <v>2.5821036893435749E-4</v>
      </c>
      <c r="J207" s="231">
        <v>9.452460250288907E-3</v>
      </c>
      <c r="K207" s="229">
        <v>9.9</v>
      </c>
      <c r="L207" s="229">
        <v>5.2</v>
      </c>
      <c r="M207" s="229">
        <v>4.9588871578083102</v>
      </c>
      <c r="N207" s="229">
        <v>2.0690669071777701</v>
      </c>
      <c r="O207" s="205">
        <v>4.0394816274519444E-4</v>
      </c>
      <c r="P207" s="232">
        <v>36.111999999999995</v>
      </c>
      <c r="Q207" s="233"/>
      <c r="R207" s="235"/>
    </row>
    <row r="208" spans="1:18" ht="16.5" customHeight="1" x14ac:dyDescent="0.25">
      <c r="A208" s="230">
        <v>44565</v>
      </c>
      <c r="B208" s="128" t="s">
        <v>30</v>
      </c>
      <c r="C208" s="157" t="str">
        <f t="shared" si="7"/>
        <v>04.01.2022_FAL1</v>
      </c>
      <c r="D208" s="190">
        <f t="shared" si="8"/>
        <v>0</v>
      </c>
      <c r="E208" s="231">
        <v>1.471704433007887E-5</v>
      </c>
      <c r="F208" s="231">
        <v>3.8737109200687615E-3</v>
      </c>
      <c r="G208" s="231">
        <v>0.31596392149372055</v>
      </c>
      <c r="H208" s="231">
        <v>3.4700159576596026E-3</v>
      </c>
      <c r="I208" s="231">
        <v>2.1001091610418457E-4</v>
      </c>
      <c r="J208" s="231">
        <v>9.1863015978624549E-3</v>
      </c>
      <c r="K208" s="229">
        <v>55</v>
      </c>
      <c r="L208" s="229">
        <v>12</v>
      </c>
      <c r="M208" s="229">
        <v>12.974364439983299</v>
      </c>
      <c r="N208" s="229">
        <v>5.0036955541044801</v>
      </c>
      <c r="O208" s="205">
        <v>3.5376600100043735E-4</v>
      </c>
      <c r="P208" s="232">
        <v>191.78400000000002</v>
      </c>
      <c r="Q208" s="233"/>
      <c r="R208" s="235"/>
    </row>
    <row r="209" spans="1:18" ht="16.5" customHeight="1" x14ac:dyDescent="0.25">
      <c r="A209" s="230">
        <v>44565</v>
      </c>
      <c r="B209" s="128" t="s">
        <v>32</v>
      </c>
      <c r="C209" s="157" t="str">
        <f t="shared" si="7"/>
        <v>04.01.2022_FAL2</v>
      </c>
      <c r="D209" s="190">
        <f t="shared" si="8"/>
        <v>0</v>
      </c>
      <c r="E209" s="231">
        <v>1.2728509982785164E-5</v>
      </c>
      <c r="F209" s="231">
        <v>3.1803252841102908E-3</v>
      </c>
      <c r="G209" s="231">
        <v>0.26594984519307158</v>
      </c>
      <c r="H209" s="231">
        <v>3.1535828611420225E-3</v>
      </c>
      <c r="I209" s="231">
        <v>2.2637449183754779E-4</v>
      </c>
      <c r="J209" s="231">
        <v>7.201395473849544E-3</v>
      </c>
      <c r="K209" s="229">
        <v>45</v>
      </c>
      <c r="L209" s="229">
        <v>11</v>
      </c>
      <c r="M209" s="229">
        <v>11.436601346435801</v>
      </c>
      <c r="N209" s="229">
        <v>4.9474834650715502</v>
      </c>
      <c r="O209" s="205">
        <v>3.3253081493998246E-4</v>
      </c>
      <c r="P209" s="232">
        <v>163.48000000000002</v>
      </c>
      <c r="Q209" s="233"/>
      <c r="R209" s="235"/>
    </row>
    <row r="210" spans="1:18" ht="16.5" customHeight="1" x14ac:dyDescent="0.25">
      <c r="A210" s="230">
        <v>44565</v>
      </c>
      <c r="B210" s="128" t="s">
        <v>26</v>
      </c>
      <c r="C210" s="157" t="str">
        <f t="shared" si="7"/>
        <v>04.01.2022_GRU1</v>
      </c>
      <c r="D210" s="190">
        <f t="shared" si="8"/>
        <v>0</v>
      </c>
      <c r="E210" s="231">
        <v>3.2616430946775106E-5</v>
      </c>
      <c r="F210" s="231">
        <v>2.0055060889791892E-3</v>
      </c>
      <c r="G210" s="231">
        <v>0.11127621893666523</v>
      </c>
      <c r="H210" s="231">
        <v>5.0722475559457801E-3</v>
      </c>
      <c r="I210" s="231">
        <v>2.3318157330474483E-4</v>
      </c>
      <c r="J210" s="231">
        <v>7.5120697068330909E-3</v>
      </c>
      <c r="K210" s="229">
        <v>9.6</v>
      </c>
      <c r="L210" s="229">
        <v>4.8</v>
      </c>
      <c r="M210" s="229">
        <v>5.7117447513714099</v>
      </c>
      <c r="N210" s="229">
        <v>1.5288374176761801</v>
      </c>
      <c r="O210" s="205">
        <v>3.9370657925494519E-4</v>
      </c>
      <c r="P210" s="232">
        <v>30.988</v>
      </c>
      <c r="Q210" s="233"/>
      <c r="R210" s="235"/>
    </row>
    <row r="211" spans="1:18" ht="16.5" customHeight="1" x14ac:dyDescent="0.25">
      <c r="A211" s="230">
        <v>44565</v>
      </c>
      <c r="B211" s="128" t="s">
        <v>28</v>
      </c>
      <c r="C211" s="157" t="str">
        <f t="shared" si="7"/>
        <v>04.01.2022_GRU2</v>
      </c>
      <c r="D211" s="190">
        <f t="shared" si="8"/>
        <v>0</v>
      </c>
      <c r="E211" s="231">
        <v>3.0561311413948774E-5</v>
      </c>
      <c r="F211" s="231">
        <v>2.0960488589316408E-3</v>
      </c>
      <c r="G211" s="231">
        <v>0.12149752692455061</v>
      </c>
      <c r="H211" s="231">
        <v>5.024292947630472E-3</v>
      </c>
      <c r="I211" s="231">
        <v>1.7377126154373749E-4</v>
      </c>
      <c r="J211" s="231">
        <v>7.31186505153094E-3</v>
      </c>
      <c r="K211" s="229">
        <v>11</v>
      </c>
      <c r="L211" s="229">
        <v>4.9000000000000004</v>
      </c>
      <c r="M211" s="229">
        <v>5.5947112334814504</v>
      </c>
      <c r="N211" s="229">
        <v>1.45117943440296</v>
      </c>
      <c r="O211" s="205">
        <v>3.7350875076045797E-4</v>
      </c>
      <c r="P211" s="232">
        <v>34.891999999999996</v>
      </c>
      <c r="Q211" s="233"/>
      <c r="R211" s="235"/>
    </row>
    <row r="212" spans="1:18" ht="16.5" customHeight="1" x14ac:dyDescent="0.25">
      <c r="A212" s="230">
        <v>44565</v>
      </c>
      <c r="B212" s="128" t="s">
        <v>0</v>
      </c>
      <c r="C212" s="157" t="str">
        <f t="shared" si="7"/>
        <v>04.01.2022_KIN1</v>
      </c>
      <c r="D212" s="190">
        <f t="shared" si="8"/>
        <v>0</v>
      </c>
      <c r="E212" s="231">
        <v>9.480012092477321E-6</v>
      </c>
      <c r="F212" s="231">
        <v>3.6790695144889416E-3</v>
      </c>
      <c r="G212" s="231">
        <v>0.16265290436543392</v>
      </c>
      <c r="H212" s="231">
        <v>2.6379389970049433E-3</v>
      </c>
      <c r="I212" s="231">
        <v>2.3367343694551257E-4</v>
      </c>
      <c r="J212" s="231">
        <v>6.5112624470280512E-3</v>
      </c>
      <c r="K212" s="229">
        <v>21</v>
      </c>
      <c r="L212" s="229">
        <v>5</v>
      </c>
      <c r="M212" s="229">
        <v>5.6909472081182502</v>
      </c>
      <c r="N212" s="229">
        <v>2.8808798532204798</v>
      </c>
      <c r="O212" s="205">
        <v>2.1903234580650431E-4</v>
      </c>
      <c r="P212" s="232">
        <v>83.935999999999993</v>
      </c>
      <c r="Q212" s="233"/>
      <c r="R212" s="235"/>
    </row>
    <row r="213" spans="1:18" ht="16.5" customHeight="1" x14ac:dyDescent="0.25">
      <c r="A213" s="230">
        <v>44565</v>
      </c>
      <c r="B213" s="128" t="s">
        <v>2</v>
      </c>
      <c r="C213" s="157" t="str">
        <f t="shared" si="7"/>
        <v>04.01.2022_KIN2</v>
      </c>
      <c r="D213" s="190">
        <f t="shared" si="8"/>
        <v>0</v>
      </c>
      <c r="E213" s="231">
        <v>1.1468976021613173E-5</v>
      </c>
      <c r="F213" s="231">
        <v>3.016886794565978E-3</v>
      </c>
      <c r="G213" s="231">
        <v>0.17026572212244886</v>
      </c>
      <c r="H213" s="231">
        <v>2.5398571563077007E-3</v>
      </c>
      <c r="I213" s="231">
        <v>2.4299266685175915E-4</v>
      </c>
      <c r="J213" s="231">
        <v>7.5348271909280269E-3</v>
      </c>
      <c r="K213" s="229">
        <v>23</v>
      </c>
      <c r="L213" s="229">
        <v>5.4</v>
      </c>
      <c r="M213" s="229">
        <v>5.5479891605746401</v>
      </c>
      <c r="N213" s="229">
        <v>2.9927755133576799</v>
      </c>
      <c r="O213" s="205">
        <v>2.3640974544751191E-4</v>
      </c>
      <c r="P213" s="232">
        <v>95.16</v>
      </c>
      <c r="Q213" s="233"/>
      <c r="R213" s="235"/>
    </row>
    <row r="214" spans="1:18" ht="16.5" customHeight="1" x14ac:dyDescent="0.25">
      <c r="A214" s="230">
        <v>44565</v>
      </c>
      <c r="B214" s="128" t="s">
        <v>4</v>
      </c>
      <c r="C214" s="157" t="str">
        <f t="shared" si="7"/>
        <v>04.01.2022_KIN3</v>
      </c>
      <c r="D214" s="190">
        <f t="shared" si="8"/>
        <v>0</v>
      </c>
      <c r="E214" s="231">
        <v>9.8778048783044904E-6</v>
      </c>
      <c r="F214" s="231">
        <v>3.0392260127514565E-3</v>
      </c>
      <c r="G214" s="231">
        <v>0.16441867006595154</v>
      </c>
      <c r="H214" s="231">
        <v>4.59639341143142E-3</v>
      </c>
      <c r="I214" s="231">
        <v>1.9790618846152574E-4</v>
      </c>
      <c r="J214" s="231">
        <v>7.2644649030673145E-3</v>
      </c>
      <c r="K214" s="229">
        <v>22</v>
      </c>
      <c r="L214" s="229">
        <v>5.8</v>
      </c>
      <c r="M214" s="229">
        <v>5.4726577464593396</v>
      </c>
      <c r="N214" s="229">
        <v>2.72880256315021</v>
      </c>
      <c r="O214" s="205">
        <v>2.7939413038618061E-4</v>
      </c>
      <c r="P214" s="232">
        <v>90.524000000000001</v>
      </c>
      <c r="Q214" s="233"/>
      <c r="R214" s="235"/>
    </row>
    <row r="215" spans="1:18" ht="16.5" customHeight="1" x14ac:dyDescent="0.25">
      <c r="A215" s="230">
        <v>44565</v>
      </c>
      <c r="B215" s="128" t="s">
        <v>6</v>
      </c>
      <c r="C215" s="157" t="str">
        <f t="shared" si="7"/>
        <v>04.01.2022_KIN4</v>
      </c>
      <c r="D215" s="190">
        <f t="shared" si="8"/>
        <v>0</v>
      </c>
      <c r="E215" s="231">
        <v>3.8451870690485998E-6</v>
      </c>
      <c r="F215" s="231">
        <v>8.1005956702885856E-6</v>
      </c>
      <c r="G215" s="231">
        <v>1.0187961967623969E-2</v>
      </c>
      <c r="H215" s="231">
        <v>1.6379251308062461E-5</v>
      </c>
      <c r="I215" s="231">
        <v>2.0782565474550142E-5</v>
      </c>
      <c r="J215" s="231">
        <v>1.7808156509584739E-4</v>
      </c>
      <c r="K215" s="229">
        <v>22</v>
      </c>
      <c r="L215" s="229">
        <v>5.9</v>
      </c>
      <c r="M215" s="229">
        <v>6.9083039007075797</v>
      </c>
      <c r="N215" s="229">
        <v>2.6112678084556</v>
      </c>
      <c r="O215" s="205">
        <v>1.4920159432068143E-6</v>
      </c>
      <c r="P215" s="232">
        <v>90.28</v>
      </c>
      <c r="Q215" s="233"/>
      <c r="R215" s="235"/>
    </row>
    <row r="216" spans="1:18" ht="16.5" customHeight="1" x14ac:dyDescent="0.25">
      <c r="A216" s="230">
        <v>44565</v>
      </c>
      <c r="B216" s="128" t="s">
        <v>34</v>
      </c>
      <c r="C216" s="157" t="str">
        <f t="shared" si="7"/>
        <v>04.01.2022_KRE1</v>
      </c>
      <c r="D216" s="190">
        <f t="shared" si="8"/>
        <v>0</v>
      </c>
      <c r="E216" s="231">
        <v>1.2264132011425367E-5</v>
      </c>
      <c r="F216" s="231">
        <v>3.0652071959023867E-3</v>
      </c>
      <c r="G216" s="231">
        <v>0.30879418465754338</v>
      </c>
      <c r="H216" s="231">
        <v>3.4848441803424432E-3</v>
      </c>
      <c r="I216" s="231">
        <v>2.4008063598503194E-4</v>
      </c>
      <c r="J216" s="231">
        <v>7.2600961514154632E-3</v>
      </c>
      <c r="K216" s="229">
        <v>55</v>
      </c>
      <c r="L216" s="229">
        <v>12</v>
      </c>
      <c r="M216" s="229">
        <v>10.8456721560961</v>
      </c>
      <c r="N216" s="229">
        <v>4.6000135668860196</v>
      </c>
      <c r="O216" s="205">
        <v>4.0666123236277643E-4</v>
      </c>
      <c r="P216" s="232">
        <v>192.27200000000002</v>
      </c>
      <c r="Q216" s="233"/>
      <c r="R216" s="235"/>
    </row>
    <row r="217" spans="1:18" ht="16.5" customHeight="1" x14ac:dyDescent="0.25">
      <c r="A217" s="230">
        <v>44565</v>
      </c>
      <c r="B217" s="128" t="s">
        <v>37</v>
      </c>
      <c r="C217" s="157" t="str">
        <f t="shared" si="7"/>
        <v>04.01.2022_KRE2</v>
      </c>
      <c r="D217" s="190">
        <f t="shared" si="8"/>
        <v>0</v>
      </c>
      <c r="E217" s="231">
        <v>1.1270079628699588E-5</v>
      </c>
      <c r="F217" s="231">
        <v>2.8519710220466605E-3</v>
      </c>
      <c r="G217" s="231">
        <v>0.36175174068343391</v>
      </c>
      <c r="H217" s="231">
        <v>3.4036583185923087E-3</v>
      </c>
      <c r="I217" s="231">
        <v>1.7042220199020005E-4</v>
      </c>
      <c r="J217" s="231">
        <v>6.03839318788384E-3</v>
      </c>
      <c r="K217" s="229">
        <v>59</v>
      </c>
      <c r="L217" s="229">
        <v>13</v>
      </c>
      <c r="M217" s="229">
        <v>11.973270209116301</v>
      </c>
      <c r="N217" s="229">
        <v>4.59774155442412</v>
      </c>
      <c r="O217" s="205">
        <v>4.4395625037043507E-4</v>
      </c>
      <c r="P217" s="232">
        <v>191.78400000000002</v>
      </c>
      <c r="Q217" s="233"/>
      <c r="R217" s="235"/>
    </row>
    <row r="218" spans="1:18" ht="16.5" customHeight="1" x14ac:dyDescent="0.25">
      <c r="A218" s="230">
        <v>44565</v>
      </c>
      <c r="B218" s="128" t="s">
        <v>18</v>
      </c>
      <c r="C218" s="157" t="str">
        <f t="shared" si="7"/>
        <v>04.01.2022_ORB1</v>
      </c>
      <c r="D218" s="190">
        <f t="shared" si="8"/>
        <v>0</v>
      </c>
      <c r="E218" s="231">
        <v>2.4727589997606467E-5</v>
      </c>
      <c r="F218" s="231">
        <v>3.3494518665984877E-3</v>
      </c>
      <c r="G218" s="231">
        <v>0.11432041150996297</v>
      </c>
      <c r="H218" s="231">
        <v>2.9985413124558823E-3</v>
      </c>
      <c r="I218" s="231">
        <v>2.0596952103519578E-4</v>
      </c>
      <c r="J218" s="231">
        <v>1.175435723371464E-2</v>
      </c>
      <c r="K218" s="229">
        <v>11</v>
      </c>
      <c r="L218" s="229">
        <v>2.6</v>
      </c>
      <c r="M218" s="229">
        <v>5.9812675253626697</v>
      </c>
      <c r="N218" s="229">
        <v>2.7791706358568402</v>
      </c>
      <c r="O218" s="205">
        <v>2.459356287222589E-4</v>
      </c>
      <c r="P218" s="232">
        <v>30.744</v>
      </c>
      <c r="Q218" s="233"/>
      <c r="R218" s="235"/>
    </row>
    <row r="219" spans="1:18" ht="16.5" customHeight="1" x14ac:dyDescent="0.25">
      <c r="A219" s="230">
        <v>44565</v>
      </c>
      <c r="B219" s="128" t="s">
        <v>21</v>
      </c>
      <c r="C219" s="157" t="str">
        <f t="shared" si="7"/>
        <v>04.01.2022_ORB2</v>
      </c>
      <c r="D219" s="190">
        <f t="shared" si="8"/>
        <v>0</v>
      </c>
      <c r="E219" s="231">
        <v>2.7777191495000729E-5</v>
      </c>
      <c r="F219" s="231">
        <v>4.3259923333594857E-3</v>
      </c>
      <c r="G219" s="231">
        <v>0.12683931929536024</v>
      </c>
      <c r="H219" s="231">
        <v>3.1915255543102797E-3</v>
      </c>
      <c r="I219" s="231">
        <v>2.0516881278278315E-4</v>
      </c>
      <c r="J219" s="231">
        <v>2.119685712750943E-2</v>
      </c>
      <c r="K219" s="229">
        <v>13</v>
      </c>
      <c r="L219" s="229">
        <v>2.9</v>
      </c>
      <c r="M219" s="229">
        <v>9.7363776350532802</v>
      </c>
      <c r="N219" s="229">
        <v>2.80566553194129</v>
      </c>
      <c r="O219" s="205">
        <v>2.6099063875290165E-4</v>
      </c>
      <c r="P219" s="232">
        <v>36.844000000000001</v>
      </c>
      <c r="Q219" s="233"/>
      <c r="R219" s="235"/>
    </row>
    <row r="220" spans="1:18" ht="16.5" customHeight="1" x14ac:dyDescent="0.25">
      <c r="A220" s="230">
        <v>44565</v>
      </c>
      <c r="B220" s="128" t="s">
        <v>10</v>
      </c>
      <c r="C220" s="157" t="str">
        <f t="shared" si="7"/>
        <v>04.01.2022_SAL1</v>
      </c>
      <c r="D220" s="190">
        <f t="shared" si="8"/>
        <v>0</v>
      </c>
      <c r="E220" s="231">
        <v>1.4849785119301977E-5</v>
      </c>
      <c r="F220" s="231">
        <v>2.9645451982618317E-3</v>
      </c>
      <c r="G220" s="231">
        <v>9.868111444379446E-2</v>
      </c>
      <c r="H220" s="231">
        <v>3.1262825584970986E-3</v>
      </c>
      <c r="I220" s="231">
        <v>1.2391933084301106E-4</v>
      </c>
      <c r="J220" s="231">
        <v>4.9577876189210775E-3</v>
      </c>
      <c r="K220" s="229">
        <v>8.1</v>
      </c>
      <c r="L220" s="229">
        <v>4.9000000000000004</v>
      </c>
      <c r="M220" s="229">
        <v>3.9114403611288</v>
      </c>
      <c r="N220" s="229">
        <v>1.47943507164611</v>
      </c>
      <c r="O220" s="205">
        <v>2.9335940634031196E-4</v>
      </c>
      <c r="P220" s="232">
        <v>35.135999999999996</v>
      </c>
      <c r="Q220" s="233"/>
      <c r="R220" s="235"/>
    </row>
    <row r="221" spans="1:18" ht="16.5" customHeight="1" x14ac:dyDescent="0.25">
      <c r="A221" s="230">
        <v>44565</v>
      </c>
      <c r="B221" s="128" t="s">
        <v>12</v>
      </c>
      <c r="C221" s="157" t="str">
        <f t="shared" si="7"/>
        <v>04.01.2022_SAL2</v>
      </c>
      <c r="D221" s="190">
        <f t="shared" si="8"/>
        <v>0</v>
      </c>
      <c r="E221" s="231">
        <v>1.4451992333474806E-5</v>
      </c>
      <c r="F221" s="231">
        <v>3.4160956475086032E-3</v>
      </c>
      <c r="G221" s="231">
        <v>0.1076491254507197</v>
      </c>
      <c r="H221" s="231">
        <v>3.4429778245205775E-3</v>
      </c>
      <c r="I221" s="231">
        <v>1.6599932073615165E-4</v>
      </c>
      <c r="J221" s="231">
        <v>2.7245215637788669E-2</v>
      </c>
      <c r="K221" s="229">
        <v>9</v>
      </c>
      <c r="L221" s="229">
        <v>5</v>
      </c>
      <c r="M221" s="229">
        <v>4.0043092056111496</v>
      </c>
      <c r="N221" s="229">
        <v>1.6557824350970201</v>
      </c>
      <c r="O221" s="205">
        <v>2.7531876706579124E-4</v>
      </c>
      <c r="P221" s="232">
        <v>38.552</v>
      </c>
      <c r="Q221" s="233"/>
      <c r="R221" s="235"/>
    </row>
    <row r="222" spans="1:18" ht="16.5" customHeight="1" x14ac:dyDescent="0.25">
      <c r="A222" s="230">
        <v>44565</v>
      </c>
      <c r="B222" s="128" t="s">
        <v>7</v>
      </c>
      <c r="C222" s="157" t="str">
        <f t="shared" si="7"/>
        <v>04.01.2022_STE1</v>
      </c>
      <c r="D222" s="190">
        <f t="shared" si="8"/>
        <v>0</v>
      </c>
      <c r="E222" s="231">
        <v>9.3472713032542158E-6</v>
      </c>
      <c r="F222" s="231">
        <v>2.8095568958870893E-3</v>
      </c>
      <c r="G222" s="231">
        <v>0.10691840882572334</v>
      </c>
      <c r="H222" s="231">
        <v>3.8103157820029128E-3</v>
      </c>
      <c r="I222" s="231">
        <v>1.728612371573062E-4</v>
      </c>
      <c r="J222" s="231">
        <v>6.7950879139988801E-3</v>
      </c>
      <c r="K222" s="229">
        <v>12</v>
      </c>
      <c r="L222" s="229">
        <v>5.8</v>
      </c>
      <c r="M222" s="229">
        <v>4.1602147941199599</v>
      </c>
      <c r="N222" s="229">
        <v>1.05689905611702</v>
      </c>
      <c r="O222" s="205">
        <v>2.4258731526251371E-4</v>
      </c>
      <c r="P222" s="232">
        <v>55.876000000000005</v>
      </c>
      <c r="Q222" s="233"/>
      <c r="R222" s="235"/>
    </row>
    <row r="223" spans="1:18" ht="16.5" customHeight="1" x14ac:dyDescent="0.25">
      <c r="A223" s="230">
        <v>44565</v>
      </c>
      <c r="B223" s="128" t="s">
        <v>9</v>
      </c>
      <c r="C223" s="157" t="str">
        <f t="shared" si="7"/>
        <v>04.01.2022_STE2</v>
      </c>
      <c r="D223" s="190">
        <f t="shared" si="8"/>
        <v>0</v>
      </c>
      <c r="E223" s="231">
        <v>1.0010545667527597E-5</v>
      </c>
      <c r="F223" s="231">
        <v>2.776739931254284E-3</v>
      </c>
      <c r="G223" s="231">
        <v>0.10843383183925095</v>
      </c>
      <c r="H223" s="231">
        <v>3.4942480313774238E-3</v>
      </c>
      <c r="I223" s="231">
        <v>1.647615837969288E-4</v>
      </c>
      <c r="J223" s="231">
        <v>6.2955145207167565E-3</v>
      </c>
      <c r="K223" s="229">
        <v>13</v>
      </c>
      <c r="L223" s="229">
        <v>5.9</v>
      </c>
      <c r="M223" s="229">
        <v>4.8222817248788896</v>
      </c>
      <c r="N223" s="229">
        <v>1.1958147768196601</v>
      </c>
      <c r="O223" s="205">
        <v>2.4925804817679153E-4</v>
      </c>
      <c r="P223" s="232">
        <v>58.071999999999996</v>
      </c>
      <c r="Q223" s="233"/>
      <c r="R223" s="235"/>
    </row>
    <row r="224" spans="1:18" ht="16.5" customHeight="1" x14ac:dyDescent="0.25">
      <c r="A224" s="230">
        <v>44593</v>
      </c>
      <c r="B224" s="128" t="s">
        <v>22</v>
      </c>
      <c r="C224" s="157" t="str">
        <f t="shared" si="7"/>
        <v>01.02.2022_BIE1</v>
      </c>
      <c r="D224" s="190">
        <f t="shared" si="8"/>
        <v>0</v>
      </c>
      <c r="E224" s="231">
        <v>2.7578295102087141E-5</v>
      </c>
      <c r="F224" s="231">
        <v>2.7526931067873277E-3</v>
      </c>
      <c r="G224" s="231">
        <v>0.10008335969463492</v>
      </c>
      <c r="H224" s="231">
        <v>1.9757199678060952E-3</v>
      </c>
      <c r="I224" s="231">
        <v>1.3908007532827278E-4</v>
      </c>
      <c r="J224" s="231">
        <v>9.7043419365328391E-3</v>
      </c>
      <c r="K224" s="229">
        <v>12.1578019556352</v>
      </c>
      <c r="L224" s="229">
        <v>5.4938412206813201</v>
      </c>
      <c r="M224" s="229">
        <v>6.8319356532500404</v>
      </c>
      <c r="N224" s="229">
        <v>1.8780123058848599</v>
      </c>
      <c r="O224" s="205">
        <v>2.2619607367716711E-4</v>
      </c>
      <c r="P224" s="232">
        <v>43.92</v>
      </c>
      <c r="Q224" s="233"/>
      <c r="R224" s="235"/>
    </row>
    <row r="225" spans="1:18" ht="16.5" customHeight="1" x14ac:dyDescent="0.25">
      <c r="A225" s="230">
        <v>44593</v>
      </c>
      <c r="B225" s="128" t="s">
        <v>25</v>
      </c>
      <c r="C225" s="157" t="str">
        <f t="shared" si="7"/>
        <v>01.02.2022_BIE2</v>
      </c>
      <c r="D225" s="190">
        <f t="shared" si="8"/>
        <v>0</v>
      </c>
      <c r="E225" s="231">
        <v>3.0561311413948774E-5</v>
      </c>
      <c r="F225" s="231">
        <v>2.580509116314602E-3</v>
      </c>
      <c r="G225" s="231">
        <v>9.911370394845484E-2</v>
      </c>
      <c r="H225" s="231">
        <v>2.1089126481538441E-3</v>
      </c>
      <c r="I225" s="231">
        <v>1.6601736320487315E-4</v>
      </c>
      <c r="J225" s="231">
        <v>1.0639157334216311E-2</v>
      </c>
      <c r="K225" s="229">
        <v>13.1456148893361</v>
      </c>
      <c r="L225" s="229">
        <v>5.4561211073020601</v>
      </c>
      <c r="M225" s="229">
        <v>6.9938607073010797</v>
      </c>
      <c r="N225" s="229">
        <v>1.8251730921546301</v>
      </c>
      <c r="O225" s="205">
        <v>2.2894739580244948E-4</v>
      </c>
      <c r="P225" s="232">
        <v>47.335999999999999</v>
      </c>
      <c r="Q225" s="233"/>
      <c r="R225" s="235"/>
    </row>
    <row r="226" spans="1:18" ht="16.5" customHeight="1" x14ac:dyDescent="0.25">
      <c r="A226" s="230">
        <v>44593</v>
      </c>
      <c r="B226" s="128" t="s">
        <v>14</v>
      </c>
      <c r="C226" s="157" t="str">
        <f t="shared" si="7"/>
        <v>01.02.2022_BRA1</v>
      </c>
      <c r="D226" s="190">
        <f t="shared" si="8"/>
        <v>0</v>
      </c>
      <c r="E226" s="231">
        <v>1.4186940336870742E-5</v>
      </c>
      <c r="F226" s="231">
        <v>1.7397390609085713E-3</v>
      </c>
      <c r="G226" s="231">
        <v>8.1026407513625873E-2</v>
      </c>
      <c r="H226" s="231">
        <v>2.0713712434712291E-3</v>
      </c>
      <c r="I226" s="231">
        <v>1.5069223178237087E-4</v>
      </c>
      <c r="J226" s="231">
        <v>8.78667317523457E-3</v>
      </c>
      <c r="K226" s="229">
        <v>10.058196009187499</v>
      </c>
      <c r="L226" s="229">
        <v>6.7791978660312804</v>
      </c>
      <c r="M226" s="229">
        <v>8.1909537928285001</v>
      </c>
      <c r="N226" s="229">
        <v>0.34295584988083999</v>
      </c>
      <c r="O226" s="205">
        <v>1.7307965034172963E-4</v>
      </c>
      <c r="P226" s="232">
        <v>36.111999999999995</v>
      </c>
      <c r="Q226" s="233"/>
      <c r="R226" s="235"/>
    </row>
    <row r="227" spans="1:18" ht="16.5" customHeight="1" x14ac:dyDescent="0.25">
      <c r="A227" s="230">
        <v>44593</v>
      </c>
      <c r="B227" s="128" t="s">
        <v>17</v>
      </c>
      <c r="C227" s="157" t="str">
        <f t="shared" si="7"/>
        <v>01.02.2022_BRA2</v>
      </c>
      <c r="D227" s="190">
        <f t="shared" si="8"/>
        <v>0</v>
      </c>
      <c r="E227" s="231">
        <v>1.0739546053649312E-5</v>
      </c>
      <c r="F227" s="231">
        <v>2.3928374011157692E-3</v>
      </c>
      <c r="G227" s="231">
        <v>9.0523027880381579E-2</v>
      </c>
      <c r="H227" s="231">
        <v>1.9187894367460802E-3</v>
      </c>
      <c r="I227" s="231">
        <v>1.5134742103868967E-4</v>
      </c>
      <c r="J227" s="231">
        <v>5.4160825785435768E-3</v>
      </c>
      <c r="K227" s="229">
        <v>10.6489551327999</v>
      </c>
      <c r="L227" s="229">
        <v>6.9023604460535903</v>
      </c>
      <c r="M227" s="229">
        <v>8.3973618438261894</v>
      </c>
      <c r="N227" s="229">
        <v>0.42896920570504099</v>
      </c>
      <c r="O227" s="205">
        <v>1.4511488135515019E-4</v>
      </c>
      <c r="P227" s="232">
        <v>38.795999999999999</v>
      </c>
      <c r="Q227" s="233"/>
      <c r="R227" s="235"/>
    </row>
    <row r="228" spans="1:18" ht="16.5" customHeight="1" x14ac:dyDescent="0.25">
      <c r="A228" s="230">
        <v>44593</v>
      </c>
      <c r="B228" s="128" t="s">
        <v>30</v>
      </c>
      <c r="C228" s="157" t="str">
        <f t="shared" si="7"/>
        <v>01.02.2022_FAL1</v>
      </c>
      <c r="D228" s="190">
        <f t="shared" si="8"/>
        <v>0</v>
      </c>
      <c r="E228" s="231">
        <v>7.1598405630469234E-6</v>
      </c>
      <c r="F228" s="231">
        <v>1.7157011637015556E-3</v>
      </c>
      <c r="G228" s="231">
        <v>0.32468187464848408</v>
      </c>
      <c r="H228" s="231">
        <v>2.656807590056921E-3</v>
      </c>
      <c r="I228" s="231">
        <v>1.708405985851279E-4</v>
      </c>
      <c r="J228" s="231">
        <v>5.4077479339812856E-3</v>
      </c>
      <c r="K228" s="229">
        <v>59.086726866387998</v>
      </c>
      <c r="L228" s="229">
        <v>20.928465848110399</v>
      </c>
      <c r="M228" s="229">
        <v>19.946112726681001</v>
      </c>
      <c r="N228" s="229">
        <v>3.1102743242790298</v>
      </c>
      <c r="O228" s="205">
        <v>2.1059695325127814E-4</v>
      </c>
      <c r="P228" s="232">
        <v>244.73199999999997</v>
      </c>
      <c r="Q228" s="233"/>
      <c r="R228" s="235"/>
    </row>
    <row r="229" spans="1:18" ht="16.5" customHeight="1" x14ac:dyDescent="0.25">
      <c r="A229" s="230">
        <v>44593</v>
      </c>
      <c r="B229" s="128" t="s">
        <v>32</v>
      </c>
      <c r="C229" s="157" t="str">
        <f t="shared" si="7"/>
        <v>01.02.2022_FAL2</v>
      </c>
      <c r="D229" s="190">
        <f t="shared" si="8"/>
        <v>0</v>
      </c>
      <c r="E229" s="231">
        <v>8.3527893386862889E-6</v>
      </c>
      <c r="F229" s="231">
        <v>2.2437228786916807E-3</v>
      </c>
      <c r="G229" s="231">
        <v>0.38400621812944308</v>
      </c>
      <c r="H229" s="231">
        <v>3.1467943623554049E-3</v>
      </c>
      <c r="I229" s="231">
        <v>4.1818668908258919E-4</v>
      </c>
      <c r="J229" s="231">
        <v>6.399759961880234E-3</v>
      </c>
      <c r="K229" s="229">
        <v>65.230548695434095</v>
      </c>
      <c r="L229" s="229">
        <v>21.8905007438475</v>
      </c>
      <c r="M229" s="229">
        <v>21.153560317589601</v>
      </c>
      <c r="N229" s="229">
        <v>3.2475276371986199</v>
      </c>
      <c r="O229" s="205">
        <v>1.9811259580954812E-4</v>
      </c>
      <c r="P229" s="232">
        <v>249.12399999999997</v>
      </c>
      <c r="Q229" s="233"/>
      <c r="R229" s="235"/>
    </row>
    <row r="230" spans="1:18" ht="16.5" customHeight="1" x14ac:dyDescent="0.25">
      <c r="A230" s="230">
        <v>44593</v>
      </c>
      <c r="B230" s="128" t="s">
        <v>26</v>
      </c>
      <c r="C230" s="157" t="str">
        <f t="shared" si="7"/>
        <v>01.02.2022_GRU1</v>
      </c>
      <c r="D230" s="190">
        <f t="shared" si="8"/>
        <v>0</v>
      </c>
      <c r="E230" s="231">
        <v>2.9765725842294432E-5</v>
      </c>
      <c r="F230" s="231">
        <v>3.4057725212034507E-3</v>
      </c>
      <c r="G230" s="231">
        <v>0.10770618397044096</v>
      </c>
      <c r="H230" s="231">
        <v>4.4397281032248735E-3</v>
      </c>
      <c r="I230" s="231">
        <v>1.4996440095263729E-4</v>
      </c>
      <c r="J230" s="231">
        <v>1.1186373584387163E-2</v>
      </c>
      <c r="K230" s="229">
        <v>9.7479639198082797</v>
      </c>
      <c r="L230" s="229">
        <v>5.1750309846168401</v>
      </c>
      <c r="M230" s="229">
        <v>7.5137579422059302</v>
      </c>
      <c r="N230" s="229">
        <v>0.79895968680201401</v>
      </c>
      <c r="O230" s="205">
        <v>2.1994082184652758E-4</v>
      </c>
      <c r="P230" s="232">
        <v>34.160000000000004</v>
      </c>
      <c r="Q230" s="233"/>
      <c r="R230" s="235"/>
    </row>
    <row r="231" spans="1:18" ht="16.5" customHeight="1" x14ac:dyDescent="0.25">
      <c r="A231" s="230">
        <v>44593</v>
      </c>
      <c r="B231" s="128" t="s">
        <v>28</v>
      </c>
      <c r="C231" s="157" t="str">
        <f t="shared" si="7"/>
        <v>01.02.2022_GRU2</v>
      </c>
      <c r="D231" s="190">
        <f t="shared" si="8"/>
        <v>0</v>
      </c>
      <c r="E231" s="231">
        <v>1.9158920577868223E-5</v>
      </c>
      <c r="F231" s="231">
        <v>2.8473374170469835E-3</v>
      </c>
      <c r="G231" s="231">
        <v>0.1040381895595012</v>
      </c>
      <c r="H231" s="231">
        <v>3.56217572750182E-3</v>
      </c>
      <c r="I231" s="231">
        <v>1.4142819060397835E-4</v>
      </c>
      <c r="J231" s="231">
        <v>6.5957026324080731E-3</v>
      </c>
      <c r="K231" s="229">
        <v>11.163840549201501</v>
      </c>
      <c r="L231" s="229">
        <v>5.4061877246603096</v>
      </c>
      <c r="M231" s="229">
        <v>7.9841258468576903</v>
      </c>
      <c r="N231" s="229">
        <v>0.88960301381159301</v>
      </c>
      <c r="O231" s="205">
        <v>1.7209340821462316E-4</v>
      </c>
      <c r="P231" s="232">
        <v>37.088000000000001</v>
      </c>
      <c r="Q231" s="233"/>
      <c r="R231" s="235"/>
    </row>
    <row r="232" spans="1:18" ht="16.5" customHeight="1" x14ac:dyDescent="0.25">
      <c r="A232" s="230">
        <v>44593</v>
      </c>
      <c r="B232" s="128" t="s">
        <v>0</v>
      </c>
      <c r="C232" s="157" t="str">
        <f t="shared" si="7"/>
        <v>01.02.2022_KIN1</v>
      </c>
      <c r="D232" s="190">
        <f t="shared" si="8"/>
        <v>0</v>
      </c>
      <c r="E232" s="231">
        <v>6.2980993877021025E-6</v>
      </c>
      <c r="F232" s="231">
        <v>1.5614341839300307E-3</v>
      </c>
      <c r="G232" s="231">
        <v>0.17667789665105801</v>
      </c>
      <c r="H232" s="231">
        <v>2.2964331929344979E-3</v>
      </c>
      <c r="I232" s="231">
        <v>1.5254860134194081E-4</v>
      </c>
      <c r="J232" s="231">
        <v>5.2114768932312481E-3</v>
      </c>
      <c r="K232" s="229">
        <v>29.173038700764302</v>
      </c>
      <c r="L232" s="229">
        <v>8.9658201142194294</v>
      </c>
      <c r="M232" s="229">
        <v>8.0188876597880601</v>
      </c>
      <c r="N232" s="229">
        <v>1.0872378972422001</v>
      </c>
      <c r="O232" s="205">
        <v>1.3273544507739842E-4</v>
      </c>
      <c r="P232" s="232">
        <v>120.658</v>
      </c>
      <c r="Q232" s="233"/>
      <c r="R232" s="235"/>
    </row>
    <row r="233" spans="1:18" ht="16.5" customHeight="1" x14ac:dyDescent="0.25">
      <c r="A233" s="230">
        <v>44593</v>
      </c>
      <c r="B233" s="128" t="s">
        <v>2</v>
      </c>
      <c r="C233" s="157" t="str">
        <f t="shared" si="7"/>
        <v>01.02.2022_KIN2</v>
      </c>
      <c r="D233" s="190">
        <f t="shared" si="8"/>
        <v>0</v>
      </c>
      <c r="E233" s="231">
        <v>5.7014102089613467E-6</v>
      </c>
      <c r="F233" s="231">
        <v>1.956872162273659E-3</v>
      </c>
      <c r="G233" s="231">
        <v>0.19525414936854263</v>
      </c>
      <c r="H233" s="231">
        <v>2.2003201606557478E-3</v>
      </c>
      <c r="I233" s="231">
        <v>1.447225331281904E-4</v>
      </c>
      <c r="J233" s="231">
        <v>5.0983542827905447E-3</v>
      </c>
      <c r="K233" s="229">
        <v>34.234131073977899</v>
      </c>
      <c r="L233" s="229">
        <v>10.210865750829299</v>
      </c>
      <c r="M233" s="229">
        <v>7.7624010557993701</v>
      </c>
      <c r="N233" s="229">
        <v>1.13461322546785</v>
      </c>
      <c r="O233" s="205">
        <v>1.3387738752156241E-4</v>
      </c>
      <c r="P233" s="232">
        <v>138.83599999999998</v>
      </c>
      <c r="Q233" s="233"/>
      <c r="R233" s="235"/>
    </row>
    <row r="234" spans="1:18" ht="16.5" customHeight="1" x14ac:dyDescent="0.25">
      <c r="A234" s="230">
        <v>44593</v>
      </c>
      <c r="B234" s="128" t="s">
        <v>4</v>
      </c>
      <c r="C234" s="157" t="str">
        <f t="shared" si="7"/>
        <v>01.02.2022_KIN3</v>
      </c>
      <c r="D234" s="190">
        <f t="shared" si="8"/>
        <v>0</v>
      </c>
      <c r="E234" s="231">
        <v>6.8943589846007123E-6</v>
      </c>
      <c r="F234" s="231">
        <v>2.60510621708431E-3</v>
      </c>
      <c r="G234" s="231">
        <v>0.1880540098053303</v>
      </c>
      <c r="H234" s="231">
        <v>3.0861841554238848E-3</v>
      </c>
      <c r="I234" s="231">
        <v>1.36805309173775E-4</v>
      </c>
      <c r="J234" s="231">
        <v>6.6141050210796809E-3</v>
      </c>
      <c r="K234" s="229">
        <v>32.084150423004999</v>
      </c>
      <c r="L234" s="229">
        <v>10.5102171591931</v>
      </c>
      <c r="M234" s="229">
        <v>8.6052588043989306</v>
      </c>
      <c r="N234" s="229">
        <v>0.91046396196263002</v>
      </c>
      <c r="O234" s="205">
        <v>1.52433721042752E-4</v>
      </c>
      <c r="P234" s="232">
        <v>129.80799999999999</v>
      </c>
      <c r="Q234" s="233"/>
      <c r="R234" s="235"/>
    </row>
    <row r="235" spans="1:18" ht="16.5" customHeight="1" x14ac:dyDescent="0.25">
      <c r="A235" s="230">
        <v>44593</v>
      </c>
      <c r="B235" s="128" t="s">
        <v>6</v>
      </c>
      <c r="C235" s="157" t="str">
        <f t="shared" si="7"/>
        <v>01.02.2022_KIN4</v>
      </c>
      <c r="D235" s="190">
        <f t="shared" si="8"/>
        <v>0</v>
      </c>
      <c r="E235" s="231">
        <v>9.2811156995637346E-6</v>
      </c>
      <c r="F235" s="231">
        <v>2.1959131166238858E-3</v>
      </c>
      <c r="G235" s="231">
        <v>0.18419903489314435</v>
      </c>
      <c r="H235" s="231">
        <v>3.0592107189532508E-3</v>
      </c>
      <c r="I235" s="231">
        <v>1.3827924915122799E-4</v>
      </c>
      <c r="J235" s="231">
        <v>7.3937167608683048E-3</v>
      </c>
      <c r="K235" s="229">
        <v>31.009118538627501</v>
      </c>
      <c r="L235" s="229">
        <v>10.542382793735699</v>
      </c>
      <c r="M235" s="229">
        <v>12.2719821360953</v>
      </c>
      <c r="N235" s="229">
        <v>1.00637052933178</v>
      </c>
      <c r="O235" s="205">
        <v>1.6241274940871912E-4</v>
      </c>
      <c r="P235" s="232">
        <v>128.1</v>
      </c>
      <c r="Q235" s="233"/>
      <c r="R235" s="235"/>
    </row>
    <row r="236" spans="1:18" ht="16.5" customHeight="1" x14ac:dyDescent="0.25">
      <c r="A236" s="230">
        <v>44593</v>
      </c>
      <c r="B236" s="128" t="s">
        <v>34</v>
      </c>
      <c r="C236" s="157" t="str">
        <f t="shared" si="7"/>
        <v>01.02.2022_KRE1</v>
      </c>
      <c r="D236" s="190">
        <f t="shared" si="8"/>
        <v>0</v>
      </c>
      <c r="E236" s="231">
        <v>6.3642549913925821E-6</v>
      </c>
      <c r="F236" s="231">
        <v>2.1278116927106357E-3</v>
      </c>
      <c r="G236" s="231">
        <v>0.34713900868397091</v>
      </c>
      <c r="H236" s="231">
        <v>2.9944294797536854E-3</v>
      </c>
      <c r="I236" s="231">
        <v>1.5522442917043793E-4</v>
      </c>
      <c r="J236" s="231">
        <v>4.9357203951041831E-3</v>
      </c>
      <c r="K236" s="229">
        <v>62.628271334901598</v>
      </c>
      <c r="L236" s="229">
        <v>23.090865649538799</v>
      </c>
      <c r="M236" s="229">
        <v>22.2875528744832</v>
      </c>
      <c r="N236" s="229">
        <v>3.0902757154459999</v>
      </c>
      <c r="O236" s="205">
        <v>2.4637691973966423E-4</v>
      </c>
      <c r="P236" s="232">
        <v>219.6</v>
      </c>
      <c r="Q236" s="233"/>
      <c r="R236" s="235"/>
    </row>
    <row r="237" spans="1:18" ht="16.5" customHeight="1" x14ac:dyDescent="0.25">
      <c r="A237" s="230">
        <v>44593</v>
      </c>
      <c r="B237" s="128" t="s">
        <v>37</v>
      </c>
      <c r="C237" s="157" t="str">
        <f t="shared" si="7"/>
        <v>01.02.2022_KRE2</v>
      </c>
      <c r="D237" s="190">
        <f t="shared" si="8"/>
        <v>0</v>
      </c>
      <c r="E237" s="231">
        <v>8.1543225276148503E-6</v>
      </c>
      <c r="F237" s="231">
        <v>2.7093987527975929E-3</v>
      </c>
      <c r="G237" s="231">
        <v>0.52074191330047082</v>
      </c>
      <c r="H237" s="231">
        <v>4.9344495722290849E-3</v>
      </c>
      <c r="I237" s="231">
        <v>1.7963187991316368E-4</v>
      </c>
      <c r="J237" s="231">
        <v>8.8264351467905455E-3</v>
      </c>
      <c r="K237" s="229">
        <v>77.435196798383004</v>
      </c>
      <c r="L237" s="229">
        <v>23.358908745269598</v>
      </c>
      <c r="M237" s="229">
        <v>22.903613232569199</v>
      </c>
      <c r="N237" s="229">
        <v>3.24107628722505</v>
      </c>
      <c r="O237" s="205">
        <v>3.5965882082954621E-4</v>
      </c>
      <c r="P237" s="232">
        <v>304.024</v>
      </c>
      <c r="Q237" s="233"/>
      <c r="R237" s="235"/>
    </row>
    <row r="238" spans="1:18" ht="16.5" customHeight="1" x14ac:dyDescent="0.25">
      <c r="A238" s="230">
        <v>44593</v>
      </c>
      <c r="B238" s="128" t="s">
        <v>18</v>
      </c>
      <c r="C238" s="157" t="str">
        <f t="shared" si="7"/>
        <v>01.02.2022_ORB1</v>
      </c>
      <c r="D238" s="190">
        <f t="shared" si="8"/>
        <v>0</v>
      </c>
      <c r="E238" s="231">
        <v>2.6782709530432799E-5</v>
      </c>
      <c r="F238" s="231">
        <v>1.9221347654823869E-3</v>
      </c>
      <c r="G238" s="231">
        <v>9.2223678304604734E-2</v>
      </c>
      <c r="H238" s="231">
        <v>2.2035198971898417E-3</v>
      </c>
      <c r="I238" s="231">
        <v>1.3036214312144479E-4</v>
      </c>
      <c r="J238" s="231">
        <v>9.8724302460385816E-3</v>
      </c>
      <c r="K238" s="229">
        <v>10.368849019342001</v>
      </c>
      <c r="L238" s="229">
        <v>2.8228938683154299</v>
      </c>
      <c r="M238" s="229">
        <v>7.7903752288689203</v>
      </c>
      <c r="N238" s="229">
        <v>1.9568938765080801</v>
      </c>
      <c r="O238" s="205">
        <v>1.0605671699256206E-4</v>
      </c>
      <c r="P238" s="232">
        <v>21.227999999999998</v>
      </c>
      <c r="Q238" s="233"/>
      <c r="R238" s="235"/>
    </row>
    <row r="239" spans="1:18" ht="16.5" customHeight="1" x14ac:dyDescent="0.25">
      <c r="A239" s="230">
        <v>44593</v>
      </c>
      <c r="B239" s="128" t="s">
        <v>21</v>
      </c>
      <c r="C239" s="157" t="str">
        <f t="shared" si="7"/>
        <v>01.02.2022_ORB2</v>
      </c>
      <c r="D239" s="190">
        <f t="shared" si="8"/>
        <v>0</v>
      </c>
      <c r="E239" s="231">
        <v>1.6772163862905203E-5</v>
      </c>
      <c r="F239" s="231">
        <v>1.6006341394205134E-3</v>
      </c>
      <c r="G239" s="231">
        <v>8.7305242042769918E-2</v>
      </c>
      <c r="H239" s="231">
        <v>2.0643835804309363E-3</v>
      </c>
      <c r="I239" s="231">
        <v>1.2821461764505498E-4</v>
      </c>
      <c r="J239" s="231">
        <v>7.4442566004167638E-3</v>
      </c>
      <c r="K239" s="229">
        <v>9.7781921966040297</v>
      </c>
      <c r="L239" s="229">
        <v>2.7225697935989599</v>
      </c>
      <c r="M239" s="229">
        <v>6.4688650208574501</v>
      </c>
      <c r="N239" s="229">
        <v>2.0355435214718298</v>
      </c>
      <c r="O239" s="205">
        <v>1.0407145387863375E-4</v>
      </c>
      <c r="P239" s="232">
        <v>20.496000000000002</v>
      </c>
      <c r="Q239" s="233"/>
      <c r="R239" s="235"/>
    </row>
    <row r="240" spans="1:18" ht="16.5" customHeight="1" x14ac:dyDescent="0.25">
      <c r="A240" s="230">
        <v>44593</v>
      </c>
      <c r="B240" s="128" t="s">
        <v>10</v>
      </c>
      <c r="C240" s="157" t="str">
        <f t="shared" si="7"/>
        <v>01.02.2022_SAL1</v>
      </c>
      <c r="D240" s="190">
        <f t="shared" si="8"/>
        <v>0</v>
      </c>
      <c r="E240" s="231">
        <v>1.0407908871512621E-5</v>
      </c>
      <c r="F240" s="231">
        <v>2.5023056050523349E-3</v>
      </c>
      <c r="G240" s="231">
        <v>8.7548202760458632E-2</v>
      </c>
      <c r="H240" s="231">
        <v>2.202474179144538E-3</v>
      </c>
      <c r="I240" s="231">
        <v>1.4377607003041956E-4</v>
      </c>
      <c r="J240" s="231">
        <v>5.5985906238936655E-3</v>
      </c>
      <c r="K240" s="229">
        <v>9.4519969130727493</v>
      </c>
      <c r="L240" s="229">
        <v>6.2019101981579503</v>
      </c>
      <c r="M240" s="229">
        <v>6.2764902053249303</v>
      </c>
      <c r="N240" s="229">
        <v>0.22427185143431599</v>
      </c>
      <c r="O240" s="205">
        <v>1.277915396535961E-4</v>
      </c>
      <c r="P240" s="232">
        <v>38.552</v>
      </c>
      <c r="Q240" s="233"/>
      <c r="R240" s="235"/>
    </row>
    <row r="241" spans="1:18" ht="16.5" customHeight="1" x14ac:dyDescent="0.25">
      <c r="A241" s="230">
        <v>44593</v>
      </c>
      <c r="B241" s="128" t="s">
        <v>12</v>
      </c>
      <c r="C241" s="157" t="str">
        <f t="shared" si="7"/>
        <v>01.02.2022_SAL2</v>
      </c>
      <c r="D241" s="190">
        <f t="shared" si="8"/>
        <v>0</v>
      </c>
      <c r="E241" s="231">
        <v>1.0673390449958833E-5</v>
      </c>
      <c r="F241" s="231">
        <v>1.7448668790185709E-3</v>
      </c>
      <c r="G241" s="231">
        <v>9.2646105309496601E-2</v>
      </c>
      <c r="H241" s="231">
        <v>2.1301957377843437E-3</v>
      </c>
      <c r="I241" s="231">
        <v>1.362773605955642E-4</v>
      </c>
      <c r="J241" s="231">
        <v>6.7616127734644923E-3</v>
      </c>
      <c r="K241" s="229">
        <v>10.3036530967525</v>
      </c>
      <c r="L241" s="229">
        <v>6.6625200886523697</v>
      </c>
      <c r="M241" s="229">
        <v>6.6408259668243801</v>
      </c>
      <c r="N241" s="229">
        <v>0.28897563811767402</v>
      </c>
      <c r="O241" s="205">
        <v>1.2084934004181367E-4</v>
      </c>
      <c r="P241" s="232">
        <v>41.236000000000004</v>
      </c>
      <c r="Q241" s="233"/>
      <c r="R241" s="235"/>
    </row>
    <row r="242" spans="1:18" ht="16.5" customHeight="1" x14ac:dyDescent="0.25">
      <c r="A242" s="230">
        <v>44593</v>
      </c>
      <c r="B242" s="128" t="s">
        <v>7</v>
      </c>
      <c r="C242" s="157" t="str">
        <f t="shared" si="7"/>
        <v>01.02.2022_STE1</v>
      </c>
      <c r="D242" s="190">
        <f t="shared" si="8"/>
        <v>0</v>
      </c>
      <c r="E242" s="231">
        <v>7.8888409491686383E-6</v>
      </c>
      <c r="F242" s="231">
        <v>1.8267455646532699E-3</v>
      </c>
      <c r="G242" s="231">
        <v>0.1189366922731752</v>
      </c>
      <c r="H242" s="231">
        <v>2.4372740343357878E-3</v>
      </c>
      <c r="I242" s="231">
        <v>1.424107386391922E-4</v>
      </c>
      <c r="J242" s="231">
        <v>5.0137825010265792E-3</v>
      </c>
      <c r="K242" s="229">
        <v>18.273291773695401</v>
      </c>
      <c r="L242" s="229">
        <v>8.3830578742878394</v>
      </c>
      <c r="M242" s="229">
        <v>6.65207834205399</v>
      </c>
      <c r="N242" s="229">
        <v>0.19864458126335499</v>
      </c>
      <c r="O242" s="205">
        <v>1.2928380781113941E-4</v>
      </c>
      <c r="P242" s="232">
        <v>75.396000000000001</v>
      </c>
      <c r="Q242" s="233"/>
      <c r="R242" s="235"/>
    </row>
    <row r="243" spans="1:18" ht="16.5" customHeight="1" x14ac:dyDescent="0.25">
      <c r="A243" s="230">
        <v>44593</v>
      </c>
      <c r="B243" s="128" t="s">
        <v>9</v>
      </c>
      <c r="C243" s="157" t="str">
        <f t="shared" si="7"/>
        <v>01.02.2022_STE2</v>
      </c>
      <c r="D243" s="190">
        <f t="shared" si="8"/>
        <v>0</v>
      </c>
      <c r="E243" s="231">
        <v>7.1598405630469234E-6</v>
      </c>
      <c r="F243" s="231">
        <v>1.7877630772149455E-3</v>
      </c>
      <c r="G243" s="231">
        <v>0.11664258509320136</v>
      </c>
      <c r="H243" s="231">
        <v>2.4656779860297386E-3</v>
      </c>
      <c r="I243" s="231">
        <v>1.2178972991071062E-4</v>
      </c>
      <c r="J243" s="231">
        <v>6.9795953553521816E-3</v>
      </c>
      <c r="K243" s="229">
        <v>18.2879329458653</v>
      </c>
      <c r="L243" s="229">
        <v>8.3173288602744204</v>
      </c>
      <c r="M243" s="229">
        <v>7.5142921587598099</v>
      </c>
      <c r="N243" s="229">
        <v>0.21897755295715901</v>
      </c>
      <c r="O243" s="205">
        <v>1.2597483978788607E-4</v>
      </c>
      <c r="P243" s="232">
        <v>80.27600000000001</v>
      </c>
      <c r="Q243" s="233"/>
      <c r="R243" s="235"/>
    </row>
    <row r="244" spans="1:18" ht="16.5" customHeight="1" x14ac:dyDescent="0.25">
      <c r="A244" s="230">
        <v>44621</v>
      </c>
      <c r="B244" s="128" t="s">
        <v>22</v>
      </c>
      <c r="C244" s="157" t="str">
        <f t="shared" si="7"/>
        <v>01.03.2022_BIE1</v>
      </c>
      <c r="D244" s="190">
        <f t="shared" si="8"/>
        <v>0</v>
      </c>
      <c r="E244" s="231">
        <v>3.3838540711300363E-5</v>
      </c>
      <c r="F244" s="231">
        <v>1.6716315795776127E-3</v>
      </c>
      <c r="G244" s="231">
        <v>7.6658336898918628E-2</v>
      </c>
      <c r="H244" s="231">
        <v>1.9256611838141761E-3</v>
      </c>
      <c r="I244" s="231">
        <v>1.6934929525974936E-4</v>
      </c>
      <c r="J244" s="231">
        <v>1.2613689070123661E-2</v>
      </c>
      <c r="K244" s="229">
        <v>11.119814273308901</v>
      </c>
      <c r="L244" s="229">
        <v>5.1077309032133096</v>
      </c>
      <c r="M244" s="229">
        <v>4.0905874726851401</v>
      </c>
      <c r="N244" s="229">
        <v>2.1817801390521998</v>
      </c>
      <c r="O244" s="205">
        <v>2.0204121012897463E-4</v>
      </c>
      <c r="P244" s="232">
        <v>40.748000000000005</v>
      </c>
      <c r="Q244" s="233"/>
      <c r="R244" s="235"/>
    </row>
    <row r="245" spans="1:18" ht="16.5" customHeight="1" x14ac:dyDescent="0.25">
      <c r="A245" s="230">
        <v>44621</v>
      </c>
      <c r="B245" s="128" t="s">
        <v>25</v>
      </c>
      <c r="C245" s="157" t="str">
        <f t="shared" si="7"/>
        <v>01.03.2022_BIE2</v>
      </c>
      <c r="D245" s="190">
        <f t="shared" si="8"/>
        <v>0</v>
      </c>
      <c r="E245" s="231">
        <v>2.8808303166728354E-5</v>
      </c>
      <c r="F245" s="231">
        <v>1.5797075126087353E-3</v>
      </c>
      <c r="G245" s="231">
        <v>7.1163671323357339E-2</v>
      </c>
      <c r="H245" s="231">
        <v>1.9512709874984187E-3</v>
      </c>
      <c r="I245" s="231">
        <v>1.9883552377838589E-4</v>
      </c>
      <c r="J245" s="231">
        <v>1.4002775911870942E-2</v>
      </c>
      <c r="K245" s="229">
        <v>11.262113388896401</v>
      </c>
      <c r="L245" s="229">
        <v>5.2289832438151</v>
      </c>
      <c r="M245" s="229">
        <v>4.3246481849384804</v>
      </c>
      <c r="N245" s="229">
        <v>2.1687494516450498</v>
      </c>
      <c r="O245" s="205">
        <v>1.9772431011700741E-4</v>
      </c>
      <c r="P245" s="232">
        <v>42.943999999999996</v>
      </c>
      <c r="Q245" s="233"/>
      <c r="R245" s="235"/>
    </row>
    <row r="246" spans="1:18" ht="16.5" customHeight="1" x14ac:dyDescent="0.25">
      <c r="A246" s="230">
        <v>44621</v>
      </c>
      <c r="B246" s="128" t="s">
        <v>14</v>
      </c>
      <c r="C246" s="157" t="str">
        <f t="shared" si="7"/>
        <v>01.03.2022_BRA1</v>
      </c>
      <c r="D246" s="190">
        <f t="shared" si="8"/>
        <v>0</v>
      </c>
      <c r="E246" s="231">
        <v>1.3169408425480599E-5</v>
      </c>
      <c r="F246" s="231">
        <v>1.4571447102325723E-3</v>
      </c>
      <c r="G246" s="231">
        <v>6.6759198650005902E-2</v>
      </c>
      <c r="H246" s="231">
        <v>1.8241703975756982E-3</v>
      </c>
      <c r="I246" s="231">
        <v>2.0579638049014309E-4</v>
      </c>
      <c r="J246" s="231">
        <v>9.7042279728842273E-3</v>
      </c>
      <c r="K246" s="229">
        <v>9.4919443490757907</v>
      </c>
      <c r="L246" s="229">
        <v>6.8006648317308196</v>
      </c>
      <c r="M246" s="229">
        <v>4.6594678456444498</v>
      </c>
      <c r="N246" s="229">
        <v>0.335062316410073</v>
      </c>
      <c r="O246" s="205">
        <v>1.4903128472007059E-4</v>
      </c>
      <c r="P246" s="232">
        <v>42.943999999999996</v>
      </c>
      <c r="Q246" s="233"/>
      <c r="R246" s="235"/>
    </row>
    <row r="247" spans="1:18" ht="16.5" customHeight="1" x14ac:dyDescent="0.25">
      <c r="A247" s="230">
        <v>44621</v>
      </c>
      <c r="B247" s="128" t="s">
        <v>17</v>
      </c>
      <c r="C247" s="157" t="str">
        <f t="shared" si="7"/>
        <v>01.03.2022_BRA2</v>
      </c>
      <c r="D247" s="190">
        <f t="shared" si="8"/>
        <v>0</v>
      </c>
      <c r="E247" s="231">
        <v>1.0151740002181743E-5</v>
      </c>
      <c r="F247" s="231">
        <v>2.3475452816919739E-3</v>
      </c>
      <c r="G247" s="231">
        <v>7.4968333700816708E-2</v>
      </c>
      <c r="H247" s="231">
        <v>1.8401216467275978E-3</v>
      </c>
      <c r="I247" s="231">
        <v>2.0012003325084828E-4</v>
      </c>
      <c r="J247" s="231">
        <v>1.2009912963222173E-2</v>
      </c>
      <c r="K247" s="229">
        <v>10.47297026699</v>
      </c>
      <c r="L247" s="229">
        <v>7.3568462691359899</v>
      </c>
      <c r="M247" s="229">
        <v>5.2480551696520701</v>
      </c>
      <c r="N247" s="229">
        <v>0.98836139381608301</v>
      </c>
      <c r="O247" s="205">
        <v>1.1030602023806721E-4</v>
      </c>
      <c r="P247" s="232">
        <v>45.628</v>
      </c>
      <c r="Q247" s="233"/>
      <c r="R247" s="235"/>
    </row>
    <row r="248" spans="1:18" ht="16.5" customHeight="1" x14ac:dyDescent="0.25">
      <c r="A248" s="230">
        <v>44621</v>
      </c>
      <c r="B248" s="128" t="s">
        <v>30</v>
      </c>
      <c r="C248" s="157" t="str">
        <f t="shared" si="7"/>
        <v>01.03.2022_FAL1</v>
      </c>
      <c r="D248" s="190">
        <f t="shared" si="8"/>
        <v>0</v>
      </c>
      <c r="E248" s="231">
        <v>1.2254981407187171E-5</v>
      </c>
      <c r="F248" s="231">
        <v>1.7239654854682026E-3</v>
      </c>
      <c r="G248" s="231">
        <v>0.28984379814141636</v>
      </c>
      <c r="H248" s="231">
        <v>4.1065367684963282E-3</v>
      </c>
      <c r="I248" s="231">
        <v>2.238708766475648E-4</v>
      </c>
      <c r="J248" s="231">
        <v>1.1300038616887326E-2</v>
      </c>
      <c r="K248" s="229">
        <v>61.6646577380344</v>
      </c>
      <c r="L248" s="229">
        <v>21.902769929338898</v>
      </c>
      <c r="M248" s="229">
        <v>20.331427866767999</v>
      </c>
      <c r="N248" s="229">
        <v>3.3057912279964601</v>
      </c>
      <c r="O248" s="205">
        <v>2.0280510127941126E-4</v>
      </c>
      <c r="P248" s="232">
        <v>243.268</v>
      </c>
      <c r="Q248" s="233"/>
      <c r="R248" s="235"/>
    </row>
    <row r="249" spans="1:18" ht="16.5" customHeight="1" x14ac:dyDescent="0.25">
      <c r="A249" s="230">
        <v>44621</v>
      </c>
      <c r="B249" s="128" t="s">
        <v>32</v>
      </c>
      <c r="C249" s="157" t="str">
        <f t="shared" si="7"/>
        <v>01.03.2022_FAL2</v>
      </c>
      <c r="D249" s="190">
        <f t="shared" si="8"/>
        <v>0</v>
      </c>
      <c r="E249" s="231">
        <v>7.7735185994522999E-6</v>
      </c>
      <c r="F249" s="231">
        <v>1.3924522361337462E-3</v>
      </c>
      <c r="G249" s="231">
        <v>0.29028421600399806</v>
      </c>
      <c r="H249" s="231">
        <v>3.1317304514879964E-3</v>
      </c>
      <c r="I249" s="231">
        <v>2.0561713760715634E-4</v>
      </c>
      <c r="J249" s="231">
        <v>9.6135808654670262E-3</v>
      </c>
      <c r="K249" s="229">
        <v>60.190417637352702</v>
      </c>
      <c r="L249" s="229">
        <v>20.852643490499499</v>
      </c>
      <c r="M249" s="229">
        <v>22.805017880214201</v>
      </c>
      <c r="N249" s="229">
        <v>3.6761879404368498</v>
      </c>
      <c r="O249" s="205">
        <v>2.0479476322269856E-4</v>
      </c>
      <c r="P249" s="232">
        <v>253.51599999999999</v>
      </c>
      <c r="Q249" s="233"/>
      <c r="R249" s="235"/>
    </row>
    <row r="250" spans="1:18" ht="16.5" customHeight="1" x14ac:dyDescent="0.25">
      <c r="A250" s="230">
        <v>44621</v>
      </c>
      <c r="B250" s="128" t="s">
        <v>26</v>
      </c>
      <c r="C250" s="157" t="str">
        <f t="shared" si="7"/>
        <v>01.03.2022_GRU1</v>
      </c>
      <c r="D250" s="190">
        <f t="shared" si="8"/>
        <v>0</v>
      </c>
      <c r="E250" s="231">
        <v>2.3504270883043204E-5</v>
      </c>
      <c r="F250" s="231">
        <v>5.3869650210292561E-3</v>
      </c>
      <c r="G250" s="231">
        <v>7.6372410677407868E-2</v>
      </c>
      <c r="H250" s="231">
        <v>3.2460948419863311E-3</v>
      </c>
      <c r="I250" s="231">
        <v>1.8061198116318903E-4</v>
      </c>
      <c r="J250" s="231">
        <v>2.0003061385313967E-2</v>
      </c>
      <c r="K250" s="229">
        <v>10.1283807436758</v>
      </c>
      <c r="L250" s="229">
        <v>5.3655229612040598</v>
      </c>
      <c r="M250" s="229">
        <v>5.4791309088964404</v>
      </c>
      <c r="N250" s="229">
        <v>1.0811073493391701</v>
      </c>
      <c r="O250" s="205">
        <v>1.373603354302447E-4</v>
      </c>
      <c r="P250" s="232">
        <v>36.844000000000001</v>
      </c>
      <c r="Q250" s="233"/>
      <c r="R250" s="235"/>
    </row>
    <row r="251" spans="1:18" ht="16.5" customHeight="1" x14ac:dyDescent="0.25">
      <c r="A251" s="230">
        <v>44621</v>
      </c>
      <c r="B251" s="128" t="s">
        <v>28</v>
      </c>
      <c r="C251" s="157" t="str">
        <f t="shared" si="7"/>
        <v>01.03.2022_GRU2</v>
      </c>
      <c r="D251" s="190">
        <f t="shared" si="8"/>
        <v>0</v>
      </c>
      <c r="E251" s="231">
        <v>2.3412413340700052E-5</v>
      </c>
      <c r="F251" s="231">
        <v>2.2392978822357713E-3</v>
      </c>
      <c r="G251" s="231">
        <v>8.4392865227001373E-2</v>
      </c>
      <c r="H251" s="231">
        <v>2.8763462495225291E-3</v>
      </c>
      <c r="I251" s="231">
        <v>1.4996106103879505E-4</v>
      </c>
      <c r="J251" s="231">
        <v>1.1342600479635248E-2</v>
      </c>
      <c r="K251" s="229">
        <v>12.578297109941101</v>
      </c>
      <c r="L251" s="229">
        <v>5.5529534181546403</v>
      </c>
      <c r="M251" s="229">
        <v>5.4121807563489002</v>
      </c>
      <c r="N251" s="229">
        <v>1.1613349417110499</v>
      </c>
      <c r="O251" s="205">
        <v>1.4302707956038589E-4</v>
      </c>
      <c r="P251" s="232">
        <v>45.872</v>
      </c>
      <c r="Q251" s="233"/>
      <c r="R251" s="235"/>
    </row>
    <row r="252" spans="1:18" ht="16.5" customHeight="1" x14ac:dyDescent="0.25">
      <c r="A252" s="230">
        <v>44621</v>
      </c>
      <c r="B252" s="128" t="s">
        <v>0</v>
      </c>
      <c r="C252" s="157" t="str">
        <f t="shared" si="7"/>
        <v>01.03.2022_KIN1</v>
      </c>
      <c r="D252" s="190">
        <f t="shared" si="8"/>
        <v>0</v>
      </c>
      <c r="E252" s="231">
        <v>7.7735185994522999E-6</v>
      </c>
      <c r="F252" s="231">
        <v>1.185031687064558E-3</v>
      </c>
      <c r="G252" s="231">
        <v>0.14478922995736615</v>
      </c>
      <c r="H252" s="231">
        <v>2.1723704487890227E-3</v>
      </c>
      <c r="I252" s="231">
        <v>1.8100027622071759E-4</v>
      </c>
      <c r="J252" s="231">
        <v>9.2203804159567641E-3</v>
      </c>
      <c r="K252" s="229">
        <v>27.403435187570501</v>
      </c>
      <c r="L252" s="229">
        <v>10.799350250071001</v>
      </c>
      <c r="M252" s="229">
        <v>5.1013122226503498</v>
      </c>
      <c r="N252" s="229">
        <v>1.02365617767544</v>
      </c>
      <c r="O252" s="205">
        <v>1.1840623590560204E-4</v>
      </c>
      <c r="P252" s="232">
        <v>134.20000000000002</v>
      </c>
      <c r="Q252" s="233"/>
      <c r="R252" s="235"/>
    </row>
    <row r="253" spans="1:18" ht="16.5" customHeight="1" x14ac:dyDescent="0.25">
      <c r="A253" s="230">
        <v>44621</v>
      </c>
      <c r="B253" s="128" t="s">
        <v>2</v>
      </c>
      <c r="C253" s="157" t="str">
        <f t="shared" si="7"/>
        <v>01.03.2022_KIN2</v>
      </c>
      <c r="D253" s="190">
        <f t="shared" si="8"/>
        <v>0</v>
      </c>
      <c r="E253" s="231">
        <v>8.8710680731265901E-6</v>
      </c>
      <c r="F253" s="231">
        <v>1.8490388139244325E-3</v>
      </c>
      <c r="G253" s="231">
        <v>0.16889537751237252</v>
      </c>
      <c r="H253" s="231">
        <v>2.1337379063283766E-3</v>
      </c>
      <c r="I253" s="231">
        <v>1.8972375247078746E-4</v>
      </c>
      <c r="J253" s="231">
        <v>8.7107911716797597E-3</v>
      </c>
      <c r="K253" s="229">
        <v>32.522083012192802</v>
      </c>
      <c r="L253" s="229">
        <v>12.185316373339999</v>
      </c>
      <c r="M253" s="229">
        <v>4.8134065296408499</v>
      </c>
      <c r="N253" s="229">
        <v>1.1340288907235501</v>
      </c>
      <c r="O253" s="205">
        <v>1.1069677064574122E-4</v>
      </c>
      <c r="P253" s="232">
        <v>158.84399999999999</v>
      </c>
      <c r="Q253" s="233"/>
      <c r="R253" s="235"/>
    </row>
    <row r="254" spans="1:18" ht="16.5" customHeight="1" x14ac:dyDescent="0.25">
      <c r="A254" s="230">
        <v>44621</v>
      </c>
      <c r="B254" s="128" t="s">
        <v>4</v>
      </c>
      <c r="C254" s="157" t="str">
        <f t="shared" si="7"/>
        <v>01.03.2022_KIN3</v>
      </c>
      <c r="D254" s="190">
        <f t="shared" si="8"/>
        <v>0</v>
      </c>
      <c r="E254" s="231">
        <v>8.322293336289445E-6</v>
      </c>
      <c r="F254" s="231">
        <v>2.0165164508927319E-3</v>
      </c>
      <c r="G254" s="231">
        <v>0.16068459486188502</v>
      </c>
      <c r="H254" s="231">
        <v>2.6386599020769138E-3</v>
      </c>
      <c r="I254" s="231">
        <v>1.826434650259818E-4</v>
      </c>
      <c r="J254" s="231">
        <v>8.1522092325222693E-3</v>
      </c>
      <c r="K254" s="229">
        <v>30.919083829690301</v>
      </c>
      <c r="L254" s="229">
        <v>12.472596336943401</v>
      </c>
      <c r="M254" s="229">
        <v>5.32563610772229</v>
      </c>
      <c r="N254" s="229">
        <v>0.84043142579331498</v>
      </c>
      <c r="O254" s="205">
        <v>1.2044907213117076E-4</v>
      </c>
      <c r="P254" s="232">
        <v>162.50400000000002</v>
      </c>
      <c r="Q254" s="233"/>
      <c r="R254" s="235"/>
    </row>
    <row r="255" spans="1:18" ht="16.5" customHeight="1" x14ac:dyDescent="0.25">
      <c r="A255" s="230">
        <v>44621</v>
      </c>
      <c r="B255" s="128" t="s">
        <v>6</v>
      </c>
      <c r="C255" s="157" t="str">
        <f t="shared" si="7"/>
        <v>01.03.2022_KIN4</v>
      </c>
      <c r="D255" s="190">
        <f t="shared" si="8"/>
        <v>0</v>
      </c>
      <c r="E255" s="231">
        <v>9.87735263376317E-6</v>
      </c>
      <c r="F255" s="231">
        <v>1.05550278893707E-3</v>
      </c>
      <c r="G255" s="231">
        <v>0.16861804401325486</v>
      </c>
      <c r="H255" s="231">
        <v>2.6679801948751017E-3</v>
      </c>
      <c r="I255" s="231">
        <v>1.8984318320383587E-4</v>
      </c>
      <c r="J255" s="231">
        <v>8.4546043390775379E-3</v>
      </c>
      <c r="K255" s="229">
        <v>32.0587944806732</v>
      </c>
      <c r="L255" s="229">
        <v>12.377318048706901</v>
      </c>
      <c r="M255" s="229">
        <v>8.1778354083691696</v>
      </c>
      <c r="N255" s="229">
        <v>0.88001470942874704</v>
      </c>
      <c r="O255" s="205">
        <v>1.3352327001315024E-4</v>
      </c>
      <c r="P255" s="232">
        <v>161.04000000000002</v>
      </c>
      <c r="Q255" s="233"/>
      <c r="R255" s="235"/>
    </row>
    <row r="256" spans="1:18" ht="16.5" customHeight="1" x14ac:dyDescent="0.25">
      <c r="A256" s="230">
        <v>44621</v>
      </c>
      <c r="B256" s="128" t="s">
        <v>34</v>
      </c>
      <c r="C256" s="157" t="str">
        <f t="shared" si="7"/>
        <v>01.03.2022_KRE1</v>
      </c>
      <c r="D256" s="190">
        <f t="shared" si="8"/>
        <v>0</v>
      </c>
      <c r="E256" s="231">
        <v>7.6822536864145896E-6</v>
      </c>
      <c r="F256" s="231">
        <v>2.5318056135516815E-3</v>
      </c>
      <c r="G256" s="231">
        <v>0.26721402124966426</v>
      </c>
      <c r="H256" s="231">
        <v>3.2505828413887934E-3</v>
      </c>
      <c r="I256" s="231">
        <v>1.8640756556870394E-4</v>
      </c>
      <c r="J256" s="231">
        <v>9.4040770134312269E-3</v>
      </c>
      <c r="K256" s="229">
        <v>57.036760219320001</v>
      </c>
      <c r="L256" s="229">
        <v>21.877916632767501</v>
      </c>
      <c r="M256" s="229">
        <v>18.0813270206658</v>
      </c>
      <c r="N256" s="229">
        <v>2.8253374631496602</v>
      </c>
      <c r="O256" s="205">
        <v>2.3943746284149007E-4</v>
      </c>
      <c r="P256" s="232">
        <v>277.67199999999997</v>
      </c>
      <c r="Q256" s="233"/>
      <c r="R256" s="235"/>
    </row>
    <row r="257" spans="1:18" ht="16.5" customHeight="1" x14ac:dyDescent="0.25">
      <c r="A257" s="230">
        <v>44621</v>
      </c>
      <c r="B257" s="128" t="s">
        <v>37</v>
      </c>
      <c r="C257" s="157" t="str">
        <f t="shared" si="7"/>
        <v>01.03.2022_KRE2</v>
      </c>
      <c r="D257" s="190">
        <f t="shared" si="8"/>
        <v>0</v>
      </c>
      <c r="E257" s="231">
        <v>8.8710680731265901E-6</v>
      </c>
      <c r="F257" s="231">
        <v>1.4566141098086051E-3</v>
      </c>
      <c r="G257" s="231">
        <v>0.33215470859420848</v>
      </c>
      <c r="H257" s="231">
        <v>3.7575094954889715E-3</v>
      </c>
      <c r="I257" s="231">
        <v>1.8034311683870884E-4</v>
      </c>
      <c r="J257" s="231">
        <v>8.2753584439395171E-3</v>
      </c>
      <c r="K257" s="229">
        <v>60.718794181481897</v>
      </c>
      <c r="L257" s="229">
        <v>22.939460323745401</v>
      </c>
      <c r="M257" s="229">
        <v>19.287948968807999</v>
      </c>
      <c r="N257" s="229">
        <v>2.9608788489908</v>
      </c>
      <c r="O257" s="205">
        <v>2.944772186450152E-4</v>
      </c>
      <c r="P257" s="232">
        <v>282.30799999999999</v>
      </c>
      <c r="Q257" s="233"/>
      <c r="R257" s="235"/>
    </row>
    <row r="258" spans="1:18" ht="16.5" customHeight="1" x14ac:dyDescent="0.25">
      <c r="A258" s="230">
        <v>44621</v>
      </c>
      <c r="B258" s="128" t="s">
        <v>18</v>
      </c>
      <c r="C258" s="157" t="str">
        <f t="shared" si="7"/>
        <v>01.03.2022_ORB1</v>
      </c>
      <c r="D258" s="190">
        <f t="shared" si="8"/>
        <v>0</v>
      </c>
      <c r="E258" s="231">
        <v>3.3198501061425508E-5</v>
      </c>
      <c r="F258" s="231">
        <v>1.0656647696494202E-3</v>
      </c>
      <c r="G258" s="231">
        <v>6.4248919516556133E-2</v>
      </c>
      <c r="H258" s="231">
        <v>2.0430205528807746E-3</v>
      </c>
      <c r="I258" s="231">
        <v>1.5581626402742004E-4</v>
      </c>
      <c r="J258" s="231">
        <v>1.6843929962094946E-2</v>
      </c>
      <c r="K258" s="229">
        <v>8.5133680972925792</v>
      </c>
      <c r="L258" s="229">
        <v>2.3990974857293601</v>
      </c>
      <c r="M258" s="229">
        <v>4.6614247658497101</v>
      </c>
      <c r="N258" s="229">
        <v>2.0731378837281298</v>
      </c>
      <c r="O258" s="205">
        <v>9.5473503069479302E-5</v>
      </c>
      <c r="P258" s="232">
        <v>15.860000000000001</v>
      </c>
      <c r="Q258" s="233"/>
      <c r="R258" s="235"/>
    </row>
    <row r="259" spans="1:18" ht="16.5" customHeight="1" x14ac:dyDescent="0.25">
      <c r="A259" s="230">
        <v>44621</v>
      </c>
      <c r="B259" s="128" t="s">
        <v>21</v>
      </c>
      <c r="C259" s="157" t="str">
        <f t="shared" si="7"/>
        <v>01.03.2022_ORB2</v>
      </c>
      <c r="D259" s="190">
        <f t="shared" si="8"/>
        <v>0</v>
      </c>
      <c r="E259" s="231">
        <v>2.8168263516853495E-5</v>
      </c>
      <c r="F259" s="231">
        <v>4.9143842795327805E-3</v>
      </c>
      <c r="G259" s="231">
        <v>6.3724329380407257E-2</v>
      </c>
      <c r="H259" s="231">
        <v>2.0846709747155967E-3</v>
      </c>
      <c r="I259" s="231">
        <v>1.6716837780552483E-4</v>
      </c>
      <c r="J259" s="231">
        <v>1.8166545638756981E-2</v>
      </c>
      <c r="K259" s="229">
        <v>9.0660052921960599</v>
      </c>
      <c r="L259" s="229">
        <v>2.5759471000878298</v>
      </c>
      <c r="M259" s="229">
        <v>6.0193476003983903</v>
      </c>
      <c r="N259" s="229">
        <v>2.2275585588684801</v>
      </c>
      <c r="O259" s="205">
        <v>9.4123543855456228E-5</v>
      </c>
      <c r="P259" s="232">
        <v>17.080000000000002</v>
      </c>
      <c r="Q259" s="233"/>
      <c r="R259" s="235"/>
    </row>
    <row r="260" spans="1:18" ht="16.5" customHeight="1" x14ac:dyDescent="0.25">
      <c r="A260" s="230">
        <v>44621</v>
      </c>
      <c r="B260" s="128" t="s">
        <v>10</v>
      </c>
      <c r="C260" s="157" t="str">
        <f t="shared" si="7"/>
        <v>01.03.2022_SAL1</v>
      </c>
      <c r="D260" s="190">
        <f t="shared" si="8"/>
        <v>0</v>
      </c>
      <c r="E260" s="231">
        <v>1.4815732635992034E-5</v>
      </c>
      <c r="F260" s="231">
        <v>3.1295495907984485E-3</v>
      </c>
      <c r="G260" s="231">
        <v>6.8878921981344071E-2</v>
      </c>
      <c r="H260" s="231">
        <v>1.8148570308007567E-3</v>
      </c>
      <c r="I260" s="231">
        <v>1.7630995840467827E-4</v>
      </c>
      <c r="J260" s="231">
        <v>1.144337903261855E-2</v>
      </c>
      <c r="K260" s="229">
        <v>9.9940733718741193</v>
      </c>
      <c r="L260" s="229">
        <v>7.2320964961547904</v>
      </c>
      <c r="M260" s="229">
        <v>4.6440291110189804</v>
      </c>
      <c r="N260" s="229">
        <v>0.33758060544662399</v>
      </c>
      <c r="O260" s="205">
        <v>1.0133544975968385E-4</v>
      </c>
      <c r="P260" s="232">
        <v>48.556000000000004</v>
      </c>
      <c r="Q260" s="233"/>
      <c r="R260" s="235"/>
    </row>
    <row r="261" spans="1:18" ht="16.5" customHeight="1" x14ac:dyDescent="0.25">
      <c r="A261" s="230">
        <v>44621</v>
      </c>
      <c r="B261" s="128" t="s">
        <v>12</v>
      </c>
      <c r="C261" s="157" t="str">
        <f t="shared" ref="C261:C324" si="9">CONCATENATE(TEXT(A261,"TT.MM.JJJJ"),"_",B261)</f>
        <v>01.03.2022_SAL2</v>
      </c>
      <c r="D261" s="190">
        <f t="shared" ref="D261:D324" si="10">COUNTBLANK(E261:P261)</f>
        <v>0</v>
      </c>
      <c r="E261" s="231">
        <v>5.395889826028299E-6</v>
      </c>
      <c r="F261" s="231">
        <v>1.2155181204982972E-3</v>
      </c>
      <c r="G261" s="231">
        <v>7.2481214311264058E-2</v>
      </c>
      <c r="H261" s="231">
        <v>1.7106097695092422E-3</v>
      </c>
      <c r="I261" s="231">
        <v>1.3884780872678711E-4</v>
      </c>
      <c r="J261" s="231">
        <v>6.7583403554616244E-3</v>
      </c>
      <c r="K261" s="229">
        <v>10.644008920338401</v>
      </c>
      <c r="L261" s="229">
        <v>7.3632998975837296</v>
      </c>
      <c r="M261" s="229">
        <v>4.7327647886099902</v>
      </c>
      <c r="N261" s="229">
        <v>0.38240981256253198</v>
      </c>
      <c r="O261" s="205">
        <v>9.4567583641260719E-5</v>
      </c>
      <c r="P261" s="232">
        <v>55.388000000000005</v>
      </c>
      <c r="Q261" s="233"/>
      <c r="R261" s="235"/>
    </row>
    <row r="262" spans="1:18" ht="16.5" customHeight="1" x14ac:dyDescent="0.25">
      <c r="A262" s="230">
        <v>44621</v>
      </c>
      <c r="B262" s="128" t="s">
        <v>7</v>
      </c>
      <c r="C262" s="157" t="str">
        <f t="shared" si="9"/>
        <v>01.03.2022_STE1</v>
      </c>
      <c r="D262" s="190">
        <f t="shared" si="10"/>
        <v>0</v>
      </c>
      <c r="E262" s="231">
        <v>6.401581757359438E-6</v>
      </c>
      <c r="F262" s="231">
        <v>1.3774357528387848E-3</v>
      </c>
      <c r="G262" s="231">
        <v>0.11820589061765782</v>
      </c>
      <c r="H262" s="231">
        <v>2.2605028039498053E-3</v>
      </c>
      <c r="I262" s="231">
        <v>1.3971421385016591E-4</v>
      </c>
      <c r="J262" s="231">
        <v>7.8302549895746983E-3</v>
      </c>
      <c r="K262" s="229">
        <v>22.964504604325501</v>
      </c>
      <c r="L262" s="229">
        <v>8.2839471599572896</v>
      </c>
      <c r="M262" s="229">
        <v>4.70215979302644</v>
      </c>
      <c r="N262" s="229">
        <v>0.35225623313925902</v>
      </c>
      <c r="O262" s="205">
        <v>1.0767700085306295E-4</v>
      </c>
      <c r="P262" s="232">
        <v>100.52799999999999</v>
      </c>
      <c r="Q262" s="233"/>
      <c r="R262" s="235"/>
    </row>
    <row r="263" spans="1:18" ht="16.5" customHeight="1" x14ac:dyDescent="0.25">
      <c r="A263" s="230">
        <v>44621</v>
      </c>
      <c r="B263" s="128" t="s">
        <v>9</v>
      </c>
      <c r="C263" s="157" t="str">
        <f t="shared" si="9"/>
        <v>01.03.2022_STE2</v>
      </c>
      <c r="D263" s="190">
        <f t="shared" si="10"/>
        <v>0</v>
      </c>
      <c r="E263" s="231">
        <v>4.8471150891911547E-6</v>
      </c>
      <c r="F263" s="231">
        <v>1.0815144921286855E-3</v>
      </c>
      <c r="G263" s="231">
        <v>0.1064722784828465</v>
      </c>
      <c r="H263" s="231">
        <v>2.1018309395746436E-3</v>
      </c>
      <c r="I263" s="231">
        <v>1.3332128221258061E-4</v>
      </c>
      <c r="J263" s="231">
        <v>7.0740281214208599E-3</v>
      </c>
      <c r="K263" s="229">
        <v>19.8403271947011</v>
      </c>
      <c r="L263" s="229">
        <v>8.5354473494213199</v>
      </c>
      <c r="M263" s="229">
        <v>4.9560145582574098</v>
      </c>
      <c r="N263" s="229">
        <v>0.37486269475251999</v>
      </c>
      <c r="O263" s="205">
        <v>1.0348486474151358E-4</v>
      </c>
      <c r="P263" s="232">
        <v>90.524000000000001</v>
      </c>
      <c r="Q263" s="233"/>
      <c r="R263" s="235"/>
    </row>
    <row r="264" spans="1:18" ht="16.5" customHeight="1" x14ac:dyDescent="0.25">
      <c r="A264" s="230">
        <v>44655</v>
      </c>
      <c r="B264" s="128" t="s">
        <v>22</v>
      </c>
      <c r="C264" s="157" t="str">
        <f t="shared" si="9"/>
        <v>04.04.2022_BIE1</v>
      </c>
      <c r="D264" s="190">
        <f t="shared" si="10"/>
        <v>0</v>
      </c>
      <c r="E264" s="231">
        <v>2.8241068117035046E-5</v>
      </c>
      <c r="F264" s="231">
        <v>2.111686442112003E-3</v>
      </c>
      <c r="G264" s="231">
        <v>5.829350225078244E-2</v>
      </c>
      <c r="H264" s="231">
        <v>2.0661299514406939E-3</v>
      </c>
      <c r="I264" s="231">
        <v>8.0399368100754576E-5</v>
      </c>
      <c r="J264" s="231">
        <v>1.5042234719755519E-2</v>
      </c>
      <c r="K264" s="229">
        <v>12.476579112154701</v>
      </c>
      <c r="L264" s="229">
        <v>6.0191391864080899</v>
      </c>
      <c r="M264" s="229">
        <v>6.7956670479464698</v>
      </c>
      <c r="N264" s="229">
        <v>15.215760787072099</v>
      </c>
      <c r="O264" s="205">
        <v>2.0000000000000001E-4</v>
      </c>
      <c r="P264" s="232">
        <v>51.484000000000002</v>
      </c>
      <c r="Q264" s="233"/>
      <c r="R264" s="235"/>
    </row>
    <row r="265" spans="1:18" ht="16.5" customHeight="1" x14ac:dyDescent="0.25">
      <c r="A265" s="230">
        <v>44655</v>
      </c>
      <c r="B265" s="128" t="s">
        <v>25</v>
      </c>
      <c r="C265" s="157" t="str">
        <f t="shared" si="9"/>
        <v>04.04.2022_BIE2</v>
      </c>
      <c r="D265" s="190">
        <f t="shared" si="10"/>
        <v>0</v>
      </c>
      <c r="E265" s="231">
        <v>2.8391564929278951E-5</v>
      </c>
      <c r="F265" s="231">
        <v>1.4068266722725418E-3</v>
      </c>
      <c r="G265" s="231">
        <v>5.7449560333224327E-2</v>
      </c>
      <c r="H265" s="231">
        <v>1.3457567846733975E-3</v>
      </c>
      <c r="I265" s="231">
        <v>6.3960445203370349E-5</v>
      </c>
      <c r="J265" s="231">
        <v>1.4914598566139532E-2</v>
      </c>
      <c r="K265" s="229">
        <v>13.002078906614299</v>
      </c>
      <c r="L265" s="229">
        <v>6.0954877707173498</v>
      </c>
      <c r="M265" s="229">
        <v>12.2072480725405</v>
      </c>
      <c r="N265" s="229">
        <v>2.0101562805688902</v>
      </c>
      <c r="O265" s="205">
        <v>1.7028127605101009E-4</v>
      </c>
      <c r="P265" s="232">
        <v>55.388000000000005</v>
      </c>
      <c r="Q265" s="233"/>
      <c r="R265" s="235"/>
    </row>
    <row r="266" spans="1:18" ht="16.5" customHeight="1" x14ac:dyDescent="0.25">
      <c r="A266" s="230">
        <v>44655</v>
      </c>
      <c r="B266" s="128" t="s">
        <v>14</v>
      </c>
      <c r="C266" s="157" t="str">
        <f t="shared" si="9"/>
        <v>04.04.2022_BRA1</v>
      </c>
      <c r="D266" s="190">
        <f t="shared" si="10"/>
        <v>0</v>
      </c>
      <c r="E266" s="231">
        <v>1.0182750836209118E-5</v>
      </c>
      <c r="F266" s="231">
        <v>1.0756485198870518E-3</v>
      </c>
      <c r="G266" s="231">
        <v>5.7236216609705147E-2</v>
      </c>
      <c r="H266" s="231">
        <v>1.5296336162372096E-3</v>
      </c>
      <c r="I266" s="231">
        <v>4.6054231485596753E-5</v>
      </c>
      <c r="J266" s="231">
        <v>6.2683034471642581E-3</v>
      </c>
      <c r="K266" s="229">
        <v>8.4964475484242499</v>
      </c>
      <c r="L266" s="229">
        <v>6.3659130169682498</v>
      </c>
      <c r="M266" s="229">
        <v>8.8722305478458097</v>
      </c>
      <c r="N266" s="229">
        <v>0.72511040196205701</v>
      </c>
      <c r="O266" s="205">
        <v>1.9990084660695515E-4</v>
      </c>
      <c r="P266" s="232">
        <v>38.308</v>
      </c>
      <c r="Q266" s="233"/>
      <c r="R266" s="235"/>
    </row>
    <row r="267" spans="1:18" ht="16.5" customHeight="1" x14ac:dyDescent="0.25">
      <c r="A267" s="230">
        <v>44655</v>
      </c>
      <c r="B267" s="128" t="s">
        <v>17</v>
      </c>
      <c r="C267" s="157" t="str">
        <f t="shared" si="9"/>
        <v>04.04.2022_BRA2</v>
      </c>
      <c r="D267" s="190">
        <f t="shared" si="10"/>
        <v>0</v>
      </c>
      <c r="E267" s="231">
        <v>9.530706332189088E-6</v>
      </c>
      <c r="F267" s="231">
        <v>1.2403876409142448E-3</v>
      </c>
      <c r="G267" s="231">
        <v>5.4283885599590062E-2</v>
      </c>
      <c r="H267" s="231">
        <v>1.6741268463898026E-3</v>
      </c>
      <c r="I267" s="231">
        <v>4.3381433667927649E-5</v>
      </c>
      <c r="J267" s="231">
        <v>4.5231555948689788E-3</v>
      </c>
      <c r="K267" s="229">
        <v>8.4266185210493596</v>
      </c>
      <c r="L267" s="229">
        <v>6.7672277920694004</v>
      </c>
      <c r="M267" s="229">
        <v>9.4182205820454996</v>
      </c>
      <c r="N267" s="229">
        <v>0.90771969443942502</v>
      </c>
      <c r="O267" s="205">
        <v>2.1654936630700271E-4</v>
      </c>
      <c r="P267" s="232">
        <v>38.795999999999999</v>
      </c>
      <c r="Q267" s="233"/>
      <c r="R267" s="235"/>
    </row>
    <row r="268" spans="1:18" ht="16.5" customHeight="1" x14ac:dyDescent="0.25">
      <c r="A268" s="230">
        <v>44655</v>
      </c>
      <c r="B268" s="128" t="s">
        <v>30</v>
      </c>
      <c r="C268" s="157" t="str">
        <f t="shared" si="9"/>
        <v>04.04.2022_FAL1</v>
      </c>
      <c r="D268" s="190">
        <f t="shared" si="10"/>
        <v>0</v>
      </c>
      <c r="E268" s="231">
        <v>3.1601080100113338E-6</v>
      </c>
      <c r="F268" s="231">
        <v>5.7398450806590211E-4</v>
      </c>
      <c r="G268" s="231">
        <v>0.13523190897983933</v>
      </c>
      <c r="H268" s="231">
        <v>1.6625693364755163E-3</v>
      </c>
      <c r="I268" s="231">
        <v>5.2558483323103667E-5</v>
      </c>
      <c r="J268" s="231">
        <v>5.3328144061949795E-3</v>
      </c>
      <c r="K268" s="229">
        <v>49.842242342680102</v>
      </c>
      <c r="L268" s="229">
        <v>21.3212052042058</v>
      </c>
      <c r="M268" s="229">
        <v>22.159131481759299</v>
      </c>
      <c r="N268" s="229">
        <v>3.52664157938016</v>
      </c>
      <c r="O268" s="205">
        <v>1.0993011591522081E-4</v>
      </c>
      <c r="P268" s="232">
        <v>223.99200000000002</v>
      </c>
      <c r="Q268" s="233"/>
      <c r="R268" s="235"/>
    </row>
    <row r="269" spans="1:18" ht="16.5" customHeight="1" x14ac:dyDescent="0.25">
      <c r="A269" s="230">
        <v>44655</v>
      </c>
      <c r="B269" s="128" t="s">
        <v>32</v>
      </c>
      <c r="C269" s="157" t="str">
        <f t="shared" si="9"/>
        <v>04.04.2022_FAL2</v>
      </c>
      <c r="D269" s="190">
        <f t="shared" si="10"/>
        <v>0</v>
      </c>
      <c r="E269" s="231">
        <v>5.3671778915148262E-6</v>
      </c>
      <c r="F269" s="231">
        <v>6.8127502986171386E-4</v>
      </c>
      <c r="G269" s="231">
        <v>0.17922510300721176</v>
      </c>
      <c r="H269" s="231">
        <v>2.102177713402667E-3</v>
      </c>
      <c r="I269" s="231">
        <v>6.2137368644039589E-5</v>
      </c>
      <c r="J269" s="231">
        <v>7.7377954292737966E-3</v>
      </c>
      <c r="K269" s="229">
        <v>65.390875669843993</v>
      </c>
      <c r="L269" s="229">
        <v>20.649463474649</v>
      </c>
      <c r="M269" s="229">
        <v>23.887549667372902</v>
      </c>
      <c r="N269" s="229">
        <v>3.18215330696711</v>
      </c>
      <c r="O269" s="205">
        <v>1.3580249891231754E-4</v>
      </c>
      <c r="P269" s="232">
        <v>258.15199999999999</v>
      </c>
      <c r="Q269" s="233"/>
      <c r="R269" s="235"/>
    </row>
    <row r="270" spans="1:18" ht="16.5" customHeight="1" x14ac:dyDescent="0.25">
      <c r="A270" s="230">
        <v>44655</v>
      </c>
      <c r="B270" s="128" t="s">
        <v>26</v>
      </c>
      <c r="C270" s="157" t="str">
        <f t="shared" si="9"/>
        <v>04.04.2022_GRU1</v>
      </c>
      <c r="D270" s="190">
        <f t="shared" si="10"/>
        <v>0</v>
      </c>
      <c r="E270" s="231">
        <v>1.274119664435551E-5</v>
      </c>
      <c r="F270" s="231">
        <v>6.4372458370453537E-4</v>
      </c>
      <c r="G270" s="231">
        <v>4.6952591104412453E-2</v>
      </c>
      <c r="H270" s="231">
        <v>1.895601156270567E-3</v>
      </c>
      <c r="I270" s="231">
        <v>4.5621562390575742E-5</v>
      </c>
      <c r="J270" s="231">
        <v>4.7059732415779473E-3</v>
      </c>
      <c r="K270" s="229">
        <v>10.749125314716601</v>
      </c>
      <c r="L270" s="229">
        <v>6.1158944948418803</v>
      </c>
      <c r="M270" s="229">
        <v>6.1874593438096399</v>
      </c>
      <c r="N270" s="229">
        <v>1.01508464779915</v>
      </c>
      <c r="O270" s="205">
        <v>8.1083141417163891E-5</v>
      </c>
      <c r="P270" s="232">
        <v>45.14</v>
      </c>
      <c r="Q270" s="233"/>
      <c r="R270" s="235"/>
    </row>
    <row r="271" spans="1:18" ht="16.5" customHeight="1" x14ac:dyDescent="0.25">
      <c r="A271" s="230">
        <v>44655</v>
      </c>
      <c r="B271" s="128" t="s">
        <v>28</v>
      </c>
      <c r="C271" s="157" t="str">
        <f t="shared" si="9"/>
        <v>04.04.2022_GRU2</v>
      </c>
      <c r="D271" s="190">
        <f t="shared" si="10"/>
        <v>0</v>
      </c>
      <c r="E271" s="231">
        <v>1.2640757087156012E-5</v>
      </c>
      <c r="F271" s="231">
        <v>6.1924197529620315E-4</v>
      </c>
      <c r="G271" s="231">
        <v>5.5917357748367882E-2</v>
      </c>
      <c r="H271" s="231">
        <v>1.695505005995276E-3</v>
      </c>
      <c r="I271" s="231">
        <v>4.588424719051446E-5</v>
      </c>
      <c r="J271" s="231">
        <v>1.070269240364412E-2</v>
      </c>
      <c r="K271" s="229">
        <v>14.5081618902854</v>
      </c>
      <c r="L271" s="229">
        <v>6.16735895276432</v>
      </c>
      <c r="M271" s="229">
        <v>5.7793445483995702</v>
      </c>
      <c r="N271" s="229">
        <v>1.12109687781955</v>
      </c>
      <c r="O271" s="205">
        <v>9.1511503237640658E-5</v>
      </c>
      <c r="P271" s="232">
        <v>58.071999999999996</v>
      </c>
      <c r="Q271" s="233"/>
      <c r="R271" s="235"/>
    </row>
    <row r="272" spans="1:18" ht="16.5" customHeight="1" x14ac:dyDescent="0.25">
      <c r="A272" s="230">
        <v>44655</v>
      </c>
      <c r="B272" s="128" t="s">
        <v>0</v>
      </c>
      <c r="C272" s="157" t="str">
        <f t="shared" si="9"/>
        <v>04.04.2022_KIN1</v>
      </c>
      <c r="D272" s="190">
        <f t="shared" si="10"/>
        <v>0</v>
      </c>
      <c r="E272" s="231">
        <v>3.360987124410326E-6</v>
      </c>
      <c r="F272" s="231">
        <v>6.0426616713236448E-4</v>
      </c>
      <c r="G272" s="231">
        <v>0.1055441853165702</v>
      </c>
      <c r="H272" s="231">
        <v>1.2542693030501903E-3</v>
      </c>
      <c r="I272" s="231">
        <v>6.264732152928647E-5</v>
      </c>
      <c r="J272" s="231">
        <v>5.7060510056895801E-3</v>
      </c>
      <c r="K272" s="229">
        <v>32.403914559093401</v>
      </c>
      <c r="L272" s="229">
        <v>14.4110019281822</v>
      </c>
      <c r="M272" s="229">
        <v>5.3184854587778299</v>
      </c>
      <c r="N272" s="229">
        <v>0.84690558093921997</v>
      </c>
      <c r="O272" s="205">
        <v>7.1618522051449966E-5</v>
      </c>
      <c r="P272" s="232">
        <v>170.55599999999998</v>
      </c>
      <c r="Q272" s="233"/>
      <c r="R272" s="235"/>
    </row>
    <row r="273" spans="1:18" ht="16.5" customHeight="1" x14ac:dyDescent="0.25">
      <c r="A273" s="230">
        <v>44655</v>
      </c>
      <c r="B273" s="128" t="s">
        <v>2</v>
      </c>
      <c r="C273" s="157" t="str">
        <f t="shared" si="9"/>
        <v>04.04.2022_KIN2</v>
      </c>
      <c r="D273" s="190">
        <f t="shared" si="10"/>
        <v>0</v>
      </c>
      <c r="E273" s="231">
        <v>3.5111588895435531E-6</v>
      </c>
      <c r="F273" s="231">
        <v>4.5359666343507013E-4</v>
      </c>
      <c r="G273" s="231">
        <v>0.10955701561698071</v>
      </c>
      <c r="H273" s="231">
        <v>1.2281360379250352E-3</v>
      </c>
      <c r="I273" s="231">
        <v>4.8495278041124801E-5</v>
      </c>
      <c r="J273" s="231">
        <v>5.6639372584174133E-3</v>
      </c>
      <c r="K273" s="229">
        <v>34.067798052154103</v>
      </c>
      <c r="L273" s="229">
        <v>15.822927757404999</v>
      </c>
      <c r="M273" s="229">
        <v>4.9426620692653698</v>
      </c>
      <c r="N273" s="229">
        <v>1.13455610728989</v>
      </c>
      <c r="O273" s="205">
        <v>6.1105304489470427E-5</v>
      </c>
      <c r="P273" s="232">
        <v>210.572</v>
      </c>
      <c r="Q273" s="233"/>
      <c r="R273" s="235"/>
    </row>
    <row r="274" spans="1:18" ht="16.5" customHeight="1" x14ac:dyDescent="0.25">
      <c r="A274" s="230">
        <v>44655</v>
      </c>
      <c r="B274" s="128" t="s">
        <v>4</v>
      </c>
      <c r="C274" s="157" t="str">
        <f t="shared" si="9"/>
        <v>04.04.2022_KIN3</v>
      </c>
      <c r="D274" s="190">
        <f t="shared" si="10"/>
        <v>0</v>
      </c>
      <c r="E274" s="231">
        <v>4.2135856957186711E-6</v>
      </c>
      <c r="F274" s="231">
        <v>5.654690249525283E-4</v>
      </c>
      <c r="G274" s="231">
        <v>0.10975663324553425</v>
      </c>
      <c r="H274" s="231">
        <v>1.5184589256178576E-3</v>
      </c>
      <c r="I274" s="231">
        <v>5.5107747206655246E-5</v>
      </c>
      <c r="J274" s="231">
        <v>8.0984783368599298E-3</v>
      </c>
      <c r="K274" s="229">
        <v>35.038703931759102</v>
      </c>
      <c r="L274" s="229">
        <v>15.625304097794199</v>
      </c>
      <c r="M274" s="229">
        <v>6.0110932556532202</v>
      </c>
      <c r="N274" s="229">
        <v>0.98217364426331499</v>
      </c>
      <c r="O274" s="205">
        <v>7.2317698004873782E-5</v>
      </c>
      <c r="P274" s="232">
        <v>187.392</v>
      </c>
      <c r="Q274" s="233"/>
      <c r="R274" s="235"/>
    </row>
    <row r="275" spans="1:18" ht="16.5" customHeight="1" x14ac:dyDescent="0.25">
      <c r="A275" s="230">
        <v>44655</v>
      </c>
      <c r="B275" s="128" t="s">
        <v>6</v>
      </c>
      <c r="C275" s="157" t="str">
        <f t="shared" si="9"/>
        <v>04.04.2022_KIN4</v>
      </c>
      <c r="D275" s="190">
        <f t="shared" si="10"/>
        <v>0</v>
      </c>
      <c r="E275" s="231">
        <v>3.9626493262752692E-6</v>
      </c>
      <c r="F275" s="231">
        <v>5.1812073221636605E-4</v>
      </c>
      <c r="G275" s="231">
        <v>0.10699857203476529</v>
      </c>
      <c r="H275" s="231">
        <v>1.6214717174015715E-3</v>
      </c>
      <c r="I275" s="231">
        <v>6.1720216372185697E-5</v>
      </c>
      <c r="J275" s="231">
        <v>8.1828796450686223E-3</v>
      </c>
      <c r="K275" s="229">
        <v>33.328102774963497</v>
      </c>
      <c r="L275" s="229">
        <v>15.608721171877001</v>
      </c>
      <c r="M275" s="229">
        <v>13.3316325906484</v>
      </c>
      <c r="N275" s="229">
        <v>1.1294967169089301</v>
      </c>
      <c r="O275" s="205">
        <v>7.806468568524459E-5</v>
      </c>
      <c r="P275" s="232">
        <v>209.108</v>
      </c>
      <c r="Q275" s="233"/>
      <c r="R275" s="235"/>
    </row>
    <row r="276" spans="1:18" ht="16.5" customHeight="1" x14ac:dyDescent="0.25">
      <c r="A276" s="230">
        <v>44655</v>
      </c>
      <c r="B276" s="128" t="s">
        <v>34</v>
      </c>
      <c r="C276" s="157" t="str">
        <f t="shared" si="9"/>
        <v>04.04.2022_KRE1</v>
      </c>
      <c r="D276" s="190">
        <f t="shared" si="10"/>
        <v>0</v>
      </c>
      <c r="E276" s="231">
        <v>4.966069756938198E-6</v>
      </c>
      <c r="F276" s="231">
        <v>6.6938207768371476E-4</v>
      </c>
      <c r="G276" s="231">
        <v>0.18419673223664354</v>
      </c>
      <c r="H276" s="231">
        <v>2.2256219369884219E-3</v>
      </c>
      <c r="I276" s="231">
        <v>6.080872814678859E-5</v>
      </c>
      <c r="J276" s="231">
        <v>5.6108841136445322E-3</v>
      </c>
      <c r="K276" s="229">
        <v>56.977077289458798</v>
      </c>
      <c r="L276" s="229">
        <v>21.4261994473916</v>
      </c>
      <c r="M276" s="229">
        <v>21.241292721483099</v>
      </c>
      <c r="N276" s="229">
        <v>3.0429118603982799</v>
      </c>
      <c r="O276" s="205">
        <v>1.8106115941001686E-4</v>
      </c>
      <c r="P276" s="232">
        <v>285.72399999999999</v>
      </c>
      <c r="Q276" s="233"/>
      <c r="R276" s="235"/>
    </row>
    <row r="277" spans="1:18" ht="16.5" customHeight="1" x14ac:dyDescent="0.25">
      <c r="A277" s="230">
        <v>44655</v>
      </c>
      <c r="B277" s="128" t="s">
        <v>37</v>
      </c>
      <c r="C277" s="157" t="str">
        <f t="shared" si="9"/>
        <v>04.04.2022_KRE2</v>
      </c>
      <c r="D277" s="190">
        <f t="shared" si="10"/>
        <v>0</v>
      </c>
      <c r="E277" s="231">
        <v>5.216681079270921E-6</v>
      </c>
      <c r="F277" s="231">
        <v>1.5301318759539148E-3</v>
      </c>
      <c r="G277" s="231">
        <v>0.18391435447525867</v>
      </c>
      <c r="H277" s="231">
        <v>2.5747256128115679E-3</v>
      </c>
      <c r="I277" s="231">
        <v>6.7143195906286328E-5</v>
      </c>
      <c r="J277" s="231">
        <v>8.3914008564632842E-3</v>
      </c>
      <c r="K277" s="229">
        <v>61.857905201889899</v>
      </c>
      <c r="L277" s="229">
        <v>22.175502864919299</v>
      </c>
      <c r="M277" s="229">
        <v>23.0124523927133</v>
      </c>
      <c r="N277" s="229">
        <v>3.3212184501377502</v>
      </c>
      <c r="O277" s="205">
        <v>2.4850893337520854E-4</v>
      </c>
      <c r="P277" s="232">
        <v>273.28000000000003</v>
      </c>
      <c r="Q277" s="233"/>
      <c r="R277" s="235"/>
    </row>
    <row r="278" spans="1:18" ht="16.5" customHeight="1" x14ac:dyDescent="0.25">
      <c r="A278" s="230">
        <v>44655</v>
      </c>
      <c r="B278" s="128" t="s">
        <v>18</v>
      </c>
      <c r="C278" s="157" t="str">
        <f t="shared" si="9"/>
        <v>04.04.2022_ORB1</v>
      </c>
      <c r="D278" s="190">
        <f t="shared" si="10"/>
        <v>0</v>
      </c>
      <c r="E278" s="231">
        <v>1.374429202790776E-5</v>
      </c>
      <c r="F278" s="231">
        <v>5.5823852091724767E-4</v>
      </c>
      <c r="G278" s="231">
        <v>4.7202750670669598E-2</v>
      </c>
      <c r="H278" s="231">
        <v>1.37983705911597E-3</v>
      </c>
      <c r="I278" s="231">
        <v>6.4254063541106728E-5</v>
      </c>
      <c r="J278" s="231">
        <v>9.8977104834919102E-3</v>
      </c>
      <c r="K278" s="229">
        <v>8.7796023016224396</v>
      </c>
      <c r="L278" s="229">
        <v>2.6394349134145898</v>
      </c>
      <c r="M278" s="229">
        <v>6.0935802078606196</v>
      </c>
      <c r="N278" s="229">
        <v>2.1738949122310798</v>
      </c>
      <c r="O278" s="205">
        <v>6.2631547699429325E-5</v>
      </c>
      <c r="P278" s="232">
        <v>18.3</v>
      </c>
      <c r="Q278" s="233"/>
      <c r="R278" s="235"/>
    </row>
    <row r="279" spans="1:18" ht="16.5" customHeight="1" x14ac:dyDescent="0.25">
      <c r="A279" s="230">
        <v>44655</v>
      </c>
      <c r="B279" s="128" t="s">
        <v>21</v>
      </c>
      <c r="C279" s="157" t="str">
        <f t="shared" si="9"/>
        <v>04.04.2022_ORB2</v>
      </c>
      <c r="D279" s="190">
        <f t="shared" si="10"/>
        <v>0</v>
      </c>
      <c r="E279" s="231">
        <v>1.0784738085184739E-5</v>
      </c>
      <c r="F279" s="231">
        <v>5.7802206260809707E-4</v>
      </c>
      <c r="G279" s="231">
        <v>4.7247469416569599E-2</v>
      </c>
      <c r="H279" s="231">
        <v>1.2569465612105948E-3</v>
      </c>
      <c r="I279" s="231">
        <v>5.6807189723331927E-5</v>
      </c>
      <c r="J279" s="231">
        <v>8.2258220489856305E-3</v>
      </c>
      <c r="K279" s="229">
        <v>9.6316959126153492</v>
      </c>
      <c r="L279" s="229">
        <v>2.89027813039417</v>
      </c>
      <c r="M279" s="229">
        <v>8.5553736340755204</v>
      </c>
      <c r="N279" s="229">
        <v>2.2596456544638599</v>
      </c>
      <c r="O279" s="205">
        <v>6.2094348981738654E-5</v>
      </c>
      <c r="P279" s="232">
        <v>20.983999999999998</v>
      </c>
      <c r="Q279" s="233"/>
      <c r="R279" s="235"/>
    </row>
    <row r="280" spans="1:18" ht="16.5" customHeight="1" x14ac:dyDescent="0.25">
      <c r="A280" s="230">
        <v>44655</v>
      </c>
      <c r="B280" s="128" t="s">
        <v>10</v>
      </c>
      <c r="C280" s="157" t="str">
        <f t="shared" si="9"/>
        <v>04.04.2022_SAL1</v>
      </c>
      <c r="D280" s="190">
        <f t="shared" si="10"/>
        <v>0</v>
      </c>
      <c r="E280" s="231">
        <v>7.1230823833972811E-6</v>
      </c>
      <c r="F280" s="231">
        <v>1.110342717212614E-3</v>
      </c>
      <c r="G280" s="231">
        <v>5.7714421478108104E-2</v>
      </c>
      <c r="H280" s="231">
        <v>1.7582350801660814E-3</v>
      </c>
      <c r="I280" s="231">
        <v>6.0267941832280613E-5</v>
      </c>
      <c r="J280" s="231">
        <v>5.2782899287532829E-3</v>
      </c>
      <c r="K280" s="229">
        <v>7.7867401625208901</v>
      </c>
      <c r="L280" s="229">
        <v>5.7361997773426703</v>
      </c>
      <c r="M280" s="229">
        <v>5.9656718345612303</v>
      </c>
      <c r="N280" s="229">
        <v>0.65277890264619698</v>
      </c>
      <c r="O280" s="205">
        <v>1.3285193882252514E-4</v>
      </c>
      <c r="P280" s="232">
        <v>39.771999999999998</v>
      </c>
      <c r="Q280" s="233"/>
      <c r="R280" s="235"/>
    </row>
    <row r="281" spans="1:18" ht="16.5" customHeight="1" x14ac:dyDescent="0.25">
      <c r="A281" s="230">
        <v>44655</v>
      </c>
      <c r="B281" s="128" t="s">
        <v>12</v>
      </c>
      <c r="C281" s="157" t="str">
        <f t="shared" si="9"/>
        <v>04.04.2022_SAL2</v>
      </c>
      <c r="D281" s="190">
        <f t="shared" si="10"/>
        <v>0</v>
      </c>
      <c r="E281" s="231">
        <v>7.9756809547056266E-6</v>
      </c>
      <c r="F281" s="231">
        <v>1.1645700707795005E-3</v>
      </c>
      <c r="G281" s="231">
        <v>6.2506197764432017E-2</v>
      </c>
      <c r="H281" s="231">
        <v>1.8362677433061464E-3</v>
      </c>
      <c r="I281" s="231">
        <v>7.0449480543319847E-5</v>
      </c>
      <c r="J281" s="231">
        <v>6.8258720449185708E-3</v>
      </c>
      <c r="K281" s="229">
        <v>8.6408303952842704</v>
      </c>
      <c r="L281" s="229">
        <v>6.0079664306617104</v>
      </c>
      <c r="M281" s="229">
        <v>6.1458674640392204</v>
      </c>
      <c r="N281" s="229">
        <v>0.68325551376676397</v>
      </c>
      <c r="O281" s="205">
        <v>1.2973078333575322E-4</v>
      </c>
      <c r="P281" s="232">
        <v>40.992000000000004</v>
      </c>
      <c r="Q281" s="233"/>
      <c r="R281" s="235"/>
    </row>
    <row r="282" spans="1:18" ht="16.5" customHeight="1" x14ac:dyDescent="0.25">
      <c r="A282" s="230">
        <v>44655</v>
      </c>
      <c r="B282" s="128" t="s">
        <v>7</v>
      </c>
      <c r="C282" s="157" t="str">
        <f t="shared" si="9"/>
        <v>04.04.2022_STE1</v>
      </c>
      <c r="D282" s="190">
        <f t="shared" si="10"/>
        <v>0</v>
      </c>
      <c r="E282" s="231">
        <v>5.0161270119826065E-6</v>
      </c>
      <c r="F282" s="231">
        <v>8.1646985675974378E-4</v>
      </c>
      <c r="G282" s="231">
        <v>9.182144512340594E-2</v>
      </c>
      <c r="H282" s="231">
        <v>1.6271661200122751E-3</v>
      </c>
      <c r="I282" s="231">
        <v>6.3327058492542514E-5</v>
      </c>
      <c r="J282" s="231">
        <v>8.5497342413420503E-3</v>
      </c>
      <c r="K282" s="229">
        <v>27.279325565743701</v>
      </c>
      <c r="L282" s="229">
        <v>11.976017044876301</v>
      </c>
      <c r="M282" s="229">
        <v>10.7743905338218</v>
      </c>
      <c r="N282" s="229">
        <v>0.92385607553402804</v>
      </c>
      <c r="O282" s="205">
        <v>7.4381139932523351E-5</v>
      </c>
      <c r="P282" s="232">
        <v>128.34399999999999</v>
      </c>
      <c r="Q282" s="233"/>
      <c r="R282" s="235"/>
    </row>
    <row r="283" spans="1:18" ht="16.5" customHeight="1" x14ac:dyDescent="0.25">
      <c r="A283" s="230">
        <v>44655</v>
      </c>
      <c r="B283" s="128" t="s">
        <v>9</v>
      </c>
      <c r="C283" s="157" t="str">
        <f t="shared" si="9"/>
        <v>04.04.2022_STE2</v>
      </c>
      <c r="D283" s="190">
        <f t="shared" si="10"/>
        <v>0</v>
      </c>
      <c r="E283" s="231">
        <v>1.2155429415526542E-5</v>
      </c>
      <c r="F283" s="231">
        <v>8.3486329524416303E-4</v>
      </c>
      <c r="G283" s="231">
        <v>0.10919905395948805</v>
      </c>
      <c r="H283" s="231">
        <v>1.7967205253603899E-3</v>
      </c>
      <c r="I283" s="231">
        <v>8.9119800762036295E-5</v>
      </c>
      <c r="J283" s="231">
        <v>8.8742943724763358E-3</v>
      </c>
      <c r="K283" s="229">
        <v>26.857434202058698</v>
      </c>
      <c r="L283" s="229">
        <v>12.2547682282979</v>
      </c>
      <c r="M283" s="229">
        <v>11.923023403174</v>
      </c>
      <c r="N283" s="229">
        <v>0.95028986874905697</v>
      </c>
      <c r="O283" s="205">
        <v>9.5079922065223737E-5</v>
      </c>
      <c r="P283" s="232">
        <v>122.732</v>
      </c>
      <c r="Q283" s="233"/>
      <c r="R283" s="235"/>
    </row>
    <row r="284" spans="1:18" ht="16.5" customHeight="1" x14ac:dyDescent="0.25">
      <c r="A284" s="230">
        <v>44685</v>
      </c>
      <c r="B284" s="128" t="s">
        <v>22</v>
      </c>
      <c r="C284" s="157" t="str">
        <f t="shared" si="9"/>
        <v>04.05.2022_BIE1</v>
      </c>
      <c r="D284" s="190">
        <f t="shared" si="10"/>
        <v>0</v>
      </c>
      <c r="E284" s="231">
        <v>9.2089093724338127E-6</v>
      </c>
      <c r="F284" s="231">
        <v>1.4177967658750583E-3</v>
      </c>
      <c r="G284" s="231">
        <v>6.3776424714686517E-2</v>
      </c>
      <c r="H284" s="231">
        <v>9.5539649665793186E-4</v>
      </c>
      <c r="I284" s="231">
        <v>5.4342784317500523E-5</v>
      </c>
      <c r="J284" s="231">
        <v>1.0720405455901751E-2</v>
      </c>
      <c r="K284" s="229">
        <v>13.498388974549499</v>
      </c>
      <c r="L284" s="229">
        <v>6.7081853392332702</v>
      </c>
      <c r="M284" s="229">
        <v>4.2769595396175699</v>
      </c>
      <c r="N284" s="229">
        <v>2.4243038838666502</v>
      </c>
      <c r="O284" s="205">
        <v>1.6660441078090871E-4</v>
      </c>
      <c r="P284" s="232">
        <v>59.048000000000002</v>
      </c>
      <c r="Q284" s="213"/>
      <c r="R284" s="235"/>
    </row>
    <row r="285" spans="1:18" ht="16.5" customHeight="1" x14ac:dyDescent="0.25">
      <c r="A285" s="230">
        <v>44685</v>
      </c>
      <c r="B285" s="128" t="s">
        <v>25</v>
      </c>
      <c r="C285" s="157" t="str">
        <f t="shared" si="9"/>
        <v>04.05.2022_BIE2</v>
      </c>
      <c r="D285" s="190">
        <f t="shared" si="10"/>
        <v>0</v>
      </c>
      <c r="E285" s="231">
        <v>1.5096604815998153E-5</v>
      </c>
      <c r="F285" s="231">
        <v>1.5162660181595332E-3</v>
      </c>
      <c r="G285" s="231">
        <v>6.9353871340601378E-2</v>
      </c>
      <c r="H285" s="231">
        <v>1.1910313540848707E-3</v>
      </c>
      <c r="I285" s="231">
        <v>1.3619141558499732E-4</v>
      </c>
      <c r="J285" s="231">
        <v>2.6648088549523368E-2</v>
      </c>
      <c r="K285" s="229">
        <v>14.248626958615301</v>
      </c>
      <c r="L285" s="229">
        <v>6.6763526198898004</v>
      </c>
      <c r="M285" s="229">
        <v>4.4083837215746504</v>
      </c>
      <c r="N285" s="229">
        <v>2.3898439147953598</v>
      </c>
      <c r="O285" s="205">
        <v>1.9334180491248072E-4</v>
      </c>
      <c r="P285" s="232">
        <v>59.78</v>
      </c>
      <c r="Q285" s="213"/>
      <c r="R285" s="235"/>
    </row>
    <row r="286" spans="1:18" ht="16.5" customHeight="1" x14ac:dyDescent="0.25">
      <c r="A286" s="230">
        <v>44685</v>
      </c>
      <c r="B286" s="128" t="s">
        <v>14</v>
      </c>
      <c r="C286" s="157" t="str">
        <f t="shared" si="9"/>
        <v>04.05.2022_BRA1</v>
      </c>
      <c r="D286" s="190">
        <f t="shared" si="10"/>
        <v>0</v>
      </c>
      <c r="E286" s="231">
        <v>5.9630219450438532E-6</v>
      </c>
      <c r="F286" s="231">
        <v>6.884504257701153E-4</v>
      </c>
      <c r="G286" s="231">
        <v>6.7704709168368196E-2</v>
      </c>
      <c r="H286" s="231">
        <v>1.1588904123358086E-3</v>
      </c>
      <c r="I286" s="231">
        <v>1.6045722769766828E-4</v>
      </c>
      <c r="J286" s="231">
        <v>2.6934682015358636E-2</v>
      </c>
      <c r="K286" s="229">
        <v>13.417526427354799</v>
      </c>
      <c r="L286" s="229">
        <v>9.3858815709211605</v>
      </c>
      <c r="M286" s="229">
        <v>4.9659697270314496</v>
      </c>
      <c r="N286" s="229">
        <v>0.67209211351404496</v>
      </c>
      <c r="O286" s="205">
        <v>2.3111917437631683E-4</v>
      </c>
      <c r="P286" s="232">
        <v>76.86</v>
      </c>
      <c r="Q286" s="213"/>
      <c r="R286" s="235"/>
    </row>
    <row r="287" spans="1:18" ht="16.5" customHeight="1" x14ac:dyDescent="0.25">
      <c r="A287" s="230">
        <v>44685</v>
      </c>
      <c r="B287" s="128" t="s">
        <v>17</v>
      </c>
      <c r="C287" s="157" t="str">
        <f t="shared" si="9"/>
        <v>04.05.2022_BRA2</v>
      </c>
      <c r="D287" s="190">
        <f t="shared" si="10"/>
        <v>0</v>
      </c>
      <c r="E287" s="231">
        <v>5.7365533074788205E-6</v>
      </c>
      <c r="F287" s="231">
        <v>6.9364573872162652E-4</v>
      </c>
      <c r="G287" s="231">
        <v>7.65818876492627E-2</v>
      </c>
      <c r="H287" s="231">
        <v>1.6029308933275047E-3</v>
      </c>
      <c r="I287" s="231">
        <v>9.911400996835302E-5</v>
      </c>
      <c r="J287" s="231">
        <v>1.9391273619409774E-2</v>
      </c>
      <c r="K287" s="229">
        <v>16.083855639045002</v>
      </c>
      <c r="L287" s="229">
        <v>10.5064573909331</v>
      </c>
      <c r="M287" s="229">
        <v>6.0352927574818303</v>
      </c>
      <c r="N287" s="229">
        <v>0.90225824256296305</v>
      </c>
      <c r="O287" s="205">
        <v>1.3292962786699898E-4</v>
      </c>
      <c r="P287" s="232">
        <v>80.76400000000001</v>
      </c>
      <c r="Q287" s="213"/>
      <c r="R287" s="235"/>
    </row>
    <row r="288" spans="1:18" ht="16.5" customHeight="1" x14ac:dyDescent="0.25">
      <c r="A288" s="230">
        <v>44685</v>
      </c>
      <c r="B288" s="128" t="s">
        <v>30</v>
      </c>
      <c r="C288" s="157" t="str">
        <f t="shared" si="9"/>
        <v>04.05.2022_FAL1</v>
      </c>
      <c r="D288" s="190">
        <f t="shared" si="10"/>
        <v>0</v>
      </c>
      <c r="E288" s="231">
        <v>7.6994445440845933E-6</v>
      </c>
      <c r="F288" s="231">
        <v>1.0153357643554581E-3</v>
      </c>
      <c r="G288" s="231">
        <v>0.24954573728611482</v>
      </c>
      <c r="H288" s="231">
        <v>1.8732266822274106E-3</v>
      </c>
      <c r="I288" s="231">
        <v>9.0879104893360391E-5</v>
      </c>
      <c r="J288" s="231">
        <v>1.8412172610250372E-2</v>
      </c>
      <c r="K288" s="229">
        <v>72.108863192901893</v>
      </c>
      <c r="L288" s="229">
        <v>22.826119537678501</v>
      </c>
      <c r="M288" s="229">
        <v>26.575921782609001</v>
      </c>
      <c r="N288" s="229">
        <v>4.6831512974523797</v>
      </c>
      <c r="O288" s="205">
        <v>2.0601696437823745E-4</v>
      </c>
      <c r="P288" s="232">
        <v>300.36400000000003</v>
      </c>
      <c r="Q288" s="213"/>
      <c r="R288" s="235"/>
    </row>
    <row r="289" spans="1:18" ht="16.5" customHeight="1" x14ac:dyDescent="0.25">
      <c r="A289" s="230">
        <v>44685</v>
      </c>
      <c r="B289" s="128" t="s">
        <v>32</v>
      </c>
      <c r="C289" s="157" t="str">
        <f t="shared" si="9"/>
        <v>04.05.2022_FAL2</v>
      </c>
      <c r="D289" s="190">
        <f t="shared" si="10"/>
        <v>0</v>
      </c>
      <c r="E289" s="231">
        <v>1.0416579061738487E-5</v>
      </c>
      <c r="F289" s="231">
        <v>1.0471902338989409E-3</v>
      </c>
      <c r="G289" s="231">
        <v>0.21513389969130323</v>
      </c>
      <c r="H289" s="231">
        <v>2.1902478318331494E-3</v>
      </c>
      <c r="I289" s="231">
        <v>1.6681374659948301E-4</v>
      </c>
      <c r="J289" s="231">
        <v>3.4520238287522952E-2</v>
      </c>
      <c r="K289" s="229">
        <v>61.9480497532792</v>
      </c>
      <c r="L289" s="229">
        <v>21.7497172308831</v>
      </c>
      <c r="M289" s="229">
        <v>27.888632170543101</v>
      </c>
      <c r="N289" s="229">
        <v>3.9284504753665299</v>
      </c>
      <c r="O289" s="205">
        <v>2.4570017006790611E-4</v>
      </c>
      <c r="P289" s="232">
        <v>278.404</v>
      </c>
      <c r="Q289" s="213"/>
      <c r="R289" s="235"/>
    </row>
    <row r="290" spans="1:18" ht="16.5" customHeight="1" x14ac:dyDescent="0.25">
      <c r="A290" s="230">
        <v>44685</v>
      </c>
      <c r="B290" s="128" t="s">
        <v>26</v>
      </c>
      <c r="C290" s="157" t="str">
        <f t="shared" si="9"/>
        <v>04.05.2022_GRU1</v>
      </c>
      <c r="D290" s="190">
        <f t="shared" si="10"/>
        <v>0</v>
      </c>
      <c r="E290" s="231">
        <v>1.2907734074953837E-5</v>
      </c>
      <c r="F290" s="231">
        <v>1.0110768769035446E-3</v>
      </c>
      <c r="G290" s="231">
        <v>6.7755660081587898E-2</v>
      </c>
      <c r="H290" s="231">
        <v>2.5758563027556448E-3</v>
      </c>
      <c r="I290" s="231">
        <v>1.7798887515004509E-4</v>
      </c>
      <c r="J290" s="231">
        <v>3.4254534014339859E-2</v>
      </c>
      <c r="K290" s="229">
        <v>11.5561600228638</v>
      </c>
      <c r="L290" s="229">
        <v>6.0372150834902198</v>
      </c>
      <c r="M290" s="229">
        <v>5.8862893597849304</v>
      </c>
      <c r="N290" s="229">
        <v>1.3756580995674601</v>
      </c>
      <c r="O290" s="205">
        <v>1.5353608788899625E-4</v>
      </c>
      <c r="P290" s="232">
        <v>51.728000000000002</v>
      </c>
      <c r="Q290" s="213"/>
      <c r="R290" s="235"/>
    </row>
    <row r="291" spans="1:18" ht="16.5" customHeight="1" x14ac:dyDescent="0.25">
      <c r="A291" s="230">
        <v>44685</v>
      </c>
      <c r="B291" s="128" t="s">
        <v>28</v>
      </c>
      <c r="C291" s="157" t="str">
        <f t="shared" si="9"/>
        <v>04.05.2022_GRU2</v>
      </c>
      <c r="D291" s="190">
        <f t="shared" si="10"/>
        <v>0</v>
      </c>
      <c r="E291" s="231">
        <v>8.0012396831291401E-6</v>
      </c>
      <c r="F291" s="231">
        <v>9.8339521209073947E-4</v>
      </c>
      <c r="G291" s="231">
        <v>7.532687195200205E-2</v>
      </c>
      <c r="H291" s="231">
        <v>1.8586641212047894E-3</v>
      </c>
      <c r="I291" s="231">
        <v>7.9526550180549703E-5</v>
      </c>
      <c r="J291" s="231">
        <v>1.3334195677650519E-2</v>
      </c>
      <c r="K291" s="229">
        <v>15.1102570409784</v>
      </c>
      <c r="L291" s="229">
        <v>5.81865389458242</v>
      </c>
      <c r="M291" s="229">
        <v>5.5864068612283102</v>
      </c>
      <c r="N291" s="229">
        <v>1.38764551074374</v>
      </c>
      <c r="O291" s="205">
        <v>1.4690880172708371E-4</v>
      </c>
      <c r="P291" s="232">
        <v>63.928000000000004</v>
      </c>
      <c r="Q291" s="213"/>
      <c r="R291" s="235"/>
    </row>
    <row r="292" spans="1:18" ht="16.5" customHeight="1" x14ac:dyDescent="0.25">
      <c r="A292" s="230">
        <v>44685</v>
      </c>
      <c r="B292" s="128" t="s">
        <v>0</v>
      </c>
      <c r="C292" s="157" t="str">
        <f t="shared" si="9"/>
        <v>04.05.2022_KIN1</v>
      </c>
      <c r="D292" s="190">
        <f t="shared" si="10"/>
        <v>0</v>
      </c>
      <c r="E292" s="231">
        <v>4.1517619776500879E-6</v>
      </c>
      <c r="F292" s="231">
        <v>1.1905400372492964E-3</v>
      </c>
      <c r="G292" s="231">
        <v>0.11958650921239118</v>
      </c>
      <c r="H292" s="231">
        <v>1.3450826227168718E-3</v>
      </c>
      <c r="I292" s="231">
        <v>7.7148003541237359E-5</v>
      </c>
      <c r="J292" s="231">
        <v>1.8865984226418133E-2</v>
      </c>
      <c r="K292" s="229">
        <v>30.618002947842601</v>
      </c>
      <c r="L292" s="229">
        <v>13.273455715723101</v>
      </c>
      <c r="M292" s="229">
        <v>5.1497884131502198</v>
      </c>
      <c r="N292" s="229">
        <v>1.0327939307170499</v>
      </c>
      <c r="O292" s="205">
        <v>1.110808787667254E-4</v>
      </c>
      <c r="P292" s="232">
        <v>164.21200000000002</v>
      </c>
      <c r="Q292" s="213"/>
      <c r="R292" s="235"/>
    </row>
    <row r="293" spans="1:18" ht="16.5" customHeight="1" x14ac:dyDescent="0.25">
      <c r="A293" s="230">
        <v>44685</v>
      </c>
      <c r="B293" s="128" t="s">
        <v>2</v>
      </c>
      <c r="C293" s="157" t="str">
        <f t="shared" si="9"/>
        <v>04.05.2022_KIN2</v>
      </c>
      <c r="D293" s="190">
        <f t="shared" si="10"/>
        <v>0</v>
      </c>
      <c r="E293" s="231">
        <v>5.4347581684342746E-6</v>
      </c>
      <c r="F293" s="231">
        <v>7.2507255372050803E-4</v>
      </c>
      <c r="G293" s="231">
        <v>0.1395258206818035</v>
      </c>
      <c r="H293" s="231">
        <v>1.8235942162797116E-3</v>
      </c>
      <c r="I293" s="231">
        <v>9.3717534964895215E-5</v>
      </c>
      <c r="J293" s="231">
        <v>2.3204902559478019E-2</v>
      </c>
      <c r="K293" s="229">
        <v>37.288136099574899</v>
      </c>
      <c r="L293" s="229">
        <v>14.427452734372199</v>
      </c>
      <c r="M293" s="229">
        <v>4.7682216279561702</v>
      </c>
      <c r="N293" s="229">
        <v>1.34127059245067</v>
      </c>
      <c r="O293" s="205">
        <v>1.030041211613542E-4</v>
      </c>
      <c r="P293" s="232">
        <v>195.93200000000002</v>
      </c>
      <c r="Q293" s="213"/>
      <c r="R293" s="235"/>
    </row>
    <row r="294" spans="1:18" ht="16.5" customHeight="1" x14ac:dyDescent="0.25">
      <c r="A294" s="230">
        <v>44685</v>
      </c>
      <c r="B294" s="128" t="s">
        <v>4</v>
      </c>
      <c r="C294" s="157" t="str">
        <f t="shared" si="9"/>
        <v>04.05.2022_KIN3</v>
      </c>
      <c r="D294" s="190">
        <f t="shared" si="10"/>
        <v>0</v>
      </c>
      <c r="E294" s="231">
        <v>6.7182434923449526E-6</v>
      </c>
      <c r="F294" s="231">
        <v>9.6968267604771708E-4</v>
      </c>
      <c r="G294" s="231">
        <v>0.12957639488772213</v>
      </c>
      <c r="H294" s="231">
        <v>2.4264763047348813E-3</v>
      </c>
      <c r="I294" s="231">
        <v>1.36271322112083E-4</v>
      </c>
      <c r="J294" s="231">
        <v>3.1321916323557783E-2</v>
      </c>
      <c r="K294" s="229">
        <v>35.438159938701297</v>
      </c>
      <c r="L294" s="229">
        <v>14.821606253140599</v>
      </c>
      <c r="M294" s="229">
        <v>5.7217838412392501</v>
      </c>
      <c r="N294" s="229">
        <v>1.1580329052357701</v>
      </c>
      <c r="O294" s="205">
        <v>1.2412786616895907E-4</v>
      </c>
      <c r="P294" s="232">
        <v>189.1</v>
      </c>
      <c r="Q294" s="213"/>
      <c r="R294" s="235"/>
    </row>
    <row r="295" spans="1:18" ht="16.5" customHeight="1" x14ac:dyDescent="0.25">
      <c r="A295" s="230">
        <v>44685</v>
      </c>
      <c r="B295" s="128" t="s">
        <v>6</v>
      </c>
      <c r="C295" s="157" t="str">
        <f t="shared" si="9"/>
        <v>04.05.2022_KIN4</v>
      </c>
      <c r="D295" s="190">
        <f t="shared" si="10"/>
        <v>0</v>
      </c>
      <c r="E295" s="231">
        <v>5.1329630293897294E-6</v>
      </c>
      <c r="F295" s="231">
        <v>9.7274909708558737E-4</v>
      </c>
      <c r="G295" s="231">
        <v>0.13097305160859449</v>
      </c>
      <c r="H295" s="231">
        <v>2.3533005428731371E-3</v>
      </c>
      <c r="I295" s="231">
        <v>1.6751399715370067E-4</v>
      </c>
      <c r="J295" s="231">
        <v>3.7876772420756204E-2</v>
      </c>
      <c r="K295" s="229">
        <v>36.304553466547397</v>
      </c>
      <c r="L295" s="229">
        <v>14.926105145209201</v>
      </c>
      <c r="M295" s="229">
        <v>12.5671703410344</v>
      </c>
      <c r="N295" s="229">
        <v>1.3406653232152399</v>
      </c>
      <c r="O295" s="205">
        <v>1.379206564116615E-4</v>
      </c>
      <c r="P295" s="232">
        <v>187.148</v>
      </c>
      <c r="Q295" s="213"/>
      <c r="R295" s="235"/>
    </row>
    <row r="296" spans="1:18" ht="16.5" customHeight="1" x14ac:dyDescent="0.25">
      <c r="A296" s="230">
        <v>44685</v>
      </c>
      <c r="B296" s="128" t="s">
        <v>34</v>
      </c>
      <c r="C296" s="157" t="str">
        <f t="shared" si="9"/>
        <v>04.05.2022_KRE1</v>
      </c>
      <c r="D296" s="190">
        <f t="shared" si="10"/>
        <v>0</v>
      </c>
      <c r="E296" s="231">
        <v>4.6046992527801516E-6</v>
      </c>
      <c r="F296" s="231">
        <v>1.0389284999095597E-3</v>
      </c>
      <c r="G296" s="231">
        <v>0.2131887975508388</v>
      </c>
      <c r="H296" s="231">
        <v>2.338108703430531E-3</v>
      </c>
      <c r="I296" s="231">
        <v>9.25983255531051E-5</v>
      </c>
      <c r="J296" s="231">
        <v>1.7725428165422805E-2</v>
      </c>
      <c r="K296" s="229">
        <v>61.991464281296302</v>
      </c>
      <c r="L296" s="229">
        <v>22.442581291324199</v>
      </c>
      <c r="M296" s="229">
        <v>25.990294159965899</v>
      </c>
      <c r="N296" s="229">
        <v>4.7526612821385203</v>
      </c>
      <c r="O296" s="205">
        <v>2.9897220408636711E-4</v>
      </c>
      <c r="P296" s="232">
        <v>269.86400000000003</v>
      </c>
      <c r="Q296" s="213"/>
      <c r="R296" s="235"/>
    </row>
    <row r="297" spans="1:18" ht="16.5" customHeight="1" x14ac:dyDescent="0.25">
      <c r="A297" s="230">
        <v>44685</v>
      </c>
      <c r="B297" s="128" t="s">
        <v>37</v>
      </c>
      <c r="C297" s="157" t="str">
        <f t="shared" si="9"/>
        <v>04.05.2022_KRE2</v>
      </c>
      <c r="D297" s="190">
        <f t="shared" si="10"/>
        <v>0</v>
      </c>
      <c r="E297" s="231">
        <v>6.9447121299099845E-6</v>
      </c>
      <c r="F297" s="231">
        <v>1.0545155423887244E-3</v>
      </c>
      <c r="G297" s="231">
        <v>0.25715088418663617</v>
      </c>
      <c r="H297" s="231">
        <v>2.5594185610665248E-3</v>
      </c>
      <c r="I297" s="231">
        <v>7.0112343913268139E-5</v>
      </c>
      <c r="J297" s="231">
        <v>9.2669318610174752E-3</v>
      </c>
      <c r="K297" s="229">
        <v>72.130789761912496</v>
      </c>
      <c r="L297" s="229">
        <v>23.435548355840201</v>
      </c>
      <c r="M297" s="229">
        <v>26.469968527020999</v>
      </c>
      <c r="N297" s="229">
        <v>4.6120412009694203</v>
      </c>
      <c r="O297" s="205">
        <v>4.4102818830255632E-4</v>
      </c>
      <c r="P297" s="232">
        <v>279.38</v>
      </c>
      <c r="Q297" s="213"/>
      <c r="R297" s="235"/>
    </row>
    <row r="298" spans="1:18" ht="16.5" customHeight="1" x14ac:dyDescent="0.25">
      <c r="A298" s="230">
        <v>44685</v>
      </c>
      <c r="B298" s="128" t="s">
        <v>18</v>
      </c>
      <c r="C298" s="157" t="str">
        <f t="shared" si="9"/>
        <v>04.05.2022_ORB1</v>
      </c>
      <c r="D298" s="190">
        <f t="shared" si="10"/>
        <v>0</v>
      </c>
      <c r="E298" s="231">
        <v>1.2077186026173223E-5</v>
      </c>
      <c r="F298" s="231">
        <v>6.6017501090570867E-4</v>
      </c>
      <c r="G298" s="231">
        <v>5.293911130062904E-2</v>
      </c>
      <c r="H298" s="231">
        <v>1.043026105080344E-3</v>
      </c>
      <c r="I298" s="231">
        <v>3.1178309492247177E-5</v>
      </c>
      <c r="J298" s="231">
        <v>9.720636948636837E-3</v>
      </c>
      <c r="K298" s="229">
        <v>8.6830560354351505</v>
      </c>
      <c r="L298" s="229">
        <v>2.4034954863988802</v>
      </c>
      <c r="M298" s="229">
        <v>5.8099973078988496</v>
      </c>
      <c r="N298" s="229">
        <v>2.42357251483506</v>
      </c>
      <c r="O298" s="205">
        <v>6.6825303197788665E-5</v>
      </c>
      <c r="P298" s="232">
        <v>17.567999999999998</v>
      </c>
      <c r="Q298" s="213"/>
      <c r="R298" s="235"/>
    </row>
    <row r="299" spans="1:18" ht="16.5" customHeight="1" x14ac:dyDescent="0.25">
      <c r="A299" s="230">
        <v>44685</v>
      </c>
      <c r="B299" s="128" t="s">
        <v>21</v>
      </c>
      <c r="C299" s="157" t="str">
        <f t="shared" si="9"/>
        <v>04.05.2022_ORB2</v>
      </c>
      <c r="D299" s="190">
        <f t="shared" si="10"/>
        <v>0</v>
      </c>
      <c r="E299" s="231">
        <v>1.1473595748084133E-5</v>
      </c>
      <c r="F299" s="231">
        <v>6.6596572934576805E-4</v>
      </c>
      <c r="G299" s="231">
        <v>5.3503169929626164E-2</v>
      </c>
      <c r="H299" s="231">
        <v>1.0937215568782546E-3</v>
      </c>
      <c r="I299" s="231">
        <v>2.7420889605153138E-5</v>
      </c>
      <c r="J299" s="231">
        <v>8.7922320119141941E-3</v>
      </c>
      <c r="K299" s="229">
        <v>10.1008799867256</v>
      </c>
      <c r="L299" s="229">
        <v>2.74204954814997</v>
      </c>
      <c r="M299" s="229">
        <v>8.3677590701110098</v>
      </c>
      <c r="N299" s="229">
        <v>2.6881178917714199</v>
      </c>
      <c r="O299" s="205">
        <v>7.2396012971458898E-5</v>
      </c>
      <c r="P299" s="232">
        <v>19.763999999999999</v>
      </c>
      <c r="Q299" s="213"/>
      <c r="R299" s="235"/>
    </row>
    <row r="300" spans="1:18" ht="16.5" customHeight="1" x14ac:dyDescent="0.25">
      <c r="A300" s="230">
        <v>44685</v>
      </c>
      <c r="B300" s="128" t="s">
        <v>10</v>
      </c>
      <c r="C300" s="157" t="str">
        <f t="shared" si="9"/>
        <v>04.05.2022_SAL1</v>
      </c>
      <c r="D300" s="190">
        <f t="shared" si="10"/>
        <v>0</v>
      </c>
      <c r="E300" s="231">
        <v>7.9259131816496261E-6</v>
      </c>
      <c r="F300" s="231">
        <v>7.3716662424183285E-4</v>
      </c>
      <c r="G300" s="231">
        <v>6.5694547151910032E-2</v>
      </c>
      <c r="H300" s="231">
        <v>1.1465493076733154E-3</v>
      </c>
      <c r="I300" s="231">
        <v>2.3603507445707928E-5</v>
      </c>
      <c r="J300" s="231">
        <v>3.6705044762896837E-3</v>
      </c>
      <c r="K300" s="229">
        <v>13.8709966831939</v>
      </c>
      <c r="L300" s="229">
        <v>10.7907948120036</v>
      </c>
      <c r="M300" s="229">
        <v>5.7283875656655603</v>
      </c>
      <c r="N300" s="229">
        <v>0.94409353401024598</v>
      </c>
      <c r="O300" s="205">
        <v>1.4110997665496135E-4</v>
      </c>
      <c r="P300" s="232">
        <v>87.10799999999999</v>
      </c>
      <c r="Q300" s="213"/>
      <c r="R300" s="235"/>
    </row>
    <row r="301" spans="1:18" ht="16.5" customHeight="1" x14ac:dyDescent="0.25">
      <c r="A301" s="230">
        <v>44685</v>
      </c>
      <c r="B301" s="128" t="s">
        <v>12</v>
      </c>
      <c r="C301" s="157" t="str">
        <f t="shared" si="9"/>
        <v>04.05.2022_SAL2</v>
      </c>
      <c r="D301" s="190">
        <f t="shared" si="10"/>
        <v>0</v>
      </c>
      <c r="E301" s="231">
        <v>8.0012396831291401E-6</v>
      </c>
      <c r="F301" s="231">
        <v>8.4814270265971229E-4</v>
      </c>
      <c r="G301" s="231">
        <v>8.0154381498660304E-2</v>
      </c>
      <c r="H301" s="231">
        <v>1.3270544287139884E-3</v>
      </c>
      <c r="I301" s="231">
        <v>1.7467799935596798E-5</v>
      </c>
      <c r="J301" s="231">
        <v>3.8988316247354979E-3</v>
      </c>
      <c r="K301" s="229">
        <v>16.348000894431198</v>
      </c>
      <c r="L301" s="229">
        <v>10.8426176587099</v>
      </c>
      <c r="M301" s="229">
        <v>5.7783730846919497</v>
      </c>
      <c r="N301" s="229">
        <v>0.97499650725803799</v>
      </c>
      <c r="O301" s="205">
        <v>1.4407158415621815E-4</v>
      </c>
      <c r="P301" s="232">
        <v>98.088000000000008</v>
      </c>
      <c r="Q301" s="213"/>
      <c r="R301" s="235"/>
    </row>
    <row r="302" spans="1:18" ht="16.5" customHeight="1" x14ac:dyDescent="0.25">
      <c r="A302" s="230">
        <v>44685</v>
      </c>
      <c r="B302" s="128" t="s">
        <v>7</v>
      </c>
      <c r="C302" s="157" t="str">
        <f t="shared" si="9"/>
        <v>04.05.2022_STE1</v>
      </c>
      <c r="D302" s="190">
        <f t="shared" si="10"/>
        <v>0</v>
      </c>
      <c r="E302" s="231">
        <v>4.528883618174147E-6</v>
      </c>
      <c r="F302" s="231">
        <v>1.6128640748817591E-3</v>
      </c>
      <c r="G302" s="231">
        <v>9.9668455504854758E-2</v>
      </c>
      <c r="H302" s="231">
        <v>1.4738252796478691E-3</v>
      </c>
      <c r="I302" s="231">
        <v>1.8606953602121429E-5</v>
      </c>
      <c r="J302" s="231">
        <v>6.9979390409110331E-3</v>
      </c>
      <c r="K302" s="229">
        <v>25.442701162049101</v>
      </c>
      <c r="L302" s="229">
        <v>9.8981106572332607</v>
      </c>
      <c r="M302" s="229">
        <v>5.8752919400856802</v>
      </c>
      <c r="N302" s="229">
        <v>0.71781811085004699</v>
      </c>
      <c r="O302" s="205">
        <v>1.1921976424455738E-4</v>
      </c>
      <c r="P302" s="232">
        <v>117.36399999999999</v>
      </c>
      <c r="Q302" s="213"/>
      <c r="R302" s="235"/>
    </row>
    <row r="303" spans="1:18" ht="16.5" customHeight="1" x14ac:dyDescent="0.25">
      <c r="A303" s="230">
        <v>44685</v>
      </c>
      <c r="B303" s="128" t="s">
        <v>9</v>
      </c>
      <c r="C303" s="157" t="str">
        <f t="shared" si="9"/>
        <v>04.05.2022_STE2</v>
      </c>
      <c r="D303" s="190">
        <f t="shared" si="10"/>
        <v>0</v>
      </c>
      <c r="E303" s="231">
        <v>3.5476825664345059E-6</v>
      </c>
      <c r="F303" s="231">
        <v>1.4264850507844098E-3</v>
      </c>
      <c r="G303" s="231">
        <v>0.10033960585300866</v>
      </c>
      <c r="H303" s="231">
        <v>1.3631033390054407E-3</v>
      </c>
      <c r="I303" s="231">
        <v>2.5522170652797792E-5</v>
      </c>
      <c r="J303" s="231">
        <v>5.5529071136996653E-3</v>
      </c>
      <c r="K303" s="229">
        <v>25.932110666775198</v>
      </c>
      <c r="L303" s="229">
        <v>9.9114400272846801</v>
      </c>
      <c r="M303" s="229">
        <v>5.8537190014898597</v>
      </c>
      <c r="N303" s="229">
        <v>0.70491540654065499</v>
      </c>
      <c r="O303" s="205">
        <v>1.221397742502141E-4</v>
      </c>
      <c r="P303" s="232">
        <v>118.584</v>
      </c>
      <c r="Q303" s="213"/>
      <c r="R303" s="235"/>
    </row>
    <row r="304" spans="1:18" ht="16.5" customHeight="1" x14ac:dyDescent="0.25">
      <c r="A304" s="230">
        <v>44713</v>
      </c>
      <c r="B304" s="128" t="s">
        <v>22</v>
      </c>
      <c r="C304" s="157" t="str">
        <f t="shared" si="9"/>
        <v>01.06.2022_BIE1</v>
      </c>
      <c r="D304" s="190">
        <f t="shared" si="10"/>
        <v>4</v>
      </c>
      <c r="E304" s="231">
        <v>1.5405199278567652E-4</v>
      </c>
      <c r="F304" s="231">
        <v>2.8427486393521233E-3</v>
      </c>
      <c r="G304" s="231">
        <v>2.5435860279617237E-2</v>
      </c>
      <c r="H304" s="231">
        <v>1.1117538126449774E-3</v>
      </c>
      <c r="I304" s="231">
        <v>3.0192885302767207E-4</v>
      </c>
      <c r="J304" s="231">
        <v>2.3527577047665248E-2</v>
      </c>
      <c r="K304" s="229"/>
      <c r="L304" s="229"/>
      <c r="M304" s="229"/>
      <c r="N304" s="229"/>
      <c r="O304" s="205">
        <v>1.7791215778475164E-4</v>
      </c>
      <c r="P304" s="232">
        <v>68.320000000000007</v>
      </c>
      <c r="Q304" s="213"/>
      <c r="R304" s="235" t="s">
        <v>440</v>
      </c>
    </row>
    <row r="305" spans="1:18" ht="16.5" customHeight="1" x14ac:dyDescent="0.25">
      <c r="A305" s="230">
        <v>44713</v>
      </c>
      <c r="B305" s="128" t="s">
        <v>25</v>
      </c>
      <c r="C305" s="157" t="str">
        <f t="shared" si="9"/>
        <v>01.06.2022_BIE2</v>
      </c>
      <c r="D305" s="190">
        <f t="shared" si="10"/>
        <v>4</v>
      </c>
      <c r="E305" s="231">
        <v>1.672858319571562E-5</v>
      </c>
      <c r="F305" s="231">
        <v>1.535942697203554E-3</v>
      </c>
      <c r="G305" s="231">
        <v>7.1599686445151633E-2</v>
      </c>
      <c r="H305" s="231">
        <v>2.7644011056864475E-3</v>
      </c>
      <c r="I305" s="231">
        <v>1.3060439396452901E-4</v>
      </c>
      <c r="J305" s="231">
        <v>2.4584159544609116E-2</v>
      </c>
      <c r="K305" s="229"/>
      <c r="L305" s="229"/>
      <c r="M305" s="229"/>
      <c r="N305" s="229"/>
      <c r="O305" s="205">
        <v>1.6572364193226025E-4</v>
      </c>
      <c r="P305" s="232">
        <v>65.39200000000001</v>
      </c>
      <c r="Q305" s="213"/>
      <c r="R305" s="235" t="s">
        <v>440</v>
      </c>
    </row>
    <row r="306" spans="1:18" ht="16.5" customHeight="1" x14ac:dyDescent="0.25">
      <c r="A306" s="230">
        <v>44713</v>
      </c>
      <c r="B306" s="128" t="s">
        <v>14</v>
      </c>
      <c r="C306" s="157" t="str">
        <f t="shared" si="9"/>
        <v>01.06.2022_BRA1</v>
      </c>
      <c r="D306" s="190">
        <f t="shared" si="10"/>
        <v>4</v>
      </c>
      <c r="E306" s="231">
        <v>3.4402608942020228E-5</v>
      </c>
      <c r="F306" s="231">
        <v>1.7685842899769779E-3</v>
      </c>
      <c r="G306" s="231">
        <v>6.8538441571387859E-2</v>
      </c>
      <c r="H306" s="231">
        <v>2.7080629147527161E-3</v>
      </c>
      <c r="I306" s="231">
        <v>1.6141931331749241E-4</v>
      </c>
      <c r="J306" s="231">
        <v>3.0074618228156425E-2</v>
      </c>
      <c r="K306" s="229"/>
      <c r="L306" s="229"/>
      <c r="M306" s="229"/>
      <c r="N306" s="229"/>
      <c r="O306" s="205">
        <v>1.9347569392304801E-4</v>
      </c>
      <c r="P306" s="232">
        <v>91.5</v>
      </c>
      <c r="Q306" s="213"/>
      <c r="R306" s="235" t="s">
        <v>440</v>
      </c>
    </row>
    <row r="307" spans="1:18" ht="16.5" customHeight="1" x14ac:dyDescent="0.25">
      <c r="A307" s="230">
        <v>44713</v>
      </c>
      <c r="B307" s="128" t="s">
        <v>17</v>
      </c>
      <c r="C307" s="157" t="str">
        <f t="shared" si="9"/>
        <v>01.06.2022_BRA2</v>
      </c>
      <c r="D307" s="190">
        <f t="shared" si="10"/>
        <v>4</v>
      </c>
      <c r="E307" s="231">
        <v>7.2732150751192714E-6</v>
      </c>
      <c r="F307" s="231">
        <v>7.6041248881350142E-4</v>
      </c>
      <c r="G307" s="231">
        <v>6.8109303924706918E-2</v>
      </c>
      <c r="H307" s="231">
        <v>2.7085923018169947E-3</v>
      </c>
      <c r="I307" s="231">
        <v>1.6877496811420356E-4</v>
      </c>
      <c r="J307" s="231">
        <v>2.8215879943494827E-2</v>
      </c>
      <c r="K307" s="229"/>
      <c r="L307" s="229"/>
      <c r="M307" s="229"/>
      <c r="N307" s="229"/>
      <c r="O307" s="205">
        <v>1.4306902180806922E-4</v>
      </c>
      <c r="P307" s="232">
        <v>89.792000000000002</v>
      </c>
      <c r="Q307" s="213"/>
      <c r="R307" s="235" t="s">
        <v>440</v>
      </c>
    </row>
    <row r="308" spans="1:18" ht="16.5" customHeight="1" x14ac:dyDescent="0.25">
      <c r="A308" s="230">
        <v>44713</v>
      </c>
      <c r="B308" s="128" t="s">
        <v>30</v>
      </c>
      <c r="C308" s="157" t="str">
        <f t="shared" si="9"/>
        <v>01.06.2022_FAL1</v>
      </c>
      <c r="D308" s="190">
        <f t="shared" si="10"/>
        <v>4</v>
      </c>
      <c r="E308" s="231">
        <v>6.6185691614761484E-6</v>
      </c>
      <c r="F308" s="231">
        <v>8.2749441046703603E-4</v>
      </c>
      <c r="G308" s="231">
        <v>7.6411507679580576E-2</v>
      </c>
      <c r="H308" s="231">
        <v>3.6408152344037542E-3</v>
      </c>
      <c r="I308" s="231">
        <v>1.3023588829477154E-4</v>
      </c>
      <c r="J308" s="231">
        <v>2.1219036756687525E-2</v>
      </c>
      <c r="K308" s="229"/>
      <c r="L308" s="229"/>
      <c r="M308" s="229"/>
      <c r="N308" s="229"/>
      <c r="O308" s="205">
        <v>1.0835877319848872E-4</v>
      </c>
      <c r="P308" s="232">
        <v>308.904</v>
      </c>
      <c r="Q308" s="213"/>
      <c r="R308" s="235" t="s">
        <v>440</v>
      </c>
    </row>
    <row r="309" spans="1:18" ht="16.5" customHeight="1" x14ac:dyDescent="0.25">
      <c r="A309" s="230">
        <v>44713</v>
      </c>
      <c r="B309" s="128" t="s">
        <v>32</v>
      </c>
      <c r="C309" s="157" t="str">
        <f t="shared" si="9"/>
        <v>01.06.2022_FAL2</v>
      </c>
      <c r="D309" s="190">
        <f t="shared" si="10"/>
        <v>4</v>
      </c>
      <c r="E309" s="231">
        <v>5.2366960017917467E-6</v>
      </c>
      <c r="F309" s="231">
        <v>1.108696682643141E-3</v>
      </c>
      <c r="G309" s="231">
        <v>0.2178291131700634</v>
      </c>
      <c r="H309" s="231">
        <v>4.0708862951620798E-3</v>
      </c>
      <c r="I309" s="231">
        <v>1.442656321305155E-4</v>
      </c>
      <c r="J309" s="231">
        <v>2.1209256882897407E-2</v>
      </c>
      <c r="K309" s="229"/>
      <c r="L309" s="229"/>
      <c r="M309" s="229"/>
      <c r="N309" s="229"/>
      <c r="O309" s="205">
        <v>2.259213914875931E-4</v>
      </c>
      <c r="P309" s="232">
        <v>294.26400000000001</v>
      </c>
      <c r="Q309" s="213"/>
      <c r="R309" s="235" t="s">
        <v>440</v>
      </c>
    </row>
    <row r="310" spans="1:18" ht="16.5" customHeight="1" x14ac:dyDescent="0.25">
      <c r="A310" s="230">
        <v>44713</v>
      </c>
      <c r="B310" s="128" t="s">
        <v>26</v>
      </c>
      <c r="C310" s="157" t="str">
        <f t="shared" si="9"/>
        <v>01.06.2022_GRU1</v>
      </c>
      <c r="D310" s="190">
        <f t="shared" si="10"/>
        <v>4</v>
      </c>
      <c r="E310" s="231">
        <v>5.5274926387376113E-6</v>
      </c>
      <c r="F310" s="231">
        <v>1.0003937410694279E-3</v>
      </c>
      <c r="G310" s="231">
        <v>0.20263911292747527</v>
      </c>
      <c r="H310" s="231">
        <v>3.2441830515361528E-3</v>
      </c>
      <c r="I310" s="231">
        <v>1.5253180144799894E-4</v>
      </c>
      <c r="J310" s="231">
        <v>2.3548912620765972E-2</v>
      </c>
      <c r="K310" s="229"/>
      <c r="L310" s="229"/>
      <c r="M310" s="229"/>
      <c r="N310" s="229"/>
      <c r="O310" s="205">
        <v>2.1198336277464396E-4</v>
      </c>
      <c r="P310" s="232">
        <v>56.608000000000004</v>
      </c>
      <c r="Q310" s="213"/>
      <c r="R310" s="235" t="s">
        <v>440</v>
      </c>
    </row>
    <row r="311" spans="1:18" ht="16.5" customHeight="1" x14ac:dyDescent="0.25">
      <c r="A311" s="230">
        <v>44713</v>
      </c>
      <c r="B311" s="128" t="s">
        <v>28</v>
      </c>
      <c r="C311" s="157" t="str">
        <f t="shared" si="9"/>
        <v>01.06.2022_GRU2</v>
      </c>
      <c r="D311" s="190">
        <f t="shared" si="10"/>
        <v>4</v>
      </c>
      <c r="E311" s="231">
        <v>1.1637049858720187E-5</v>
      </c>
      <c r="F311" s="231">
        <v>8.9158185710110148E-4</v>
      </c>
      <c r="G311" s="231">
        <v>6.5946719238935678E-2</v>
      </c>
      <c r="H311" s="231">
        <v>3.7951498374622409E-3</v>
      </c>
      <c r="I311" s="231">
        <v>1.9638799941131116E-4</v>
      </c>
      <c r="J311" s="231">
        <v>3.7350724816711062E-2</v>
      </c>
      <c r="K311" s="229"/>
      <c r="L311" s="229"/>
      <c r="M311" s="229"/>
      <c r="N311" s="229"/>
      <c r="O311" s="205">
        <v>1.4818353431311087E-4</v>
      </c>
      <c r="P311" s="232">
        <v>66.856000000000009</v>
      </c>
      <c r="Q311" s="213"/>
      <c r="R311" s="235" t="s">
        <v>440</v>
      </c>
    </row>
    <row r="312" spans="1:18" ht="16.5" customHeight="1" x14ac:dyDescent="0.25">
      <c r="A312" s="230">
        <v>44713</v>
      </c>
      <c r="B312" s="128" t="s">
        <v>0</v>
      </c>
      <c r="C312" s="157" t="str">
        <f t="shared" si="9"/>
        <v>01.06.2022_KIN1</v>
      </c>
      <c r="D312" s="190">
        <f t="shared" si="10"/>
        <v>4</v>
      </c>
      <c r="E312" s="231">
        <v>8.0004423211605519E-6</v>
      </c>
      <c r="F312" s="231">
        <v>7.8065371964075505E-4</v>
      </c>
      <c r="G312" s="231">
        <v>7.3411610407451866E-2</v>
      </c>
      <c r="H312" s="231">
        <v>3.5106341930290618E-3</v>
      </c>
      <c r="I312" s="231">
        <v>1.624282720345868E-4</v>
      </c>
      <c r="J312" s="231">
        <v>3.1659649183058233E-2</v>
      </c>
      <c r="K312" s="229"/>
      <c r="L312" s="229"/>
      <c r="M312" s="229"/>
      <c r="N312" s="229"/>
      <c r="O312" s="205">
        <v>1.5034514604378451E-4</v>
      </c>
      <c r="P312" s="232">
        <v>178.608</v>
      </c>
      <c r="Q312" s="213"/>
      <c r="R312" s="235" t="s">
        <v>440</v>
      </c>
    </row>
    <row r="313" spans="1:18" ht="16.5" customHeight="1" x14ac:dyDescent="0.25">
      <c r="A313" s="230">
        <v>44713</v>
      </c>
      <c r="B313" s="128" t="s">
        <v>2</v>
      </c>
      <c r="C313" s="157" t="str">
        <f t="shared" si="9"/>
        <v>01.06.2022_KIN2</v>
      </c>
      <c r="D313" s="190">
        <f t="shared" si="10"/>
        <v>4</v>
      </c>
      <c r="E313" s="231">
        <v>6.3277725245302838E-6</v>
      </c>
      <c r="F313" s="231">
        <v>1.3592947099680939E-3</v>
      </c>
      <c r="G313" s="231">
        <v>0.11566074844193362</v>
      </c>
      <c r="H313" s="231">
        <v>3.3052292433281439E-3</v>
      </c>
      <c r="I313" s="231">
        <v>1.5722782849375498E-4</v>
      </c>
      <c r="J313" s="231">
        <v>3.3991336164582601E-2</v>
      </c>
      <c r="K313" s="229"/>
      <c r="L313" s="229"/>
      <c r="M313" s="229"/>
      <c r="N313" s="229"/>
      <c r="O313" s="205">
        <v>1.0807762588968435E-4</v>
      </c>
      <c r="P313" s="232">
        <v>200.32399999999998</v>
      </c>
      <c r="Q313" s="213"/>
      <c r="R313" s="235" t="s">
        <v>440</v>
      </c>
    </row>
    <row r="314" spans="1:18" ht="16.5" customHeight="1" x14ac:dyDescent="0.25">
      <c r="A314" s="230">
        <v>44713</v>
      </c>
      <c r="B314" s="128" t="s">
        <v>4</v>
      </c>
      <c r="C314" s="157" t="str">
        <f t="shared" si="9"/>
        <v>01.06.2022_KIN3</v>
      </c>
      <c r="D314" s="190">
        <f t="shared" si="10"/>
        <v>4</v>
      </c>
      <c r="E314" s="231">
        <v>7.4188490472688217E-6</v>
      </c>
      <c r="F314" s="231">
        <v>8.4357130891938843E-4</v>
      </c>
      <c r="G314" s="231">
        <v>0.13863681127387617</v>
      </c>
      <c r="H314" s="231">
        <v>2.9432685906578392E-3</v>
      </c>
      <c r="I314" s="231">
        <v>1.5286158321933086E-4</v>
      </c>
      <c r="J314" s="231">
        <v>2.6332546395165541E-2</v>
      </c>
      <c r="K314" s="229"/>
      <c r="L314" s="229"/>
      <c r="M314" s="229"/>
      <c r="N314" s="229"/>
      <c r="O314" s="205">
        <v>1.0414088034088549E-4</v>
      </c>
      <c r="P314" s="232">
        <v>189.34399999999999</v>
      </c>
      <c r="Q314" s="213"/>
      <c r="R314" s="235" t="s">
        <v>440</v>
      </c>
    </row>
    <row r="315" spans="1:18" ht="16.5" customHeight="1" x14ac:dyDescent="0.25">
      <c r="A315" s="230">
        <v>44713</v>
      </c>
      <c r="B315" s="128" t="s">
        <v>6</v>
      </c>
      <c r="C315" s="157" t="str">
        <f t="shared" si="9"/>
        <v>01.06.2022_KIN4</v>
      </c>
      <c r="D315" s="190">
        <f t="shared" si="10"/>
        <v>4</v>
      </c>
      <c r="E315" s="231">
        <v>6.6185691614761484E-6</v>
      </c>
      <c r="F315" s="231">
        <v>1.018005515096977E-3</v>
      </c>
      <c r="G315" s="231">
        <v>0.13445375481497596</v>
      </c>
      <c r="H315" s="231">
        <v>2.9232604176384703E-3</v>
      </c>
      <c r="I315" s="231">
        <v>1.5125102108026802E-4</v>
      </c>
      <c r="J315" s="231">
        <v>2.5142849172214293E-2</v>
      </c>
      <c r="K315" s="229"/>
      <c r="L315" s="229"/>
      <c r="M315" s="229"/>
      <c r="N315" s="229"/>
      <c r="O315" s="205">
        <v>1.4813069820485443E-4</v>
      </c>
      <c r="P315" s="232">
        <v>201.54399999999998</v>
      </c>
      <c r="Q315" s="213"/>
      <c r="R315" s="235" t="s">
        <v>440</v>
      </c>
    </row>
    <row r="316" spans="1:18" ht="16.5" customHeight="1" x14ac:dyDescent="0.25">
      <c r="A316" s="230">
        <v>44713</v>
      </c>
      <c r="B316" s="128" t="s">
        <v>34</v>
      </c>
      <c r="C316" s="157" t="str">
        <f t="shared" si="9"/>
        <v>01.06.2022_KRE1</v>
      </c>
      <c r="D316" s="190">
        <f t="shared" si="10"/>
        <v>4</v>
      </c>
      <c r="E316" s="231">
        <v>7.6370643518165288E-6</v>
      </c>
      <c r="F316" s="231">
        <v>1.2796336260588611E-3</v>
      </c>
      <c r="G316" s="231">
        <v>0.13243421451868034</v>
      </c>
      <c r="H316" s="231">
        <v>2.8621256255009927E-3</v>
      </c>
      <c r="I316" s="231">
        <v>1.9052774087392968E-4</v>
      </c>
      <c r="J316" s="231">
        <v>3.1682089233007069E-2</v>
      </c>
      <c r="K316" s="229"/>
      <c r="L316" s="229"/>
      <c r="M316" s="229"/>
      <c r="N316" s="229"/>
      <c r="O316" s="205">
        <v>1.3816562599420747E-4</v>
      </c>
      <c r="P316" s="232">
        <v>290.36</v>
      </c>
      <c r="Q316" s="213"/>
      <c r="R316" s="235" t="s">
        <v>440</v>
      </c>
    </row>
    <row r="317" spans="1:18" ht="16.5" customHeight="1" x14ac:dyDescent="0.25">
      <c r="A317" s="230">
        <v>44713</v>
      </c>
      <c r="B317" s="128" t="s">
        <v>37</v>
      </c>
      <c r="C317" s="157" t="str">
        <f t="shared" si="9"/>
        <v>01.06.2022_KRE2</v>
      </c>
      <c r="D317" s="190">
        <f t="shared" si="10"/>
        <v>4</v>
      </c>
      <c r="E317" s="231">
        <v>7.127581102969721E-6</v>
      </c>
      <c r="F317" s="231">
        <v>9.6612037662920308E-4</v>
      </c>
      <c r="G317" s="231">
        <v>0.23868296277610329</v>
      </c>
      <c r="H317" s="231">
        <v>3.9671341830936919E-3</v>
      </c>
      <c r="I317" s="231">
        <v>1.7327586694451658E-4</v>
      </c>
      <c r="J317" s="231">
        <v>2.7868722096023542E-2</v>
      </c>
      <c r="K317" s="229"/>
      <c r="L317" s="229"/>
      <c r="M317" s="229"/>
      <c r="N317" s="229"/>
      <c r="O317" s="205">
        <v>2.9651111534377447E-4</v>
      </c>
      <c r="P317" s="232">
        <v>290.84800000000001</v>
      </c>
      <c r="Q317" s="213"/>
      <c r="R317" s="235" t="s">
        <v>440</v>
      </c>
    </row>
    <row r="318" spans="1:18" ht="16.5" customHeight="1" x14ac:dyDescent="0.25">
      <c r="A318" s="230">
        <v>44713</v>
      </c>
      <c r="B318" s="128" t="s">
        <v>18</v>
      </c>
      <c r="C318" s="157" t="str">
        <f t="shared" si="9"/>
        <v>01.06.2022_ORB1</v>
      </c>
      <c r="D318" s="190">
        <f t="shared" si="10"/>
        <v>4</v>
      </c>
      <c r="E318" s="231">
        <v>4.1456194790532079E-6</v>
      </c>
      <c r="F318" s="231">
        <v>1.0326943027576959E-3</v>
      </c>
      <c r="G318" s="231">
        <v>0.22231357851487116</v>
      </c>
      <c r="H318" s="231">
        <v>3.7852304750329272E-3</v>
      </c>
      <c r="I318" s="231">
        <v>1.5257077680031037E-4</v>
      </c>
      <c r="J318" s="231">
        <v>2.4307953706946741E-2</v>
      </c>
      <c r="K318" s="229"/>
      <c r="L318" s="229"/>
      <c r="M318" s="229"/>
      <c r="N318" s="229"/>
      <c r="O318" s="205">
        <v>3.8385853970740208E-4</v>
      </c>
      <c r="P318" s="232">
        <v>34.647999999999996</v>
      </c>
      <c r="Q318" s="213"/>
      <c r="R318" s="235" t="s">
        <v>440</v>
      </c>
    </row>
    <row r="319" spans="1:18" ht="16.5" customHeight="1" x14ac:dyDescent="0.25">
      <c r="A319" s="230">
        <v>44713</v>
      </c>
      <c r="B319" s="128" t="s">
        <v>21</v>
      </c>
      <c r="C319" s="157" t="str">
        <f t="shared" si="9"/>
        <v>01.06.2022_ORB2</v>
      </c>
      <c r="D319" s="190">
        <f t="shared" si="10"/>
        <v>4</v>
      </c>
      <c r="E319" s="231">
        <v>6.1821385523807334E-6</v>
      </c>
      <c r="F319" s="231">
        <v>1.0480406913357333E-3</v>
      </c>
      <c r="G319" s="231">
        <v>4.6505754293692747E-2</v>
      </c>
      <c r="H319" s="231">
        <v>1.9316680547980414E-3</v>
      </c>
      <c r="I319" s="231">
        <v>1.2959543524743462E-4</v>
      </c>
      <c r="J319" s="231">
        <v>2.0128186602240566E-2</v>
      </c>
      <c r="K319" s="229"/>
      <c r="L319" s="229"/>
      <c r="M319" s="229"/>
      <c r="N319" s="229"/>
      <c r="O319" s="205">
        <v>5.1805576403622602E-5</v>
      </c>
      <c r="P319" s="232">
        <v>33.184000000000005</v>
      </c>
      <c r="Q319" s="213"/>
      <c r="R319" s="235" t="s">
        <v>440</v>
      </c>
    </row>
    <row r="320" spans="1:18" ht="16.5" customHeight="1" x14ac:dyDescent="0.25">
      <c r="A320" s="230">
        <v>44713</v>
      </c>
      <c r="B320" s="128" t="s">
        <v>10</v>
      </c>
      <c r="C320" s="157" t="str">
        <f t="shared" si="9"/>
        <v>01.06.2022_SAL1</v>
      </c>
      <c r="D320" s="190">
        <f t="shared" si="10"/>
        <v>4</v>
      </c>
      <c r="E320" s="231">
        <v>9.746164757542212E-6</v>
      </c>
      <c r="F320" s="231">
        <v>1.0581257991404338E-3</v>
      </c>
      <c r="G320" s="231">
        <v>5.7139932692133549E-2</v>
      </c>
      <c r="H320" s="231">
        <v>2.1383831821078325E-3</v>
      </c>
      <c r="I320" s="231">
        <v>1.2016490871138282E-4</v>
      </c>
      <c r="J320" s="231">
        <v>2.7082951386775796E-2</v>
      </c>
      <c r="K320" s="229"/>
      <c r="L320" s="229"/>
      <c r="M320" s="229"/>
      <c r="N320" s="229"/>
      <c r="O320" s="205">
        <v>7.6303425157872861E-5</v>
      </c>
      <c r="P320" s="232">
        <v>102.968</v>
      </c>
      <c r="Q320" s="213"/>
      <c r="R320" s="235" t="s">
        <v>440</v>
      </c>
    </row>
    <row r="321" spans="1:18" ht="16.5" customHeight="1" x14ac:dyDescent="0.25">
      <c r="A321" s="230">
        <v>44713</v>
      </c>
      <c r="B321" s="128" t="s">
        <v>12</v>
      </c>
      <c r="C321" s="157" t="str">
        <f t="shared" si="9"/>
        <v>01.06.2022_SAL2</v>
      </c>
      <c r="D321" s="190">
        <f t="shared" si="10"/>
        <v>4</v>
      </c>
      <c r="E321" s="231">
        <v>7.7096456842146864E-6</v>
      </c>
      <c r="F321" s="231">
        <v>6.9632740935336441E-4</v>
      </c>
      <c r="G321" s="231">
        <v>8.2067618620109112E-2</v>
      </c>
      <c r="H321" s="231">
        <v>2.2433679464827936E-3</v>
      </c>
      <c r="I321" s="231">
        <v>1.5916842385803559E-4</v>
      </c>
      <c r="J321" s="231">
        <v>2.6308047382203565E-2</v>
      </c>
      <c r="K321" s="229"/>
      <c r="L321" s="229"/>
      <c r="M321" s="229"/>
      <c r="N321" s="229"/>
      <c r="O321" s="205">
        <v>1.3226039380008622E-4</v>
      </c>
      <c r="P321" s="232">
        <v>108.824</v>
      </c>
      <c r="Q321" s="213"/>
      <c r="R321" s="235" t="s">
        <v>440</v>
      </c>
    </row>
    <row r="322" spans="1:18" ht="16.5" customHeight="1" x14ac:dyDescent="0.25">
      <c r="A322" s="230">
        <v>44713</v>
      </c>
      <c r="B322" s="128" t="s">
        <v>7</v>
      </c>
      <c r="C322" s="157" t="str">
        <f t="shared" si="9"/>
        <v>01.06.2022_STE1</v>
      </c>
      <c r="D322" s="190">
        <f t="shared" si="10"/>
        <v>4</v>
      </c>
      <c r="E322" s="231">
        <v>8.8733035393513819E-6</v>
      </c>
      <c r="F322" s="231">
        <v>7.0736128046858108E-4</v>
      </c>
      <c r="G322" s="231">
        <v>8.4822882310624709E-2</v>
      </c>
      <c r="H322" s="231">
        <v>2.1447945246080608E-3</v>
      </c>
      <c r="I322" s="231">
        <v>1.5420070088858595E-4</v>
      </c>
      <c r="J322" s="231">
        <v>2.446826968447911E-2</v>
      </c>
      <c r="K322" s="229"/>
      <c r="L322" s="229"/>
      <c r="M322" s="229"/>
      <c r="N322" s="229"/>
      <c r="O322" s="205">
        <v>1.3603897263688458E-4</v>
      </c>
      <c r="P322" s="232">
        <v>149.816</v>
      </c>
      <c r="Q322" s="213"/>
      <c r="R322" s="235" t="s">
        <v>440</v>
      </c>
    </row>
    <row r="323" spans="1:18" ht="16.5" customHeight="1" x14ac:dyDescent="0.25">
      <c r="A323" s="230">
        <v>44713</v>
      </c>
      <c r="B323" s="128" t="s">
        <v>9</v>
      </c>
      <c r="C323" s="157" t="str">
        <f t="shared" si="9"/>
        <v>01.06.2022_STE2</v>
      </c>
      <c r="D323" s="190">
        <f t="shared" si="10"/>
        <v>4</v>
      </c>
      <c r="E323" s="231">
        <v>7.127581102969721E-6</v>
      </c>
      <c r="F323" s="231">
        <v>2.3180441804189393E-3</v>
      </c>
      <c r="G323" s="231">
        <v>0.11753405583190095</v>
      </c>
      <c r="H323" s="231">
        <v>2.5966446577911553E-3</v>
      </c>
      <c r="I323" s="231">
        <v>1.5682034747168611E-4</v>
      </c>
      <c r="J323" s="231">
        <v>3.3781899441476491E-2</v>
      </c>
      <c r="K323" s="229"/>
      <c r="L323" s="229"/>
      <c r="M323" s="229"/>
      <c r="N323" s="229"/>
      <c r="O323" s="205">
        <v>1.0786673694035035E-4</v>
      </c>
      <c r="P323" s="232">
        <v>153.476</v>
      </c>
      <c r="Q323" s="213"/>
      <c r="R323" s="235" t="s">
        <v>440</v>
      </c>
    </row>
    <row r="324" spans="1:18" ht="16.5" customHeight="1" x14ac:dyDescent="0.25">
      <c r="A324" s="230">
        <v>44727</v>
      </c>
      <c r="B324" s="128" t="s">
        <v>22</v>
      </c>
      <c r="C324" s="157" t="str">
        <f t="shared" si="9"/>
        <v>15.06.2022_BIE1</v>
      </c>
      <c r="D324" s="190">
        <f t="shared" si="10"/>
        <v>0</v>
      </c>
      <c r="E324" s="231">
        <v>5.5274926387376113E-6</v>
      </c>
      <c r="F324" s="231">
        <v>1.7223912579375164E-3</v>
      </c>
      <c r="G324" s="231">
        <v>0.12050436080155472</v>
      </c>
      <c r="H324" s="231">
        <v>2.2897059271719555E-3</v>
      </c>
      <c r="I324" s="231">
        <v>1.6621240156319822E-4</v>
      </c>
      <c r="J324" s="231">
        <v>3.01530384906398E-2</v>
      </c>
      <c r="K324" s="229">
        <v>16.3507865747982</v>
      </c>
      <c r="L324" s="229">
        <v>8.4418896408803903</v>
      </c>
      <c r="M324" s="229">
        <v>4.2258720004719903</v>
      </c>
      <c r="N324" s="229">
        <v>2.7348721119315602</v>
      </c>
      <c r="O324" s="205">
        <v>1.6582908640692725E-4</v>
      </c>
      <c r="P324" s="232">
        <v>73.932000000000002</v>
      </c>
      <c r="Q324" s="213"/>
      <c r="R324" s="235"/>
    </row>
    <row r="325" spans="1:18" ht="16.5" customHeight="1" x14ac:dyDescent="0.25">
      <c r="A325" s="230">
        <v>44727</v>
      </c>
      <c r="B325" s="128" t="s">
        <v>25</v>
      </c>
      <c r="C325" s="157" t="str">
        <f t="shared" ref="C325:C388" si="11">CONCATENATE(TEXT(A325,"TT.MM.JJJJ"),"_",B325)</f>
        <v>15.06.2022_BIE2</v>
      </c>
      <c r="D325" s="190">
        <f t="shared" ref="D325:D388" si="12">COUNTBLANK(E325:P325)</f>
        <v>0</v>
      </c>
      <c r="E325" s="231">
        <v>1.7819659718454155E-5</v>
      </c>
      <c r="F325" s="231">
        <v>2.2106620695033869E-3</v>
      </c>
      <c r="G325" s="231">
        <v>7.9396478931105616E-2</v>
      </c>
      <c r="H325" s="231">
        <v>2.2724355048281027E-3</v>
      </c>
      <c r="I325" s="231">
        <v>2.8459022750763029E-4</v>
      </c>
      <c r="J325" s="231">
        <v>6.2005658307323512E-2</v>
      </c>
      <c r="K325" s="229">
        <v>14.8684511320486</v>
      </c>
      <c r="L325" s="229">
        <v>8.5148517880654797</v>
      </c>
      <c r="M325" s="229">
        <v>6.8746312714386404</v>
      </c>
      <c r="N325" s="229">
        <v>2.8125540413783501</v>
      </c>
      <c r="O325" s="205">
        <v>1.9307156601743977E-4</v>
      </c>
      <c r="P325" s="232">
        <v>73.444000000000003</v>
      </c>
      <c r="Q325" s="213"/>
      <c r="R325" s="235"/>
    </row>
    <row r="326" spans="1:18" ht="16.5" customHeight="1" x14ac:dyDescent="0.25">
      <c r="A326" s="230">
        <v>44727</v>
      </c>
      <c r="B326" s="128" t="s">
        <v>14</v>
      </c>
      <c r="C326" s="157" t="str">
        <f t="shared" si="11"/>
        <v>15.06.2022_BRA1</v>
      </c>
      <c r="D326" s="190">
        <f t="shared" si="12"/>
        <v>0</v>
      </c>
      <c r="E326" s="231">
        <v>4.1894039321687205E-5</v>
      </c>
      <c r="F326" s="231">
        <v>2.3493320651006232E-3</v>
      </c>
      <c r="G326" s="231">
        <v>7.4535920858323931E-2</v>
      </c>
      <c r="H326" s="231">
        <v>1.769928124113406E-3</v>
      </c>
      <c r="I326" s="231">
        <v>1.5924587165488672E-4</v>
      </c>
      <c r="J326" s="231">
        <v>2.4853567676180192E-2</v>
      </c>
      <c r="K326" s="229">
        <v>16.344243541970702</v>
      </c>
      <c r="L326" s="229">
        <v>10.9604220851121</v>
      </c>
      <c r="M326" s="229">
        <v>4.4905769981050598</v>
      </c>
      <c r="N326" s="229">
        <v>0.781282474815021</v>
      </c>
      <c r="O326" s="205">
        <v>1.7268354661489752E-4</v>
      </c>
      <c r="P326" s="232">
        <v>97.600000000000009</v>
      </c>
      <c r="Q326" s="213"/>
      <c r="R326" s="235"/>
    </row>
    <row r="327" spans="1:18" ht="16.5" customHeight="1" x14ac:dyDescent="0.25">
      <c r="A327" s="230">
        <v>44727</v>
      </c>
      <c r="B327" s="128" t="s">
        <v>17</v>
      </c>
      <c r="C327" s="157" t="str">
        <f t="shared" si="11"/>
        <v>15.06.2022_BRA2</v>
      </c>
      <c r="D327" s="190">
        <f t="shared" si="12"/>
        <v>0</v>
      </c>
      <c r="E327" s="231">
        <v>7.782227016612844E-6</v>
      </c>
      <c r="F327" s="231">
        <v>8.5650554726435192E-4</v>
      </c>
      <c r="G327" s="231">
        <v>7.4197445464004599E-2</v>
      </c>
      <c r="H327" s="231">
        <v>2.0293139418059679E-3</v>
      </c>
      <c r="I327" s="231">
        <v>2.5264841756509471E-4</v>
      </c>
      <c r="J327" s="231">
        <v>4.5875030609241293E-2</v>
      </c>
      <c r="K327" s="229">
        <v>16.7361477881424</v>
      </c>
      <c r="L327" s="229">
        <v>11.968487699954901</v>
      </c>
      <c r="M327" s="229">
        <v>5.9425953990528599</v>
      </c>
      <c r="N327" s="229">
        <v>1.2406554006900199</v>
      </c>
      <c r="O327" s="205">
        <v>1.1609163370622276E-4</v>
      </c>
      <c r="P327" s="232">
        <v>89.06</v>
      </c>
      <c r="Q327" s="213"/>
      <c r="R327" s="235"/>
    </row>
    <row r="328" spans="1:18" ht="16.5" customHeight="1" x14ac:dyDescent="0.25">
      <c r="A328" s="230">
        <v>44727</v>
      </c>
      <c r="B328" s="128" t="s">
        <v>30</v>
      </c>
      <c r="C328" s="157" t="str">
        <f t="shared" si="11"/>
        <v>15.06.2022_FAL1</v>
      </c>
      <c r="D328" s="190">
        <f t="shared" si="12"/>
        <v>0</v>
      </c>
      <c r="E328" s="231">
        <v>6.9098371057752492E-6</v>
      </c>
      <c r="F328" s="231">
        <v>8.418177064732045E-4</v>
      </c>
      <c r="G328" s="231">
        <v>7.6336841750530196E-2</v>
      </c>
      <c r="H328" s="231">
        <v>2.0440044328397006E-3</v>
      </c>
      <c r="I328" s="231">
        <v>2.2648904118226064E-4</v>
      </c>
      <c r="J328" s="231">
        <v>3.6724129514132939E-2</v>
      </c>
      <c r="K328" s="229">
        <v>63.395173528972002</v>
      </c>
      <c r="L328" s="229">
        <v>24.083208792379398</v>
      </c>
      <c r="M328" s="229">
        <v>38.060763859453303</v>
      </c>
      <c r="N328" s="229">
        <v>6.9477029312135299</v>
      </c>
      <c r="O328" s="205">
        <v>2.154986720375437E-4</v>
      </c>
      <c r="P328" s="232">
        <v>253.51599999999999</v>
      </c>
      <c r="Q328" s="213"/>
      <c r="R328" s="235"/>
    </row>
    <row r="329" spans="1:18" ht="16.5" customHeight="1" x14ac:dyDescent="0.25">
      <c r="A329" s="230">
        <v>44727</v>
      </c>
      <c r="B329" s="128" t="s">
        <v>32</v>
      </c>
      <c r="C329" s="157" t="str">
        <f t="shared" si="11"/>
        <v>15.06.2022_FAL2</v>
      </c>
      <c r="D329" s="190">
        <f t="shared" si="12"/>
        <v>0</v>
      </c>
      <c r="E329" s="231">
        <v>4.8733180324477227E-6</v>
      </c>
      <c r="F329" s="231">
        <v>1.1700112217374388E-3</v>
      </c>
      <c r="G329" s="231">
        <v>0.23132593035533366</v>
      </c>
      <c r="H329" s="231">
        <v>2.8893148565219992E-3</v>
      </c>
      <c r="I329" s="231">
        <v>1.3033282376777837E-4</v>
      </c>
      <c r="J329" s="231">
        <v>2.0182212925449042E-2</v>
      </c>
      <c r="K329" s="229">
        <v>70.449130379797197</v>
      </c>
      <c r="L329" s="229">
        <v>23.927332040591601</v>
      </c>
      <c r="M329" s="229">
        <v>31.501337946573202</v>
      </c>
      <c r="N329" s="229">
        <v>5.8092404029578599</v>
      </c>
      <c r="O329" s="205">
        <v>2.3753964175786814E-4</v>
      </c>
      <c r="P329" s="232">
        <v>325.98400000000004</v>
      </c>
      <c r="Q329" s="213"/>
      <c r="R329" s="235"/>
    </row>
    <row r="330" spans="1:18" ht="16.5" customHeight="1" x14ac:dyDescent="0.25">
      <c r="A330" s="230">
        <v>44727</v>
      </c>
      <c r="B330" s="128" t="s">
        <v>26</v>
      </c>
      <c r="C330" s="157" t="str">
        <f t="shared" si="11"/>
        <v>15.06.2022_GRU1</v>
      </c>
      <c r="D330" s="190">
        <f t="shared" si="12"/>
        <v>0</v>
      </c>
      <c r="E330" s="231">
        <v>6.2551911921321262E-6</v>
      </c>
      <c r="F330" s="231">
        <v>1.4307715267371591E-3</v>
      </c>
      <c r="G330" s="231">
        <v>0.24191219591415894</v>
      </c>
      <c r="H330" s="231">
        <v>3.1481458145509555E-3</v>
      </c>
      <c r="I330" s="231">
        <v>1.4104413067156106E-4</v>
      </c>
      <c r="J330" s="231">
        <v>2.3037882332186056E-2</v>
      </c>
      <c r="K330" s="229">
        <v>14.0067397839869</v>
      </c>
      <c r="L330" s="229">
        <v>6.75055460971699</v>
      </c>
      <c r="M330" s="229">
        <v>5.7198407227096002</v>
      </c>
      <c r="N330" s="229">
        <v>1.64640757818843</v>
      </c>
      <c r="O330" s="205">
        <v>1.3934316520860434E-4</v>
      </c>
      <c r="P330" s="232">
        <v>61.244</v>
      </c>
      <c r="Q330" s="213"/>
      <c r="R330" s="235"/>
    </row>
    <row r="331" spans="1:18" ht="16.5" customHeight="1" x14ac:dyDescent="0.25">
      <c r="A331" s="230">
        <v>44727</v>
      </c>
      <c r="B331" s="128" t="s">
        <v>28</v>
      </c>
      <c r="C331" s="157" t="str">
        <f t="shared" si="11"/>
        <v>15.06.2022_GRU2</v>
      </c>
      <c r="D331" s="190">
        <f t="shared" si="12"/>
        <v>0</v>
      </c>
      <c r="E331" s="231">
        <v>8.0734949609119447E-6</v>
      </c>
      <c r="F331" s="231">
        <v>1.0284556411214419E-3</v>
      </c>
      <c r="G331" s="231">
        <v>6.9045133620953394E-2</v>
      </c>
      <c r="H331" s="231">
        <v>3.0386933777548646E-3</v>
      </c>
      <c r="I331" s="231">
        <v>1.5299749404464909E-4</v>
      </c>
      <c r="J331" s="231">
        <v>2.5195373182324364E-2</v>
      </c>
      <c r="K331" s="229">
        <v>17.374147427238</v>
      </c>
      <c r="L331" s="229">
        <v>6.04624642276372</v>
      </c>
      <c r="M331" s="229">
        <v>5.2239863322463904</v>
      </c>
      <c r="N331" s="229">
        <v>1.6624777777256401</v>
      </c>
      <c r="O331" s="205">
        <v>1.3795473704487346E-4</v>
      </c>
      <c r="P331" s="232">
        <v>68.320000000000007</v>
      </c>
      <c r="Q331" s="213"/>
      <c r="R331" s="235"/>
    </row>
    <row r="332" spans="1:18" ht="16.5" customHeight="1" x14ac:dyDescent="0.25">
      <c r="A332" s="230">
        <v>44727</v>
      </c>
      <c r="B332" s="128" t="s">
        <v>0</v>
      </c>
      <c r="C332" s="157" t="str">
        <f t="shared" si="11"/>
        <v>15.06.2022_KIN1</v>
      </c>
      <c r="D332" s="190">
        <f t="shared" si="12"/>
        <v>0</v>
      </c>
      <c r="E332" s="231">
        <v>5.9639232478330263E-6</v>
      </c>
      <c r="F332" s="231">
        <v>9.7218602310342238E-4</v>
      </c>
      <c r="G332" s="231">
        <v>8.7973369830230033E-2</v>
      </c>
      <c r="H332" s="231">
        <v>2.6624774832480266E-3</v>
      </c>
      <c r="I332" s="231">
        <v>9.4299104740313902E-5</v>
      </c>
      <c r="J332" s="231">
        <v>1.7341472003168826E-2</v>
      </c>
      <c r="K332" s="229">
        <v>38.239090847273197</v>
      </c>
      <c r="L332" s="229">
        <v>16.683461290617402</v>
      </c>
      <c r="M332" s="229">
        <v>4.28223287796924</v>
      </c>
      <c r="N332" s="229">
        <v>1.51506523851537</v>
      </c>
      <c r="O332" s="205">
        <v>1.2770851752542218E-4</v>
      </c>
      <c r="P332" s="232">
        <v>90.524000000000001</v>
      </c>
      <c r="Q332" s="213"/>
      <c r="R332" s="235"/>
    </row>
    <row r="333" spans="1:18" ht="16.5" customHeight="1" x14ac:dyDescent="0.25">
      <c r="A333" s="230">
        <v>44727</v>
      </c>
      <c r="B333" s="128" t="s">
        <v>2</v>
      </c>
      <c r="C333" s="157" t="str">
        <f t="shared" si="11"/>
        <v>15.06.2022_KIN2</v>
      </c>
      <c r="D333" s="190">
        <f t="shared" si="12"/>
        <v>0</v>
      </c>
      <c r="E333" s="231">
        <v>6.4003538569284413E-6</v>
      </c>
      <c r="F333" s="231">
        <v>1.182069132294096E-3</v>
      </c>
      <c r="G333" s="231">
        <v>0.16365996462076232</v>
      </c>
      <c r="H333" s="231">
        <v>2.9861937967893127E-3</v>
      </c>
      <c r="I333" s="231">
        <v>1.4176215724269204E-4</v>
      </c>
      <c r="J333" s="231">
        <v>2.3374642697172199E-2</v>
      </c>
      <c r="K333" s="229">
        <v>45.220825941382301</v>
      </c>
      <c r="L333" s="229">
        <v>19.253303832783299</v>
      </c>
      <c r="M333" s="229">
        <v>4.7042438901623704</v>
      </c>
      <c r="N333" s="229">
        <v>2.1244592130779698</v>
      </c>
      <c r="O333" s="205">
        <v>1.1545896685822073E-4</v>
      </c>
      <c r="P333" s="232">
        <v>110.532</v>
      </c>
      <c r="Q333" s="213"/>
      <c r="R333" s="235"/>
    </row>
    <row r="334" spans="1:18" ht="16.5" customHeight="1" x14ac:dyDescent="0.25">
      <c r="A334" s="230">
        <v>44727</v>
      </c>
      <c r="B334" s="128" t="s">
        <v>4</v>
      </c>
      <c r="C334" s="157" t="str">
        <f t="shared" si="11"/>
        <v>15.06.2022_KIN3</v>
      </c>
      <c r="D334" s="190">
        <f t="shared" si="12"/>
        <v>0</v>
      </c>
      <c r="E334" s="231">
        <v>7.4914303796669785E-6</v>
      </c>
      <c r="F334" s="231">
        <v>8.9932819706450894E-4</v>
      </c>
      <c r="G334" s="231">
        <v>0.17473531821265351</v>
      </c>
      <c r="H334" s="231">
        <v>2.6289621875593213E-3</v>
      </c>
      <c r="I334" s="231">
        <v>1.3968577678003612E-4</v>
      </c>
      <c r="J334" s="231">
        <v>3.2637847511533369E-2</v>
      </c>
      <c r="K334" s="229">
        <v>43.167807314090602</v>
      </c>
      <c r="L334" s="229">
        <v>18.473752566511202</v>
      </c>
      <c r="M334" s="229">
        <v>5.4111899491959896</v>
      </c>
      <c r="N334" s="229">
        <v>1.8941712902902099</v>
      </c>
      <c r="O334" s="205">
        <v>1.2558197803902224E-4</v>
      </c>
      <c r="P334" s="232">
        <v>234.48399999999998</v>
      </c>
      <c r="Q334" s="213"/>
      <c r="R334" s="235"/>
    </row>
    <row r="335" spans="1:18" ht="16.5" customHeight="1" x14ac:dyDescent="0.25">
      <c r="A335" s="230">
        <v>44727</v>
      </c>
      <c r="B335" s="128" t="s">
        <v>6</v>
      </c>
      <c r="C335" s="157" t="str">
        <f t="shared" si="11"/>
        <v>15.06.2022_KIN4</v>
      </c>
      <c r="D335" s="190">
        <f t="shared" si="12"/>
        <v>0</v>
      </c>
      <c r="E335" s="231">
        <v>6.3277725245302838E-6</v>
      </c>
      <c r="F335" s="231">
        <v>1.1339089787201059E-3</v>
      </c>
      <c r="G335" s="231">
        <v>0.16684724547528504</v>
      </c>
      <c r="H335" s="231">
        <v>2.7434510002441307E-3</v>
      </c>
      <c r="I335" s="231">
        <v>1.6652282138531735E-4</v>
      </c>
      <c r="J335" s="231">
        <v>3.4881308689929384E-2</v>
      </c>
      <c r="K335" s="229">
        <v>41.381416117733899</v>
      </c>
      <c r="L335" s="229">
        <v>18.208354088496201</v>
      </c>
      <c r="M335" s="229">
        <v>21.198273292027601</v>
      </c>
      <c r="N335" s="229">
        <v>2.0409347190663198</v>
      </c>
      <c r="O335" s="205">
        <v>1.5212027986190974E-4</v>
      </c>
      <c r="P335" s="232">
        <v>220.33199999999999</v>
      </c>
      <c r="Q335" s="213"/>
      <c r="R335" s="235"/>
    </row>
    <row r="336" spans="1:18" ht="16.5" customHeight="1" x14ac:dyDescent="0.25">
      <c r="A336" s="230">
        <v>44727</v>
      </c>
      <c r="B336" s="128" t="s">
        <v>34</v>
      </c>
      <c r="C336" s="157" t="str">
        <f t="shared" si="11"/>
        <v>15.06.2022_KRE1</v>
      </c>
      <c r="D336" s="190">
        <f t="shared" si="12"/>
        <v>0</v>
      </c>
      <c r="E336" s="231">
        <v>8.5099255700073589E-6</v>
      </c>
      <c r="F336" s="231">
        <v>1.1336168694573371E-3</v>
      </c>
      <c r="G336" s="231">
        <v>0.16379926518988849</v>
      </c>
      <c r="H336" s="231">
        <v>2.6849642509323649E-3</v>
      </c>
      <c r="I336" s="231">
        <v>1.7944679675790308E-4</v>
      </c>
      <c r="J336" s="231">
        <v>3.1838135689651645E-2</v>
      </c>
      <c r="K336" s="229">
        <v>56.404031312029403</v>
      </c>
      <c r="L336" s="229">
        <v>21.810780031906098</v>
      </c>
      <c r="M336" s="229">
        <v>36.107548457970502</v>
      </c>
      <c r="N336" s="229">
        <v>6.8622913499122999</v>
      </c>
      <c r="O336" s="205">
        <v>3.5441368257579394E-4</v>
      </c>
      <c r="P336" s="232">
        <v>258.88400000000001</v>
      </c>
      <c r="Q336" s="213"/>
      <c r="R336" s="235"/>
    </row>
    <row r="337" spans="1:18" ht="16.5" customHeight="1" x14ac:dyDescent="0.25">
      <c r="A337" s="230">
        <v>44727</v>
      </c>
      <c r="B337" s="128" t="s">
        <v>37</v>
      </c>
      <c r="C337" s="157" t="str">
        <f t="shared" si="11"/>
        <v>15.06.2022_KRE2</v>
      </c>
      <c r="D337" s="190">
        <f t="shared" si="12"/>
        <v>0</v>
      </c>
      <c r="E337" s="231">
        <v>4.5094687557504653E-6</v>
      </c>
      <c r="F337" s="231">
        <v>1.1219239771204446E-3</v>
      </c>
      <c r="G337" s="231">
        <v>0.21502017312702587</v>
      </c>
      <c r="H337" s="231">
        <v>5.9874247334640723E-3</v>
      </c>
      <c r="I337" s="231">
        <v>1.4236376066466044E-4</v>
      </c>
      <c r="J337" s="231">
        <v>2.3571073543668223E-2</v>
      </c>
      <c r="K337" s="229">
        <v>72.066911804014197</v>
      </c>
      <c r="L337" s="229">
        <v>21.6632115815476</v>
      </c>
      <c r="M337" s="229">
        <v>31.011653344850799</v>
      </c>
      <c r="N337" s="229">
        <v>6.6111147555357297</v>
      </c>
      <c r="O337" s="205">
        <v>4.7910701193198534E-4</v>
      </c>
      <c r="P337" s="232">
        <v>280.59999999999997</v>
      </c>
      <c r="Q337" s="213"/>
      <c r="R337" s="235"/>
    </row>
    <row r="338" spans="1:18" ht="16.5" customHeight="1" x14ac:dyDescent="0.25">
      <c r="A338" s="230">
        <v>44727</v>
      </c>
      <c r="B338" s="128" t="s">
        <v>18</v>
      </c>
      <c r="C338" s="157" t="str">
        <f t="shared" si="11"/>
        <v>15.06.2022_ORB1</v>
      </c>
      <c r="D338" s="190">
        <f t="shared" si="12"/>
        <v>0</v>
      </c>
      <c r="E338" s="231">
        <v>6.4734064966798333E-6</v>
      </c>
      <c r="F338" s="231">
        <v>1.0394904591062297E-3</v>
      </c>
      <c r="G338" s="231">
        <v>0.25705212032044639</v>
      </c>
      <c r="H338" s="231">
        <v>4.1105626373750138E-3</v>
      </c>
      <c r="I338" s="231">
        <v>1.3262256285260366E-4</v>
      </c>
      <c r="J338" s="231">
        <v>2.1231748266555956E-2</v>
      </c>
      <c r="K338" s="229">
        <v>9.5551787580305003</v>
      </c>
      <c r="L338" s="229">
        <v>2.28387198032835</v>
      </c>
      <c r="M338" s="229">
        <v>4.4553748364373602</v>
      </c>
      <c r="N338" s="229">
        <v>2.6053057827100901</v>
      </c>
      <c r="O338" s="205">
        <v>6.1453518093807747E-5</v>
      </c>
      <c r="P338" s="232">
        <v>21.227999999999998</v>
      </c>
      <c r="Q338" s="213"/>
      <c r="R338" s="235"/>
    </row>
    <row r="339" spans="1:18" ht="16.5" customHeight="1" x14ac:dyDescent="0.25">
      <c r="A339" s="230">
        <v>44727</v>
      </c>
      <c r="B339" s="128" t="s">
        <v>21</v>
      </c>
      <c r="C339" s="157" t="str">
        <f t="shared" si="11"/>
        <v>15.06.2022_ORB2</v>
      </c>
      <c r="D339" s="190">
        <f t="shared" si="12"/>
        <v>0</v>
      </c>
      <c r="E339" s="231">
        <v>1.3091975658155983E-5</v>
      </c>
      <c r="F339" s="231">
        <v>1.0922552394058095E-3</v>
      </c>
      <c r="G339" s="231">
        <v>5.4819520900411194E-2</v>
      </c>
      <c r="H339" s="231">
        <v>1.9524426208058639E-3</v>
      </c>
      <c r="I339" s="231">
        <v>1.5701446987158562E-4</v>
      </c>
      <c r="J339" s="231">
        <v>2.2101394247033623E-2</v>
      </c>
      <c r="K339" s="229">
        <v>10.9505327345698</v>
      </c>
      <c r="L339" s="229">
        <v>2.7792418520064399</v>
      </c>
      <c r="M339" s="229">
        <v>9.8962028132505093</v>
      </c>
      <c r="N339" s="229">
        <v>2.8115835175730202</v>
      </c>
      <c r="O339" s="205">
        <v>6.3896277133285734E-5</v>
      </c>
      <c r="P339" s="232">
        <v>22.448</v>
      </c>
      <c r="Q339" s="213"/>
      <c r="R339" s="235"/>
    </row>
    <row r="340" spans="1:18" ht="16.5" customHeight="1" x14ac:dyDescent="0.25">
      <c r="A340" s="230">
        <v>44727</v>
      </c>
      <c r="B340" s="128" t="s">
        <v>10</v>
      </c>
      <c r="C340" s="157" t="str">
        <f t="shared" si="11"/>
        <v>15.06.2022_SAL1</v>
      </c>
      <c r="D340" s="190">
        <f t="shared" si="12"/>
        <v>0</v>
      </c>
      <c r="E340" s="231">
        <v>9.9643800620899199E-6</v>
      </c>
      <c r="F340" s="231">
        <v>1.0822416202537482E-3</v>
      </c>
      <c r="G340" s="231">
        <v>6.3675608545570875E-2</v>
      </c>
      <c r="H340" s="231">
        <v>1.7977951477773802E-3</v>
      </c>
      <c r="I340" s="231">
        <v>1.0068301599504096E-4</v>
      </c>
      <c r="J340" s="231">
        <v>1.6240274095768014E-2</v>
      </c>
      <c r="K340" s="229">
        <v>18.584913313575299</v>
      </c>
      <c r="L340" s="229">
        <v>13.0439977712449</v>
      </c>
      <c r="M340" s="229">
        <v>5.8759186893073698</v>
      </c>
      <c r="N340" s="229">
        <v>1.1793492493573501</v>
      </c>
      <c r="O340" s="205">
        <v>1.261267365344941E-4</v>
      </c>
      <c r="P340" s="232">
        <v>107.116</v>
      </c>
      <c r="Q340" s="213"/>
      <c r="R340" s="235"/>
    </row>
    <row r="341" spans="1:18" ht="16.5" customHeight="1" x14ac:dyDescent="0.25">
      <c r="A341" s="230">
        <v>44727</v>
      </c>
      <c r="B341" s="128" t="s">
        <v>12</v>
      </c>
      <c r="C341" s="157" t="str">
        <f t="shared" si="11"/>
        <v>15.06.2022_SAL2</v>
      </c>
      <c r="D341" s="190">
        <f t="shared" si="12"/>
        <v>0</v>
      </c>
      <c r="E341" s="231">
        <v>4.2912534512027582E-6</v>
      </c>
      <c r="F341" s="231">
        <v>8.3187936345206716E-4</v>
      </c>
      <c r="G341" s="231">
        <v>8.4119997953034389E-2</v>
      </c>
      <c r="H341" s="231">
        <v>1.9121765325432875E-3</v>
      </c>
      <c r="I341" s="231">
        <v>9.5909666879376719E-5</v>
      </c>
      <c r="J341" s="231">
        <v>1.5701882939909453E-2</v>
      </c>
      <c r="K341" s="229">
        <v>20.7189734728743</v>
      </c>
      <c r="L341" s="229">
        <v>13.0820816497245</v>
      </c>
      <c r="M341" s="229">
        <v>5.9510725875947301</v>
      </c>
      <c r="N341" s="229">
        <v>1.3149716627788299</v>
      </c>
      <c r="O341" s="205">
        <v>1.2714610903689051E-4</v>
      </c>
      <c r="P341" s="232">
        <v>116.38799999999999</v>
      </c>
      <c r="Q341" s="213"/>
      <c r="R341" s="235"/>
    </row>
    <row r="342" spans="1:18" ht="16.5" customHeight="1" x14ac:dyDescent="0.25">
      <c r="A342" s="230">
        <v>44727</v>
      </c>
      <c r="B342" s="128" t="s">
        <v>7</v>
      </c>
      <c r="C342" s="157" t="str">
        <f t="shared" si="11"/>
        <v>15.06.2022_STE1</v>
      </c>
      <c r="D342" s="190">
        <f t="shared" si="12"/>
        <v>0</v>
      </c>
      <c r="E342" s="231">
        <v>6.8367844660238564E-6</v>
      </c>
      <c r="F342" s="231">
        <v>9.2000877537287988E-4</v>
      </c>
      <c r="G342" s="231">
        <v>9.183813886387221E-2</v>
      </c>
      <c r="H342" s="231">
        <v>1.9783454855608461E-3</v>
      </c>
      <c r="I342" s="231">
        <v>1.1855422084537706E-4</v>
      </c>
      <c r="J342" s="231">
        <v>2.13188639782117E-2</v>
      </c>
      <c r="K342" s="229">
        <v>35.769575441125099</v>
      </c>
      <c r="L342" s="229">
        <v>13.8808756862511</v>
      </c>
      <c r="M342" s="229">
        <v>6.5609704237223703</v>
      </c>
      <c r="N342" s="229">
        <v>1.3024603850176999</v>
      </c>
      <c r="O342" s="205">
        <v>1.3653112276594591E-4</v>
      </c>
      <c r="P342" s="232">
        <v>160.55200000000002</v>
      </c>
      <c r="Q342" s="213"/>
      <c r="R342" s="235"/>
    </row>
    <row r="343" spans="1:18" ht="16.5" customHeight="1" x14ac:dyDescent="0.25">
      <c r="A343" s="230">
        <v>44727</v>
      </c>
      <c r="B343" s="128" t="s">
        <v>9</v>
      </c>
      <c r="C343" s="157" t="str">
        <f t="shared" si="11"/>
        <v>15.06.2022_STE2</v>
      </c>
      <c r="D343" s="190">
        <f t="shared" si="12"/>
        <v>0</v>
      </c>
      <c r="E343" s="231">
        <v>6.1821385523807334E-6</v>
      </c>
      <c r="F343" s="231">
        <v>2.1924599222980863E-3</v>
      </c>
      <c r="G343" s="231">
        <v>0.13554132119172468</v>
      </c>
      <c r="H343" s="231">
        <v>2.4835269354527415E-3</v>
      </c>
      <c r="I343" s="231">
        <v>1.3233150497969729E-4</v>
      </c>
      <c r="J343" s="231">
        <v>2.8840417887238241E-2</v>
      </c>
      <c r="K343" s="229">
        <v>32.433090530421303</v>
      </c>
      <c r="L343" s="229">
        <v>13.562836059918499</v>
      </c>
      <c r="M343" s="229">
        <v>6.4604905083107003</v>
      </c>
      <c r="N343" s="229">
        <v>1.3357489795922499</v>
      </c>
      <c r="O343" s="205">
        <v>1.1357838856542849E-4</v>
      </c>
      <c r="P343" s="232">
        <v>149.816</v>
      </c>
      <c r="Q343" s="213"/>
      <c r="R343" s="235"/>
    </row>
    <row r="344" spans="1:18" ht="16.5" customHeight="1" x14ac:dyDescent="0.25">
      <c r="A344" s="230">
        <v>44755</v>
      </c>
      <c r="B344" s="128" t="s">
        <v>22</v>
      </c>
      <c r="C344" s="157" t="str">
        <f t="shared" si="11"/>
        <v>13.07.2022_BIE1</v>
      </c>
      <c r="D344" s="190">
        <f t="shared" si="12"/>
        <v>0</v>
      </c>
      <c r="E344" s="231">
        <v>6.9098371057752492E-6</v>
      </c>
      <c r="F344" s="231">
        <v>2.2061289314304362E-3</v>
      </c>
      <c r="G344" s="231">
        <v>0.12587223340120884</v>
      </c>
      <c r="H344" s="231">
        <v>2.4412911507595801E-3</v>
      </c>
      <c r="I344" s="231">
        <v>1.7851516011071683E-4</v>
      </c>
      <c r="J344" s="231">
        <v>3.1616091728274967E-2</v>
      </c>
      <c r="K344" s="229">
        <v>18.499021119042101</v>
      </c>
      <c r="L344" s="229">
        <v>9.9479556777207403</v>
      </c>
      <c r="M344" s="229">
        <v>4.1234005743437496</v>
      </c>
      <c r="N344" s="229">
        <v>2.7390844637152201</v>
      </c>
      <c r="O344" s="205">
        <v>1.7004711816480763E-4</v>
      </c>
      <c r="P344" s="232">
        <v>82.960000000000008</v>
      </c>
      <c r="Q344" s="213"/>
      <c r="R344" s="235"/>
    </row>
    <row r="345" spans="1:18" ht="16.5" customHeight="1" x14ac:dyDescent="0.25">
      <c r="A345" s="230">
        <v>44755</v>
      </c>
      <c r="B345" s="128" t="s">
        <v>25</v>
      </c>
      <c r="C345" s="157" t="str">
        <f t="shared" si="11"/>
        <v>13.07.2022_BIE2</v>
      </c>
      <c r="D345" s="190">
        <f t="shared" si="12"/>
        <v>0</v>
      </c>
      <c r="E345" s="231">
        <v>3.5727093843443709E-5</v>
      </c>
      <c r="F345" s="231">
        <v>1.6607030849577682E-3</v>
      </c>
      <c r="G345" s="231">
        <v>7.5484255865986713E-2</v>
      </c>
      <c r="H345" s="231">
        <v>1.5657579482160545E-2</v>
      </c>
      <c r="I345" s="231">
        <v>1.1610608137500936E-3</v>
      </c>
      <c r="J345" s="231">
        <v>0.17489946179323729</v>
      </c>
      <c r="K345" s="229">
        <v>17.667628038465502</v>
      </c>
      <c r="L345" s="229">
        <v>9.5889905538064202</v>
      </c>
      <c r="M345" s="229">
        <v>4.43126004198706</v>
      </c>
      <c r="N345" s="229">
        <v>2.71479329917848</v>
      </c>
      <c r="O345" s="205">
        <v>1.7550116370481026E-4</v>
      </c>
      <c r="P345" s="232">
        <v>79.787999999999997</v>
      </c>
      <c r="Q345" s="213"/>
      <c r="R345" s="235"/>
    </row>
    <row r="346" spans="1:18" ht="16.5" customHeight="1" x14ac:dyDescent="0.25">
      <c r="A346" s="230">
        <v>44755</v>
      </c>
      <c r="B346" s="128" t="s">
        <v>14</v>
      </c>
      <c r="C346" s="157" t="str">
        <f t="shared" si="11"/>
        <v>13.07.2022_BRA1</v>
      </c>
      <c r="D346" s="190">
        <f t="shared" si="12"/>
        <v>0</v>
      </c>
      <c r="E346" s="231">
        <v>2.4900276591926187E-5</v>
      </c>
      <c r="F346" s="231">
        <v>1.1963141953351371E-3</v>
      </c>
      <c r="G346" s="231">
        <v>6.7614733336709254E-2</v>
      </c>
      <c r="H346" s="231">
        <v>1.6114111742434361E-2</v>
      </c>
      <c r="I346" s="231">
        <v>1.3476446204690653E-3</v>
      </c>
      <c r="J346" s="231">
        <v>0.18501700742884872</v>
      </c>
      <c r="K346" s="229">
        <v>14.484195471496699</v>
      </c>
      <c r="L346" s="229">
        <v>11.162536348171001</v>
      </c>
      <c r="M346" s="229">
        <v>4.3076649587005704</v>
      </c>
      <c r="N346" s="229">
        <v>0.72880040141017199</v>
      </c>
      <c r="O346" s="205">
        <v>1.5720766353404631E-4</v>
      </c>
      <c r="P346" s="232">
        <v>91.744</v>
      </c>
      <c r="Q346" s="213"/>
      <c r="R346" s="235"/>
    </row>
    <row r="347" spans="1:18" ht="16.5" customHeight="1" x14ac:dyDescent="0.25">
      <c r="A347" s="230">
        <v>44755</v>
      </c>
      <c r="B347" s="128" t="s">
        <v>17</v>
      </c>
      <c r="C347" s="157" t="str">
        <f t="shared" si="11"/>
        <v>13.07.2022_BRA2</v>
      </c>
      <c r="D347" s="190">
        <f t="shared" si="12"/>
        <v>0</v>
      </c>
      <c r="E347" s="231">
        <v>1.6239223672587631E-5</v>
      </c>
      <c r="F347" s="231">
        <v>8.4154795294086066E-4</v>
      </c>
      <c r="G347" s="231">
        <v>7.2022426864650629E-2</v>
      </c>
      <c r="H347" s="231">
        <v>1.3233659684102157E-2</v>
      </c>
      <c r="I347" s="231">
        <v>7.4265932084637324E-4</v>
      </c>
      <c r="J347" s="231">
        <v>0.11269204843319419</v>
      </c>
      <c r="K347" s="229">
        <v>17.273550753146601</v>
      </c>
      <c r="L347" s="229">
        <v>11.926804017075399</v>
      </c>
      <c r="M347" s="229">
        <v>5.7175046649299803</v>
      </c>
      <c r="N347" s="229">
        <v>1.1008522374585401</v>
      </c>
      <c r="O347" s="205">
        <v>1.1843997184564788E-4</v>
      </c>
      <c r="P347" s="232">
        <v>91.256</v>
      </c>
      <c r="Q347" s="213"/>
      <c r="R347" s="235"/>
    </row>
    <row r="348" spans="1:18" ht="16.5" customHeight="1" x14ac:dyDescent="0.25">
      <c r="A348" s="230">
        <v>44755</v>
      </c>
      <c r="B348" s="128" t="s">
        <v>30</v>
      </c>
      <c r="C348" s="157" t="str">
        <f t="shared" si="11"/>
        <v>13.07.2022_FAL1</v>
      </c>
      <c r="D348" s="190">
        <f t="shared" si="12"/>
        <v>0</v>
      </c>
      <c r="E348" s="231">
        <v>2.0415410610204356E-5</v>
      </c>
      <c r="F348" s="231">
        <v>1.468212581761793E-3</v>
      </c>
      <c r="G348" s="231">
        <v>0.20773192271582461</v>
      </c>
      <c r="H348" s="231">
        <v>1.4153799223288842E-2</v>
      </c>
      <c r="I348" s="231">
        <v>8.4776210964935649E-4</v>
      </c>
      <c r="J348" s="231">
        <v>0.12303601644429911</v>
      </c>
      <c r="K348" s="229">
        <v>64.639654805320106</v>
      </c>
      <c r="L348" s="229">
        <v>25.763398734521498</v>
      </c>
      <c r="M348" s="229">
        <v>45.591103117353299</v>
      </c>
      <c r="N348" s="229">
        <v>8.3198654188343202</v>
      </c>
      <c r="O348" s="205">
        <v>2.2514404261907985E-4</v>
      </c>
      <c r="P348" s="232">
        <v>273.036</v>
      </c>
      <c r="Q348" s="213"/>
      <c r="R348" s="235"/>
    </row>
    <row r="349" spans="1:18" ht="16.5" customHeight="1" x14ac:dyDescent="0.25">
      <c r="A349" s="230">
        <v>44755</v>
      </c>
      <c r="B349" s="128" t="s">
        <v>32</v>
      </c>
      <c r="C349" s="157" t="str">
        <f t="shared" si="11"/>
        <v>13.07.2022_FAL2</v>
      </c>
      <c r="D349" s="190">
        <f t="shared" si="12"/>
        <v>0</v>
      </c>
      <c r="E349" s="231">
        <v>2.4204746538001059E-5</v>
      </c>
      <c r="F349" s="231">
        <v>1.4918757678661924E-3</v>
      </c>
      <c r="G349" s="231">
        <v>0.2249738020545794</v>
      </c>
      <c r="H349" s="231">
        <v>1.519276282278848E-2</v>
      </c>
      <c r="I349" s="231">
        <v>1.5543512950253985E-3</v>
      </c>
      <c r="J349" s="231">
        <v>0.19792889071117065</v>
      </c>
      <c r="K349" s="229">
        <v>67.255683016722401</v>
      </c>
      <c r="L349" s="229">
        <v>24.8504141319269</v>
      </c>
      <c r="M349" s="229">
        <v>38.055247015116898</v>
      </c>
      <c r="N349" s="229">
        <v>7.3125919787175198</v>
      </c>
      <c r="O349" s="205">
        <v>2.7158783272930158E-4</v>
      </c>
      <c r="P349" s="232">
        <v>287.18799999999999</v>
      </c>
      <c r="Q349" s="213"/>
      <c r="R349" s="235"/>
    </row>
    <row r="350" spans="1:18" ht="16.5" customHeight="1" x14ac:dyDescent="0.25">
      <c r="A350" s="230">
        <v>44755</v>
      </c>
      <c r="B350" s="128" t="s">
        <v>26</v>
      </c>
      <c r="C350" s="157" t="str">
        <f t="shared" si="11"/>
        <v>13.07.2022_GRU1</v>
      </c>
      <c r="D350" s="190">
        <f t="shared" si="12"/>
        <v>0</v>
      </c>
      <c r="E350" s="231">
        <v>2.5364297362772491E-5</v>
      </c>
      <c r="F350" s="231">
        <v>8.9914742155231854E-4</v>
      </c>
      <c r="G350" s="231">
        <v>6.6471718140505121E-2</v>
      </c>
      <c r="H350" s="231">
        <v>9.2648555586478561E-3</v>
      </c>
      <c r="I350" s="231">
        <v>1.6846178832031135E-3</v>
      </c>
      <c r="J350" s="231">
        <v>0.16657939021672885</v>
      </c>
      <c r="K350" s="229">
        <v>14.405283636672101</v>
      </c>
      <c r="L350" s="229">
        <v>6.4831586845760603</v>
      </c>
      <c r="M350" s="229">
        <v>5.0750739563256397</v>
      </c>
      <c r="N350" s="229">
        <v>1.6452801249997999</v>
      </c>
      <c r="O350" s="205">
        <v>1.1586512940101661E-4</v>
      </c>
      <c r="P350" s="232">
        <v>61</v>
      </c>
      <c r="Q350" s="213"/>
      <c r="R350" s="235"/>
    </row>
    <row r="351" spans="1:18" ht="16.5" customHeight="1" x14ac:dyDescent="0.25">
      <c r="A351" s="230">
        <v>44755</v>
      </c>
      <c r="B351" s="128" t="s">
        <v>28</v>
      </c>
      <c r="C351" s="157" t="str">
        <f t="shared" si="11"/>
        <v>13.07.2022_GRU2</v>
      </c>
      <c r="D351" s="190">
        <f t="shared" si="12"/>
        <v>0</v>
      </c>
      <c r="E351" s="231">
        <v>2.0801760517680061E-5</v>
      </c>
      <c r="F351" s="231">
        <v>1.5857917771225812E-3</v>
      </c>
      <c r="G351" s="231">
        <v>7.9206700044802195E-2</v>
      </c>
      <c r="H351" s="231">
        <v>1.3063930141340153E-2</v>
      </c>
      <c r="I351" s="231">
        <v>1.027143222236748E-3</v>
      </c>
      <c r="J351" s="231">
        <v>0.17016831124144396</v>
      </c>
      <c r="K351" s="229">
        <v>17.990661491266302</v>
      </c>
      <c r="L351" s="229">
        <v>5.5437793549534096</v>
      </c>
      <c r="M351" s="229">
        <v>4.75016358589642</v>
      </c>
      <c r="N351" s="229">
        <v>1.58116417194724</v>
      </c>
      <c r="O351" s="205">
        <v>1.3004506851181682E-4</v>
      </c>
      <c r="P351" s="232">
        <v>70.515999999999991</v>
      </c>
      <c r="Q351" s="213"/>
      <c r="R351" s="235"/>
    </row>
    <row r="352" spans="1:18" ht="16.5" customHeight="1" x14ac:dyDescent="0.25">
      <c r="A352" s="230">
        <v>44755</v>
      </c>
      <c r="B352" s="128" t="s">
        <v>0</v>
      </c>
      <c r="C352" s="157" t="str">
        <f t="shared" si="11"/>
        <v>13.07.2022_KIN1</v>
      </c>
      <c r="D352" s="190">
        <f t="shared" si="12"/>
        <v>0</v>
      </c>
      <c r="E352" s="231">
        <v>1.8095306755972842E-5</v>
      </c>
      <c r="F352" s="231">
        <v>9.0860953445177407E-4</v>
      </c>
      <c r="G352" s="231">
        <v>0.12776364432934953</v>
      </c>
      <c r="H352" s="231">
        <v>1.2311787557307264E-2</v>
      </c>
      <c r="I352" s="231">
        <v>8.3533521804757249E-4</v>
      </c>
      <c r="J352" s="231">
        <v>0.11912079970333214</v>
      </c>
      <c r="K352" s="229">
        <v>33.877908719674899</v>
      </c>
      <c r="L352" s="229">
        <v>16.716494091503101</v>
      </c>
      <c r="M352" s="229">
        <v>4.2872264838557097</v>
      </c>
      <c r="N352" s="229">
        <v>1.41254655186973</v>
      </c>
      <c r="O352" s="205">
        <v>1.2015653347540208E-4</v>
      </c>
      <c r="P352" s="232">
        <v>169.57999999999998</v>
      </c>
      <c r="Q352" s="213"/>
      <c r="R352" s="235"/>
    </row>
    <row r="353" spans="1:18" ht="16.5" customHeight="1" x14ac:dyDescent="0.25">
      <c r="A353" s="230">
        <v>44755</v>
      </c>
      <c r="B353" s="128" t="s">
        <v>2</v>
      </c>
      <c r="C353" s="157" t="str">
        <f t="shared" si="11"/>
        <v>13.07.2022_KIN2</v>
      </c>
      <c r="D353" s="190">
        <f t="shared" si="12"/>
        <v>0</v>
      </c>
      <c r="E353" s="231">
        <v>1.9023348297665449E-5</v>
      </c>
      <c r="F353" s="231">
        <v>7.0454443327121208E-4</v>
      </c>
      <c r="G353" s="231">
        <v>0.1627402372097943</v>
      </c>
      <c r="H353" s="231">
        <v>9.9658181909076209E-3</v>
      </c>
      <c r="I353" s="231">
        <v>8.6188402473243891E-4</v>
      </c>
      <c r="J353" s="231">
        <v>0.13582657457725916</v>
      </c>
      <c r="K353" s="229">
        <v>44.967251089083099</v>
      </c>
      <c r="L353" s="229">
        <v>19.470514678931199</v>
      </c>
      <c r="M353" s="229">
        <v>4.7603906348551002</v>
      </c>
      <c r="N353" s="229">
        <v>2.2298786942818798</v>
      </c>
      <c r="O353" s="205">
        <v>1.1393388170890181E-4</v>
      </c>
      <c r="P353" s="232">
        <v>240.584</v>
      </c>
      <c r="Q353" s="213"/>
      <c r="R353" s="235"/>
    </row>
    <row r="354" spans="1:18" ht="16.5" customHeight="1" x14ac:dyDescent="0.25">
      <c r="A354" s="230">
        <v>44755</v>
      </c>
      <c r="B354" s="128" t="s">
        <v>4</v>
      </c>
      <c r="C354" s="157" t="str">
        <f t="shared" si="11"/>
        <v>13.07.2022_KIN3</v>
      </c>
      <c r="D354" s="190">
        <f t="shared" si="12"/>
        <v>0</v>
      </c>
      <c r="E354" s="231">
        <v>2.0801760517680061E-5</v>
      </c>
      <c r="F354" s="231">
        <v>1.7874579383243818E-3</v>
      </c>
      <c r="G354" s="231">
        <v>0.13696642692975594</v>
      </c>
      <c r="H354" s="231">
        <v>1.2197787295364885E-2</v>
      </c>
      <c r="I354" s="231">
        <v>1.3214052334836529E-3</v>
      </c>
      <c r="J354" s="231">
        <v>0.19420689447745748</v>
      </c>
      <c r="K354" s="229">
        <v>37.422370870019101</v>
      </c>
      <c r="L354" s="229">
        <v>19.3825593009886</v>
      </c>
      <c r="M354" s="229">
        <v>5.4150328147840501</v>
      </c>
      <c r="N354" s="229">
        <v>2.0352494240379002</v>
      </c>
      <c r="O354" s="205">
        <v>1.1042915780905946E-4</v>
      </c>
      <c r="P354" s="232">
        <v>237.65600000000001</v>
      </c>
      <c r="Q354" s="213"/>
      <c r="R354" s="235"/>
    </row>
    <row r="355" spans="1:18" ht="16.5" customHeight="1" x14ac:dyDescent="0.25">
      <c r="A355" s="230">
        <v>44755</v>
      </c>
      <c r="B355" s="128" t="s">
        <v>6</v>
      </c>
      <c r="C355" s="157" t="str">
        <f t="shared" si="11"/>
        <v>13.07.2022_KIN4</v>
      </c>
      <c r="D355" s="190">
        <f t="shared" si="12"/>
        <v>0</v>
      </c>
      <c r="E355" s="231">
        <v>2.002855960038433E-5</v>
      </c>
      <c r="F355" s="231">
        <v>9.3034753290149267E-4</v>
      </c>
      <c r="G355" s="231">
        <v>0.14447842381238329</v>
      </c>
      <c r="H355" s="231">
        <v>8.3068890003041677E-3</v>
      </c>
      <c r="I355" s="231">
        <v>1.2178987520939974E-3</v>
      </c>
      <c r="J355" s="231">
        <v>0.16658905297501087</v>
      </c>
      <c r="K355" s="229">
        <v>41.417988916289097</v>
      </c>
      <c r="L355" s="229">
        <v>19.1612867181084</v>
      </c>
      <c r="M355" s="229">
        <v>30.169538850971801</v>
      </c>
      <c r="N355" s="229">
        <v>2.35255172390361</v>
      </c>
      <c r="O355" s="205">
        <v>1.4431479806963779E-4</v>
      </c>
      <c r="P355" s="232">
        <v>242.048</v>
      </c>
      <c r="Q355" s="213"/>
      <c r="R355" s="235"/>
    </row>
    <row r="356" spans="1:18" ht="16.5" customHeight="1" x14ac:dyDescent="0.25">
      <c r="A356" s="230">
        <v>44755</v>
      </c>
      <c r="B356" s="128" t="s">
        <v>34</v>
      </c>
      <c r="C356" s="157" t="str">
        <f t="shared" si="11"/>
        <v>13.07.2022_KRE1</v>
      </c>
      <c r="D356" s="190">
        <f t="shared" si="12"/>
        <v>0</v>
      </c>
      <c r="E356" s="231">
        <v>1.7708956848497141E-5</v>
      </c>
      <c r="F356" s="231">
        <v>1.3243121096532056E-3</v>
      </c>
      <c r="G356" s="231">
        <v>0.22723555174086754</v>
      </c>
      <c r="H356" s="231">
        <v>9.1987141696573266E-3</v>
      </c>
      <c r="I356" s="231">
        <v>9.9389365236409052E-4</v>
      </c>
      <c r="J356" s="231">
        <v>0.14112822383976351</v>
      </c>
      <c r="K356" s="229">
        <v>66.910033674272199</v>
      </c>
      <c r="L356" s="229">
        <v>24.290372900811899</v>
      </c>
      <c r="M356" s="229">
        <v>52.149184555981002</v>
      </c>
      <c r="N356" s="229">
        <v>9.7082207629931698</v>
      </c>
      <c r="O356" s="205">
        <v>3.6077940643308818E-4</v>
      </c>
      <c r="P356" s="232">
        <v>296.21600000000001</v>
      </c>
      <c r="Q356" s="213"/>
      <c r="R356" s="235"/>
    </row>
    <row r="357" spans="1:18" ht="16.5" customHeight="1" x14ac:dyDescent="0.25">
      <c r="A357" s="230">
        <v>44755</v>
      </c>
      <c r="B357" s="128" t="s">
        <v>37</v>
      </c>
      <c r="C357" s="157" t="str">
        <f t="shared" si="11"/>
        <v>13.07.2022_KRE2</v>
      </c>
      <c r="D357" s="190">
        <f t="shared" si="12"/>
        <v>0</v>
      </c>
      <c r="E357" s="231">
        <v>1.229554822273838E-5</v>
      </c>
      <c r="F357" s="231">
        <v>1.2948082136524327E-3</v>
      </c>
      <c r="G357" s="231">
        <v>0.27541400241547714</v>
      </c>
      <c r="H357" s="231">
        <v>1.3087025019527569E-2</v>
      </c>
      <c r="I357" s="231">
        <v>6.9859199092702005E-4</v>
      </c>
      <c r="J357" s="231">
        <v>0.12486398295224189</v>
      </c>
      <c r="K357" s="229">
        <v>78.172500075344601</v>
      </c>
      <c r="L357" s="229">
        <v>25.268750682078</v>
      </c>
      <c r="M357" s="229">
        <v>43.021565427461297</v>
      </c>
      <c r="N357" s="229">
        <v>8.6508704462313002</v>
      </c>
      <c r="O357" s="205">
        <v>4.5802790591270749E-4</v>
      </c>
      <c r="P357" s="232">
        <v>309.88</v>
      </c>
      <c r="Q357" s="213"/>
      <c r="R357" s="235"/>
    </row>
    <row r="358" spans="1:18" ht="16.5" customHeight="1" x14ac:dyDescent="0.25">
      <c r="A358" s="230">
        <v>44755</v>
      </c>
      <c r="B358" s="128" t="s">
        <v>18</v>
      </c>
      <c r="C358" s="157" t="str">
        <f t="shared" si="11"/>
        <v>13.07.2022_ORB1</v>
      </c>
      <c r="D358" s="190">
        <f t="shared" si="12"/>
        <v>0</v>
      </c>
      <c r="E358" s="231">
        <v>2.002855960038433E-5</v>
      </c>
      <c r="F358" s="231">
        <v>9.4794534799729055E-4</v>
      </c>
      <c r="G358" s="231">
        <v>4.9836788501054476E-2</v>
      </c>
      <c r="H358" s="231">
        <v>1.0742215286022132E-2</v>
      </c>
      <c r="I358" s="231">
        <v>9.0466670370682983E-4</v>
      </c>
      <c r="J358" s="231">
        <v>0.11954082989355357</v>
      </c>
      <c r="K358" s="229">
        <v>8.3527039128251808</v>
      </c>
      <c r="L358" s="229">
        <v>2.1649758179981999</v>
      </c>
      <c r="M358" s="229">
        <v>5.1790879925942299</v>
      </c>
      <c r="N358" s="229">
        <v>2.5004036423560199</v>
      </c>
      <c r="O358" s="205">
        <v>6.1363950080396939E-5</v>
      </c>
      <c r="P358" s="232">
        <v>17.080000000000002</v>
      </c>
      <c r="Q358" s="213"/>
      <c r="R358" s="235"/>
    </row>
    <row r="359" spans="1:18" ht="16.5" customHeight="1" x14ac:dyDescent="0.25">
      <c r="A359" s="230">
        <v>44755</v>
      </c>
      <c r="B359" s="128" t="s">
        <v>21</v>
      </c>
      <c r="C359" s="157" t="str">
        <f t="shared" si="11"/>
        <v>13.07.2022_ORB2</v>
      </c>
      <c r="D359" s="190">
        <f t="shared" si="12"/>
        <v>0</v>
      </c>
      <c r="E359" s="231">
        <v>2.8380432373273462E-5</v>
      </c>
      <c r="F359" s="231">
        <v>8.107162091722911E-4</v>
      </c>
      <c r="G359" s="231">
        <v>6.1915290953594514E-2</v>
      </c>
      <c r="H359" s="231">
        <v>1.0033299905097371E-2</v>
      </c>
      <c r="I359" s="231">
        <v>1.2760616032232747E-3</v>
      </c>
      <c r="J359" s="231">
        <v>0.18598388198068691</v>
      </c>
      <c r="K359" s="229">
        <v>11.6024788847634</v>
      </c>
      <c r="L359" s="229">
        <v>2.8814653604728502</v>
      </c>
      <c r="M359" s="229">
        <v>11.972555411133801</v>
      </c>
      <c r="N359" s="229">
        <v>2.9629068664491101</v>
      </c>
      <c r="O359" s="205">
        <v>6.6299064765940247E-5</v>
      </c>
      <c r="P359" s="232">
        <v>24.644000000000002</v>
      </c>
      <c r="Q359" s="213"/>
      <c r="R359" s="235"/>
    </row>
    <row r="360" spans="1:18" ht="16.5" customHeight="1" x14ac:dyDescent="0.25">
      <c r="A360" s="230">
        <v>44755</v>
      </c>
      <c r="B360" s="128" t="s">
        <v>10</v>
      </c>
      <c r="C360" s="157" t="str">
        <f t="shared" si="11"/>
        <v>13.07.2022_SAL1</v>
      </c>
      <c r="D360" s="190">
        <f t="shared" si="12"/>
        <v>0</v>
      </c>
      <c r="E360" s="231">
        <v>1.4769991599022445E-5</v>
      </c>
      <c r="F360" s="231">
        <v>8.3164034998943872E-4</v>
      </c>
      <c r="G360" s="231">
        <v>8.1353289446597171E-2</v>
      </c>
      <c r="H360" s="231">
        <v>1.0004687049873914E-2</v>
      </c>
      <c r="I360" s="231">
        <v>9.1400461744153404E-4</v>
      </c>
      <c r="J360" s="231">
        <v>0.13186052697952966</v>
      </c>
      <c r="K360" s="229">
        <v>18.639310747898602</v>
      </c>
      <c r="L360" s="229">
        <v>13.3601278248551</v>
      </c>
      <c r="M360" s="229">
        <v>6.2715906166472797</v>
      </c>
      <c r="N360" s="229">
        <v>1.3174033696445699</v>
      </c>
      <c r="O360" s="205">
        <v>1.3188687333283479E-4</v>
      </c>
      <c r="P360" s="232">
        <v>112.24000000000001</v>
      </c>
      <c r="Q360" s="213"/>
      <c r="R360" s="235"/>
    </row>
    <row r="361" spans="1:18" ht="16.5" customHeight="1" x14ac:dyDescent="0.25">
      <c r="A361" s="230">
        <v>44755</v>
      </c>
      <c r="B361" s="128" t="s">
        <v>12</v>
      </c>
      <c r="C361" s="157" t="str">
        <f t="shared" si="11"/>
        <v>13.07.2022_SAL2</v>
      </c>
      <c r="D361" s="190">
        <f t="shared" si="12"/>
        <v>0</v>
      </c>
      <c r="E361" s="231">
        <v>1.6162053911561358E-5</v>
      </c>
      <c r="F361" s="231">
        <v>8.2350704290090246E-4</v>
      </c>
      <c r="G361" s="231">
        <v>9.3506447531843118E-2</v>
      </c>
      <c r="H361" s="231">
        <v>7.81329080143656E-3</v>
      </c>
      <c r="I361" s="231">
        <v>5.5299041332643531E-4</v>
      </c>
      <c r="J361" s="231">
        <v>8.140907904480385E-2</v>
      </c>
      <c r="K361" s="229">
        <v>21.0837121960272</v>
      </c>
      <c r="L361" s="229">
        <v>13.317697231278901</v>
      </c>
      <c r="M361" s="229">
        <v>6.3062965749932403</v>
      </c>
      <c r="N361" s="229">
        <v>1.4553014770442401</v>
      </c>
      <c r="O361" s="205">
        <v>1.3056365179035218E-4</v>
      </c>
      <c r="P361" s="232">
        <v>123.464</v>
      </c>
      <c r="Q361" s="213"/>
      <c r="R361" s="235"/>
    </row>
    <row r="362" spans="1:18" ht="16.5" customHeight="1" x14ac:dyDescent="0.25">
      <c r="A362" s="230">
        <v>44755</v>
      </c>
      <c r="B362" s="128" t="s">
        <v>7</v>
      </c>
      <c r="C362" s="157" t="str">
        <f t="shared" si="11"/>
        <v>13.07.2022_STE1</v>
      </c>
      <c r="D362" s="190">
        <f t="shared" si="12"/>
        <v>0</v>
      </c>
      <c r="E362" s="231">
        <v>1.0826316149173195E-5</v>
      </c>
      <c r="F362" s="231">
        <v>1.5459323930106137E-3</v>
      </c>
      <c r="G362" s="231">
        <v>0.13233914527018448</v>
      </c>
      <c r="H362" s="231">
        <v>9.4755988237815621E-3</v>
      </c>
      <c r="I362" s="231">
        <v>7.2029192996506868E-4</v>
      </c>
      <c r="J362" s="231">
        <v>0.10313242397966912</v>
      </c>
      <c r="K362" s="229">
        <v>33.217926245441603</v>
      </c>
      <c r="L362" s="229">
        <v>13.858936437003701</v>
      </c>
      <c r="M362" s="229">
        <v>6.6545614933621797</v>
      </c>
      <c r="N362" s="229">
        <v>1.3515507293089499</v>
      </c>
      <c r="O362" s="205">
        <v>1.1132312308546221E-4</v>
      </c>
      <c r="P362" s="232">
        <v>152.256</v>
      </c>
      <c r="Q362" s="213"/>
      <c r="R362" s="235"/>
    </row>
    <row r="363" spans="1:18" ht="16.5" customHeight="1" x14ac:dyDescent="0.25">
      <c r="A363" s="230">
        <v>44755</v>
      </c>
      <c r="B363" s="128" t="s">
        <v>9</v>
      </c>
      <c r="C363" s="157" t="str">
        <f t="shared" si="11"/>
        <v>13.07.2022_STE2</v>
      </c>
      <c r="D363" s="190">
        <f t="shared" si="12"/>
        <v>0</v>
      </c>
      <c r="E363" s="231">
        <v>1.0903485910199471E-5</v>
      </c>
      <c r="F363" s="231">
        <v>2.014204710430333E-3</v>
      </c>
      <c r="G363" s="231">
        <v>0.12768369680232391</v>
      </c>
      <c r="H363" s="231">
        <v>8.6195655979096272E-3</v>
      </c>
      <c r="I363" s="231">
        <v>7.2682031282873024E-4</v>
      </c>
      <c r="J363" s="231">
        <v>9.2123378852161306E-2</v>
      </c>
      <c r="K363" s="229">
        <v>34.215473591998197</v>
      </c>
      <c r="L363" s="229">
        <v>13.9449346162942</v>
      </c>
      <c r="M363" s="229">
        <v>6.8091013288816704</v>
      </c>
      <c r="N363" s="229">
        <v>1.42401094304596</v>
      </c>
      <c r="O363" s="205">
        <v>1.2176592586193796E-4</v>
      </c>
      <c r="P363" s="232">
        <v>157.624</v>
      </c>
      <c r="Q363" s="213"/>
      <c r="R363" s="235"/>
    </row>
    <row r="364" spans="1:18" ht="16.5" customHeight="1" x14ac:dyDescent="0.25">
      <c r="A364" s="230">
        <v>44783</v>
      </c>
      <c r="B364" s="128" t="s">
        <v>22</v>
      </c>
      <c r="C364" s="157" t="str">
        <f t="shared" si="11"/>
        <v>10.08.2022_BIE1</v>
      </c>
      <c r="D364" s="190">
        <f t="shared" si="12"/>
        <v>0</v>
      </c>
      <c r="E364" s="231">
        <v>4.5319944930294639E-5</v>
      </c>
      <c r="F364" s="231">
        <v>2.6347507375526057E-3</v>
      </c>
      <c r="G364" s="231">
        <v>0.16607298581989308</v>
      </c>
      <c r="H364" s="231">
        <v>2.6626191475564798E-3</v>
      </c>
      <c r="I364" s="231">
        <v>2.0435439862610794E-3</v>
      </c>
      <c r="J364" s="231">
        <v>0.21621365528638739</v>
      </c>
      <c r="K364" s="229">
        <v>19.2423605695591</v>
      </c>
      <c r="L364" s="229">
        <v>10.1317269781929</v>
      </c>
      <c r="M364" s="229">
        <v>4.3196019032694704</v>
      </c>
      <c r="N364" s="229">
        <v>3.0618163472453102</v>
      </c>
      <c r="O364" s="205">
        <v>3.8992363954661784E-4</v>
      </c>
      <c r="P364" s="232">
        <v>83.204000000000008</v>
      </c>
      <c r="Q364" s="213"/>
      <c r="R364" s="235"/>
    </row>
    <row r="365" spans="1:18" ht="16.5" customHeight="1" x14ac:dyDescent="0.25">
      <c r="A365" s="230">
        <v>44783</v>
      </c>
      <c r="B365" s="128" t="s">
        <v>25</v>
      </c>
      <c r="C365" s="157" t="str">
        <f t="shared" si="11"/>
        <v>10.08.2022_BIE2</v>
      </c>
      <c r="D365" s="190">
        <f t="shared" si="12"/>
        <v>0</v>
      </c>
      <c r="E365" s="231">
        <v>2.425448975836791E-5</v>
      </c>
      <c r="F365" s="231">
        <v>2.3106677185167558E-3</v>
      </c>
      <c r="G365" s="231">
        <v>0.14507669927991615</v>
      </c>
      <c r="H365" s="231">
        <v>2.6101987757045199E-3</v>
      </c>
      <c r="I365" s="231">
        <v>8.9542676027591953E-4</v>
      </c>
      <c r="J365" s="231">
        <v>6.5664357364551465E-2</v>
      </c>
      <c r="K365" s="229">
        <v>18.193241794145599</v>
      </c>
      <c r="L365" s="229">
        <v>10.894006409093199</v>
      </c>
      <c r="M365" s="229">
        <v>5.8141556552743197</v>
      </c>
      <c r="N365" s="229">
        <v>3.0564517085858798</v>
      </c>
      <c r="O365" s="205">
        <v>2.1929366133340244E-4</v>
      </c>
      <c r="P365" s="232">
        <v>85.399999999999991</v>
      </c>
      <c r="Q365" s="213"/>
      <c r="R365" s="235"/>
    </row>
    <row r="366" spans="1:18" ht="16.5" customHeight="1" x14ac:dyDescent="0.25">
      <c r="A366" s="230">
        <v>44783</v>
      </c>
      <c r="B366" s="128" t="s">
        <v>14</v>
      </c>
      <c r="C366" s="157" t="str">
        <f t="shared" si="11"/>
        <v>10.08.2022_BRA1</v>
      </c>
      <c r="D366" s="190">
        <f t="shared" si="12"/>
        <v>0</v>
      </c>
      <c r="E366" s="231">
        <v>2.3988808643078389E-5</v>
      </c>
      <c r="F366" s="231">
        <v>1.9544756173111412E-3</v>
      </c>
      <c r="G366" s="231">
        <v>0.12852606747599316</v>
      </c>
      <c r="H366" s="231">
        <v>2.6010144291585798E-3</v>
      </c>
      <c r="I366" s="231">
        <v>2.1729041463637968E-3</v>
      </c>
      <c r="J366" s="231">
        <v>0.15603030339113688</v>
      </c>
      <c r="K366" s="229">
        <v>16.382224793284799</v>
      </c>
      <c r="L366" s="229">
        <v>11.6723052917721</v>
      </c>
      <c r="M366" s="229">
        <v>4.8092751576944197</v>
      </c>
      <c r="N366" s="229">
        <v>0.90417789980116603</v>
      </c>
      <c r="O366" s="205">
        <v>2.4980640415430571E-4</v>
      </c>
      <c r="P366" s="232">
        <v>93.94</v>
      </c>
      <c r="Q366" s="213"/>
      <c r="R366" s="235"/>
    </row>
    <row r="367" spans="1:18" ht="16.5" customHeight="1" x14ac:dyDescent="0.25">
      <c r="A367" s="230">
        <v>44783</v>
      </c>
      <c r="B367" s="128" t="s">
        <v>17</v>
      </c>
      <c r="C367" s="157" t="str">
        <f t="shared" si="11"/>
        <v>10.08.2022_BRA2</v>
      </c>
      <c r="D367" s="190">
        <f t="shared" si="12"/>
        <v>0</v>
      </c>
      <c r="E367" s="231">
        <v>3.2893216719370218E-5</v>
      </c>
      <c r="F367" s="231">
        <v>1.5048176763756962E-3</v>
      </c>
      <c r="G367" s="231">
        <v>0.13407104196178615</v>
      </c>
      <c r="H367" s="231">
        <v>2.5022287467333501E-3</v>
      </c>
      <c r="I367" s="231">
        <v>3.3695629777820168E-3</v>
      </c>
      <c r="J367" s="231">
        <v>0.24185857450945489</v>
      </c>
      <c r="K367" s="229">
        <v>18.472534663923302</v>
      </c>
      <c r="L367" s="229">
        <v>12.704604778501601</v>
      </c>
      <c r="M367" s="229">
        <v>6.1933316816050397</v>
      </c>
      <c r="N367" s="229">
        <v>1.3677943339262</v>
      </c>
      <c r="O367" s="205">
        <v>1.972760929287419E-4</v>
      </c>
      <c r="P367" s="232">
        <v>89.548000000000002</v>
      </c>
      <c r="Q367" s="213"/>
      <c r="R367" s="235"/>
    </row>
    <row r="368" spans="1:18" ht="16.5" customHeight="1" x14ac:dyDescent="0.25">
      <c r="A368" s="230">
        <v>44783</v>
      </c>
      <c r="B368" s="128" t="s">
        <v>30</v>
      </c>
      <c r="C368" s="157" t="str">
        <f t="shared" si="11"/>
        <v>10.08.2022_FAL1</v>
      </c>
      <c r="D368" s="190">
        <f t="shared" si="12"/>
        <v>0</v>
      </c>
      <c r="E368" s="231">
        <v>3.3624378038270727E-5</v>
      </c>
      <c r="F368" s="231">
        <v>2.727782061981745E-3</v>
      </c>
      <c r="G368" s="231">
        <v>0.44969798937851946</v>
      </c>
      <c r="H368" s="231">
        <v>3.2005866626049202E-3</v>
      </c>
      <c r="I368" s="231">
        <v>2.8931815907722227E-3</v>
      </c>
      <c r="J368" s="231">
        <v>0.19343144919564023</v>
      </c>
      <c r="K368" s="229">
        <v>74.876463394229901</v>
      </c>
      <c r="L368" s="229">
        <v>25.077316133786798</v>
      </c>
      <c r="M368" s="229">
        <v>60.046186207893101</v>
      </c>
      <c r="N368" s="229">
        <v>10.782765476759399</v>
      </c>
      <c r="O368" s="205">
        <v>4.7294902131196393E-4</v>
      </c>
      <c r="P368" s="232">
        <v>262.78800000000001</v>
      </c>
      <c r="Q368" s="213"/>
      <c r="R368" s="235"/>
    </row>
    <row r="369" spans="1:18" ht="16.5" customHeight="1" x14ac:dyDescent="0.25">
      <c r="A369" s="230">
        <v>44783</v>
      </c>
      <c r="B369" s="128" t="s">
        <v>32</v>
      </c>
      <c r="C369" s="157" t="str">
        <f t="shared" si="11"/>
        <v>10.08.2022_FAL2</v>
      </c>
      <c r="D369" s="190">
        <f t="shared" si="12"/>
        <v>0</v>
      </c>
      <c r="E369" s="231">
        <v>1.4220613990983016E-5</v>
      </c>
      <c r="F369" s="231">
        <v>3.3261604940278211E-3</v>
      </c>
      <c r="G369" s="231">
        <v>0.4360285640890641</v>
      </c>
      <c r="H369" s="231">
        <v>3.1397890139851299E-3</v>
      </c>
      <c r="I369" s="231">
        <v>9.176363761354354E-4</v>
      </c>
      <c r="J369" s="231">
        <v>6.6861817325869918E-2</v>
      </c>
      <c r="K369" s="229">
        <v>75.449465720502403</v>
      </c>
      <c r="L369" s="229">
        <v>25.254522119630298</v>
      </c>
      <c r="M369" s="229">
        <v>44.865028037307198</v>
      </c>
      <c r="N369" s="229">
        <v>8.4647573992052401</v>
      </c>
      <c r="O369" s="205">
        <v>4.0823354662110421E-4</v>
      </c>
      <c r="P369" s="232">
        <v>273.28000000000003</v>
      </c>
      <c r="Q369" s="213"/>
      <c r="R369" s="235"/>
    </row>
    <row r="370" spans="1:18" ht="16.5" customHeight="1" x14ac:dyDescent="0.25">
      <c r="A370" s="230">
        <v>44783</v>
      </c>
      <c r="B370" s="128" t="s">
        <v>26</v>
      </c>
      <c r="C370" s="157" t="str">
        <f t="shared" si="11"/>
        <v>10.08.2022_GRU1</v>
      </c>
      <c r="D370" s="190">
        <f t="shared" si="12"/>
        <v>0</v>
      </c>
      <c r="E370" s="231">
        <v>3.0633850735700639E-5</v>
      </c>
      <c r="F370" s="231">
        <v>1.8743696698491177E-3</v>
      </c>
      <c r="G370" s="231">
        <v>0.13721306737747241</v>
      </c>
      <c r="H370" s="231">
        <v>3.1609601639192302E-3</v>
      </c>
      <c r="I370" s="231">
        <v>2.9697351749378067E-3</v>
      </c>
      <c r="J370" s="231">
        <v>0.20275637211240083</v>
      </c>
      <c r="K370" s="229">
        <v>17.5160512258335</v>
      </c>
      <c r="L370" s="229">
        <v>7.3023400702891896</v>
      </c>
      <c r="M370" s="229">
        <v>5.5266383996854902</v>
      </c>
      <c r="N370" s="229">
        <v>1.98613470453001</v>
      </c>
      <c r="O370" s="205">
        <v>1.8032720276523707E-4</v>
      </c>
      <c r="P370" s="232">
        <v>66.368000000000009</v>
      </c>
      <c r="Q370" s="213"/>
      <c r="R370" s="235"/>
    </row>
    <row r="371" spans="1:18" ht="16.5" customHeight="1" x14ac:dyDescent="0.25">
      <c r="A371" s="230">
        <v>44783</v>
      </c>
      <c r="B371" s="128" t="s">
        <v>28</v>
      </c>
      <c r="C371" s="157" t="str">
        <f t="shared" si="11"/>
        <v>10.08.2022_GRU2</v>
      </c>
      <c r="D371" s="190">
        <f t="shared" si="12"/>
        <v>0</v>
      </c>
      <c r="E371" s="231">
        <v>7.3296123310133139E-5</v>
      </c>
      <c r="F371" s="231">
        <v>1.6940799709306163E-3</v>
      </c>
      <c r="G371" s="231">
        <v>0.17351042529571176</v>
      </c>
      <c r="H371" s="231">
        <v>2.7901140077990299E-3</v>
      </c>
      <c r="I371" s="231">
        <v>4.471910447798255E-3</v>
      </c>
      <c r="J371" s="231">
        <v>0.48093744916417247</v>
      </c>
      <c r="K371" s="229">
        <v>21.8091148360174</v>
      </c>
      <c r="L371" s="229">
        <v>5.6427373734789397</v>
      </c>
      <c r="M371" s="229">
        <v>5.0682595769888499</v>
      </c>
      <c r="N371" s="229">
        <v>1.88820896411104</v>
      </c>
      <c r="O371" s="205">
        <v>4.3195502444342681E-4</v>
      </c>
      <c r="P371" s="232">
        <v>72.956000000000003</v>
      </c>
      <c r="Q371" s="213"/>
      <c r="R371" s="235"/>
    </row>
    <row r="372" spans="1:18" ht="16.5" customHeight="1" x14ac:dyDescent="0.25">
      <c r="A372" s="230">
        <v>44783</v>
      </c>
      <c r="B372" s="128" t="s">
        <v>0</v>
      </c>
      <c r="C372" s="157" t="str">
        <f t="shared" si="11"/>
        <v>10.08.2022_KIN1</v>
      </c>
      <c r="D372" s="190">
        <f t="shared" si="12"/>
        <v>0</v>
      </c>
      <c r="E372" s="231">
        <v>9.9675631389333795E-6</v>
      </c>
      <c r="F372" s="231">
        <v>1.4902882985285222E-3</v>
      </c>
      <c r="G372" s="231">
        <v>0.25572789790398009</v>
      </c>
      <c r="H372" s="231">
        <v>3.5961439821766399E-3</v>
      </c>
      <c r="I372" s="231">
        <v>8.5899709405485528E-4</v>
      </c>
      <c r="J372" s="231">
        <v>6.2470398865283105E-2</v>
      </c>
      <c r="K372" s="229">
        <v>37.5443669608904</v>
      </c>
      <c r="L372" s="229">
        <v>17.884405048260501</v>
      </c>
      <c r="M372" s="229">
        <v>4.8667198554417501</v>
      </c>
      <c r="N372" s="229">
        <v>2.0010492386282999</v>
      </c>
      <c r="O372" s="205">
        <v>1.7944794396329957E-4</v>
      </c>
      <c r="P372" s="232">
        <v>196.42000000000002</v>
      </c>
      <c r="Q372" s="213"/>
      <c r="R372" s="235"/>
    </row>
    <row r="373" spans="1:18" ht="16.5" customHeight="1" x14ac:dyDescent="0.25">
      <c r="A373" s="230">
        <v>44783</v>
      </c>
      <c r="B373" s="128" t="s">
        <v>2</v>
      </c>
      <c r="C373" s="157" t="str">
        <f t="shared" si="11"/>
        <v>10.08.2022_KIN2</v>
      </c>
      <c r="D373" s="190">
        <f t="shared" si="12"/>
        <v>0</v>
      </c>
      <c r="E373" s="231">
        <v>1.4552607734724059E-5</v>
      </c>
      <c r="F373" s="231">
        <v>1.1788287482533723E-3</v>
      </c>
      <c r="G373" s="231">
        <v>0.24345685311046819</v>
      </c>
      <c r="H373" s="231">
        <v>3.03382499588945E-3</v>
      </c>
      <c r="I373" s="231">
        <v>1.3343280733147357E-3</v>
      </c>
      <c r="J373" s="231">
        <v>9.2618036529297038E-2</v>
      </c>
      <c r="K373" s="229">
        <v>37.898389446937699</v>
      </c>
      <c r="L373" s="229">
        <v>20.914463786937102</v>
      </c>
      <c r="M373" s="229">
        <v>5.4366850117418801</v>
      </c>
      <c r="N373" s="229">
        <v>2.83316818734591</v>
      </c>
      <c r="O373" s="205">
        <v>1.4742551930729217E-4</v>
      </c>
      <c r="P373" s="232">
        <v>193.49200000000002</v>
      </c>
      <c r="Q373" s="213"/>
      <c r="R373" s="235"/>
    </row>
    <row r="374" spans="1:18" ht="16.5" customHeight="1" x14ac:dyDescent="0.25">
      <c r="A374" s="230">
        <v>44783</v>
      </c>
      <c r="B374" s="128" t="s">
        <v>4</v>
      </c>
      <c r="C374" s="157" t="str">
        <f t="shared" si="11"/>
        <v>10.08.2022_KIN3</v>
      </c>
      <c r="D374" s="190">
        <f t="shared" si="12"/>
        <v>0</v>
      </c>
      <c r="E374" s="231">
        <v>1.8938714445160182E-5</v>
      </c>
      <c r="F374" s="231">
        <v>1.6042682740890356E-3</v>
      </c>
      <c r="G374" s="231">
        <v>0.27065600841601878</v>
      </c>
      <c r="H374" s="231">
        <v>3.0866705349880501E-3</v>
      </c>
      <c r="I374" s="231">
        <v>1.9018099067972161E-3</v>
      </c>
      <c r="J374" s="231">
        <v>0.14290065818646122</v>
      </c>
      <c r="K374" s="229">
        <v>40.919906208573003</v>
      </c>
      <c r="L374" s="229">
        <v>20.769144860561401</v>
      </c>
      <c r="M374" s="229">
        <v>6.0265309820533703</v>
      </c>
      <c r="N374" s="229">
        <v>2.5378588476566901</v>
      </c>
      <c r="O374" s="205">
        <v>1.9138092146435144E-4</v>
      </c>
      <c r="P374" s="232">
        <v>221.30799999999999</v>
      </c>
      <c r="Q374" s="213"/>
      <c r="R374" s="235"/>
    </row>
    <row r="375" spans="1:18" ht="16.5" customHeight="1" x14ac:dyDescent="0.25">
      <c r="A375" s="230">
        <v>44783</v>
      </c>
      <c r="B375" s="128" t="s">
        <v>6</v>
      </c>
      <c r="C375" s="157" t="str">
        <f t="shared" si="11"/>
        <v>10.08.2022_KIN4</v>
      </c>
      <c r="D375" s="190">
        <f t="shared" si="12"/>
        <v>0</v>
      </c>
      <c r="E375" s="231">
        <v>2.2726285093598837E-5</v>
      </c>
      <c r="F375" s="231">
        <v>1.4717785280104732E-3</v>
      </c>
      <c r="G375" s="231">
        <v>0.28826765013601208</v>
      </c>
      <c r="H375" s="231">
        <v>3.9033847266916602E-3</v>
      </c>
      <c r="I375" s="231">
        <v>1.8072919458598914E-3</v>
      </c>
      <c r="J375" s="231">
        <v>0.13241852916071159</v>
      </c>
      <c r="K375" s="229">
        <v>43.055236568348803</v>
      </c>
      <c r="L375" s="229">
        <v>19.6057946915356</v>
      </c>
      <c r="M375" s="229">
        <v>29.4119563633623</v>
      </c>
      <c r="N375" s="229">
        <v>2.74667746731375</v>
      </c>
      <c r="O375" s="205">
        <v>2.6838625322904403E-4</v>
      </c>
      <c r="P375" s="232">
        <v>223.99200000000002</v>
      </c>
      <c r="Q375" s="213"/>
      <c r="R375" s="235"/>
    </row>
    <row r="376" spans="1:18" ht="16.5" customHeight="1" x14ac:dyDescent="0.25">
      <c r="A376" s="230">
        <v>44783</v>
      </c>
      <c r="B376" s="128" t="s">
        <v>34</v>
      </c>
      <c r="C376" s="157" t="str">
        <f t="shared" si="11"/>
        <v>10.08.2022_KRE1</v>
      </c>
      <c r="D376" s="190">
        <f t="shared" si="12"/>
        <v>0</v>
      </c>
      <c r="E376" s="231">
        <v>2.1330705685732798E-5</v>
      </c>
      <c r="F376" s="231">
        <v>3.4514840074089566E-3</v>
      </c>
      <c r="G376" s="231">
        <v>0.40052847725066121</v>
      </c>
      <c r="H376" s="231">
        <v>4.4351819004862002E-3</v>
      </c>
      <c r="I376" s="231">
        <v>1.4353850919368862E-3</v>
      </c>
      <c r="J376" s="231">
        <v>0.13160688821885641</v>
      </c>
      <c r="K376" s="229">
        <v>66.685020083972603</v>
      </c>
      <c r="L376" s="229">
        <v>22.156499118685101</v>
      </c>
      <c r="M376" s="229">
        <v>48.983571949834797</v>
      </c>
      <c r="N376" s="229">
        <v>10.6685405264786</v>
      </c>
      <c r="O376" s="205">
        <v>5.628265578786158E-4</v>
      </c>
      <c r="P376" s="232">
        <v>286.21199999999999</v>
      </c>
      <c r="Q376" s="213"/>
      <c r="R376" s="235"/>
    </row>
    <row r="377" spans="1:18" ht="16.5" customHeight="1" x14ac:dyDescent="0.25">
      <c r="A377" s="230">
        <v>44783</v>
      </c>
      <c r="B377" s="128" t="s">
        <v>37</v>
      </c>
      <c r="C377" s="157" t="str">
        <f t="shared" si="11"/>
        <v>10.08.2022_KRE2</v>
      </c>
      <c r="D377" s="190">
        <f t="shared" si="12"/>
        <v>0</v>
      </c>
      <c r="E377" s="231">
        <v>2.4852595218881929E-5</v>
      </c>
      <c r="F377" s="231">
        <v>2.1380368967335883E-3</v>
      </c>
      <c r="G377" s="231">
        <v>0.50277599197181877</v>
      </c>
      <c r="H377" s="231">
        <v>4.0703058380857403E-3</v>
      </c>
      <c r="I377" s="231">
        <v>1.8792457886852429E-3</v>
      </c>
      <c r="J377" s="231">
        <v>0.12848990844829761</v>
      </c>
      <c r="K377" s="229">
        <v>80.021861260243199</v>
      </c>
      <c r="L377" s="229">
        <v>25.269231696494899</v>
      </c>
      <c r="M377" s="229">
        <v>47.499942679999201</v>
      </c>
      <c r="N377" s="229">
        <v>10.3195810221264</v>
      </c>
      <c r="O377" s="205">
        <v>6.4027043023074835E-4</v>
      </c>
      <c r="P377" s="232">
        <v>269.13200000000001</v>
      </c>
      <c r="Q377" s="213"/>
      <c r="R377" s="235"/>
    </row>
    <row r="378" spans="1:18" ht="16.5" customHeight="1" x14ac:dyDescent="0.25">
      <c r="A378" s="230">
        <v>44783</v>
      </c>
      <c r="B378" s="128" t="s">
        <v>18</v>
      </c>
      <c r="C378" s="157" t="str">
        <f t="shared" si="11"/>
        <v>10.08.2022_ORB1</v>
      </c>
      <c r="D378" s="190">
        <f t="shared" si="12"/>
        <v>0</v>
      </c>
      <c r="E378" s="231">
        <v>3.4621220472460749E-5</v>
      </c>
      <c r="F378" s="231">
        <v>1.5799811939459173E-3</v>
      </c>
      <c r="G378" s="231">
        <v>9.5671266422207329E-2</v>
      </c>
      <c r="H378" s="231">
        <v>2.85206348792109E-3</v>
      </c>
      <c r="I378" s="231">
        <v>2.5356985679723509E-3</v>
      </c>
      <c r="J378" s="231">
        <v>0.23280200276605523</v>
      </c>
      <c r="K378" s="229">
        <v>8.2877313265624402</v>
      </c>
      <c r="L378" s="229">
        <v>2.0137204581757402</v>
      </c>
      <c r="M378" s="229">
        <v>4.0579159196825101</v>
      </c>
      <c r="N378" s="229">
        <v>2.56991817766187</v>
      </c>
      <c r="O378" s="205">
        <v>1.5298600624391145E-4</v>
      </c>
      <c r="P378" s="232">
        <v>17.811999999999998</v>
      </c>
      <c r="Q378" s="213"/>
      <c r="R378" s="235"/>
    </row>
    <row r="379" spans="1:18" ht="16.5" customHeight="1" x14ac:dyDescent="0.25">
      <c r="A379" s="230">
        <v>44783</v>
      </c>
      <c r="B379" s="128" t="s">
        <v>21</v>
      </c>
      <c r="C379" s="157" t="str">
        <f t="shared" si="11"/>
        <v>10.08.2022_ORB2</v>
      </c>
      <c r="D379" s="190">
        <f t="shared" si="12"/>
        <v>0</v>
      </c>
      <c r="E379" s="231">
        <v>2.7776379291517044E-5</v>
      </c>
      <c r="F379" s="231">
        <v>1.9819093003131906E-3</v>
      </c>
      <c r="G379" s="231">
        <v>0.11505289688741223</v>
      </c>
      <c r="H379" s="231">
        <v>2.9274568629031801E-3</v>
      </c>
      <c r="I379" s="231">
        <v>2.3440129987664263E-3</v>
      </c>
      <c r="J379" s="231">
        <v>0.1615818530896663</v>
      </c>
      <c r="K379" s="229">
        <v>13.129341278327599</v>
      </c>
      <c r="L379" s="229">
        <v>3.0340743301606401</v>
      </c>
      <c r="M379" s="229">
        <v>13.9100125123936</v>
      </c>
      <c r="N379" s="229">
        <v>3.3666763210450301</v>
      </c>
      <c r="O379" s="205">
        <v>1.1173312302018395E-4</v>
      </c>
      <c r="P379" s="232">
        <v>27.571999999999999</v>
      </c>
      <c r="Q379" s="213"/>
      <c r="R379" s="235"/>
    </row>
    <row r="380" spans="1:18" ht="16.5" customHeight="1" x14ac:dyDescent="0.25">
      <c r="A380" s="230">
        <v>44783</v>
      </c>
      <c r="B380" s="128" t="s">
        <v>10</v>
      </c>
      <c r="C380" s="157" t="str">
        <f t="shared" si="11"/>
        <v>10.08.2022_SAL1</v>
      </c>
      <c r="D380" s="190">
        <f t="shared" si="12"/>
        <v>0</v>
      </c>
      <c r="E380" s="231">
        <v>1.4153870761048046E-5</v>
      </c>
      <c r="F380" s="231">
        <v>1.842279479648948E-3</v>
      </c>
      <c r="G380" s="231">
        <v>0.16016332719543805</v>
      </c>
      <c r="H380" s="231">
        <v>3.3413112855707602E-3</v>
      </c>
      <c r="I380" s="231">
        <v>6.7847453216625267E-4</v>
      </c>
      <c r="J380" s="231">
        <v>4.9086718366347842E-2</v>
      </c>
      <c r="K380" s="229">
        <v>23.0238346800177</v>
      </c>
      <c r="L380" s="229">
        <v>15.117269187657699</v>
      </c>
      <c r="M380" s="229">
        <v>6.97493064032329</v>
      </c>
      <c r="N380" s="229">
        <v>1.6784719750791</v>
      </c>
      <c r="O380" s="205">
        <v>2.0260265246644602E-4</v>
      </c>
      <c r="P380" s="232">
        <v>115.41199999999999</v>
      </c>
      <c r="Q380" s="213"/>
      <c r="R380" s="235"/>
    </row>
    <row r="381" spans="1:18" ht="16.5" customHeight="1" x14ac:dyDescent="0.25">
      <c r="A381" s="230">
        <v>44783</v>
      </c>
      <c r="B381" s="128" t="s">
        <v>12</v>
      </c>
      <c r="C381" s="157" t="str">
        <f t="shared" si="11"/>
        <v>10.08.2022_SAL2</v>
      </c>
      <c r="D381" s="190">
        <f t="shared" si="12"/>
        <v>0</v>
      </c>
      <c r="E381" s="231">
        <v>3.8674472236188931E-5</v>
      </c>
      <c r="F381" s="231">
        <v>2.2865477596431339E-3</v>
      </c>
      <c r="G381" s="231">
        <v>0.17636222133727417</v>
      </c>
      <c r="H381" s="231">
        <v>2.9721167645189099E-3</v>
      </c>
      <c r="I381" s="231">
        <v>2.6723779228496098E-3</v>
      </c>
      <c r="J381" s="231">
        <v>0.26598508125077497</v>
      </c>
      <c r="K381" s="229">
        <v>22.459602307487401</v>
      </c>
      <c r="L381" s="229">
        <v>14.4708291227416</v>
      </c>
      <c r="M381" s="229">
        <v>6.7322248177685902</v>
      </c>
      <c r="N381" s="229">
        <v>1.58628120940648</v>
      </c>
      <c r="O381" s="205">
        <v>3.1310893390434951E-4</v>
      </c>
      <c r="P381" s="232">
        <v>117.85199999999999</v>
      </c>
      <c r="Q381" s="213"/>
      <c r="R381" s="235"/>
    </row>
    <row r="382" spans="1:18" ht="16.5" customHeight="1" x14ac:dyDescent="0.25">
      <c r="A382" s="230">
        <v>44783</v>
      </c>
      <c r="B382" s="128" t="s">
        <v>7</v>
      </c>
      <c r="C382" s="157" t="str">
        <f t="shared" si="11"/>
        <v>10.08.2022_STE1</v>
      </c>
      <c r="D382" s="190">
        <f t="shared" si="12"/>
        <v>0</v>
      </c>
      <c r="E382" s="231">
        <v>3.7943741518771881E-5</v>
      </c>
      <c r="F382" s="231">
        <v>3.0604307726935006E-3</v>
      </c>
      <c r="G382" s="231">
        <v>0.25314010907503171</v>
      </c>
      <c r="H382" s="231">
        <v>3.2972873495523301E-3</v>
      </c>
      <c r="I382" s="231">
        <v>2.9481637626188463E-3</v>
      </c>
      <c r="J382" s="231">
        <v>0.26894919362537462</v>
      </c>
      <c r="K382" s="229">
        <v>38.170894260997102</v>
      </c>
      <c r="L382" s="229">
        <v>14.7528324248815</v>
      </c>
      <c r="M382" s="229">
        <v>7.2963178809535396</v>
      </c>
      <c r="N382" s="229">
        <v>1.87838205556469</v>
      </c>
      <c r="O382" s="205">
        <v>2.8597101049335943E-4</v>
      </c>
      <c r="P382" s="232">
        <v>33.916000000000004</v>
      </c>
      <c r="Q382" s="213"/>
      <c r="R382" s="235"/>
    </row>
    <row r="383" spans="1:18" ht="16.5" customHeight="1" x14ac:dyDescent="0.25">
      <c r="A383" s="230">
        <v>44783</v>
      </c>
      <c r="B383" s="128" t="s">
        <v>9</v>
      </c>
      <c r="C383" s="157" t="str">
        <f t="shared" si="11"/>
        <v>10.08.2022_STE2</v>
      </c>
      <c r="D383" s="190">
        <f t="shared" si="12"/>
        <v>0</v>
      </c>
      <c r="E383" s="231">
        <v>2.4919338448816898E-5</v>
      </c>
      <c r="F383" s="231">
        <v>3.3988953035837305E-3</v>
      </c>
      <c r="G383" s="231">
        <v>0.21963721842521752</v>
      </c>
      <c r="H383" s="231">
        <v>3.4702710454653E-3</v>
      </c>
      <c r="I383" s="231">
        <v>2.6472730947215452E-3</v>
      </c>
      <c r="J383" s="231">
        <v>0.18152231992848572</v>
      </c>
      <c r="K383" s="229">
        <v>33.709124111174503</v>
      </c>
      <c r="L383" s="229">
        <v>14.7344878540693</v>
      </c>
      <c r="M383" s="229">
        <v>7.3559969900753304</v>
      </c>
      <c r="N383" s="229">
        <v>1.66843013284414</v>
      </c>
      <c r="O383" s="205">
        <v>2.0012040888547623E-4</v>
      </c>
      <c r="P383" s="232">
        <v>144.93600000000001</v>
      </c>
      <c r="Q383" s="213"/>
      <c r="R383" s="235"/>
    </row>
    <row r="384" spans="1:18" ht="16.5" customHeight="1" x14ac:dyDescent="0.25">
      <c r="A384" s="230">
        <v>44811</v>
      </c>
      <c r="B384" s="128" t="s">
        <v>22</v>
      </c>
      <c r="C384" s="157" t="str">
        <f t="shared" si="11"/>
        <v>07.09.2022_BIE1</v>
      </c>
      <c r="D384" s="190">
        <f t="shared" si="12"/>
        <v>0</v>
      </c>
      <c r="E384" s="231">
        <v>1.5379861590997342E-5</v>
      </c>
      <c r="F384" s="231">
        <v>1.7206802418099874E-3</v>
      </c>
      <c r="G384" s="231">
        <v>7.6641458683387689E-2</v>
      </c>
      <c r="H384" s="231">
        <v>7.9014594305023937E-3</v>
      </c>
      <c r="I384" s="231">
        <v>2.2606954693795515E-4</v>
      </c>
      <c r="J384" s="231">
        <v>4.0805440772552229E-2</v>
      </c>
      <c r="K384" s="229">
        <v>15.397277110452499</v>
      </c>
      <c r="L384" s="229">
        <v>9.9361485416497501</v>
      </c>
      <c r="M384" s="229">
        <v>4.4383718067981999</v>
      </c>
      <c r="N384" s="229">
        <v>3.4529173629806502</v>
      </c>
      <c r="O384" s="205">
        <v>1.0929220564710321E-4</v>
      </c>
      <c r="P384" s="232">
        <v>78.08</v>
      </c>
      <c r="Q384" s="213"/>
      <c r="R384" s="235"/>
    </row>
    <row r="385" spans="1:18" ht="16.5" customHeight="1" x14ac:dyDescent="0.25">
      <c r="A385" s="230">
        <v>44811</v>
      </c>
      <c r="B385" s="128" t="s">
        <v>25</v>
      </c>
      <c r="C385" s="157" t="str">
        <f t="shared" si="11"/>
        <v>07.09.2022_BIE2</v>
      </c>
      <c r="D385" s="190">
        <f t="shared" si="12"/>
        <v>0</v>
      </c>
      <c r="E385" s="231">
        <v>1.7901833310819596E-5</v>
      </c>
      <c r="F385" s="231">
        <v>1.9256587842395318E-3</v>
      </c>
      <c r="G385" s="231">
        <v>8.4069599722091437E-2</v>
      </c>
      <c r="H385" s="231">
        <v>7.2807296458519185E-3</v>
      </c>
      <c r="I385" s="231">
        <v>3.1584760322602259E-4</v>
      </c>
      <c r="J385" s="231">
        <v>4.5296171466140407E-2</v>
      </c>
      <c r="K385" s="229">
        <v>18.9105444048379</v>
      </c>
      <c r="L385" s="229">
        <v>9.6739717288536902</v>
      </c>
      <c r="M385" s="229">
        <v>5.51589125385392</v>
      </c>
      <c r="N385" s="229">
        <v>3.39370402381499</v>
      </c>
      <c r="O385" s="205">
        <v>1.2096087776220375E-4</v>
      </c>
      <c r="P385" s="232">
        <v>87.84</v>
      </c>
      <c r="Q385" s="213"/>
      <c r="R385" s="235"/>
    </row>
    <row r="386" spans="1:18" ht="16.5" customHeight="1" x14ac:dyDescent="0.25">
      <c r="A386" s="230">
        <v>44811</v>
      </c>
      <c r="B386" s="128" t="s">
        <v>14</v>
      </c>
      <c r="C386" s="157" t="str">
        <f t="shared" si="11"/>
        <v>07.09.2022_BRA1</v>
      </c>
      <c r="D386" s="190">
        <f t="shared" si="12"/>
        <v>0</v>
      </c>
      <c r="E386" s="231">
        <v>6.3792745904068032E-6</v>
      </c>
      <c r="F386" s="231">
        <v>1.0306841748062461E-3</v>
      </c>
      <c r="G386" s="231">
        <v>7.2486068996979042E-2</v>
      </c>
      <c r="H386" s="231">
        <v>7.041975062294769E-3</v>
      </c>
      <c r="I386" s="231">
        <v>1.9185483758617203E-4</v>
      </c>
      <c r="J386" s="231">
        <v>4.5170266779316293E-2</v>
      </c>
      <c r="K386" s="229">
        <v>12.242953626039601</v>
      </c>
      <c r="L386" s="229">
        <v>10.1138199100553</v>
      </c>
      <c r="M386" s="229">
        <v>4.4699383983343601</v>
      </c>
      <c r="N386" s="229">
        <v>0.881548176786353</v>
      </c>
      <c r="O386" s="205">
        <v>1.1946465095776797E-4</v>
      </c>
      <c r="P386" s="232">
        <v>85.399999999999991</v>
      </c>
      <c r="Q386" s="213"/>
      <c r="R386" s="235"/>
    </row>
    <row r="387" spans="1:18" ht="16.5" customHeight="1" x14ac:dyDescent="0.25">
      <c r="A387" s="230">
        <v>44811</v>
      </c>
      <c r="B387" s="128" t="s">
        <v>17</v>
      </c>
      <c r="C387" s="157" t="str">
        <f t="shared" si="11"/>
        <v>07.09.2022_BRA2</v>
      </c>
      <c r="D387" s="190">
        <f t="shared" si="12"/>
        <v>0</v>
      </c>
      <c r="E387" s="231">
        <v>1.0731358189759533E-5</v>
      </c>
      <c r="F387" s="231">
        <v>8.9361365920374641E-4</v>
      </c>
      <c r="G387" s="231">
        <v>8.0754111027083936E-2</v>
      </c>
      <c r="H387" s="231">
        <v>7.7424817372169878E-3</v>
      </c>
      <c r="I387" s="231">
        <v>3.4176965020168314E-4</v>
      </c>
      <c r="J387" s="231">
        <v>4.6830967723442148E-2</v>
      </c>
      <c r="K387" s="229">
        <v>18.458430866537199</v>
      </c>
      <c r="L387" s="229">
        <v>11.207755810076</v>
      </c>
      <c r="M387" s="229">
        <v>6.1697266382082896</v>
      </c>
      <c r="N387" s="229">
        <v>1.2802141328972401</v>
      </c>
      <c r="O387" s="205">
        <v>9.6439677374395835E-5</v>
      </c>
      <c r="P387" s="232">
        <v>98.820000000000007</v>
      </c>
      <c r="Q387" s="213"/>
      <c r="R387" s="235"/>
    </row>
    <row r="388" spans="1:18" ht="16.5" customHeight="1" x14ac:dyDescent="0.25">
      <c r="A388" s="230">
        <v>44811</v>
      </c>
      <c r="B388" s="128" t="s">
        <v>30</v>
      </c>
      <c r="C388" s="157" t="str">
        <f t="shared" si="11"/>
        <v>07.09.2022_FAL1</v>
      </c>
      <c r="D388" s="190">
        <f t="shared" si="12"/>
        <v>0</v>
      </c>
      <c r="E388" s="231">
        <v>1.6171062121650602E-5</v>
      </c>
      <c r="F388" s="231">
        <v>3.0453935591654466E-3</v>
      </c>
      <c r="G388" s="231">
        <v>0.25393379841673736</v>
      </c>
      <c r="H388" s="231">
        <v>8.8419784593241225E-3</v>
      </c>
      <c r="I388" s="231">
        <v>2.8467080349346788E-4</v>
      </c>
      <c r="J388" s="231">
        <v>5.2460987943200199E-2</v>
      </c>
      <c r="K388" s="229">
        <v>71.239576326827702</v>
      </c>
      <c r="L388" s="229">
        <v>25.1294986050397</v>
      </c>
      <c r="M388" s="229">
        <v>102.283996173585</v>
      </c>
      <c r="N388" s="229">
        <v>17.553837845366498</v>
      </c>
      <c r="O388" s="205">
        <v>3.5337900568148108E-4</v>
      </c>
      <c r="P388" s="232">
        <v>286.21199999999999</v>
      </c>
      <c r="Q388" s="213"/>
      <c r="R388" s="235"/>
    </row>
    <row r="389" spans="1:18" ht="16.5" customHeight="1" x14ac:dyDescent="0.25">
      <c r="A389" s="230">
        <v>44811</v>
      </c>
      <c r="B389" s="128" t="s">
        <v>32</v>
      </c>
      <c r="C389" s="157" t="str">
        <f t="shared" ref="C389:C452" si="13">CONCATENATE(TEXT(A389,"TT.MM.JJJJ"),"_",B389)</f>
        <v>07.09.2022_FAL2</v>
      </c>
      <c r="D389" s="190">
        <f t="shared" ref="D389:D452" si="14">COUNTBLANK(E389:P389)</f>
        <v>0</v>
      </c>
      <c r="E389" s="231">
        <v>1.4440290932481608E-5</v>
      </c>
      <c r="F389" s="231">
        <v>2.6244066881172087E-3</v>
      </c>
      <c r="G389" s="231">
        <v>0.25619134675762506</v>
      </c>
      <c r="H389" s="231">
        <v>6.8389088423224933E-3</v>
      </c>
      <c r="I389" s="231">
        <v>4.7050409295383723E-4</v>
      </c>
      <c r="J389" s="231">
        <v>4.4245131101356375E-2</v>
      </c>
      <c r="K389" s="229">
        <v>66.395718218074904</v>
      </c>
      <c r="L389" s="229">
        <v>23.8281187751823</v>
      </c>
      <c r="M389" s="229">
        <v>64.121002885915999</v>
      </c>
      <c r="N389" s="229">
        <v>11.8407101297413</v>
      </c>
      <c r="O389" s="205">
        <v>3.2303351196287961E-4</v>
      </c>
      <c r="P389" s="232">
        <v>262.78800000000001</v>
      </c>
      <c r="Q389" s="213"/>
      <c r="R389" s="235"/>
    </row>
    <row r="390" spans="1:18" ht="16.5" customHeight="1" x14ac:dyDescent="0.25">
      <c r="A390" s="230">
        <v>44811</v>
      </c>
      <c r="B390" s="128" t="s">
        <v>26</v>
      </c>
      <c r="C390" s="157" t="str">
        <f t="shared" si="13"/>
        <v>07.09.2022_GRU1</v>
      </c>
      <c r="D390" s="190">
        <f t="shared" si="14"/>
        <v>0</v>
      </c>
      <c r="E390" s="231">
        <v>1.3253329909581784E-5</v>
      </c>
      <c r="F390" s="231">
        <v>1.8123504536454525E-3</v>
      </c>
      <c r="G390" s="231">
        <v>7.2124000720270851E-2</v>
      </c>
      <c r="H390" s="231">
        <v>4.7702521145815005E-3</v>
      </c>
      <c r="I390" s="231">
        <v>3.7673279183233121E-4</v>
      </c>
      <c r="J390" s="231">
        <v>4.5727585519211092E-2</v>
      </c>
      <c r="K390" s="229">
        <v>14.9413965202765</v>
      </c>
      <c r="L390" s="229">
        <v>6.1198852257768497</v>
      </c>
      <c r="M390" s="229">
        <v>5.0182183545843602</v>
      </c>
      <c r="N390" s="229">
        <v>1.9754342890727199</v>
      </c>
      <c r="O390" s="205">
        <v>1.0878630328673325E-4</v>
      </c>
      <c r="P390" s="232">
        <v>61.488</v>
      </c>
      <c r="Q390" s="213"/>
      <c r="R390" s="235"/>
    </row>
    <row r="391" spans="1:18" ht="16.5" customHeight="1" x14ac:dyDescent="0.25">
      <c r="A391" s="230">
        <v>44811</v>
      </c>
      <c r="B391" s="128" t="s">
        <v>28</v>
      </c>
      <c r="C391" s="157" t="str">
        <f t="shared" si="13"/>
        <v>07.09.2022_GRU2</v>
      </c>
      <c r="D391" s="190">
        <f t="shared" si="14"/>
        <v>0</v>
      </c>
      <c r="E391" s="231">
        <v>1.0533317716716311E-5</v>
      </c>
      <c r="F391" s="231">
        <v>1.0939424133352765E-3</v>
      </c>
      <c r="G391" s="231">
        <v>8.9965857949231662E-2</v>
      </c>
      <c r="H391" s="231">
        <v>1.1834984438971637E-2</v>
      </c>
      <c r="I391" s="231">
        <v>1.5390151218913211E-4</v>
      </c>
      <c r="J391" s="231">
        <v>3.2214413301038101E-2</v>
      </c>
      <c r="K391" s="229">
        <v>19.304248572930302</v>
      </c>
      <c r="L391" s="229">
        <v>5.0651476821503501</v>
      </c>
      <c r="M391" s="229">
        <v>4.8024914160224803</v>
      </c>
      <c r="N391" s="229">
        <v>1.94776193590914</v>
      </c>
      <c r="O391" s="205">
        <v>1.1301694141531921E-4</v>
      </c>
      <c r="P391" s="232">
        <v>72.468000000000004</v>
      </c>
      <c r="Q391" s="213"/>
      <c r="R391" s="235"/>
    </row>
    <row r="392" spans="1:18" ht="16.5" customHeight="1" x14ac:dyDescent="0.25">
      <c r="A392" s="230">
        <v>44811</v>
      </c>
      <c r="B392" s="128" t="s">
        <v>0</v>
      </c>
      <c r="C392" s="157" t="str">
        <f t="shared" si="13"/>
        <v>07.09.2022_KIN1</v>
      </c>
      <c r="D392" s="190">
        <f t="shared" si="14"/>
        <v>0</v>
      </c>
      <c r="E392" s="231">
        <v>7.4675358306248924E-6</v>
      </c>
      <c r="F392" s="231">
        <v>2.0329902725758253E-3</v>
      </c>
      <c r="G392" s="231">
        <v>0.15114273642248541</v>
      </c>
      <c r="H392" s="231">
        <v>3.4753344313452005E-3</v>
      </c>
      <c r="I392" s="231">
        <v>3.8403711997599658E-4</v>
      </c>
      <c r="J392" s="231">
        <v>1.9441332445730167E-2</v>
      </c>
      <c r="K392" s="229">
        <v>40.849785348884602</v>
      </c>
      <c r="L392" s="229">
        <v>15.675367873469799</v>
      </c>
      <c r="M392" s="229">
        <v>5.2907070651158197</v>
      </c>
      <c r="N392" s="229">
        <v>4.27165129474088</v>
      </c>
      <c r="O392" s="205">
        <v>1.106054316528609E-4</v>
      </c>
      <c r="P392" s="232">
        <v>197.64000000000001</v>
      </c>
      <c r="Q392" s="213"/>
      <c r="R392" s="235"/>
    </row>
    <row r="393" spans="1:18" ht="16.5" customHeight="1" x14ac:dyDescent="0.25">
      <c r="A393" s="230">
        <v>44811</v>
      </c>
      <c r="B393" s="128" t="s">
        <v>2</v>
      </c>
      <c r="C393" s="157" t="str">
        <f t="shared" si="13"/>
        <v>07.09.2022_KIN2</v>
      </c>
      <c r="D393" s="190">
        <f t="shared" si="14"/>
        <v>0</v>
      </c>
      <c r="E393" s="231">
        <v>8.4071064891406283E-6</v>
      </c>
      <c r="F393" s="231">
        <v>7.2691540408799632E-4</v>
      </c>
      <c r="G393" s="231">
        <v>0.16034248581593746</v>
      </c>
      <c r="H393" s="231">
        <v>9.6209304278674392E-3</v>
      </c>
      <c r="I393" s="231">
        <v>3.3074170556650969E-4</v>
      </c>
      <c r="J393" s="231">
        <v>4.7594976411810104E-2</v>
      </c>
      <c r="K393" s="229">
        <v>40.772643466837998</v>
      </c>
      <c r="L393" s="229">
        <v>19.803453623904101</v>
      </c>
      <c r="M393" s="229">
        <v>5.6184840860472596</v>
      </c>
      <c r="N393" s="229">
        <v>2.9929777960550101</v>
      </c>
      <c r="O393" s="205">
        <v>1.0478190547480573E-4</v>
      </c>
      <c r="P393" s="232">
        <v>220.08799999999999</v>
      </c>
      <c r="Q393" s="213"/>
      <c r="R393" s="235"/>
    </row>
    <row r="394" spans="1:18" ht="16.5" customHeight="1" x14ac:dyDescent="0.25">
      <c r="A394" s="230">
        <v>44811</v>
      </c>
      <c r="B394" s="128" t="s">
        <v>4</v>
      </c>
      <c r="C394" s="157" t="str">
        <f t="shared" si="13"/>
        <v>07.09.2022_KIN3</v>
      </c>
      <c r="D394" s="190">
        <f t="shared" si="14"/>
        <v>0</v>
      </c>
      <c r="E394" s="231">
        <v>8.753196636206452E-6</v>
      </c>
      <c r="F394" s="231">
        <v>1.1725787595274263E-3</v>
      </c>
      <c r="G394" s="231">
        <v>0.16668837393402022</v>
      </c>
      <c r="H394" s="231">
        <v>7.1635225147133712E-3</v>
      </c>
      <c r="I394" s="231">
        <v>3.8736193015056309E-4</v>
      </c>
      <c r="J394" s="231">
        <v>5.7553242182413082E-2</v>
      </c>
      <c r="K394" s="229">
        <v>37.509963397091198</v>
      </c>
      <c r="L394" s="229">
        <v>18.599238734150301</v>
      </c>
      <c r="M394" s="229">
        <v>5.8968751563238504</v>
      </c>
      <c r="N394" s="229">
        <v>2.4685296068546401</v>
      </c>
      <c r="O394" s="205">
        <v>1.0078831754237329E-4</v>
      </c>
      <c r="P394" s="232">
        <v>206.66800000000001</v>
      </c>
      <c r="Q394" s="213"/>
      <c r="R394" s="235"/>
    </row>
    <row r="395" spans="1:18" ht="16.5" customHeight="1" x14ac:dyDescent="0.25">
      <c r="A395" s="230">
        <v>44811</v>
      </c>
      <c r="B395" s="128" t="s">
        <v>6</v>
      </c>
      <c r="C395" s="157" t="str">
        <f t="shared" si="13"/>
        <v>07.09.2022_KIN4</v>
      </c>
      <c r="D395" s="190">
        <f t="shared" si="14"/>
        <v>0</v>
      </c>
      <c r="E395" s="231">
        <v>1.02862478061721E-5</v>
      </c>
      <c r="F395" s="231">
        <v>1.0670836690983934E-3</v>
      </c>
      <c r="G395" s="231">
        <v>0.14411900642877437</v>
      </c>
      <c r="H395" s="231">
        <v>4.376604490041543E-3</v>
      </c>
      <c r="I395" s="231">
        <v>3.3331562898977963E-4</v>
      </c>
      <c r="J395" s="231">
        <v>3.5175150975060493E-2</v>
      </c>
      <c r="K395" s="229">
        <v>35.971187237936199</v>
      </c>
      <c r="L395" s="229">
        <v>18.36726044065</v>
      </c>
      <c r="M395" s="229">
        <v>30.581622376598499</v>
      </c>
      <c r="N395" s="229">
        <v>2.7875525190808799</v>
      </c>
      <c r="O395" s="205">
        <v>1.382278121149135E-4</v>
      </c>
      <c r="P395" s="232">
        <v>213.988</v>
      </c>
      <c r="Q395" s="213"/>
      <c r="R395" s="235"/>
    </row>
    <row r="396" spans="1:18" ht="16.5" customHeight="1" x14ac:dyDescent="0.25">
      <c r="A396" s="230">
        <v>44811</v>
      </c>
      <c r="B396" s="128" t="s">
        <v>34</v>
      </c>
      <c r="C396" s="157" t="str">
        <f t="shared" si="13"/>
        <v>07.09.2022_KRE1</v>
      </c>
      <c r="D396" s="190">
        <f t="shared" si="14"/>
        <v>0</v>
      </c>
      <c r="E396" s="231">
        <v>1.6962262652303859E-5</v>
      </c>
      <c r="F396" s="231">
        <v>1.4603706884723162E-3</v>
      </c>
      <c r="G396" s="231">
        <v>0.3635828444841176</v>
      </c>
      <c r="H396" s="231">
        <v>8.0516693419785644E-3</v>
      </c>
      <c r="I396" s="231">
        <v>4.7179496364008552E-4</v>
      </c>
      <c r="J396" s="231">
        <v>4.7625901677917068E-2</v>
      </c>
      <c r="K396" s="229">
        <v>90.247439806341504</v>
      </c>
      <c r="L396" s="229">
        <v>26.6487257288141</v>
      </c>
      <c r="M396" s="229">
        <v>93.705746050187201</v>
      </c>
      <c r="N396" s="229">
        <v>15.8393501274013</v>
      </c>
      <c r="O396" s="205">
        <v>5.5172292886793302E-4</v>
      </c>
      <c r="P396" s="232">
        <v>353.8</v>
      </c>
      <c r="Q396" s="213"/>
      <c r="R396" s="235"/>
    </row>
    <row r="397" spans="1:18" ht="16.5" customHeight="1" x14ac:dyDescent="0.25">
      <c r="A397" s="230">
        <v>44811</v>
      </c>
      <c r="B397" s="128" t="s">
        <v>37</v>
      </c>
      <c r="C397" s="157" t="str">
        <f t="shared" si="13"/>
        <v>07.09.2022_KRE2</v>
      </c>
      <c r="D397" s="190">
        <f t="shared" si="14"/>
        <v>0</v>
      </c>
      <c r="E397" s="231">
        <v>1.2066368886681959E-5</v>
      </c>
      <c r="F397" s="231">
        <v>1.9523387481509122E-3</v>
      </c>
      <c r="G397" s="231">
        <v>0.28898303411212473</v>
      </c>
      <c r="H397" s="231">
        <v>4.9697489535749815E-3</v>
      </c>
      <c r="I397" s="231">
        <v>3.7546364777242189E-4</v>
      </c>
      <c r="J397" s="231">
        <v>4.5903771045373958E-2</v>
      </c>
      <c r="K397" s="229">
        <v>85.127733081318894</v>
      </c>
      <c r="L397" s="229">
        <v>26.180844212998799</v>
      </c>
      <c r="M397" s="229">
        <v>42.3931704071355</v>
      </c>
      <c r="N397" s="229">
        <v>9.2308786418827893</v>
      </c>
      <c r="O397" s="205">
        <v>3.1721898239421066E-4</v>
      </c>
      <c r="P397" s="232">
        <v>262.3</v>
      </c>
      <c r="Q397" s="213"/>
      <c r="R397" s="235"/>
    </row>
    <row r="398" spans="1:18" ht="16.5" customHeight="1" x14ac:dyDescent="0.25">
      <c r="A398" s="230">
        <v>44811</v>
      </c>
      <c r="B398" s="128" t="s">
        <v>18</v>
      </c>
      <c r="C398" s="157" t="str">
        <f t="shared" si="13"/>
        <v>07.09.2022_ORB1</v>
      </c>
      <c r="D398" s="190">
        <f t="shared" si="14"/>
        <v>0</v>
      </c>
      <c r="E398" s="231">
        <v>7.8629758690315845E-6</v>
      </c>
      <c r="F398" s="231">
        <v>1.3741310790074887E-3</v>
      </c>
      <c r="G398" s="231">
        <v>5.3716964945272956E-2</v>
      </c>
      <c r="H398" s="231">
        <v>3.2204581789999614E-3</v>
      </c>
      <c r="I398" s="231">
        <v>3.2688736569142228E-4</v>
      </c>
      <c r="J398" s="231">
        <v>2.1278954717368168E-2</v>
      </c>
      <c r="K398" s="229">
        <v>8.3249748994513002</v>
      </c>
      <c r="L398" s="229">
        <v>1.958847218172</v>
      </c>
      <c r="M398" s="229">
        <v>4.4114327853147604</v>
      </c>
      <c r="N398" s="229">
        <v>2.5843186300782302</v>
      </c>
      <c r="O398" s="205">
        <v>6.3555954209190487E-5</v>
      </c>
      <c r="P398" s="232">
        <v>19.032</v>
      </c>
      <c r="Q398" s="213"/>
      <c r="R398" s="235"/>
    </row>
    <row r="399" spans="1:18" ht="16.5" customHeight="1" x14ac:dyDescent="0.25">
      <c r="A399" s="230">
        <v>44811</v>
      </c>
      <c r="B399" s="128" t="s">
        <v>21</v>
      </c>
      <c r="C399" s="157" t="str">
        <f t="shared" si="13"/>
        <v>07.09.2022_ORB2</v>
      </c>
      <c r="D399" s="190">
        <f t="shared" si="14"/>
        <v>0</v>
      </c>
      <c r="E399" s="231">
        <v>1.1176468573346967E-5</v>
      </c>
      <c r="F399" s="231">
        <v>2.4153434951971111E-3</v>
      </c>
      <c r="G399" s="231">
        <v>6.5874616875915282E-2</v>
      </c>
      <c r="H399" s="231">
        <v>4.5015975736025123E-3</v>
      </c>
      <c r="I399" s="231">
        <v>2.3345032735254552E-4</v>
      </c>
      <c r="J399" s="231">
        <v>4.6288559495470914E-2</v>
      </c>
      <c r="K399" s="229">
        <v>13.7710884306985</v>
      </c>
      <c r="L399" s="229">
        <v>3.22344465195411</v>
      </c>
      <c r="M399" s="229">
        <v>17.400638399850401</v>
      </c>
      <c r="N399" s="229">
        <v>3.77380949003431</v>
      </c>
      <c r="O399" s="205">
        <v>5.155461677027348E-5</v>
      </c>
      <c r="P399" s="232">
        <v>31.964000000000002</v>
      </c>
      <c r="Q399" s="213"/>
      <c r="R399" s="235"/>
    </row>
    <row r="400" spans="1:18" ht="16.5" customHeight="1" x14ac:dyDescent="0.25">
      <c r="A400" s="230">
        <v>44811</v>
      </c>
      <c r="B400" s="128" t="s">
        <v>10</v>
      </c>
      <c r="C400" s="157" t="str">
        <f t="shared" si="13"/>
        <v>07.09.2022_SAL1</v>
      </c>
      <c r="D400" s="190">
        <f t="shared" si="14"/>
        <v>0</v>
      </c>
      <c r="E400" s="231">
        <v>8.2090660160974065E-6</v>
      </c>
      <c r="F400" s="231">
        <v>1.1988825648344774E-3</v>
      </c>
      <c r="G400" s="231">
        <v>8.0059558307915293E-2</v>
      </c>
      <c r="H400" s="231">
        <v>2.9829032729524261E-3</v>
      </c>
      <c r="I400" s="231">
        <v>3.2336301599880548E-4</v>
      </c>
      <c r="J400" s="231">
        <v>3.5206472234110935E-2</v>
      </c>
      <c r="K400" s="229">
        <v>18.550882468036999</v>
      </c>
      <c r="L400" s="229">
        <v>13.4041134299919</v>
      </c>
      <c r="M400" s="229">
        <v>6.8607797096792202</v>
      </c>
      <c r="N400" s="229">
        <v>1.4786723843310701</v>
      </c>
      <c r="O400" s="205">
        <v>9.1940187081593439E-5</v>
      </c>
      <c r="P400" s="232">
        <v>111.26400000000001</v>
      </c>
      <c r="Q400" s="213"/>
      <c r="R400" s="235"/>
    </row>
    <row r="401" spans="1:18" ht="16.5" customHeight="1" x14ac:dyDescent="0.25">
      <c r="A401" s="230">
        <v>44811</v>
      </c>
      <c r="B401" s="128" t="s">
        <v>12</v>
      </c>
      <c r="C401" s="157" t="str">
        <f t="shared" si="13"/>
        <v>07.09.2022_SAL2</v>
      </c>
      <c r="D401" s="190">
        <f t="shared" si="14"/>
        <v>0</v>
      </c>
      <c r="E401" s="231">
        <v>8.3080862526190174E-6</v>
      </c>
      <c r="F401" s="231">
        <v>1.2395454899426805E-3</v>
      </c>
      <c r="G401" s="231">
        <v>7.3775550557519221E-2</v>
      </c>
      <c r="H401" s="231">
        <v>3.1042029231313373E-3</v>
      </c>
      <c r="I401" s="231">
        <v>2.4708355811428167E-4</v>
      </c>
      <c r="J401" s="231">
        <v>3.5163091828424343E-2</v>
      </c>
      <c r="K401" s="229">
        <v>16.274032925597599</v>
      </c>
      <c r="L401" s="229">
        <v>13.376314654227199</v>
      </c>
      <c r="M401" s="229">
        <v>6.8224303998276898</v>
      </c>
      <c r="N401" s="229">
        <v>1.4847401905256501</v>
      </c>
      <c r="O401" s="205">
        <v>7.8259203592614376E-5</v>
      </c>
      <c r="P401" s="232">
        <v>102.968</v>
      </c>
      <c r="Q401" s="213"/>
      <c r="R401" s="235"/>
    </row>
    <row r="402" spans="1:18" ht="16.5" customHeight="1" x14ac:dyDescent="0.25">
      <c r="A402" s="230">
        <v>44811</v>
      </c>
      <c r="B402" s="128" t="s">
        <v>7</v>
      </c>
      <c r="C402" s="157" t="str">
        <f t="shared" si="13"/>
        <v>07.09.2022_STE1</v>
      </c>
      <c r="D402" s="190">
        <f t="shared" si="14"/>
        <v>0</v>
      </c>
      <c r="E402" s="231">
        <v>8.1597161247565398E-6</v>
      </c>
      <c r="F402" s="231">
        <v>1.943492421675411E-3</v>
      </c>
      <c r="G402" s="231">
        <v>0.12421964084598837</v>
      </c>
      <c r="H402" s="231">
        <v>5.2117833616476972E-3</v>
      </c>
      <c r="I402" s="231">
        <v>2.2571637562696399E-4</v>
      </c>
      <c r="J402" s="231">
        <v>3.0866624576234479E-2</v>
      </c>
      <c r="K402" s="229">
        <v>33.493691891058198</v>
      </c>
      <c r="L402" s="229">
        <v>14.1065703959598</v>
      </c>
      <c r="M402" s="229">
        <v>7.8324361263440601</v>
      </c>
      <c r="N402" s="229">
        <v>1.7160666510871601</v>
      </c>
      <c r="O402" s="205">
        <v>8.6752002853217092E-5</v>
      </c>
      <c r="P402" s="232">
        <v>152.012</v>
      </c>
      <c r="Q402" s="213"/>
      <c r="R402" s="235"/>
    </row>
    <row r="403" spans="1:18" ht="16.5" customHeight="1" x14ac:dyDescent="0.25">
      <c r="A403" s="230">
        <v>44811</v>
      </c>
      <c r="B403" s="128" t="s">
        <v>9</v>
      </c>
      <c r="C403" s="157" t="str">
        <f t="shared" si="13"/>
        <v>07.09.2022_STE2</v>
      </c>
      <c r="D403" s="190">
        <f t="shared" si="14"/>
        <v>0</v>
      </c>
      <c r="E403" s="231">
        <v>6.6266649547908918E-6</v>
      </c>
      <c r="F403" s="231">
        <v>1.6626897235765142E-3</v>
      </c>
      <c r="G403" s="231">
        <v>0.11512550792945575</v>
      </c>
      <c r="H403" s="231">
        <v>2.9341195140854307E-3</v>
      </c>
      <c r="I403" s="231">
        <v>3.3863010724250917E-4</v>
      </c>
      <c r="J403" s="231">
        <v>3.1032511044451309E-2</v>
      </c>
      <c r="K403" s="229">
        <v>28.621091885390399</v>
      </c>
      <c r="L403" s="229">
        <v>14.125001809957499</v>
      </c>
      <c r="M403" s="229">
        <v>7.5782048952094199</v>
      </c>
      <c r="N403" s="229">
        <v>1.66834111566018</v>
      </c>
      <c r="O403" s="205">
        <v>9.4039256456064757E-5</v>
      </c>
      <c r="P403" s="232">
        <v>138.59199999999998</v>
      </c>
      <c r="Q403" s="213"/>
      <c r="R403" s="235"/>
    </row>
    <row r="404" spans="1:18" ht="16.5" customHeight="1" x14ac:dyDescent="0.25">
      <c r="A404" s="230">
        <v>44841</v>
      </c>
      <c r="B404" s="128" t="s">
        <v>22</v>
      </c>
      <c r="C404" s="157" t="str">
        <f t="shared" si="13"/>
        <v>07.10.2022_BIE1</v>
      </c>
      <c r="D404" s="190">
        <f t="shared" si="14"/>
        <v>0</v>
      </c>
      <c r="E404" s="231">
        <v>2.2299916552259115E-5</v>
      </c>
      <c r="F404" s="231">
        <v>2.7778533622890953E-3</v>
      </c>
      <c r="G404" s="231">
        <v>0.10021999975825334</v>
      </c>
      <c r="H404" s="231">
        <v>3.1243438843775008E-3</v>
      </c>
      <c r="I404" s="231">
        <v>1.9160551663926345E-4</v>
      </c>
      <c r="J404" s="231">
        <v>8.9173179139354197E-3</v>
      </c>
      <c r="K404" s="229">
        <v>20.168683333158899</v>
      </c>
      <c r="L404" s="229">
        <v>9.4263111288969004</v>
      </c>
      <c r="M404" s="229">
        <v>6.2943781734326603</v>
      </c>
      <c r="N404" s="229">
        <v>3.0590570336567802</v>
      </c>
      <c r="O404" s="205">
        <v>2.6602925378585516E-4</v>
      </c>
      <c r="P404" s="232">
        <v>77.347999999999999</v>
      </c>
      <c r="Q404" s="213"/>
      <c r="R404" s="235"/>
    </row>
    <row r="405" spans="1:18" ht="16.5" customHeight="1" x14ac:dyDescent="0.25">
      <c r="A405" s="230">
        <v>44841</v>
      </c>
      <c r="B405" s="128" t="s">
        <v>25</v>
      </c>
      <c r="C405" s="157" t="str">
        <f t="shared" si="13"/>
        <v>07.10.2022_BIE2</v>
      </c>
      <c r="D405" s="190">
        <f t="shared" si="14"/>
        <v>0</v>
      </c>
      <c r="E405" s="231">
        <v>2.3860388306766179E-5</v>
      </c>
      <c r="F405" s="231">
        <v>3.8320748338953855E-3</v>
      </c>
      <c r="G405" s="231">
        <v>0.10723769063147456</v>
      </c>
      <c r="H405" s="231">
        <v>3.588977390062345E-3</v>
      </c>
      <c r="I405" s="231">
        <v>1.4717792402957423E-4</v>
      </c>
      <c r="J405" s="231">
        <v>1.4160033429937005E-2</v>
      </c>
      <c r="K405" s="229">
        <v>21.219660381101701</v>
      </c>
      <c r="L405" s="229">
        <v>9.150814007568</v>
      </c>
      <c r="M405" s="229">
        <v>7.1637520610707304</v>
      </c>
      <c r="N405" s="229">
        <v>3.0988548808825001</v>
      </c>
      <c r="O405" s="205">
        <v>3.2132225779481731E-4</v>
      </c>
      <c r="P405" s="232">
        <v>82.472000000000008</v>
      </c>
      <c r="Q405" s="213"/>
      <c r="R405" s="235"/>
    </row>
    <row r="406" spans="1:18" ht="16.5" customHeight="1" x14ac:dyDescent="0.25">
      <c r="A406" s="230">
        <v>44841</v>
      </c>
      <c r="B406" s="128" t="s">
        <v>14</v>
      </c>
      <c r="C406" s="157" t="str">
        <f t="shared" si="13"/>
        <v>07.10.2022_BRA1</v>
      </c>
      <c r="D406" s="190">
        <f t="shared" si="14"/>
        <v>0</v>
      </c>
      <c r="E406" s="231">
        <v>9.1669289703885375E-6</v>
      </c>
      <c r="F406" s="231">
        <v>1.4685935826705041E-3</v>
      </c>
      <c r="G406" s="231">
        <v>7.4718682086399604E-2</v>
      </c>
      <c r="H406" s="231">
        <v>3.5279385389274721E-3</v>
      </c>
      <c r="I406" s="231">
        <v>1.1455209434553975E-4</v>
      </c>
      <c r="J406" s="231">
        <v>8.6874812989151291E-3</v>
      </c>
      <c r="K406" s="229">
        <v>13.8167287785041</v>
      </c>
      <c r="L406" s="229">
        <v>9.2497786509836004</v>
      </c>
      <c r="M406" s="229">
        <v>6.4341429944549997</v>
      </c>
      <c r="N406" s="229">
        <v>1.0464653709226499</v>
      </c>
      <c r="O406" s="205">
        <v>1.6544092057154574E-4</v>
      </c>
      <c r="P406" s="232">
        <v>65.39200000000001</v>
      </c>
      <c r="Q406" s="213"/>
      <c r="R406" s="235"/>
    </row>
    <row r="407" spans="1:18" ht="16.5" customHeight="1" x14ac:dyDescent="0.25">
      <c r="A407" s="230">
        <v>44841</v>
      </c>
      <c r="B407" s="128" t="s">
        <v>17</v>
      </c>
      <c r="C407" s="157" t="str">
        <f t="shared" si="13"/>
        <v>07.10.2022_BRA2</v>
      </c>
      <c r="D407" s="190">
        <f t="shared" si="14"/>
        <v>0</v>
      </c>
      <c r="E407" s="231">
        <v>1.3197866807084966E-5</v>
      </c>
      <c r="F407" s="231">
        <v>1.5825990155580306E-3</v>
      </c>
      <c r="G407" s="231">
        <v>8.450381671438098E-2</v>
      </c>
      <c r="H407" s="231">
        <v>3.2087611881367164E-3</v>
      </c>
      <c r="I407" s="231">
        <v>1.6888226797319886E-4</v>
      </c>
      <c r="J407" s="231">
        <v>1.0761243012870613E-2</v>
      </c>
      <c r="K407" s="229">
        <v>16.6472024177889</v>
      </c>
      <c r="L407" s="229">
        <v>10.138718565750899</v>
      </c>
      <c r="M407" s="229">
        <v>7.3585658097779296</v>
      </c>
      <c r="N407" s="229">
        <v>1.4023204123756701</v>
      </c>
      <c r="O407" s="205">
        <v>1.1931570865754834E-4</v>
      </c>
      <c r="P407" s="232">
        <v>68.320000000000007</v>
      </c>
      <c r="Q407" s="213"/>
      <c r="R407" s="235"/>
    </row>
    <row r="408" spans="1:18" ht="16.5" customHeight="1" x14ac:dyDescent="0.25">
      <c r="A408" s="230">
        <v>44841</v>
      </c>
      <c r="B408" s="128" t="s">
        <v>30</v>
      </c>
      <c r="C408" s="157" t="str">
        <f t="shared" si="13"/>
        <v>07.10.2022_FAL1</v>
      </c>
      <c r="D408" s="190">
        <f t="shared" si="14"/>
        <v>0</v>
      </c>
      <c r="E408" s="231">
        <v>6.6964628881991741E-6</v>
      </c>
      <c r="F408" s="231">
        <v>1.2568050921550682E-3</v>
      </c>
      <c r="G408" s="231">
        <v>0.23308468144270938</v>
      </c>
      <c r="H408" s="231">
        <v>4.2677961075817672E-3</v>
      </c>
      <c r="I408" s="231">
        <v>1.7309943125863283E-4</v>
      </c>
      <c r="J408" s="231">
        <v>6.6578048826796705E-3</v>
      </c>
      <c r="K408" s="229">
        <v>63.251355622740299</v>
      </c>
      <c r="L408" s="229">
        <v>21.468927703155501</v>
      </c>
      <c r="M408" s="229">
        <v>21.666991321871102</v>
      </c>
      <c r="N408" s="229">
        <v>5.0009957903291404</v>
      </c>
      <c r="O408" s="205">
        <v>2.2038737725085623E-4</v>
      </c>
      <c r="P408" s="232">
        <v>240.34</v>
      </c>
      <c r="Q408" s="213"/>
      <c r="R408" s="235"/>
    </row>
    <row r="409" spans="1:18" ht="16.5" customHeight="1" x14ac:dyDescent="0.25">
      <c r="A409" s="230">
        <v>44841</v>
      </c>
      <c r="B409" s="128" t="s">
        <v>32</v>
      </c>
      <c r="C409" s="157" t="str">
        <f t="shared" si="13"/>
        <v>07.10.2022_FAL2</v>
      </c>
      <c r="D409" s="190">
        <f t="shared" si="14"/>
        <v>0</v>
      </c>
      <c r="E409" s="231">
        <v>1.1637816346248127E-5</v>
      </c>
      <c r="F409" s="231">
        <v>1.7604837012733178E-3</v>
      </c>
      <c r="G409" s="231">
        <v>0.26229976474202465</v>
      </c>
      <c r="H409" s="231">
        <v>5.278307497607328E-3</v>
      </c>
      <c r="I409" s="231">
        <v>1.9146197649831404E-4</v>
      </c>
      <c r="J409" s="231">
        <v>1.1587828888825914E-2</v>
      </c>
      <c r="K409" s="229">
        <v>61.539912799609397</v>
      </c>
      <c r="L409" s="229">
        <v>18.524923560655299</v>
      </c>
      <c r="M409" s="229">
        <v>22.086897818045301</v>
      </c>
      <c r="N409" s="229">
        <v>5.3512585032781201</v>
      </c>
      <c r="O409" s="205">
        <v>2.2639302398884739E-4</v>
      </c>
      <c r="P409" s="232">
        <v>228.14000000000001</v>
      </c>
      <c r="Q409" s="213"/>
      <c r="R409" s="235"/>
    </row>
    <row r="410" spans="1:18" ht="16.5" customHeight="1" x14ac:dyDescent="0.25">
      <c r="A410" s="230">
        <v>44841</v>
      </c>
      <c r="B410" s="128" t="s">
        <v>26</v>
      </c>
      <c r="C410" s="157" t="str">
        <f t="shared" si="13"/>
        <v>07.10.2022_GRU1</v>
      </c>
      <c r="D410" s="190">
        <f t="shared" si="14"/>
        <v>0</v>
      </c>
      <c r="E410" s="231">
        <v>1.2352751704617048E-5</v>
      </c>
      <c r="F410" s="231">
        <v>2.0350608910593951E-3</v>
      </c>
      <c r="G410" s="231">
        <v>9.268945421473769E-2</v>
      </c>
      <c r="H410" s="231">
        <v>5.2754934771468203E-3</v>
      </c>
      <c r="I410" s="231">
        <v>2.4534602429752495E-4</v>
      </c>
      <c r="J410" s="231">
        <v>1.2500668070163666E-2</v>
      </c>
      <c r="K410" s="229">
        <v>12.057921954987</v>
      </c>
      <c r="L410" s="229">
        <v>6.6274365886877504</v>
      </c>
      <c r="M410" s="229">
        <v>6.9168528082627896</v>
      </c>
      <c r="N410" s="229">
        <v>1.47566104410549</v>
      </c>
      <c r="O410" s="205">
        <v>1.5094420408310645E-4</v>
      </c>
      <c r="P410" s="232">
        <v>36.844000000000001</v>
      </c>
      <c r="Q410" s="213"/>
      <c r="R410" s="235"/>
    </row>
    <row r="411" spans="1:18" ht="16.5" customHeight="1" x14ac:dyDescent="0.25">
      <c r="A411" s="230">
        <v>44841</v>
      </c>
      <c r="B411" s="128" t="s">
        <v>28</v>
      </c>
      <c r="C411" s="157" t="str">
        <f t="shared" si="13"/>
        <v>07.10.2022_GRU2</v>
      </c>
      <c r="D411" s="190">
        <f t="shared" si="14"/>
        <v>0</v>
      </c>
      <c r="E411" s="231">
        <v>1.1377456858050134E-5</v>
      </c>
      <c r="F411" s="231">
        <v>2.2501773602813355E-3</v>
      </c>
      <c r="G411" s="231">
        <v>9.4995047824992851E-2</v>
      </c>
      <c r="H411" s="231">
        <v>5.0899322109576595E-3</v>
      </c>
      <c r="I411" s="231">
        <v>2.1752794498152602E-4</v>
      </c>
      <c r="J411" s="231">
        <v>1.5457077369841914E-2</v>
      </c>
      <c r="K411" s="229">
        <v>15.4139870631428</v>
      </c>
      <c r="L411" s="229">
        <v>6.6301567228760403</v>
      </c>
      <c r="M411" s="229">
        <v>6.7638758263237104</v>
      </c>
      <c r="N411" s="229">
        <v>1.76599130330599</v>
      </c>
      <c r="O411" s="205">
        <v>1.7344363762072208E-4</v>
      </c>
      <c r="P411" s="232">
        <v>48.312000000000005</v>
      </c>
      <c r="Q411" s="213"/>
      <c r="R411" s="235"/>
    </row>
    <row r="412" spans="1:18" ht="16.5" customHeight="1" x14ac:dyDescent="0.25">
      <c r="A412" s="230">
        <v>44841</v>
      </c>
      <c r="B412" s="128" t="s">
        <v>0</v>
      </c>
      <c r="C412" s="157" t="str">
        <f t="shared" si="13"/>
        <v>07.10.2022_KIN1</v>
      </c>
      <c r="D412" s="190">
        <f t="shared" si="14"/>
        <v>0</v>
      </c>
      <c r="E412" s="231">
        <v>8.3218138679206216E-6</v>
      </c>
      <c r="F412" s="231">
        <v>2.1266979823703416E-3</v>
      </c>
      <c r="G412" s="231">
        <v>0.15857496112507941</v>
      </c>
      <c r="H412" s="231">
        <v>3.4310503627762294E-3</v>
      </c>
      <c r="I412" s="231">
        <v>2.8395141386389124E-4</v>
      </c>
      <c r="J412" s="231">
        <v>1.0039272871761963E-2</v>
      </c>
      <c r="K412" s="229">
        <v>34.493419526566498</v>
      </c>
      <c r="L412" s="229">
        <v>12.266944204083501</v>
      </c>
      <c r="M412" s="229">
        <v>8.5386945515107993</v>
      </c>
      <c r="N412" s="229">
        <v>2.0643071144867999</v>
      </c>
      <c r="O412" s="205">
        <v>1.4525147981321577E-4</v>
      </c>
      <c r="P412" s="232">
        <v>132.73600000000002</v>
      </c>
      <c r="Q412" s="213"/>
      <c r="R412" s="235"/>
    </row>
    <row r="413" spans="1:18" ht="16.5" customHeight="1" x14ac:dyDescent="0.25">
      <c r="A413" s="230">
        <v>44841</v>
      </c>
      <c r="B413" s="128" t="s">
        <v>2</v>
      </c>
      <c r="C413" s="157" t="str">
        <f t="shared" si="13"/>
        <v>07.10.2022_KIN2</v>
      </c>
      <c r="D413" s="190">
        <f t="shared" si="14"/>
        <v>0</v>
      </c>
      <c r="E413" s="231">
        <v>7.6068785095517003E-6</v>
      </c>
      <c r="F413" s="231">
        <v>1.6155551477420788E-3</v>
      </c>
      <c r="G413" s="231">
        <v>0.18229799576537012</v>
      </c>
      <c r="H413" s="231">
        <v>3.5917516898509175E-3</v>
      </c>
      <c r="I413" s="231">
        <v>2.4684083750867424E-4</v>
      </c>
      <c r="J413" s="231">
        <v>1.2614110515966033E-2</v>
      </c>
      <c r="K413" s="229">
        <v>39.498125093859798</v>
      </c>
      <c r="L413" s="229">
        <v>14.50350581527</v>
      </c>
      <c r="M413" s="229">
        <v>7.68888357920786</v>
      </c>
      <c r="N413" s="229">
        <v>2.33189719055345</v>
      </c>
      <c r="O413" s="205">
        <v>1.4682753516942921E-4</v>
      </c>
      <c r="P413" s="232">
        <v>163.48000000000002</v>
      </c>
      <c r="Q413" s="213"/>
      <c r="R413" s="235"/>
    </row>
    <row r="414" spans="1:18" ht="16.5" customHeight="1" x14ac:dyDescent="0.25">
      <c r="A414" s="230">
        <v>44841</v>
      </c>
      <c r="B414" s="128" t="s">
        <v>4</v>
      </c>
      <c r="C414" s="157" t="str">
        <f t="shared" si="13"/>
        <v>07.10.2022_KIN3</v>
      </c>
      <c r="D414" s="190">
        <f t="shared" si="14"/>
        <v>0</v>
      </c>
      <c r="E414" s="231">
        <v>8.3866930931350077E-6</v>
      </c>
      <c r="F414" s="231">
        <v>2.0730682642969801E-3</v>
      </c>
      <c r="G414" s="231">
        <v>0.17714332415272421</v>
      </c>
      <c r="H414" s="231">
        <v>3.9924878746170267E-3</v>
      </c>
      <c r="I414" s="231">
        <v>1.6106309150370457E-4</v>
      </c>
      <c r="J414" s="231">
        <v>9.8328737201982819E-3</v>
      </c>
      <c r="K414" s="229">
        <v>39.470761908637101</v>
      </c>
      <c r="L414" s="229">
        <v>14.3643529917873</v>
      </c>
      <c r="M414" s="229">
        <v>8.6029929602618491</v>
      </c>
      <c r="N414" s="229">
        <v>2.0539047295626101</v>
      </c>
      <c r="O414" s="205">
        <v>1.4652860838977545E-4</v>
      </c>
      <c r="P414" s="232">
        <v>163.48000000000002</v>
      </c>
      <c r="Q414" s="213"/>
      <c r="R414" s="235"/>
    </row>
    <row r="415" spans="1:18" ht="16.5" customHeight="1" x14ac:dyDescent="0.25">
      <c r="A415" s="230">
        <v>44841</v>
      </c>
      <c r="B415" s="128" t="s">
        <v>6</v>
      </c>
      <c r="C415" s="157" t="str">
        <f t="shared" si="13"/>
        <v>07.10.2022_KIN4</v>
      </c>
      <c r="D415" s="190">
        <f t="shared" si="14"/>
        <v>0</v>
      </c>
      <c r="E415" s="231">
        <v>9.2971087144875356E-6</v>
      </c>
      <c r="F415" s="231">
        <v>1.9518548181951363E-3</v>
      </c>
      <c r="G415" s="231">
        <v>0.16399902500472954</v>
      </c>
      <c r="H415" s="231">
        <v>4.1619811832783737E-3</v>
      </c>
      <c r="I415" s="231">
        <v>2.5641565574490398E-4</v>
      </c>
      <c r="J415" s="231">
        <v>1.4451094641310971E-2</v>
      </c>
      <c r="K415" s="229">
        <v>36.586543749509303</v>
      </c>
      <c r="L415" s="229">
        <v>14.925873400935799</v>
      </c>
      <c r="M415" s="229">
        <v>14.6909195239145</v>
      </c>
      <c r="N415" s="229">
        <v>2.2466245402539702</v>
      </c>
      <c r="O415" s="205">
        <v>1.5828093761789512E-4</v>
      </c>
      <c r="P415" s="232">
        <v>164.21200000000002</v>
      </c>
      <c r="Q415" s="213"/>
      <c r="R415" s="235"/>
    </row>
    <row r="416" spans="1:18" ht="16.5" customHeight="1" x14ac:dyDescent="0.25">
      <c r="A416" s="230">
        <v>44841</v>
      </c>
      <c r="B416" s="128" t="s">
        <v>34</v>
      </c>
      <c r="C416" s="157" t="str">
        <f t="shared" si="13"/>
        <v>07.10.2022_KRE1</v>
      </c>
      <c r="D416" s="190">
        <f t="shared" si="14"/>
        <v>0</v>
      </c>
      <c r="E416" s="231">
        <v>9.7521058783286866E-6</v>
      </c>
      <c r="F416" s="231">
        <v>2.0615797327693665E-3</v>
      </c>
      <c r="G416" s="231">
        <v>0.25086319824130315</v>
      </c>
      <c r="H416" s="231">
        <v>5.9868689596983236E-3</v>
      </c>
      <c r="I416" s="231">
        <v>4.0537439863545506E-4</v>
      </c>
      <c r="J416" s="231">
        <v>2.0041095791356579E-2</v>
      </c>
      <c r="K416" s="229">
        <v>58.819751305986799</v>
      </c>
      <c r="L416" s="229">
        <v>14.889058390608101</v>
      </c>
      <c r="M416" s="229">
        <v>26.411447402257899</v>
      </c>
      <c r="N416" s="229">
        <v>5.9741227842647699</v>
      </c>
      <c r="O416" s="205">
        <v>2.9592422035437508E-4</v>
      </c>
      <c r="P416" s="232">
        <v>193.00400000000002</v>
      </c>
      <c r="Q416" s="213"/>
      <c r="R416" s="235"/>
    </row>
    <row r="417" spans="1:18" ht="16.5" customHeight="1" x14ac:dyDescent="0.25">
      <c r="A417" s="230">
        <v>44841</v>
      </c>
      <c r="B417" s="128" t="s">
        <v>37</v>
      </c>
      <c r="C417" s="157" t="str">
        <f t="shared" si="13"/>
        <v>07.10.2022_KRE2</v>
      </c>
      <c r="D417" s="190">
        <f t="shared" si="14"/>
        <v>0</v>
      </c>
      <c r="E417" s="231">
        <v>1.2482931448716044E-5</v>
      </c>
      <c r="F417" s="231">
        <v>1.9901830651761774E-3</v>
      </c>
      <c r="G417" s="231">
        <v>0.25716697953973183</v>
      </c>
      <c r="H417" s="231">
        <v>5.8489800656729117E-3</v>
      </c>
      <c r="I417" s="231">
        <v>5.2096013551469799E-4</v>
      </c>
      <c r="J417" s="231">
        <v>2.726022987266483E-2</v>
      </c>
      <c r="K417" s="229">
        <v>58.841805197648299</v>
      </c>
      <c r="L417" s="229">
        <v>14.6730778483692</v>
      </c>
      <c r="M417" s="229">
        <v>25.015158934554801</v>
      </c>
      <c r="N417" s="229">
        <v>5.7952700989609296</v>
      </c>
      <c r="O417" s="205">
        <v>4.8301022130590413E-4</v>
      </c>
      <c r="P417" s="232">
        <v>182.756</v>
      </c>
      <c r="Q417" s="213"/>
      <c r="R417" s="235"/>
    </row>
    <row r="418" spans="1:18" ht="16.5" customHeight="1" x14ac:dyDescent="0.25">
      <c r="A418" s="230">
        <v>44841</v>
      </c>
      <c r="B418" s="128" t="s">
        <v>18</v>
      </c>
      <c r="C418" s="157" t="str">
        <f t="shared" si="13"/>
        <v>07.10.2022_ORB1</v>
      </c>
      <c r="D418" s="190">
        <f t="shared" si="14"/>
        <v>0</v>
      </c>
      <c r="E418" s="231">
        <v>1.150763660214913E-5</v>
      </c>
      <c r="F418" s="231">
        <v>1.9170673069422628E-3</v>
      </c>
      <c r="G418" s="231">
        <v>8.8224142638621911E-2</v>
      </c>
      <c r="H418" s="231">
        <v>2.987050327565965E-3</v>
      </c>
      <c r="I418" s="231">
        <v>4.3540836928243159E-4</v>
      </c>
      <c r="J418" s="231">
        <v>2.8167794186293293E-2</v>
      </c>
      <c r="K418" s="229">
        <v>11.309341230029201</v>
      </c>
      <c r="L418" s="229">
        <v>2.68598144503048</v>
      </c>
      <c r="M418" s="229">
        <v>6.5050495483160198</v>
      </c>
      <c r="N418" s="229">
        <v>2.9852057795073401</v>
      </c>
      <c r="O418" s="205">
        <v>6.5748487464219876E-5</v>
      </c>
      <c r="P418" s="232">
        <v>25.619999999999997</v>
      </c>
      <c r="Q418" s="213"/>
      <c r="R418" s="235"/>
    </row>
    <row r="419" spans="1:18" ht="16.5" customHeight="1" x14ac:dyDescent="0.25">
      <c r="A419" s="230">
        <v>44841</v>
      </c>
      <c r="B419" s="128" t="s">
        <v>21</v>
      </c>
      <c r="C419" s="157" t="str">
        <f t="shared" si="13"/>
        <v>07.10.2022_ORB2</v>
      </c>
      <c r="D419" s="190">
        <f t="shared" si="14"/>
        <v>0</v>
      </c>
      <c r="E419" s="231">
        <v>1.209281351008928E-5</v>
      </c>
      <c r="F419" s="231">
        <v>1.4093925508239854E-3</v>
      </c>
      <c r="G419" s="231">
        <v>9.6315640442827477E-2</v>
      </c>
      <c r="H419" s="231">
        <v>3.5055010879358646E-3</v>
      </c>
      <c r="I419" s="231">
        <v>2.8636488397711676E-4</v>
      </c>
      <c r="J419" s="231">
        <v>2.1954604475341227E-2</v>
      </c>
      <c r="K419" s="229">
        <v>15.654030136903501</v>
      </c>
      <c r="L419" s="229">
        <v>3.5247765608687001</v>
      </c>
      <c r="M419" s="229">
        <v>15.2180466985902</v>
      </c>
      <c r="N419" s="229">
        <v>3.7657348554390202</v>
      </c>
      <c r="O419" s="205">
        <v>9.7728019402516279E-5</v>
      </c>
      <c r="P419" s="232">
        <v>35.867999999999995</v>
      </c>
      <c r="Q419" s="213"/>
      <c r="R419" s="235"/>
    </row>
    <row r="420" spans="1:18" ht="16.5" customHeight="1" x14ac:dyDescent="0.25">
      <c r="A420" s="230">
        <v>44841</v>
      </c>
      <c r="B420" s="128" t="s">
        <v>10</v>
      </c>
      <c r="C420" s="157" t="str">
        <f t="shared" si="13"/>
        <v>07.10.2022_SAL1</v>
      </c>
      <c r="D420" s="190">
        <f t="shared" si="14"/>
        <v>0</v>
      </c>
      <c r="E420" s="231">
        <v>9.0371705199597654E-6</v>
      </c>
      <c r="F420" s="231">
        <v>1.5815244535417551E-3</v>
      </c>
      <c r="G420" s="231">
        <v>9.3641965046664916E-2</v>
      </c>
      <c r="H420" s="231">
        <v>3.3328178310260584E-3</v>
      </c>
      <c r="I420" s="231">
        <v>2.8693858398431255E-4</v>
      </c>
      <c r="J420" s="231">
        <v>8.7594492776018832E-3</v>
      </c>
      <c r="K420" s="229">
        <v>17.1817133424377</v>
      </c>
      <c r="L420" s="229">
        <v>11.777031810023299</v>
      </c>
      <c r="M420" s="229">
        <v>7.8025986167935004</v>
      </c>
      <c r="N420" s="229">
        <v>1.5976264504037201</v>
      </c>
      <c r="O420" s="205">
        <v>1.4250709255289612E-4</v>
      </c>
      <c r="P420" s="232">
        <v>80.031999999999996</v>
      </c>
      <c r="Q420" s="213"/>
      <c r="R420" s="235"/>
    </row>
    <row r="421" spans="1:18" ht="16.5" customHeight="1" x14ac:dyDescent="0.25">
      <c r="A421" s="230">
        <v>44841</v>
      </c>
      <c r="B421" s="128" t="s">
        <v>12</v>
      </c>
      <c r="C421" s="157" t="str">
        <f t="shared" si="13"/>
        <v>07.10.2022_SAL2</v>
      </c>
      <c r="D421" s="190">
        <f t="shared" si="14"/>
        <v>0</v>
      </c>
      <c r="E421" s="231">
        <v>8.061875673392853E-6</v>
      </c>
      <c r="F421" s="231">
        <v>1.4807773985826376E-3</v>
      </c>
      <c r="G421" s="231">
        <v>9.7868349038705019E-2</v>
      </c>
      <c r="H421" s="231">
        <v>3.5954792857659196E-3</v>
      </c>
      <c r="I421" s="231">
        <v>1.9442550471316722E-4</v>
      </c>
      <c r="J421" s="231">
        <v>1.2073323357280166E-2</v>
      </c>
      <c r="K421" s="229">
        <v>18.0339059379465</v>
      </c>
      <c r="L421" s="229">
        <v>12.1225677618212</v>
      </c>
      <c r="M421" s="229">
        <v>8.1229276958015593</v>
      </c>
      <c r="N421" s="229">
        <v>1.6743858217309999</v>
      </c>
      <c r="O421" s="205">
        <v>1.3749373132345536E-4</v>
      </c>
      <c r="P421" s="232">
        <v>81.25200000000001</v>
      </c>
      <c r="Q421" s="213"/>
      <c r="R421" s="235"/>
    </row>
    <row r="422" spans="1:18" ht="16.5" customHeight="1" x14ac:dyDescent="0.25">
      <c r="A422" s="230">
        <v>44841</v>
      </c>
      <c r="B422" s="128" t="s">
        <v>7</v>
      </c>
      <c r="C422" s="157" t="str">
        <f t="shared" si="13"/>
        <v>07.10.2022_STE1</v>
      </c>
      <c r="D422" s="190">
        <f t="shared" si="14"/>
        <v>0</v>
      </c>
      <c r="E422" s="231">
        <v>6.761342113413561E-6</v>
      </c>
      <c r="F422" s="231">
        <v>2.2885622729397147E-3</v>
      </c>
      <c r="G422" s="231">
        <v>0.12587821317280792</v>
      </c>
      <c r="H422" s="231">
        <v>3.6549264728325571E-3</v>
      </c>
      <c r="I422" s="231">
        <v>1.9845476090499467E-4</v>
      </c>
      <c r="J422" s="231">
        <v>7.3526205294617338E-3</v>
      </c>
      <c r="K422" s="229">
        <v>25.586456608509099</v>
      </c>
      <c r="L422" s="229">
        <v>13.357650281122501</v>
      </c>
      <c r="M422" s="229">
        <v>9.7165726539430892</v>
      </c>
      <c r="N422" s="229">
        <v>1.8801095878332901</v>
      </c>
      <c r="O422" s="205">
        <v>1.3954528799406507E-4</v>
      </c>
      <c r="P422" s="232">
        <v>104.92</v>
      </c>
      <c r="Q422" s="213"/>
      <c r="R422" s="235"/>
    </row>
    <row r="423" spans="1:18" ht="16.5" customHeight="1" x14ac:dyDescent="0.25">
      <c r="A423" s="230">
        <v>44841</v>
      </c>
      <c r="B423" s="128" t="s">
        <v>9</v>
      </c>
      <c r="C423" s="157" t="str">
        <f t="shared" si="13"/>
        <v>07.10.2022_STE2</v>
      </c>
      <c r="D423" s="190">
        <f t="shared" si="14"/>
        <v>0</v>
      </c>
      <c r="E423" s="231">
        <v>8.3218138679206216E-6</v>
      </c>
      <c r="F423" s="231">
        <v>1.9325811874140539E-3</v>
      </c>
      <c r="G423" s="231">
        <v>0.12550002650438277</v>
      </c>
      <c r="H423" s="231">
        <v>3.5787914020368396E-3</v>
      </c>
      <c r="I423" s="231">
        <v>2.0284110198222143E-4</v>
      </c>
      <c r="J423" s="231">
        <v>8.9897183501085436E-3</v>
      </c>
      <c r="K423" s="229">
        <v>26.147953421296201</v>
      </c>
      <c r="L423" s="229">
        <v>13.4043530638072</v>
      </c>
      <c r="M423" s="229">
        <v>9.7050994090559595</v>
      </c>
      <c r="N423" s="229">
        <v>1.89178109920353</v>
      </c>
      <c r="O423" s="205">
        <v>1.5655533084865699E-4</v>
      </c>
      <c r="P423" s="232">
        <v>106.872</v>
      </c>
      <c r="Q423" s="213"/>
      <c r="R423" s="235"/>
    </row>
    <row r="424" spans="1:18" ht="16.5" customHeight="1" x14ac:dyDescent="0.25">
      <c r="A424" s="230">
        <v>44867</v>
      </c>
      <c r="B424" s="128" t="s">
        <v>22</v>
      </c>
      <c r="C424" s="157" t="str">
        <f t="shared" si="13"/>
        <v>02.11.2022_BIE1</v>
      </c>
      <c r="D424" s="190">
        <f t="shared" si="14"/>
        <v>0</v>
      </c>
      <c r="E424" s="231">
        <v>1.4636823121151149E-5</v>
      </c>
      <c r="F424" s="231">
        <v>3.0281311286582064E-3</v>
      </c>
      <c r="G424" s="231">
        <v>0.12231803574122428</v>
      </c>
      <c r="H424" s="231">
        <v>2.5993977040654486E-3</v>
      </c>
      <c r="I424" s="231">
        <v>8.4946763006531773E-5</v>
      </c>
      <c r="J424" s="231">
        <v>1.3564081971018339E-2</v>
      </c>
      <c r="K424" s="229">
        <v>19.5591815725173</v>
      </c>
      <c r="L424" s="229">
        <v>9.7191932462259008</v>
      </c>
      <c r="M424" s="229">
        <v>5.1601394264177296</v>
      </c>
      <c r="N424" s="229">
        <v>3.5562261262128398</v>
      </c>
      <c r="O424" s="205">
        <v>1.8319484201006903E-4</v>
      </c>
      <c r="P424" s="232">
        <v>78.567999999999998</v>
      </c>
      <c r="Q424" s="213"/>
      <c r="R424" s="235"/>
    </row>
    <row r="425" spans="1:18" ht="16.5" customHeight="1" x14ac:dyDescent="0.25">
      <c r="A425" s="230">
        <v>44867</v>
      </c>
      <c r="B425" s="128" t="s">
        <v>25</v>
      </c>
      <c r="C425" s="157" t="str">
        <f t="shared" si="13"/>
        <v>02.11.2022_BIE2</v>
      </c>
      <c r="D425" s="190">
        <f t="shared" si="14"/>
        <v>0</v>
      </c>
      <c r="E425" s="231">
        <v>4.2666702275555432E-5</v>
      </c>
      <c r="F425" s="231">
        <v>2.8279739576369716E-3</v>
      </c>
      <c r="G425" s="231">
        <v>0.11439963982742204</v>
      </c>
      <c r="H425" s="231">
        <v>2.9679087321568464E-3</v>
      </c>
      <c r="I425" s="231">
        <v>5.7992307506263784E-4</v>
      </c>
      <c r="J425" s="231">
        <v>6.4559303597890666E-2</v>
      </c>
      <c r="K425" s="229">
        <v>20.0008008167901</v>
      </c>
      <c r="L425" s="229">
        <v>9.68018539054885</v>
      </c>
      <c r="M425" s="229">
        <v>7.2807587637540099</v>
      </c>
      <c r="N425" s="229">
        <v>3.4275809999401599</v>
      </c>
      <c r="O425" s="205">
        <v>2.4639035626693856E-4</v>
      </c>
      <c r="P425" s="232">
        <v>85.887999999999991</v>
      </c>
      <c r="Q425" s="213"/>
      <c r="R425" s="235"/>
    </row>
    <row r="426" spans="1:18" ht="16.5" customHeight="1" x14ac:dyDescent="0.25">
      <c r="A426" s="230">
        <v>44867</v>
      </c>
      <c r="B426" s="128" t="s">
        <v>14</v>
      </c>
      <c r="C426" s="157" t="str">
        <f t="shared" si="13"/>
        <v>02.11.2022_BRA1</v>
      </c>
      <c r="D426" s="190">
        <f t="shared" si="14"/>
        <v>0</v>
      </c>
      <c r="E426" s="231">
        <v>8.9482878818423606E-6</v>
      </c>
      <c r="F426" s="231">
        <v>1.3069476790391167E-3</v>
      </c>
      <c r="G426" s="231">
        <v>8.8584222116125308E-2</v>
      </c>
      <c r="H426" s="231">
        <v>3.6245273635441152E-3</v>
      </c>
      <c r="I426" s="231">
        <v>4.9339137621762198E-4</v>
      </c>
      <c r="J426" s="231">
        <v>4.7644939395475247E-2</v>
      </c>
      <c r="K426" s="229">
        <v>13.9128417273857</v>
      </c>
      <c r="L426" s="229">
        <v>9.8518569573165795</v>
      </c>
      <c r="M426" s="229">
        <v>5.6094094233432301</v>
      </c>
      <c r="N426" s="229">
        <v>0.96762233405616105</v>
      </c>
      <c r="O426" s="205">
        <v>1.380268400909319E-4</v>
      </c>
      <c r="P426" s="232">
        <v>70.759999999999991</v>
      </c>
      <c r="Q426" s="213"/>
      <c r="R426" s="235"/>
    </row>
    <row r="427" spans="1:18" ht="16.5" customHeight="1" x14ac:dyDescent="0.25">
      <c r="A427" s="230">
        <v>44867</v>
      </c>
      <c r="B427" s="128" t="s">
        <v>17</v>
      </c>
      <c r="C427" s="157" t="str">
        <f t="shared" si="13"/>
        <v>02.11.2022_BRA2</v>
      </c>
      <c r="D427" s="190">
        <f t="shared" si="14"/>
        <v>0</v>
      </c>
      <c r="E427" s="231">
        <v>1.0192438966988876E-5</v>
      </c>
      <c r="F427" s="231">
        <v>2.162014119034091E-3</v>
      </c>
      <c r="G427" s="231">
        <v>9.74724112013476E-2</v>
      </c>
      <c r="H427" s="231">
        <v>2.8176904898052153E-3</v>
      </c>
      <c r="I427" s="231">
        <v>9.7974963089085174E-4</v>
      </c>
      <c r="J427" s="231">
        <v>3.4605033117365312E-2</v>
      </c>
      <c r="K427" s="229">
        <v>16.335376698519699</v>
      </c>
      <c r="L427" s="229">
        <v>10.798965066171601</v>
      </c>
      <c r="M427" s="229">
        <v>6.3767199347345001</v>
      </c>
      <c r="N427" s="229">
        <v>1.1779708095822901</v>
      </c>
      <c r="O427" s="205">
        <v>1.0638757296123522E-4</v>
      </c>
      <c r="P427" s="232">
        <v>74.42</v>
      </c>
      <c r="Q427" s="213"/>
      <c r="R427" s="235"/>
    </row>
    <row r="428" spans="1:18" ht="16.5" customHeight="1" x14ac:dyDescent="0.25">
      <c r="A428" s="230">
        <v>44867</v>
      </c>
      <c r="B428" s="128" t="s">
        <v>30</v>
      </c>
      <c r="C428" s="157" t="str">
        <f t="shared" si="13"/>
        <v>02.11.2022_FAL1</v>
      </c>
      <c r="D428" s="190">
        <f t="shared" si="14"/>
        <v>0</v>
      </c>
      <c r="E428" s="231">
        <v>8.5927064297294972E-6</v>
      </c>
      <c r="F428" s="231">
        <v>1.5139703546190218E-3</v>
      </c>
      <c r="G428" s="231">
        <v>0.3008613802672554</v>
      </c>
      <c r="H428" s="231">
        <v>4.3968923280212416E-3</v>
      </c>
      <c r="I428" s="231">
        <v>5.5268714475396798E-4</v>
      </c>
      <c r="J428" s="231">
        <v>2.6283003854884156E-2</v>
      </c>
      <c r="K428" s="229">
        <v>69.848039735991307</v>
      </c>
      <c r="L428" s="229">
        <v>25.183683599251601</v>
      </c>
      <c r="M428" s="229">
        <v>41.1145956612718</v>
      </c>
      <c r="N428" s="229">
        <v>8.5407911312310905</v>
      </c>
      <c r="O428" s="205">
        <v>2.5682200006232685E-4</v>
      </c>
      <c r="P428" s="232">
        <v>287.67599999999999</v>
      </c>
      <c r="Q428" s="213"/>
      <c r="R428" s="235"/>
    </row>
    <row r="429" spans="1:18" ht="16.5" customHeight="1" x14ac:dyDescent="0.25">
      <c r="A429" s="230">
        <v>44867</v>
      </c>
      <c r="B429" s="128" t="s">
        <v>32</v>
      </c>
      <c r="C429" s="157" t="str">
        <f t="shared" si="13"/>
        <v>02.11.2022_FAL2</v>
      </c>
      <c r="D429" s="190">
        <f t="shared" si="14"/>
        <v>0</v>
      </c>
      <c r="E429" s="231">
        <v>1.2325927679666048E-5</v>
      </c>
      <c r="F429" s="231">
        <v>1.6032413373562801E-3</v>
      </c>
      <c r="G429" s="231">
        <v>0.30678378315537846</v>
      </c>
      <c r="H429" s="231">
        <v>4.3646464009480636E-3</v>
      </c>
      <c r="I429" s="231">
        <v>5.560935572336993E-4</v>
      </c>
      <c r="J429" s="231">
        <v>2.2185514750495378E-2</v>
      </c>
      <c r="K429" s="229">
        <v>68.940560936703704</v>
      </c>
      <c r="L429" s="229">
        <v>25.2548014868444</v>
      </c>
      <c r="M429" s="229">
        <v>30.077165892244</v>
      </c>
      <c r="N429" s="229">
        <v>6.7139196503176999</v>
      </c>
      <c r="O429" s="205">
        <v>2.3134577192686546E-4</v>
      </c>
      <c r="P429" s="232">
        <v>317.2</v>
      </c>
      <c r="Q429" s="213"/>
      <c r="R429" s="235"/>
    </row>
    <row r="430" spans="1:18" ht="16.5" customHeight="1" x14ac:dyDescent="0.25">
      <c r="A430" s="230">
        <v>44867</v>
      </c>
      <c r="B430" s="128" t="s">
        <v>26</v>
      </c>
      <c r="C430" s="157" t="str">
        <f t="shared" si="13"/>
        <v>02.11.2022_GRU1</v>
      </c>
      <c r="D430" s="190">
        <f t="shared" si="14"/>
        <v>0</v>
      </c>
      <c r="E430" s="231">
        <v>1.5111059723051132E-5</v>
      </c>
      <c r="F430" s="231">
        <v>1.7732810236933479E-3</v>
      </c>
      <c r="G430" s="231">
        <v>0.1027397074221965</v>
      </c>
      <c r="H430" s="231">
        <v>4.387171272020084E-3</v>
      </c>
      <c r="I430" s="231">
        <v>4.5831386213852768E-4</v>
      </c>
      <c r="J430" s="231">
        <v>4.2619914095262855E-2</v>
      </c>
      <c r="K430" s="229">
        <v>14.310051470201399</v>
      </c>
      <c r="L430" s="229">
        <v>7.1233039884425402</v>
      </c>
      <c r="M430" s="229">
        <v>6.39159596656296</v>
      </c>
      <c r="N430" s="229">
        <v>1.7686446260873601</v>
      </c>
      <c r="O430" s="205">
        <v>1.7341199659638628E-4</v>
      </c>
      <c r="P430" s="232">
        <v>55.876000000000005</v>
      </c>
      <c r="Q430" s="213"/>
      <c r="R430" s="235"/>
    </row>
    <row r="431" spans="1:18" ht="16.5" customHeight="1" x14ac:dyDescent="0.25">
      <c r="A431" s="230">
        <v>44867</v>
      </c>
      <c r="B431" s="128" t="s">
        <v>28</v>
      </c>
      <c r="C431" s="157" t="str">
        <f t="shared" si="13"/>
        <v>02.11.2022_GRU2</v>
      </c>
      <c r="D431" s="190">
        <f t="shared" si="14"/>
        <v>0</v>
      </c>
      <c r="E431" s="231">
        <v>1.2444198832204668E-5</v>
      </c>
      <c r="F431" s="231">
        <v>1.8410290623880111E-3</v>
      </c>
      <c r="G431" s="231">
        <v>0.11123586502151937</v>
      </c>
      <c r="H431" s="231">
        <v>4.9220500109183078E-3</v>
      </c>
      <c r="I431" s="231">
        <v>3.3094457452610178E-4</v>
      </c>
      <c r="J431" s="231">
        <v>5.0222889422232311E-2</v>
      </c>
      <c r="K431" s="229">
        <v>17.363691644238301</v>
      </c>
      <c r="L431" s="229">
        <v>6.9431802945070196</v>
      </c>
      <c r="M431" s="229">
        <v>6.0193794425769003</v>
      </c>
      <c r="N431" s="229">
        <v>1.93084462579178</v>
      </c>
      <c r="O431" s="205">
        <v>1.6366826879764403E-4</v>
      </c>
      <c r="P431" s="232">
        <v>64.171999999999997</v>
      </c>
      <c r="Q431" s="213"/>
      <c r="R431" s="235"/>
    </row>
    <row r="432" spans="1:18" ht="16.5" customHeight="1" x14ac:dyDescent="0.25">
      <c r="A432" s="230">
        <v>44867</v>
      </c>
      <c r="B432" s="128" t="s">
        <v>0</v>
      </c>
      <c r="C432" s="157" t="str">
        <f t="shared" si="13"/>
        <v>02.11.2022_KIN1</v>
      </c>
      <c r="D432" s="190">
        <f t="shared" si="14"/>
        <v>0</v>
      </c>
      <c r="E432" s="231">
        <v>1.26219895582611E-5</v>
      </c>
      <c r="F432" s="231">
        <v>1.9246315121858768E-3</v>
      </c>
      <c r="G432" s="231">
        <v>0.17765561249378853</v>
      </c>
      <c r="H432" s="231">
        <v>3.8647317439465373E-3</v>
      </c>
      <c r="I432" s="231">
        <v>6.3944413840478533E-4</v>
      </c>
      <c r="J432" s="231">
        <v>3.8083215773276773E-2</v>
      </c>
      <c r="K432" s="229">
        <v>37.857247044680797</v>
      </c>
      <c r="L432" s="229">
        <v>16.056625120513999</v>
      </c>
      <c r="M432" s="229">
        <v>7.5220073212420298</v>
      </c>
      <c r="N432" s="229">
        <v>2.24392013726554</v>
      </c>
      <c r="O432" s="205">
        <v>1.2872415080913637E-4</v>
      </c>
      <c r="P432" s="232">
        <v>169.57999999999998</v>
      </c>
      <c r="Q432" s="213"/>
      <c r="R432" s="235"/>
    </row>
    <row r="433" spans="1:18" ht="16.5" customHeight="1" x14ac:dyDescent="0.25">
      <c r="A433" s="230">
        <v>44867</v>
      </c>
      <c r="B433" s="128" t="s">
        <v>2</v>
      </c>
      <c r="C433" s="157" t="str">
        <f t="shared" si="13"/>
        <v>02.11.2022_KIN2</v>
      </c>
      <c r="D433" s="190">
        <f t="shared" si="14"/>
        <v>0</v>
      </c>
      <c r="E433" s="231">
        <v>7.8815435255037738E-6</v>
      </c>
      <c r="F433" s="231">
        <v>1.4086937351552615E-3</v>
      </c>
      <c r="G433" s="231">
        <v>0.18325842551409272</v>
      </c>
      <c r="H433" s="231">
        <v>3.5476799075846205E-3</v>
      </c>
      <c r="I433" s="231">
        <v>4.0641920915826882E-4</v>
      </c>
      <c r="J433" s="231">
        <v>5.5303997691150131E-2</v>
      </c>
      <c r="K433" s="229">
        <v>37.6680637330305</v>
      </c>
      <c r="L433" s="229">
        <v>17.632342056051399</v>
      </c>
      <c r="M433" s="229">
        <v>6.4426568455554696</v>
      </c>
      <c r="N433" s="229">
        <v>2.3712581145559599</v>
      </c>
      <c r="O433" s="205">
        <v>1.1399284316210576E-4</v>
      </c>
      <c r="P433" s="232">
        <v>182.756</v>
      </c>
      <c r="Q433" s="213"/>
      <c r="R433" s="235"/>
    </row>
    <row r="434" spans="1:18" ht="16.5" customHeight="1" x14ac:dyDescent="0.25">
      <c r="A434" s="230">
        <v>44867</v>
      </c>
      <c r="B434" s="128" t="s">
        <v>4</v>
      </c>
      <c r="C434" s="157" t="str">
        <f t="shared" si="13"/>
        <v>02.11.2022_KIN3</v>
      </c>
      <c r="D434" s="190">
        <f t="shared" si="14"/>
        <v>0</v>
      </c>
      <c r="E434" s="231">
        <v>1.0548020419101737E-5</v>
      </c>
      <c r="F434" s="231">
        <v>2.4698508707993966E-3</v>
      </c>
      <c r="G434" s="231">
        <v>0.22174974754346835</v>
      </c>
      <c r="H434" s="231">
        <v>3.386357612747185E-3</v>
      </c>
      <c r="I434" s="231">
        <v>5.8262986157582293E-4</v>
      </c>
      <c r="J434" s="231">
        <v>4.1905271743976819E-2</v>
      </c>
      <c r="K434" s="229">
        <v>46.563492640510802</v>
      </c>
      <c r="L434" s="229">
        <v>18.092059098288502</v>
      </c>
      <c r="M434" s="229">
        <v>7.3913651361805304</v>
      </c>
      <c r="N434" s="229">
        <v>2.1634518709030099</v>
      </c>
      <c r="O434" s="205">
        <v>1.55933054244997E-4</v>
      </c>
      <c r="P434" s="232">
        <v>189.83199999999999</v>
      </c>
      <c r="Q434" s="213"/>
      <c r="R434" s="235"/>
    </row>
    <row r="435" spans="1:18" ht="16.5" customHeight="1" x14ac:dyDescent="0.25">
      <c r="A435" s="230">
        <v>44867</v>
      </c>
      <c r="B435" s="128" t="s">
        <v>6</v>
      </c>
      <c r="C435" s="157" t="str">
        <f t="shared" si="13"/>
        <v>02.11.2022_KIN4</v>
      </c>
      <c r="D435" s="190">
        <f t="shared" si="14"/>
        <v>0</v>
      </c>
      <c r="E435" s="231">
        <v>7.8220239519859607E-6</v>
      </c>
      <c r="F435" s="231">
        <v>1.282690187257785E-3</v>
      </c>
      <c r="G435" s="231">
        <v>0.17713417468834297</v>
      </c>
      <c r="H435" s="231">
        <v>3.3116546848361811E-3</v>
      </c>
      <c r="I435" s="231">
        <v>3.2615752848602587E-4</v>
      </c>
      <c r="J435" s="231">
        <v>3.2638058111629974E-2</v>
      </c>
      <c r="K435" s="229">
        <v>33.941428619644498</v>
      </c>
      <c r="L435" s="229">
        <v>17.0609001225497</v>
      </c>
      <c r="M435" s="229">
        <v>15.036572576283801</v>
      </c>
      <c r="N435" s="229">
        <v>2.3132974813679201</v>
      </c>
      <c r="O435" s="205">
        <v>1.4000916300256058E-4</v>
      </c>
      <c r="P435" s="232">
        <v>169.33599999999998</v>
      </c>
      <c r="Q435" s="213"/>
      <c r="R435" s="235"/>
    </row>
    <row r="436" spans="1:18" ht="16.5" customHeight="1" x14ac:dyDescent="0.25">
      <c r="A436" s="230">
        <v>44867</v>
      </c>
      <c r="B436" s="128" t="s">
        <v>34</v>
      </c>
      <c r="C436" s="157" t="str">
        <f t="shared" si="13"/>
        <v>02.11.2022_KRE1</v>
      </c>
      <c r="D436" s="190">
        <f t="shared" si="14"/>
        <v>0</v>
      </c>
      <c r="E436" s="231">
        <v>1.084446629494529E-5</v>
      </c>
      <c r="F436" s="231">
        <v>1.6796619574384838E-3</v>
      </c>
      <c r="G436" s="231">
        <v>0.31168109502625502</v>
      </c>
      <c r="H436" s="231">
        <v>3.9661662829378642E-3</v>
      </c>
      <c r="I436" s="231">
        <v>4.5539140239471941E-4</v>
      </c>
      <c r="J436" s="231">
        <v>2.051369212104321E-2</v>
      </c>
      <c r="K436" s="229">
        <v>68.828638658968202</v>
      </c>
      <c r="L436" s="229">
        <v>24.173045373261601</v>
      </c>
      <c r="M436" s="229">
        <v>37.094430652826702</v>
      </c>
      <c r="N436" s="229">
        <v>8.4754815106879402</v>
      </c>
      <c r="O436" s="205">
        <v>3.273069055822538E-4</v>
      </c>
      <c r="P436" s="232">
        <v>298.16800000000001</v>
      </c>
      <c r="Q436" s="213"/>
      <c r="R436" s="235"/>
    </row>
    <row r="437" spans="1:18" ht="16.5" customHeight="1" x14ac:dyDescent="0.25">
      <c r="A437" s="230">
        <v>44867</v>
      </c>
      <c r="B437" s="128" t="s">
        <v>37</v>
      </c>
      <c r="C437" s="157" t="str">
        <f t="shared" si="13"/>
        <v>02.11.2022_KRE2</v>
      </c>
      <c r="D437" s="190">
        <f t="shared" si="14"/>
        <v>0</v>
      </c>
      <c r="E437" s="231">
        <v>1.2148136953609618E-5</v>
      </c>
      <c r="F437" s="231">
        <v>2.2912593060952198E-3</v>
      </c>
      <c r="G437" s="231">
        <v>0.36982881038044613</v>
      </c>
      <c r="H437" s="231">
        <v>5.1052558870897909E-3</v>
      </c>
      <c r="I437" s="231">
        <v>4.5256815733521867E-4</v>
      </c>
      <c r="J437" s="231">
        <v>4.0070824917058101E-2</v>
      </c>
      <c r="K437" s="229">
        <v>81.5543905818637</v>
      </c>
      <c r="L437" s="229">
        <v>24.5669640131857</v>
      </c>
      <c r="M437" s="229">
        <v>35.559812780061499</v>
      </c>
      <c r="N437" s="229">
        <v>8.3859476901724506</v>
      </c>
      <c r="O437" s="205">
        <v>5.3265675590993171E-4</v>
      </c>
      <c r="P437" s="232">
        <v>283.77199999999999</v>
      </c>
      <c r="Q437" s="213"/>
      <c r="R437" s="235"/>
    </row>
    <row r="438" spans="1:18" ht="16.5" customHeight="1" x14ac:dyDescent="0.25">
      <c r="A438" s="230">
        <v>44867</v>
      </c>
      <c r="B438" s="128" t="s">
        <v>18</v>
      </c>
      <c r="C438" s="157" t="str">
        <f t="shared" si="13"/>
        <v>02.11.2022_ORB1</v>
      </c>
      <c r="D438" s="190">
        <f t="shared" si="14"/>
        <v>0</v>
      </c>
      <c r="E438" s="231">
        <v>1.114052817354034E-5</v>
      </c>
      <c r="F438" s="231">
        <v>1.2944705245736714E-3</v>
      </c>
      <c r="G438" s="231">
        <v>8.9591348533718515E-2</v>
      </c>
      <c r="H438" s="231">
        <v>2.9284353663028826E-3</v>
      </c>
      <c r="I438" s="231">
        <v>6.1688879203161966E-4</v>
      </c>
      <c r="J438" s="231">
        <v>4.0186979896618583E-2</v>
      </c>
      <c r="K438" s="229">
        <v>10.4297623323907</v>
      </c>
      <c r="L438" s="229">
        <v>2.7026398116146702</v>
      </c>
      <c r="M438" s="229">
        <v>5.76319010664999</v>
      </c>
      <c r="N438" s="229">
        <v>3.0943374509281401</v>
      </c>
      <c r="O438" s="205">
        <v>5.9591824966324575E-5</v>
      </c>
      <c r="P438" s="232">
        <v>23.423999999999999</v>
      </c>
      <c r="Q438" s="213"/>
      <c r="R438" s="235"/>
    </row>
    <row r="439" spans="1:18" ht="16.5" customHeight="1" x14ac:dyDescent="0.25">
      <c r="A439" s="230">
        <v>44867</v>
      </c>
      <c r="B439" s="128" t="s">
        <v>21</v>
      </c>
      <c r="C439" s="157" t="str">
        <f t="shared" si="13"/>
        <v>02.11.2022_ORB2</v>
      </c>
      <c r="D439" s="190">
        <f t="shared" si="14"/>
        <v>0</v>
      </c>
      <c r="E439" s="231">
        <v>1.3807389064386807E-5</v>
      </c>
      <c r="F439" s="231">
        <v>1.9965059986795952E-3</v>
      </c>
      <c r="G439" s="231">
        <v>0.10092724492271406</v>
      </c>
      <c r="H439" s="231">
        <v>2.2725399097679789E-3</v>
      </c>
      <c r="I439" s="231">
        <v>2.3690292386551297E-4</v>
      </c>
      <c r="J439" s="231">
        <v>3.5570148000863451E-2</v>
      </c>
      <c r="K439" s="229">
        <v>13.769933801285999</v>
      </c>
      <c r="L439" s="229">
        <v>3.4706765532300499</v>
      </c>
      <c r="M439" s="229">
        <v>13.018423642757901</v>
      </c>
      <c r="N439" s="229">
        <v>3.5541295410309499</v>
      </c>
      <c r="O439" s="205">
        <v>7.4956821186714703E-5</v>
      </c>
      <c r="P439" s="232">
        <v>30.012</v>
      </c>
      <c r="Q439" s="213"/>
      <c r="R439" s="235"/>
    </row>
    <row r="440" spans="1:18" ht="16.5" customHeight="1" x14ac:dyDescent="0.25">
      <c r="A440" s="230">
        <v>44867</v>
      </c>
      <c r="B440" s="128" t="s">
        <v>10</v>
      </c>
      <c r="C440" s="157" t="str">
        <f t="shared" si="13"/>
        <v>02.11.2022_SAL1</v>
      </c>
      <c r="D440" s="190">
        <f t="shared" si="14"/>
        <v>0</v>
      </c>
      <c r="E440" s="231">
        <v>1.4044315366712548E-5</v>
      </c>
      <c r="F440" s="231">
        <v>1.376346366222954E-3</v>
      </c>
      <c r="G440" s="231">
        <v>0.10801227781909591</v>
      </c>
      <c r="H440" s="231">
        <v>2.4190987494548716E-3</v>
      </c>
      <c r="I440" s="231">
        <v>6.7060817049669256E-4</v>
      </c>
      <c r="J440" s="231">
        <v>4.1834356936023012E-2</v>
      </c>
      <c r="K440" s="229">
        <v>15.527829788589299</v>
      </c>
      <c r="L440" s="229">
        <v>10.642625365281001</v>
      </c>
      <c r="M440" s="229">
        <v>6.4357031280374999</v>
      </c>
      <c r="N440" s="229">
        <v>1.25448828786845</v>
      </c>
      <c r="O440" s="205">
        <v>1.1453696414932478E-4</v>
      </c>
      <c r="P440" s="232">
        <v>75.884</v>
      </c>
      <c r="Q440" s="213"/>
      <c r="R440" s="235"/>
    </row>
    <row r="441" spans="1:18" ht="16.5" customHeight="1" x14ac:dyDescent="0.25">
      <c r="A441" s="230">
        <v>44867</v>
      </c>
      <c r="B441" s="128" t="s">
        <v>12</v>
      </c>
      <c r="C441" s="157" t="str">
        <f t="shared" si="13"/>
        <v>02.11.2022_SAL2</v>
      </c>
      <c r="D441" s="190">
        <f t="shared" si="14"/>
        <v>0</v>
      </c>
      <c r="E441" s="231">
        <v>9.8368575148760121E-6</v>
      </c>
      <c r="F441" s="231">
        <v>1.3206037690403265E-3</v>
      </c>
      <c r="G441" s="231">
        <v>0.1055536477507239</v>
      </c>
      <c r="H441" s="231">
        <v>2.7718076743658109E-3</v>
      </c>
      <c r="I441" s="231">
        <v>4.3525232094655884E-4</v>
      </c>
      <c r="J441" s="231">
        <v>3.3493376355242126E-2</v>
      </c>
      <c r="K441" s="229">
        <v>17.374191581300501</v>
      </c>
      <c r="L441" s="229">
        <v>11.244154557327301</v>
      </c>
      <c r="M441" s="229">
        <v>6.6098725435593604</v>
      </c>
      <c r="N441" s="229">
        <v>1.26343387925387</v>
      </c>
      <c r="O441" s="205">
        <v>1.1760752903539148E-4</v>
      </c>
      <c r="P441" s="232">
        <v>80.76400000000001</v>
      </c>
      <c r="Q441" s="213"/>
      <c r="R441" s="235"/>
    </row>
    <row r="442" spans="1:18" ht="16.5" customHeight="1" x14ac:dyDescent="0.25">
      <c r="A442" s="230">
        <v>44867</v>
      </c>
      <c r="B442" s="128" t="s">
        <v>7</v>
      </c>
      <c r="C442" s="157" t="str">
        <f t="shared" si="13"/>
        <v>02.11.2022_STE1</v>
      </c>
      <c r="D442" s="190">
        <f t="shared" si="14"/>
        <v>0</v>
      </c>
      <c r="E442" s="231">
        <v>6.637008443108756E-6</v>
      </c>
      <c r="F442" s="231">
        <v>2.2131089562345942E-3</v>
      </c>
      <c r="G442" s="231">
        <v>0.13608074073640047</v>
      </c>
      <c r="H442" s="231">
        <v>4.1098630223896232E-3</v>
      </c>
      <c r="I442" s="231">
        <v>1.1626698950068636E-4</v>
      </c>
      <c r="J442" s="231">
        <v>2.7940126919129137E-2</v>
      </c>
      <c r="K442" s="229">
        <v>29.5849284044955</v>
      </c>
      <c r="L442" s="229">
        <v>14.0349855616296</v>
      </c>
      <c r="M442" s="229">
        <v>8.1173760893512608</v>
      </c>
      <c r="N442" s="229">
        <v>1.65522859712788</v>
      </c>
      <c r="O442" s="205">
        <v>1.2220712258270385E-4</v>
      </c>
      <c r="P442" s="232">
        <v>112.97200000000001</v>
      </c>
      <c r="Q442" s="213"/>
      <c r="R442" s="235"/>
    </row>
    <row r="443" spans="1:18" ht="16.5" customHeight="1" x14ac:dyDescent="0.25">
      <c r="A443" s="230">
        <v>44867</v>
      </c>
      <c r="B443" s="128" t="s">
        <v>9</v>
      </c>
      <c r="C443" s="157" t="str">
        <f t="shared" si="13"/>
        <v>02.11.2022_STE2</v>
      </c>
      <c r="D443" s="190">
        <f t="shared" si="14"/>
        <v>0</v>
      </c>
      <c r="E443" s="231">
        <v>7.0517254714909279E-6</v>
      </c>
      <c r="F443" s="231">
        <v>2.4371198882446841E-3</v>
      </c>
      <c r="G443" s="231">
        <v>0.13811282496679381</v>
      </c>
      <c r="H443" s="231">
        <v>2.8457805318358692E-3</v>
      </c>
      <c r="I443" s="231">
        <v>4.3817702988975949E-4</v>
      </c>
      <c r="J443" s="231">
        <v>1.604888290330507E-2</v>
      </c>
      <c r="K443" s="229">
        <v>26.544258978798599</v>
      </c>
      <c r="L443" s="229">
        <v>12.809945217591499</v>
      </c>
      <c r="M443" s="229">
        <v>7.6092127303537804</v>
      </c>
      <c r="N443" s="229">
        <v>1.45181690000179</v>
      </c>
      <c r="O443" s="205">
        <v>1.461636397720664E-4</v>
      </c>
      <c r="P443" s="232">
        <v>111.99600000000001</v>
      </c>
      <c r="Q443" s="213"/>
      <c r="R443" s="235"/>
    </row>
    <row r="444" spans="1:18" ht="16.5" customHeight="1" x14ac:dyDescent="0.25">
      <c r="A444" s="230">
        <v>44909</v>
      </c>
      <c r="B444" s="128" t="s">
        <v>22</v>
      </c>
      <c r="C444" s="157" t="str">
        <f t="shared" si="13"/>
        <v>14.12.2022_BIE1</v>
      </c>
      <c r="D444" s="190">
        <f t="shared" si="14"/>
        <v>0</v>
      </c>
      <c r="E444" s="231">
        <v>3.3424274638053954E-5</v>
      </c>
      <c r="F444" s="231">
        <v>1.6534597995629752E-3</v>
      </c>
      <c r="G444" s="231">
        <v>0.14115979428528125</v>
      </c>
      <c r="H444" s="231">
        <v>9.8460242010195344E-3</v>
      </c>
      <c r="I444" s="231">
        <v>2.7851535146557551E-4</v>
      </c>
      <c r="J444" s="231">
        <v>1.7656374759654803E-2</v>
      </c>
      <c r="K444" s="229">
        <v>20.308408873767199</v>
      </c>
      <c r="L444" s="229">
        <v>10.293480048720699</v>
      </c>
      <c r="M444" s="229">
        <v>5.9409848916605101</v>
      </c>
      <c r="N444" s="229">
        <v>2.90667860293807</v>
      </c>
      <c r="O444" s="205">
        <v>2.3528617073590067E-4</v>
      </c>
      <c r="P444" s="232">
        <v>84.911999999999992</v>
      </c>
      <c r="Q444" s="213"/>
      <c r="R444" s="235"/>
    </row>
    <row r="445" spans="1:18" ht="16.5" customHeight="1" x14ac:dyDescent="0.25">
      <c r="A445" s="230">
        <v>44909</v>
      </c>
      <c r="B445" s="128" t="s">
        <v>25</v>
      </c>
      <c r="C445" s="157" t="str">
        <f t="shared" si="13"/>
        <v>14.12.2022_BIE2</v>
      </c>
      <c r="D445" s="190">
        <f t="shared" si="14"/>
        <v>0</v>
      </c>
      <c r="E445" s="231">
        <v>5.8526241856450715E-5</v>
      </c>
      <c r="F445" s="231">
        <v>1.7685894147173491E-3</v>
      </c>
      <c r="G445" s="231">
        <v>0.15509971921076918</v>
      </c>
      <c r="H445" s="231">
        <v>1.2216518679229644E-2</v>
      </c>
      <c r="I445" s="231">
        <v>5.4039331331920447E-4</v>
      </c>
      <c r="J445" s="231">
        <v>2.6194258829149362E-2</v>
      </c>
      <c r="K445" s="229">
        <v>21.416782869533101</v>
      </c>
      <c r="L445" s="229">
        <v>10.308136115034101</v>
      </c>
      <c r="M445" s="229">
        <v>8.8021282749374006</v>
      </c>
      <c r="N445" s="229">
        <v>3.1463440637737099</v>
      </c>
      <c r="O445" s="205">
        <v>3.3861096109350652E-4</v>
      </c>
      <c r="P445" s="232">
        <v>104.92</v>
      </c>
      <c r="Q445" s="213"/>
      <c r="R445" s="235"/>
    </row>
    <row r="446" spans="1:18" ht="16.5" customHeight="1" x14ac:dyDescent="0.25">
      <c r="A446" s="230">
        <v>44909</v>
      </c>
      <c r="B446" s="128" t="s">
        <v>14</v>
      </c>
      <c r="C446" s="157" t="str">
        <f t="shared" si="13"/>
        <v>14.12.2022_BRA1</v>
      </c>
      <c r="D446" s="190">
        <f t="shared" si="14"/>
        <v>0</v>
      </c>
      <c r="E446" s="231">
        <v>1.9242396630685411E-5</v>
      </c>
      <c r="F446" s="231">
        <v>1.2161209584512303E-3</v>
      </c>
      <c r="G446" s="231">
        <v>0.11693350523672519</v>
      </c>
      <c r="H446" s="231">
        <v>1.108147990381789E-2</v>
      </c>
      <c r="I446" s="231">
        <v>4.9622319879963296E-4</v>
      </c>
      <c r="J446" s="231">
        <v>1.7725850208273653E-2</v>
      </c>
      <c r="K446" s="229">
        <v>15.9058374666298</v>
      </c>
      <c r="L446" s="229">
        <v>11.421970524373201</v>
      </c>
      <c r="M446" s="229">
        <v>7.11443422414475</v>
      </c>
      <c r="N446" s="229">
        <v>0.78870387635178396</v>
      </c>
      <c r="O446" s="205">
        <v>1.5093084001470021E-4</v>
      </c>
      <c r="P446" s="232">
        <v>61.488</v>
      </c>
      <c r="Q446" s="213"/>
      <c r="R446" s="235"/>
    </row>
    <row r="447" spans="1:18" ht="16.5" customHeight="1" x14ac:dyDescent="0.25">
      <c r="A447" s="230">
        <v>44909</v>
      </c>
      <c r="B447" s="128" t="s">
        <v>17</v>
      </c>
      <c r="C447" s="157" t="str">
        <f t="shared" si="13"/>
        <v>14.12.2022_BRA2</v>
      </c>
      <c r="D447" s="190">
        <f t="shared" si="14"/>
        <v>0</v>
      </c>
      <c r="E447" s="231">
        <v>1.3316382197122684E-5</v>
      </c>
      <c r="F447" s="231">
        <v>1.2576625886547568E-3</v>
      </c>
      <c r="G447" s="231">
        <v>0.1281129555936506</v>
      </c>
      <c r="H447" s="231">
        <v>1.3590926773692051E-2</v>
      </c>
      <c r="I447" s="231">
        <v>2.9800831742707773E-4</v>
      </c>
      <c r="J447" s="231">
        <v>2.6665023868588253E-2</v>
      </c>
      <c r="K447" s="229">
        <v>17.893908109354399</v>
      </c>
      <c r="L447" s="229">
        <v>12.1531638159436</v>
      </c>
      <c r="M447" s="229">
        <v>7.6509236627318398</v>
      </c>
      <c r="N447" s="229">
        <v>1.00075998515167</v>
      </c>
      <c r="O447" s="205">
        <v>9.9577459885587577E-5</v>
      </c>
      <c r="P447" s="232">
        <v>73.444000000000003</v>
      </c>
      <c r="Q447" s="213"/>
      <c r="R447" s="235"/>
    </row>
    <row r="448" spans="1:18" ht="16.5" customHeight="1" x14ac:dyDescent="0.25">
      <c r="A448" s="230">
        <v>44909</v>
      </c>
      <c r="B448" s="128" t="s">
        <v>30</v>
      </c>
      <c r="C448" s="157" t="str">
        <f t="shared" si="13"/>
        <v>14.12.2022_FAL1</v>
      </c>
      <c r="D448" s="190">
        <f t="shared" si="14"/>
        <v>0</v>
      </c>
      <c r="E448" s="231">
        <v>8.7887087012502944E-6</v>
      </c>
      <c r="F448" s="231">
        <v>1.4364806803794754E-3</v>
      </c>
      <c r="G448" s="231">
        <v>0.45492678910896295</v>
      </c>
      <c r="H448" s="231">
        <v>1.07697197941699E-2</v>
      </c>
      <c r="I448" s="231">
        <v>2.9771624068019703E-4</v>
      </c>
      <c r="J448" s="231">
        <v>1.808158208008831E-2</v>
      </c>
      <c r="K448" s="229">
        <v>87.327046985980104</v>
      </c>
      <c r="L448" s="229">
        <v>32.064857744877301</v>
      </c>
      <c r="M448" s="229">
        <v>43.083424661833597</v>
      </c>
      <c r="N448" s="229">
        <v>7.4164343788435296</v>
      </c>
      <c r="O448" s="205">
        <v>2.7694363087745421E-4</v>
      </c>
      <c r="P448" s="232">
        <v>268.88800000000003</v>
      </c>
      <c r="Q448" s="213"/>
      <c r="R448" s="235"/>
    </row>
    <row r="449" spans="1:18" ht="16.5" customHeight="1" x14ac:dyDescent="0.25">
      <c r="A449" s="230">
        <v>44909</v>
      </c>
      <c r="B449" s="128" t="s">
        <v>32</v>
      </c>
      <c r="C449" s="157" t="str">
        <f t="shared" si="13"/>
        <v>14.12.2022_FAL2</v>
      </c>
      <c r="D449" s="190">
        <f t="shared" si="14"/>
        <v>0</v>
      </c>
      <c r="E449" s="231">
        <v>1.045325647589063E-5</v>
      </c>
      <c r="F449" s="231">
        <v>1.3071037538586302E-3</v>
      </c>
      <c r="G449" s="231">
        <v>0.39212526065473191</v>
      </c>
      <c r="H449" s="231">
        <v>5.578713615523318E-3</v>
      </c>
      <c r="I449" s="231">
        <v>2.6449700223664223E-4</v>
      </c>
      <c r="J449" s="231">
        <v>9.4258952682471798E-3</v>
      </c>
      <c r="K449" s="229">
        <v>74.861294897950302</v>
      </c>
      <c r="L449" s="229">
        <v>31.2399945269791</v>
      </c>
      <c r="M449" s="229">
        <v>36.009440746381799</v>
      </c>
      <c r="N449" s="229">
        <v>6.1293568442686599</v>
      </c>
      <c r="O449" s="205">
        <v>1.9233855781918937E-4</v>
      </c>
      <c r="P449" s="232">
        <v>286.94399999999996</v>
      </c>
      <c r="Q449" s="213"/>
      <c r="R449" s="235"/>
    </row>
    <row r="450" spans="1:18" ht="16.5" customHeight="1" x14ac:dyDescent="0.25">
      <c r="A450" s="230">
        <v>44909</v>
      </c>
      <c r="B450" s="128" t="s">
        <v>26</v>
      </c>
      <c r="C450" s="157" t="str">
        <f t="shared" si="13"/>
        <v>14.12.2022_GRU1</v>
      </c>
      <c r="D450" s="190">
        <f t="shared" si="14"/>
        <v>0</v>
      </c>
      <c r="E450" s="231">
        <v>1.3449701342369927E-5</v>
      </c>
      <c r="F450" s="231">
        <v>1.3422864123232528E-3</v>
      </c>
      <c r="G450" s="231">
        <v>0.11907860147360098</v>
      </c>
      <c r="H450" s="231">
        <v>4.0720719945799505E-3</v>
      </c>
      <c r="I450" s="231">
        <v>2.9229069694763123E-4</v>
      </c>
      <c r="J450" s="231">
        <v>9.6891855705081367E-3</v>
      </c>
      <c r="K450" s="229">
        <v>16.5435593059578</v>
      </c>
      <c r="L450" s="229">
        <v>9.5110255397688892</v>
      </c>
      <c r="M450" s="229">
        <v>8.1573759680838602</v>
      </c>
      <c r="N450" s="229">
        <v>1.7078531356195701</v>
      </c>
      <c r="O450" s="205">
        <v>1.417668801707086E-4</v>
      </c>
      <c r="P450" s="232">
        <v>67.832000000000008</v>
      </c>
      <c r="Q450" s="213"/>
      <c r="R450" s="235"/>
    </row>
    <row r="451" spans="1:18" ht="16.5" customHeight="1" x14ac:dyDescent="0.25">
      <c r="A451" s="230">
        <v>44909</v>
      </c>
      <c r="B451" s="128" t="s">
        <v>28</v>
      </c>
      <c r="C451" s="157" t="str">
        <f t="shared" si="13"/>
        <v>14.12.2022_GRU2</v>
      </c>
      <c r="D451" s="190">
        <f t="shared" si="14"/>
        <v>0</v>
      </c>
      <c r="E451" s="231">
        <v>1.2450886386876828E-5</v>
      </c>
      <c r="F451" s="231">
        <v>1.4350004921640943E-3</v>
      </c>
      <c r="G451" s="231">
        <v>0.14485896552939384</v>
      </c>
      <c r="H451" s="231">
        <v>5.9850999091449518E-3</v>
      </c>
      <c r="I451" s="231">
        <v>2.5819409896845529E-4</v>
      </c>
      <c r="J451" s="231">
        <v>1.3806295744602435E-2</v>
      </c>
      <c r="K451" s="229">
        <v>21.021164933215299</v>
      </c>
      <c r="L451" s="229">
        <v>8.8887706934399304</v>
      </c>
      <c r="M451" s="229">
        <v>7.4912271189145896</v>
      </c>
      <c r="N451" s="229">
        <v>1.7252987501294501</v>
      </c>
      <c r="O451" s="205">
        <v>1.3510940893576219E-4</v>
      </c>
      <c r="P451" s="232">
        <v>64.415999999999997</v>
      </c>
      <c r="Q451" s="213"/>
      <c r="R451" s="235"/>
    </row>
    <row r="452" spans="1:18" ht="16.5" customHeight="1" x14ac:dyDescent="0.25">
      <c r="A452" s="230">
        <v>44909</v>
      </c>
      <c r="B452" s="128" t="s">
        <v>0</v>
      </c>
      <c r="C452" s="157" t="str">
        <f t="shared" si="13"/>
        <v>14.12.2022_KIN1</v>
      </c>
      <c r="D452" s="190">
        <f t="shared" si="14"/>
        <v>0</v>
      </c>
      <c r="E452" s="231">
        <v>8.3227388732016775E-6</v>
      </c>
      <c r="F452" s="231">
        <v>2.5596592533521055E-3</v>
      </c>
      <c r="G452" s="231">
        <v>0.25528268725309428</v>
      </c>
      <c r="H452" s="231">
        <v>6.6917487572539904E-3</v>
      </c>
      <c r="I452" s="231">
        <v>2.4348051468508404E-4</v>
      </c>
      <c r="J452" s="231">
        <v>1.4018414856755429E-2</v>
      </c>
      <c r="K452" s="229">
        <v>47.830236156622199</v>
      </c>
      <c r="L452" s="229">
        <v>18.5476689659036</v>
      </c>
      <c r="M452" s="229">
        <v>7.7399049070938597</v>
      </c>
      <c r="N452" s="229">
        <v>1.65072676210798</v>
      </c>
      <c r="O452" s="205">
        <v>1.3713892653967601E-4</v>
      </c>
      <c r="P452" s="232">
        <v>160.06399999999999</v>
      </c>
      <c r="Q452" s="213"/>
      <c r="R452" s="235"/>
    </row>
    <row r="453" spans="1:18" ht="16.5" customHeight="1" x14ac:dyDescent="0.25">
      <c r="A453" s="230">
        <v>44909</v>
      </c>
      <c r="B453" s="128" t="s">
        <v>2</v>
      </c>
      <c r="C453" s="157" t="str">
        <f t="shared" ref="C453:C516" si="15">CONCATENATE(TEXT(A453,"TT.MM.JJJJ"),"_",B453)</f>
        <v>14.12.2022_KIN2</v>
      </c>
      <c r="D453" s="190">
        <f t="shared" ref="D453:D516" si="16">COUNTBLANK(E453:P453)</f>
        <v>0</v>
      </c>
      <c r="E453" s="231">
        <v>7.1241609266099588E-6</v>
      </c>
      <c r="F453" s="231">
        <v>1.1242157442937267E-3</v>
      </c>
      <c r="G453" s="231">
        <v>0.26048201182670905</v>
      </c>
      <c r="H453" s="231">
        <v>7.2505452082066114E-3</v>
      </c>
      <c r="I453" s="231">
        <v>3.2895017855040265E-4</v>
      </c>
      <c r="J453" s="231">
        <v>1.6794164834492815E-2</v>
      </c>
      <c r="K453" s="229">
        <v>48.270148603604</v>
      </c>
      <c r="L453" s="229">
        <v>21.840023398989899</v>
      </c>
      <c r="M453" s="229">
        <v>7.403933916952</v>
      </c>
      <c r="N453" s="229">
        <v>2.1874366416087998</v>
      </c>
      <c r="O453" s="205">
        <v>1.135686093694385E-4</v>
      </c>
      <c r="P453" s="232">
        <v>188.36799999999999</v>
      </c>
      <c r="Q453" s="213"/>
      <c r="R453" s="235"/>
    </row>
    <row r="454" spans="1:18" ht="16.5" customHeight="1" x14ac:dyDescent="0.25">
      <c r="A454" s="230">
        <v>44909</v>
      </c>
      <c r="B454" s="128" t="s">
        <v>4</v>
      </c>
      <c r="C454" s="157" t="str">
        <f t="shared" si="15"/>
        <v>14.12.2022_KIN3</v>
      </c>
      <c r="D454" s="190">
        <f t="shared" si="16"/>
        <v>0</v>
      </c>
      <c r="E454" s="231">
        <v>8.6558210095475404E-6</v>
      </c>
      <c r="F454" s="231">
        <v>1.171804475137292E-3</v>
      </c>
      <c r="G454" s="231">
        <v>0.25417379718518907</v>
      </c>
      <c r="H454" s="231">
        <v>5.7315634664816964E-3</v>
      </c>
      <c r="I454" s="231">
        <v>4.6353513964899929E-4</v>
      </c>
      <c r="J454" s="231">
        <v>1.5177399176993513E-2</v>
      </c>
      <c r="K454" s="229">
        <v>46.221735512158197</v>
      </c>
      <c r="L454" s="229">
        <v>21.638131928380499</v>
      </c>
      <c r="M454" s="229">
        <v>8.3687057526248907</v>
      </c>
      <c r="N454" s="229">
        <v>1.8431889109209501</v>
      </c>
      <c r="O454" s="205">
        <v>1.0709573029667008E-4</v>
      </c>
      <c r="P454" s="232">
        <v>154.208</v>
      </c>
      <c r="Q454" s="213"/>
      <c r="R454" s="235"/>
    </row>
    <row r="455" spans="1:18" ht="16.5" customHeight="1" x14ac:dyDescent="0.25">
      <c r="A455" s="230">
        <v>44909</v>
      </c>
      <c r="B455" s="128" t="s">
        <v>6</v>
      </c>
      <c r="C455" s="157" t="str">
        <f t="shared" si="15"/>
        <v>14.12.2022_KIN4</v>
      </c>
      <c r="D455" s="190">
        <f t="shared" si="16"/>
        <v>0</v>
      </c>
      <c r="E455" s="231">
        <v>1.0187049638940633E-5</v>
      </c>
      <c r="F455" s="231">
        <v>1.5787038973303531E-3</v>
      </c>
      <c r="G455" s="231">
        <v>0.2650856662841834</v>
      </c>
      <c r="H455" s="231">
        <v>6.1294401722283903E-3</v>
      </c>
      <c r="I455" s="231">
        <v>3.8517274506656371E-4</v>
      </c>
      <c r="J455" s="231">
        <v>1.6021538009630191E-2</v>
      </c>
      <c r="K455" s="229">
        <v>66.214938272870199</v>
      </c>
      <c r="L455" s="229">
        <v>30.4045039783805</v>
      </c>
      <c r="M455" s="229">
        <v>22.901384841728401</v>
      </c>
      <c r="N455" s="229">
        <v>2.8411382620086698</v>
      </c>
      <c r="O455" s="205">
        <v>1.3400235405271622E-4</v>
      </c>
      <c r="P455" s="232">
        <v>179.34</v>
      </c>
      <c r="Q455" s="213"/>
      <c r="R455" s="235"/>
    </row>
    <row r="456" spans="1:18" ht="16.5" customHeight="1" x14ac:dyDescent="0.25">
      <c r="A456" s="230">
        <v>44909</v>
      </c>
      <c r="B456" s="128" t="s">
        <v>34</v>
      </c>
      <c r="C456" s="157" t="str">
        <f t="shared" si="15"/>
        <v>14.12.2022_KRE1</v>
      </c>
      <c r="D456" s="190">
        <f t="shared" si="16"/>
        <v>0</v>
      </c>
      <c r="E456" s="231">
        <v>1.0919657757483737E-5</v>
      </c>
      <c r="F456" s="231">
        <v>1.1022432258744788E-3</v>
      </c>
      <c r="G456" s="231">
        <v>0.46122125079458287</v>
      </c>
      <c r="H456" s="231">
        <v>7.4738613779005677E-3</v>
      </c>
      <c r="I456" s="231">
        <v>2.4958291676288163E-4</v>
      </c>
      <c r="J456" s="231">
        <v>2.0426594331671974E-2</v>
      </c>
      <c r="K456" s="229">
        <v>91.762991540836396</v>
      </c>
      <c r="L456" s="229">
        <v>33.422402723245902</v>
      </c>
      <c r="M456" s="229">
        <v>42.741784661242001</v>
      </c>
      <c r="N456" s="229">
        <v>6.8479893691900502</v>
      </c>
      <c r="O456" s="205">
        <v>3.3807262539765659E-4</v>
      </c>
      <c r="P456" s="232">
        <v>277.428</v>
      </c>
      <c r="Q456" s="213"/>
      <c r="R456" s="235"/>
    </row>
    <row r="457" spans="1:18" ht="16.5" customHeight="1" x14ac:dyDescent="0.25">
      <c r="A457" s="230">
        <v>44909</v>
      </c>
      <c r="B457" s="128" t="s">
        <v>37</v>
      </c>
      <c r="C457" s="157" t="str">
        <f t="shared" si="15"/>
        <v>14.12.2022_KRE2</v>
      </c>
      <c r="D457" s="190">
        <f t="shared" si="16"/>
        <v>0</v>
      </c>
      <c r="E457" s="231">
        <v>9.8543989561392608E-6</v>
      </c>
      <c r="F457" s="231">
        <v>1.5179622028095381E-3</v>
      </c>
      <c r="G457" s="231">
        <v>0.45900943943262357</v>
      </c>
      <c r="H457" s="231">
        <v>7.8210200735212339E-3</v>
      </c>
      <c r="I457" s="231">
        <v>3.0617856127488247E-4</v>
      </c>
      <c r="J457" s="231">
        <v>1.4946566308567484E-2</v>
      </c>
      <c r="K457" s="229">
        <v>92.116785884312606</v>
      </c>
      <c r="L457" s="229">
        <v>31.830588922483699</v>
      </c>
      <c r="M457" s="229">
        <v>38.558441294252802</v>
      </c>
      <c r="N457" s="229">
        <v>6.6627840794067401</v>
      </c>
      <c r="O457" s="205">
        <v>4.3353466628491836E-4</v>
      </c>
      <c r="P457" s="232">
        <v>304.024</v>
      </c>
      <c r="Q457" s="213"/>
      <c r="R457" s="235"/>
    </row>
    <row r="458" spans="1:18" ht="16.5" customHeight="1" x14ac:dyDescent="0.25">
      <c r="A458" s="230">
        <v>44909</v>
      </c>
      <c r="B458" s="128" t="s">
        <v>18</v>
      </c>
      <c r="C458" s="157" t="str">
        <f t="shared" si="15"/>
        <v>14.12.2022_ORB1</v>
      </c>
      <c r="D458" s="190">
        <f t="shared" si="16"/>
        <v>0</v>
      </c>
      <c r="E458" s="231">
        <v>1.3050175360172688E-5</v>
      </c>
      <c r="F458" s="231">
        <v>8.5690782677881529E-4</v>
      </c>
      <c r="G458" s="231">
        <v>9.561409013891177E-2</v>
      </c>
      <c r="H458" s="231">
        <v>4.0149329413090894E-3</v>
      </c>
      <c r="I458" s="231">
        <v>2.3223283935591026E-4</v>
      </c>
      <c r="J458" s="231">
        <v>9.8940044013817001E-3</v>
      </c>
      <c r="K458" s="229">
        <v>12.520115222514701</v>
      </c>
      <c r="L458" s="229">
        <v>3.5452163060180801</v>
      </c>
      <c r="M458" s="229">
        <v>6.9736533510305403</v>
      </c>
      <c r="N458" s="229">
        <v>2.8759147753067298</v>
      </c>
      <c r="O458" s="205">
        <v>5.4714690834029005E-5</v>
      </c>
      <c r="P458" s="232">
        <v>28.304000000000002</v>
      </c>
      <c r="Q458" s="213"/>
      <c r="R458" s="235"/>
    </row>
    <row r="459" spans="1:18" ht="16.5" customHeight="1" x14ac:dyDescent="0.25">
      <c r="A459" s="230">
        <v>44909</v>
      </c>
      <c r="B459" s="128" t="s">
        <v>21</v>
      </c>
      <c r="C459" s="157" t="str">
        <f t="shared" si="15"/>
        <v>14.12.2022_ORB2</v>
      </c>
      <c r="D459" s="190">
        <f t="shared" si="16"/>
        <v>0</v>
      </c>
      <c r="E459" s="231">
        <v>1.6445714755304736E-5</v>
      </c>
      <c r="F459" s="231">
        <v>1.0504590290816983E-3</v>
      </c>
      <c r="G459" s="231">
        <v>0.11669544350713119</v>
      </c>
      <c r="H459" s="231">
        <v>6.5676972144058871E-3</v>
      </c>
      <c r="I459" s="231">
        <v>2.2995063686622402E-4</v>
      </c>
      <c r="J459" s="231">
        <v>1.9389323384544677E-2</v>
      </c>
      <c r="K459" s="229">
        <v>17.386053806440199</v>
      </c>
      <c r="L459" s="229">
        <v>4.53662605930809</v>
      </c>
      <c r="M459" s="229">
        <v>15.8517491839672</v>
      </c>
      <c r="N459" s="229">
        <v>3.5380260036985902</v>
      </c>
      <c r="O459" s="205">
        <v>7.9282881554475378E-5</v>
      </c>
      <c r="P459" s="232">
        <v>36.356000000000002</v>
      </c>
      <c r="Q459" s="213"/>
      <c r="R459" s="235"/>
    </row>
    <row r="460" spans="1:18" ht="16.5" customHeight="1" x14ac:dyDescent="0.25">
      <c r="A460" s="230">
        <v>44909</v>
      </c>
      <c r="B460" s="128" t="s">
        <v>10</v>
      </c>
      <c r="C460" s="157" t="str">
        <f t="shared" si="15"/>
        <v>14.12.2022_SAL1</v>
      </c>
      <c r="D460" s="190">
        <f t="shared" si="16"/>
        <v>0</v>
      </c>
      <c r="E460" s="231">
        <v>6.3255404157599686E-6</v>
      </c>
      <c r="F460" s="231">
        <v>1.0994651740861296E-3</v>
      </c>
      <c r="G460" s="231">
        <v>0.12844593659405043</v>
      </c>
      <c r="H460" s="231">
        <v>4.6263112268526158E-3</v>
      </c>
      <c r="I460" s="231">
        <v>2.1291183422077892E-4</v>
      </c>
      <c r="J460" s="231">
        <v>1.1273973970374045E-2</v>
      </c>
      <c r="K460" s="229">
        <v>17.610368391431798</v>
      </c>
      <c r="L460" s="229">
        <v>13.5620229122909</v>
      </c>
      <c r="M460" s="229">
        <v>7.5012827053292899</v>
      </c>
      <c r="N460" s="229">
        <v>0.938359998892901</v>
      </c>
      <c r="O460" s="205">
        <v>8.9353166002619931E-5</v>
      </c>
      <c r="P460" s="232">
        <v>68.076000000000008</v>
      </c>
      <c r="Q460" s="213"/>
      <c r="R460" s="235"/>
    </row>
    <row r="461" spans="1:18" ht="16.5" customHeight="1" x14ac:dyDescent="0.25">
      <c r="A461" s="230">
        <v>44909</v>
      </c>
      <c r="B461" s="128" t="s">
        <v>12</v>
      </c>
      <c r="C461" s="157" t="str">
        <f t="shared" si="15"/>
        <v>14.12.2022_SAL2</v>
      </c>
      <c r="D461" s="190">
        <f t="shared" si="16"/>
        <v>0</v>
      </c>
      <c r="E461" s="231">
        <v>8.3227388732016775E-6</v>
      </c>
      <c r="F461" s="231">
        <v>1.4793817487062583E-3</v>
      </c>
      <c r="G461" s="231">
        <v>0.12865612752831077</v>
      </c>
      <c r="H461" s="231">
        <v>5.0435247053014498E-3</v>
      </c>
      <c r="I461" s="231">
        <v>2.4833350586321985E-4</v>
      </c>
      <c r="J461" s="231">
        <v>8.4232013794923802E-3</v>
      </c>
      <c r="K461" s="229">
        <v>20.229856920232301</v>
      </c>
      <c r="L461" s="229">
        <v>14.1713459211255</v>
      </c>
      <c r="M461" s="229">
        <v>7.7852587600860303</v>
      </c>
      <c r="N461" s="229">
        <v>0.91588486890547705</v>
      </c>
      <c r="O461" s="205">
        <v>8.613988765226183E-5</v>
      </c>
      <c r="P461" s="232">
        <v>100.03999999999999</v>
      </c>
      <c r="Q461" s="213"/>
      <c r="R461" s="235"/>
    </row>
    <row r="462" spans="1:18" ht="16.5" customHeight="1" x14ac:dyDescent="0.25">
      <c r="A462" s="230">
        <v>44909</v>
      </c>
      <c r="B462" s="128" t="s">
        <v>7</v>
      </c>
      <c r="C462" s="157" t="str">
        <f t="shared" si="15"/>
        <v>14.12.2022_STE1</v>
      </c>
      <c r="D462" s="190">
        <f t="shared" si="16"/>
        <v>0</v>
      </c>
      <c r="E462" s="231">
        <v>8.3227388732016775E-6</v>
      </c>
      <c r="F462" s="231">
        <v>1.3000662625623244E-3</v>
      </c>
      <c r="G462" s="231">
        <v>0.17403498980515172</v>
      </c>
      <c r="H462" s="231">
        <v>5.5605573010819092E-3</v>
      </c>
      <c r="I462" s="231">
        <v>2.4458527316423452E-4</v>
      </c>
      <c r="J462" s="231">
        <v>1.1664880388399215E-2</v>
      </c>
      <c r="K462" s="229">
        <v>30.799371084614901</v>
      </c>
      <c r="L462" s="229">
        <v>14.7481268081804</v>
      </c>
      <c r="M462" s="229">
        <v>8.5766985767308306</v>
      </c>
      <c r="N462" s="229">
        <v>0.94275579368279705</v>
      </c>
      <c r="O462" s="205">
        <v>1.0749549734838098E-4</v>
      </c>
      <c r="P462" s="232">
        <v>101.01599999999999</v>
      </c>
      <c r="Q462" s="213"/>
      <c r="R462" s="235"/>
    </row>
    <row r="463" spans="1:18" ht="16.5" customHeight="1" x14ac:dyDescent="0.25">
      <c r="A463" s="230">
        <v>44909</v>
      </c>
      <c r="B463" s="128" t="s">
        <v>9</v>
      </c>
      <c r="C463" s="157" t="str">
        <f t="shared" si="15"/>
        <v>14.12.2022_STE2</v>
      </c>
      <c r="D463" s="190">
        <f t="shared" si="16"/>
        <v>0</v>
      </c>
      <c r="E463" s="231">
        <v>6.9243979355113385E-6</v>
      </c>
      <c r="F463" s="231">
        <v>2.3980736391786329E-3</v>
      </c>
      <c r="G463" s="231">
        <v>0.18652798934968481</v>
      </c>
      <c r="H463" s="231">
        <v>6.2315763450176602E-3</v>
      </c>
      <c r="I463" s="231">
        <v>1.6359767840799021E-4</v>
      </c>
      <c r="J463" s="231">
        <v>9.9926591158071149E-3</v>
      </c>
      <c r="K463" s="229">
        <v>31.264357401184601</v>
      </c>
      <c r="L463" s="229">
        <v>15.292687307332001</v>
      </c>
      <c r="M463" s="229">
        <v>9.0168931443118598</v>
      </c>
      <c r="N463" s="229">
        <v>0.97941614772874697</v>
      </c>
      <c r="O463" s="205">
        <v>1.2283985780418331E-4</v>
      </c>
      <c r="P463" s="232">
        <v>99.551999999999992</v>
      </c>
      <c r="Q463" s="213"/>
      <c r="R463" s="235"/>
    </row>
    <row r="464" spans="1:18" ht="16.5" customHeight="1" x14ac:dyDescent="0.25">
      <c r="A464" s="230">
        <v>44937</v>
      </c>
      <c r="B464" s="128" t="s">
        <v>22</v>
      </c>
      <c r="C464" s="157" t="str">
        <f t="shared" si="15"/>
        <v>11.01.2023_BIE1</v>
      </c>
      <c r="D464" s="190">
        <f t="shared" si="16"/>
        <v>0</v>
      </c>
      <c r="E464" s="231">
        <v>2.5526064642403293E-5</v>
      </c>
      <c r="F464" s="231">
        <v>2.1951407712845427E-3</v>
      </c>
      <c r="G464" s="231">
        <v>6.0028882185620046E-2</v>
      </c>
      <c r="H464" s="231">
        <v>1.4221928764583552E-3</v>
      </c>
      <c r="I464" s="231">
        <v>3.0367456923902441E-5</v>
      </c>
      <c r="J464" s="231">
        <v>9.4199985495297643E-3</v>
      </c>
      <c r="K464" s="229">
        <v>21.6058622519338</v>
      </c>
      <c r="L464" s="229">
        <v>9.9233146123050506</v>
      </c>
      <c r="M464" s="229">
        <v>7.5545637373632601</v>
      </c>
      <c r="N464" s="229">
        <v>3.2500328673437302</v>
      </c>
      <c r="O464" s="205">
        <v>2.0725758792663606E-4</v>
      </c>
      <c r="P464" s="232">
        <v>58.559999999999995</v>
      </c>
      <c r="Q464" s="213"/>
      <c r="R464" s="235"/>
    </row>
    <row r="465" spans="1:18" ht="16.5" customHeight="1" x14ac:dyDescent="0.25">
      <c r="A465" s="230">
        <v>44937</v>
      </c>
      <c r="B465" s="128" t="s">
        <v>25</v>
      </c>
      <c r="C465" s="157" t="str">
        <f t="shared" si="15"/>
        <v>11.01.2023_BIE2</v>
      </c>
      <c r="D465" s="190">
        <f t="shared" si="16"/>
        <v>0</v>
      </c>
      <c r="E465" s="231">
        <v>3.3768646645962592E-5</v>
      </c>
      <c r="F465" s="231">
        <v>2.1999326939718886E-3</v>
      </c>
      <c r="G465" s="231">
        <v>6.3107291403951965E-2</v>
      </c>
      <c r="H465" s="231">
        <v>1.379674263294372E-3</v>
      </c>
      <c r="I465" s="231">
        <v>3.4256005484852263E-5</v>
      </c>
      <c r="J465" s="231">
        <v>7.5492460993335161E-3</v>
      </c>
      <c r="K465" s="229">
        <v>24.195931553689402</v>
      </c>
      <c r="L465" s="229">
        <v>10.380798855476799</v>
      </c>
      <c r="M465" s="229">
        <v>9.1664503781007092</v>
      </c>
      <c r="N465" s="229">
        <v>3.2720070717282099</v>
      </c>
      <c r="O465" s="205">
        <v>2.2781456626113307E-4</v>
      </c>
      <c r="P465" s="232">
        <v>61.244</v>
      </c>
      <c r="Q465" s="213"/>
      <c r="R465" s="235"/>
    </row>
    <row r="466" spans="1:18" ht="16.5" customHeight="1" x14ac:dyDescent="0.25">
      <c r="A466" s="230">
        <v>44937</v>
      </c>
      <c r="B466" s="128" t="s">
        <v>14</v>
      </c>
      <c r="C466" s="157" t="str">
        <f t="shared" si="15"/>
        <v>11.01.2023_BRA1</v>
      </c>
      <c r="D466" s="190">
        <f t="shared" si="16"/>
        <v>0</v>
      </c>
      <c r="E466" s="231">
        <v>9.7879642799936593E-6</v>
      </c>
      <c r="F466" s="231">
        <v>9.8069035093992316E-4</v>
      </c>
      <c r="G466" s="231">
        <v>4.9704405568569116E-2</v>
      </c>
      <c r="H466" s="231">
        <v>1.5040518027578226E-3</v>
      </c>
      <c r="I466" s="231">
        <v>1.1209702898678776E-5</v>
      </c>
      <c r="J466" s="231">
        <v>9.3893532102865065E-3</v>
      </c>
      <c r="K466" s="229">
        <v>13.8679267188013</v>
      </c>
      <c r="L466" s="229">
        <v>9.9803172905231499</v>
      </c>
      <c r="M466" s="229">
        <v>6.5617481025551303</v>
      </c>
      <c r="N466" s="229">
        <v>0.91525772118213899</v>
      </c>
      <c r="O466" s="205">
        <v>1.5317908903590178E-4</v>
      </c>
      <c r="P466" s="232">
        <v>41.480000000000004</v>
      </c>
      <c r="Q466" s="213"/>
      <c r="R466" s="235"/>
    </row>
    <row r="467" spans="1:18" ht="16.5" customHeight="1" x14ac:dyDescent="0.25">
      <c r="A467" s="230">
        <v>44937</v>
      </c>
      <c r="B467" s="128" t="s">
        <v>17</v>
      </c>
      <c r="C467" s="157" t="str">
        <f t="shared" si="15"/>
        <v>11.01.2023_BRA2</v>
      </c>
      <c r="D467" s="190">
        <f t="shared" si="16"/>
        <v>0</v>
      </c>
      <c r="E467" s="231">
        <v>6.078835904371584E-6</v>
      </c>
      <c r="F467" s="231">
        <v>1.1102291295400234E-3</v>
      </c>
      <c r="G467" s="231">
        <v>5.371246394749217E-2</v>
      </c>
      <c r="H467" s="231">
        <v>1.4228192949800854E-3</v>
      </c>
      <c r="I467" s="231">
        <v>1.0884308676235022E-5</v>
      </c>
      <c r="J467" s="231">
        <v>5.8169666904387858E-3</v>
      </c>
      <c r="K467" s="229">
        <v>14.3064712869053</v>
      </c>
      <c r="L467" s="229">
        <v>9.6789138954026193</v>
      </c>
      <c r="M467" s="229">
        <v>7.1017712533015498</v>
      </c>
      <c r="N467" s="229">
        <v>1.1991261783942599</v>
      </c>
      <c r="O467" s="205">
        <v>1.1553792379422444E-4</v>
      </c>
      <c r="P467" s="232">
        <v>43.675999999999995</v>
      </c>
      <c r="Q467" s="213"/>
      <c r="R467" s="235"/>
    </row>
    <row r="468" spans="1:18" ht="16.5" customHeight="1" x14ac:dyDescent="0.25">
      <c r="A468" s="230">
        <v>44937</v>
      </c>
      <c r="B468" s="128" t="s">
        <v>30</v>
      </c>
      <c r="C468" s="157" t="str">
        <f t="shared" si="15"/>
        <v>11.01.2023_FAL1</v>
      </c>
      <c r="D468" s="190">
        <f t="shared" si="16"/>
        <v>0</v>
      </c>
      <c r="E468" s="231">
        <v>5.3318599338629436E-6</v>
      </c>
      <c r="F468" s="231">
        <v>1.3140558196855368E-3</v>
      </c>
      <c r="G468" s="231">
        <v>0.15724307996355183</v>
      </c>
      <c r="H468" s="231">
        <v>1.9108530076552218E-3</v>
      </c>
      <c r="I468" s="231">
        <v>1.5659463196525203E-5</v>
      </c>
      <c r="J468" s="231">
        <v>3.5057097409243107E-3</v>
      </c>
      <c r="K468" s="229">
        <v>84.699098627951301</v>
      </c>
      <c r="L468" s="229">
        <v>26.7589901255343</v>
      </c>
      <c r="M468" s="229">
        <v>21.975487879656399</v>
      </c>
      <c r="N468" s="229">
        <v>4.1116119124897796</v>
      </c>
      <c r="O468" s="205">
        <v>1.5801829724536063E-4</v>
      </c>
      <c r="P468" s="232">
        <v>244.976</v>
      </c>
      <c r="Q468" s="213"/>
      <c r="R468" s="235"/>
    </row>
    <row r="469" spans="1:18" ht="16.5" customHeight="1" x14ac:dyDescent="0.25">
      <c r="A469" s="230">
        <v>44937</v>
      </c>
      <c r="B469" s="128" t="s">
        <v>32</v>
      </c>
      <c r="C469" s="157" t="str">
        <f t="shared" si="15"/>
        <v>11.01.2023_FAL2</v>
      </c>
      <c r="D469" s="190">
        <f t="shared" si="16"/>
        <v>0</v>
      </c>
      <c r="E469" s="231">
        <v>4.7394301930926549E-6</v>
      </c>
      <c r="F469" s="231">
        <v>9.8702075548796485E-4</v>
      </c>
      <c r="G469" s="231">
        <v>0.14895603068712523</v>
      </c>
      <c r="H469" s="231">
        <v>1.8738238184668903E-3</v>
      </c>
      <c r="I469" s="231">
        <v>1.1746600565405794E-5</v>
      </c>
      <c r="J469" s="231">
        <v>4.2167789538149715E-3</v>
      </c>
      <c r="K469" s="229">
        <v>78.660450291644096</v>
      </c>
      <c r="L469" s="229">
        <v>26.629334888130099</v>
      </c>
      <c r="M469" s="229">
        <v>25.348222428140701</v>
      </c>
      <c r="N469" s="229">
        <v>4.7156874732057803</v>
      </c>
      <c r="O469" s="205">
        <v>1.3001810660514298E-4</v>
      </c>
      <c r="P469" s="232">
        <v>216.428</v>
      </c>
      <c r="Q469" s="213"/>
      <c r="R469" s="235"/>
    </row>
    <row r="470" spans="1:18" ht="16.5" customHeight="1" x14ac:dyDescent="0.25">
      <c r="A470" s="230">
        <v>44937</v>
      </c>
      <c r="B470" s="128" t="s">
        <v>26</v>
      </c>
      <c r="C470" s="157" t="str">
        <f t="shared" si="15"/>
        <v>11.01.2023_GRU1</v>
      </c>
      <c r="D470" s="190">
        <f t="shared" si="16"/>
        <v>0</v>
      </c>
      <c r="E470" s="231">
        <v>1.8494134837439939E-5</v>
      </c>
      <c r="F470" s="231">
        <v>1.2651543882460476E-3</v>
      </c>
      <c r="G470" s="231">
        <v>5.9269164817144032E-2</v>
      </c>
      <c r="H470" s="231">
        <v>3.2400181116918488E-3</v>
      </c>
      <c r="I470" s="231">
        <v>1.4536851965740528E-5</v>
      </c>
      <c r="J470" s="231">
        <v>5.1547179239022902E-3</v>
      </c>
      <c r="K470" s="229">
        <v>12.3633666817103</v>
      </c>
      <c r="L470" s="229">
        <v>7.36696057693994</v>
      </c>
      <c r="M470" s="229">
        <v>7.1112726911938804</v>
      </c>
      <c r="N470" s="229">
        <v>1.45323688546021</v>
      </c>
      <c r="O470" s="205">
        <v>1.4721210634068777E-4</v>
      </c>
      <c r="P470" s="232">
        <v>31.475999999999999</v>
      </c>
      <c r="Q470" s="213"/>
      <c r="R470" s="235"/>
    </row>
    <row r="471" spans="1:18" ht="16.5" customHeight="1" x14ac:dyDescent="0.25">
      <c r="A471" s="230">
        <v>44937</v>
      </c>
      <c r="B471" s="128" t="s">
        <v>28</v>
      </c>
      <c r="C471" s="157" t="str">
        <f t="shared" si="15"/>
        <v>11.01.2023_GRU2</v>
      </c>
      <c r="D471" s="190">
        <f t="shared" si="16"/>
        <v>0</v>
      </c>
      <c r="E471" s="231">
        <v>2.0039611439043903E-5</v>
      </c>
      <c r="F471" s="231">
        <v>1.7741683861389802E-3</v>
      </c>
      <c r="G471" s="231">
        <v>6.4340988889402942E-2</v>
      </c>
      <c r="H471" s="231">
        <v>3.168183394675653E-3</v>
      </c>
      <c r="I471" s="231">
        <v>1.6822749968373264E-5</v>
      </c>
      <c r="J471" s="231">
        <v>3.8337980633205318E-3</v>
      </c>
      <c r="K471" s="229">
        <v>14.4174250445729</v>
      </c>
      <c r="L471" s="229">
        <v>7.5966056146535701</v>
      </c>
      <c r="M471" s="229">
        <v>7.1440471291892997</v>
      </c>
      <c r="N471" s="229">
        <v>1.5121210875225199</v>
      </c>
      <c r="O471" s="205">
        <v>1.5699854677899102E-4</v>
      </c>
      <c r="P471" s="232">
        <v>39.04</v>
      </c>
      <c r="Q471" s="213"/>
      <c r="R471" s="235"/>
    </row>
    <row r="472" spans="1:18" ht="16.5" customHeight="1" x14ac:dyDescent="0.25">
      <c r="A472" s="230">
        <v>44937</v>
      </c>
      <c r="B472" s="128" t="s">
        <v>0</v>
      </c>
      <c r="C472" s="157" t="str">
        <f t="shared" si="15"/>
        <v>11.01.2023_KIN1</v>
      </c>
      <c r="D472" s="190">
        <f t="shared" si="16"/>
        <v>0</v>
      </c>
      <c r="E472" s="231">
        <v>7.2121803466264552E-6</v>
      </c>
      <c r="F472" s="231">
        <v>2.6408494864547474E-3</v>
      </c>
      <c r="G472" s="231">
        <v>0.10184743701336099</v>
      </c>
      <c r="H472" s="231">
        <v>1.7175030162819812E-3</v>
      </c>
      <c r="I472" s="231">
        <v>1.3999952956081348E-5</v>
      </c>
      <c r="J472" s="231">
        <v>7.2027604633940045E-3</v>
      </c>
      <c r="K472" s="229">
        <v>43.534563961201997</v>
      </c>
      <c r="L472" s="229">
        <v>13.096586910569901</v>
      </c>
      <c r="M472" s="229">
        <v>10.3594313928616</v>
      </c>
      <c r="N472" s="229">
        <v>2.1460057254065501</v>
      </c>
      <c r="O472" s="205">
        <v>1.0730910573269027E-4</v>
      </c>
      <c r="P472" s="232">
        <v>127.36800000000001</v>
      </c>
      <c r="Q472" s="213"/>
      <c r="R472" s="235"/>
    </row>
    <row r="473" spans="1:18" ht="16.5" customHeight="1" x14ac:dyDescent="0.25">
      <c r="A473" s="230">
        <v>44937</v>
      </c>
      <c r="B473" s="128" t="s">
        <v>2</v>
      </c>
      <c r="C473" s="157" t="str">
        <f t="shared" si="15"/>
        <v>11.01.2023_KIN2</v>
      </c>
      <c r="D473" s="190">
        <f t="shared" si="16"/>
        <v>0</v>
      </c>
      <c r="E473" s="231">
        <v>5.0742814368512392E-6</v>
      </c>
      <c r="F473" s="231">
        <v>1.4119448508214461E-3</v>
      </c>
      <c r="G473" s="231">
        <v>0.10918512262903461</v>
      </c>
      <c r="H473" s="231">
        <v>1.578956788692136E-3</v>
      </c>
      <c r="I473" s="231">
        <v>1.2015049477067723E-5</v>
      </c>
      <c r="J473" s="231">
        <v>5.1814824106662209E-3</v>
      </c>
      <c r="K473" s="229">
        <v>47.305722021888599</v>
      </c>
      <c r="L473" s="229">
        <v>15.107092981529201</v>
      </c>
      <c r="M473" s="229">
        <v>9.9986392257007193</v>
      </c>
      <c r="N473" s="229">
        <v>2.1539081640543101</v>
      </c>
      <c r="O473" s="205">
        <v>9.7008959081781743E-5</v>
      </c>
      <c r="P473" s="232">
        <v>142.00799999999998</v>
      </c>
      <c r="Q473" s="213"/>
      <c r="R473" s="235"/>
    </row>
    <row r="474" spans="1:18" ht="16.5" customHeight="1" x14ac:dyDescent="0.25">
      <c r="A474" s="230">
        <v>44937</v>
      </c>
      <c r="B474" s="128" t="s">
        <v>4</v>
      </c>
      <c r="C474" s="157" t="str">
        <f t="shared" si="15"/>
        <v>11.01.2023_KIN3</v>
      </c>
      <c r="D474" s="190">
        <f t="shared" si="16"/>
        <v>0</v>
      </c>
      <c r="E474" s="231">
        <v>5.383375218563994E-6</v>
      </c>
      <c r="F474" s="231">
        <v>1.3129194225294329E-3</v>
      </c>
      <c r="G474" s="231">
        <v>9.9190998319618168E-2</v>
      </c>
      <c r="H474" s="231">
        <v>2.117060189563486E-3</v>
      </c>
      <c r="I474" s="231">
        <v>1.0664668521714042E-5</v>
      </c>
      <c r="J474" s="231">
        <v>5.5371195294215605E-3</v>
      </c>
      <c r="K474" s="229">
        <v>42.028008016023598</v>
      </c>
      <c r="L474" s="229">
        <v>14.987992401599501</v>
      </c>
      <c r="M474" s="229">
        <v>9.4764605150009498</v>
      </c>
      <c r="N474" s="229">
        <v>1.6271204776358601</v>
      </c>
      <c r="O474" s="205">
        <v>1.0732351371157441E-4</v>
      </c>
      <c r="P474" s="232">
        <v>128.34399999999999</v>
      </c>
      <c r="Q474" s="213"/>
      <c r="R474" s="235"/>
    </row>
    <row r="475" spans="1:18" ht="16.5" customHeight="1" x14ac:dyDescent="0.25">
      <c r="A475" s="230">
        <v>44937</v>
      </c>
      <c r="B475" s="128" t="s">
        <v>6</v>
      </c>
      <c r="C475" s="157" t="str">
        <f t="shared" si="15"/>
        <v>11.01.2023_KIN4</v>
      </c>
      <c r="D475" s="190">
        <f t="shared" si="16"/>
        <v>0</v>
      </c>
      <c r="E475" s="231">
        <v>6.4652034194999639E-6</v>
      </c>
      <c r="F475" s="231">
        <v>1.422580253403104E-3</v>
      </c>
      <c r="G475" s="231">
        <v>0.10305078590087341</v>
      </c>
      <c r="H475" s="231">
        <v>2.119227588326323E-3</v>
      </c>
      <c r="I475" s="231">
        <v>1.277972338375044E-5</v>
      </c>
      <c r="J475" s="231">
        <v>5.1031805726040758E-3</v>
      </c>
      <c r="K475" s="229">
        <v>45.582145239613702</v>
      </c>
      <c r="L475" s="229">
        <v>15.264122481113001</v>
      </c>
      <c r="M475" s="229">
        <v>12.3017923311857</v>
      </c>
      <c r="N475" s="229">
        <v>1.73458905555676</v>
      </c>
      <c r="O475" s="205">
        <v>1.1281416988267246E-4</v>
      </c>
      <c r="P475" s="232">
        <v>132.98000000000002</v>
      </c>
      <c r="Q475" s="213"/>
      <c r="R475" s="235"/>
    </row>
    <row r="476" spans="1:18" ht="16.5" customHeight="1" x14ac:dyDescent="0.25">
      <c r="A476" s="230">
        <v>44937</v>
      </c>
      <c r="B476" s="128" t="s">
        <v>34</v>
      </c>
      <c r="C476" s="157" t="str">
        <f t="shared" si="15"/>
        <v>11.01.2023_KRE1</v>
      </c>
      <c r="D476" s="190">
        <f t="shared" si="16"/>
        <v>0</v>
      </c>
      <c r="E476" s="231">
        <v>4.2242747667199218E-6</v>
      </c>
      <c r="F476" s="231">
        <v>8.9553859543289372E-4</v>
      </c>
      <c r="G476" s="231">
        <v>0.15658685851568785</v>
      </c>
      <c r="H476" s="231">
        <v>1.9819505767481602E-3</v>
      </c>
      <c r="I476" s="231">
        <v>1.1681521953123316E-5</v>
      </c>
      <c r="J476" s="231">
        <v>3.847543793390465E-3</v>
      </c>
      <c r="K476" s="229">
        <v>82.667903065050993</v>
      </c>
      <c r="L476" s="229">
        <v>26.942687685424499</v>
      </c>
      <c r="M476" s="229">
        <v>24.505206482295598</v>
      </c>
      <c r="N476" s="229">
        <v>4.4009634446549803</v>
      </c>
      <c r="O476" s="205">
        <v>1.7118866847256375E-4</v>
      </c>
      <c r="P476" s="232">
        <v>241.56</v>
      </c>
      <c r="Q476" s="213"/>
      <c r="R476" s="235"/>
    </row>
    <row r="477" spans="1:18" ht="16.5" customHeight="1" x14ac:dyDescent="0.25">
      <c r="A477" s="230">
        <v>44937</v>
      </c>
      <c r="B477" s="128" t="s">
        <v>37</v>
      </c>
      <c r="C477" s="157" t="str">
        <f t="shared" si="15"/>
        <v>11.01.2023_KRE2</v>
      </c>
      <c r="D477" s="190">
        <f t="shared" si="16"/>
        <v>0</v>
      </c>
      <c r="E477" s="231">
        <v>4.6363993732667861E-6</v>
      </c>
      <c r="F477" s="231">
        <v>1.0384944601703908E-3</v>
      </c>
      <c r="G477" s="231">
        <v>0.15992796389051123</v>
      </c>
      <c r="H477" s="231">
        <v>2.2970788701126696E-3</v>
      </c>
      <c r="I477" s="231">
        <v>1.9059847004240462E-5</v>
      </c>
      <c r="J477" s="231">
        <v>3.3777535933341594E-3</v>
      </c>
      <c r="K477" s="229">
        <v>79.638577265662903</v>
      </c>
      <c r="L477" s="229">
        <v>26.261307514494</v>
      </c>
      <c r="M477" s="229">
        <v>22.665950413931</v>
      </c>
      <c r="N477" s="229">
        <v>4.0421842703770601</v>
      </c>
      <c r="O477" s="205">
        <v>2.1910368817659173E-4</v>
      </c>
      <c r="P477" s="232">
        <v>224.72400000000002</v>
      </c>
      <c r="Q477" s="213"/>
      <c r="R477" s="235"/>
    </row>
    <row r="478" spans="1:18" ht="16.5" customHeight="1" x14ac:dyDescent="0.25">
      <c r="A478" s="230">
        <v>44937</v>
      </c>
      <c r="B478" s="128" t="s">
        <v>18</v>
      </c>
      <c r="C478" s="157" t="str">
        <f t="shared" si="15"/>
        <v>11.01.2023_ORB1</v>
      </c>
      <c r="D478" s="190">
        <f t="shared" si="16"/>
        <v>0</v>
      </c>
      <c r="E478" s="231">
        <v>1.7824427581839429E-5</v>
      </c>
      <c r="F478" s="231">
        <v>1.8561703224770605E-3</v>
      </c>
      <c r="G478" s="231">
        <v>4.6712399071232702E-2</v>
      </c>
      <c r="H478" s="231">
        <v>1.1473481637430233E-3</v>
      </c>
      <c r="I478" s="231">
        <v>1.8482267638514748E-5</v>
      </c>
      <c r="J478" s="231">
        <v>1.6935775270729345E-2</v>
      </c>
      <c r="K478" s="229">
        <v>10.7811000641177</v>
      </c>
      <c r="L478" s="229">
        <v>2.7381098532280701</v>
      </c>
      <c r="M478" s="229">
        <v>6.6190734468034904</v>
      </c>
      <c r="N478" s="229">
        <v>2.4225756364342099</v>
      </c>
      <c r="O478" s="205">
        <v>6.7518930415455048E-5</v>
      </c>
      <c r="P478" s="232">
        <v>22.448</v>
      </c>
      <c r="Q478" s="213"/>
      <c r="R478" s="235"/>
    </row>
    <row r="479" spans="1:18" ht="16.5" customHeight="1" x14ac:dyDescent="0.25">
      <c r="A479" s="230">
        <v>44937</v>
      </c>
      <c r="B479" s="128" t="s">
        <v>21</v>
      </c>
      <c r="C479" s="157" t="str">
        <f t="shared" si="15"/>
        <v>11.01.2023_ORB2</v>
      </c>
      <c r="D479" s="190">
        <f t="shared" si="16"/>
        <v>0</v>
      </c>
      <c r="E479" s="231">
        <v>1.4656204241317899E-5</v>
      </c>
      <c r="F479" s="231">
        <v>2.4993495089199783E-3</v>
      </c>
      <c r="G479" s="231">
        <v>5.0312469122015049E-2</v>
      </c>
      <c r="H479" s="231">
        <v>1.1444203398061805E-3</v>
      </c>
      <c r="I479" s="231">
        <v>2.5518991696075497E-5</v>
      </c>
      <c r="J479" s="231">
        <v>1.1342279738507212E-2</v>
      </c>
      <c r="K479" s="229">
        <v>12.6677978804713</v>
      </c>
      <c r="L479" s="229">
        <v>3.3788878721972</v>
      </c>
      <c r="M479" s="229">
        <v>14.295627132845</v>
      </c>
      <c r="N479" s="229">
        <v>3.01952470200338</v>
      </c>
      <c r="O479" s="205">
        <v>6.9719967269980259E-5</v>
      </c>
      <c r="P479" s="232">
        <v>29.035999999999998</v>
      </c>
      <c r="Q479" s="213"/>
      <c r="R479" s="235"/>
    </row>
    <row r="480" spans="1:18" ht="16.5" customHeight="1" x14ac:dyDescent="0.25">
      <c r="A480" s="230">
        <v>44937</v>
      </c>
      <c r="B480" s="128" t="s">
        <v>10</v>
      </c>
      <c r="C480" s="157" t="str">
        <f t="shared" si="15"/>
        <v>11.01.2023_SAL1</v>
      </c>
      <c r="D480" s="190">
        <f t="shared" si="16"/>
        <v>0</v>
      </c>
      <c r="E480" s="231">
        <v>6.877329638774706E-6</v>
      </c>
      <c r="F480" s="231">
        <v>9.1103948617915931E-4</v>
      </c>
      <c r="G480" s="231">
        <v>5.0468711748149132E-2</v>
      </c>
      <c r="H480" s="231">
        <v>1.4402198958901207E-3</v>
      </c>
      <c r="I480" s="231">
        <v>8.8262024451396721E-6</v>
      </c>
      <c r="J480" s="231">
        <v>4.0720736801971892E-3</v>
      </c>
      <c r="K480" s="229">
        <v>12.8203541688236</v>
      </c>
      <c r="L480" s="229">
        <v>9.2381177582787206</v>
      </c>
      <c r="M480" s="229">
        <v>6.3372194257108001</v>
      </c>
      <c r="N480" s="229">
        <v>0.87345012575685099</v>
      </c>
      <c r="O480" s="205">
        <v>9.2674989128508308E-5</v>
      </c>
      <c r="P480" s="232">
        <v>41.480000000000004</v>
      </c>
      <c r="Q480" s="213"/>
      <c r="R480" s="235"/>
    </row>
    <row r="481" spans="1:18" ht="16.5" customHeight="1" x14ac:dyDescent="0.25">
      <c r="A481" s="230">
        <v>44937</v>
      </c>
      <c r="B481" s="128" t="s">
        <v>12</v>
      </c>
      <c r="C481" s="157" t="str">
        <f t="shared" si="15"/>
        <v>11.01.2023_SAL2</v>
      </c>
      <c r="D481" s="190">
        <f t="shared" si="16"/>
        <v>0</v>
      </c>
      <c r="E481" s="231">
        <v>5.7439847207146883E-6</v>
      </c>
      <c r="F481" s="231">
        <v>1.0305079578036146E-3</v>
      </c>
      <c r="G481" s="231">
        <v>5.2178984148914878E-2</v>
      </c>
      <c r="H481" s="231">
        <v>1.4556568470338268E-3</v>
      </c>
      <c r="I481" s="231">
        <v>9.2248074757034095E-6</v>
      </c>
      <c r="J481" s="231">
        <v>4.7870043564024458E-3</v>
      </c>
      <c r="K481" s="229">
        <v>14.9296335643091</v>
      </c>
      <c r="L481" s="229">
        <v>10.120163472324901</v>
      </c>
      <c r="M481" s="229">
        <v>6.8280226098443499</v>
      </c>
      <c r="N481" s="229">
        <v>0.94940459791961995</v>
      </c>
      <c r="O481" s="205">
        <v>8.7901576160307531E-5</v>
      </c>
      <c r="P481" s="232">
        <v>45.628</v>
      </c>
      <c r="Q481" s="213"/>
      <c r="R481" s="235"/>
    </row>
    <row r="482" spans="1:18" ht="16.5" customHeight="1" x14ac:dyDescent="0.25">
      <c r="A482" s="230">
        <v>44937</v>
      </c>
      <c r="B482" s="128" t="s">
        <v>7</v>
      </c>
      <c r="C482" s="157" t="str">
        <f t="shared" si="15"/>
        <v>11.01.2023_STE1</v>
      </c>
      <c r="D482" s="190">
        <f t="shared" si="16"/>
        <v>0</v>
      </c>
      <c r="E482" s="231">
        <v>6.7742968556279468E-6</v>
      </c>
      <c r="F482" s="231">
        <v>1.0332350188819203E-3</v>
      </c>
      <c r="G482" s="231">
        <v>6.3100710900553553E-2</v>
      </c>
      <c r="H482" s="231">
        <v>2.0078056786100246E-3</v>
      </c>
      <c r="I482" s="231">
        <v>8.7285854496802562E-6</v>
      </c>
      <c r="J482" s="231">
        <v>5.0738768896706997E-3</v>
      </c>
      <c r="K482" s="229">
        <v>23.1994744026082</v>
      </c>
      <c r="L482" s="229">
        <v>11.206002082900101</v>
      </c>
      <c r="M482" s="229">
        <v>6.9884885512649699</v>
      </c>
      <c r="N482" s="229">
        <v>0.85147465970272396</v>
      </c>
      <c r="O482" s="205">
        <v>9.7599805848362512E-5</v>
      </c>
      <c r="P482" s="232">
        <v>71.003999999999991</v>
      </c>
      <c r="Q482" s="213"/>
      <c r="R482" s="235"/>
    </row>
    <row r="483" spans="1:18" ht="16.5" customHeight="1" x14ac:dyDescent="0.25">
      <c r="A483" s="230">
        <v>44937</v>
      </c>
      <c r="B483" s="128" t="s">
        <v>9</v>
      </c>
      <c r="C483" s="157" t="str">
        <f t="shared" si="15"/>
        <v>11.01.2023_STE2</v>
      </c>
      <c r="D483" s="190">
        <f t="shared" si="16"/>
        <v>0</v>
      </c>
      <c r="E483" s="231">
        <v>4.3530633641249471E-6</v>
      </c>
      <c r="F483" s="231">
        <v>1.0322771052286449E-3</v>
      </c>
      <c r="G483" s="231">
        <v>6.1616436188492746E-2</v>
      </c>
      <c r="H483" s="231">
        <v>1.7741002254332817E-3</v>
      </c>
      <c r="I483" s="231">
        <v>1.1038870624991463E-5</v>
      </c>
      <c r="J483" s="231">
        <v>2.7334511628012304E-3</v>
      </c>
      <c r="K483" s="229">
        <v>26.818495903316901</v>
      </c>
      <c r="L483" s="229">
        <v>13.1765224717679</v>
      </c>
      <c r="M483" s="229">
        <v>7.9936936049839504</v>
      </c>
      <c r="N483" s="229">
        <v>0.98568759192137601</v>
      </c>
      <c r="O483" s="205">
        <v>9.4717669013977878E-5</v>
      </c>
      <c r="P483" s="232">
        <v>76.128</v>
      </c>
      <c r="Q483" s="213"/>
      <c r="R483" s="235"/>
    </row>
    <row r="484" spans="1:18" ht="16.5" customHeight="1" x14ac:dyDescent="0.25">
      <c r="A484" s="230">
        <v>44965</v>
      </c>
      <c r="B484" s="128" t="s">
        <v>22</v>
      </c>
      <c r="C484" s="157" t="str">
        <f t="shared" si="15"/>
        <v>08.02.2023_BIE1</v>
      </c>
      <c r="D484" s="190">
        <f t="shared" si="16"/>
        <v>0</v>
      </c>
      <c r="E484" s="231">
        <v>3.3474648354441937E-5</v>
      </c>
      <c r="F484" s="231">
        <v>1.3727671889829669E-3</v>
      </c>
      <c r="G484" s="231">
        <v>7.5910511115207413E-2</v>
      </c>
      <c r="H484" s="231">
        <v>1.322124780444615E-3</v>
      </c>
      <c r="I484" s="231">
        <v>2.9388625291129625E-5</v>
      </c>
      <c r="J484" s="231">
        <v>5.0796394799846644E-3</v>
      </c>
      <c r="K484" s="229">
        <v>19</v>
      </c>
      <c r="L484" s="229">
        <v>8.9</v>
      </c>
      <c r="M484" s="229">
        <v>7.2</v>
      </c>
      <c r="N484" s="229">
        <v>3</v>
      </c>
      <c r="O484" s="205">
        <v>1.6538137334876156E-4</v>
      </c>
      <c r="P484" s="232">
        <v>53.68</v>
      </c>
      <c r="Q484" s="213"/>
      <c r="R484" s="235"/>
    </row>
    <row r="485" spans="1:18" ht="16.5" customHeight="1" x14ac:dyDescent="0.25">
      <c r="A485" s="230">
        <v>44965</v>
      </c>
      <c r="B485" s="128" t="s">
        <v>25</v>
      </c>
      <c r="C485" s="157" t="str">
        <f t="shared" si="15"/>
        <v>08.02.2023_BIE2</v>
      </c>
      <c r="D485" s="190">
        <f t="shared" si="16"/>
        <v>0</v>
      </c>
      <c r="E485" s="231">
        <v>2.0136291825587578E-5</v>
      </c>
      <c r="F485" s="231">
        <v>1.2998908758069629E-3</v>
      </c>
      <c r="G485" s="231">
        <v>8.1102788755226307E-2</v>
      </c>
      <c r="H485" s="231">
        <v>1.4485299276908823E-3</v>
      </c>
      <c r="I485" s="231">
        <v>1.1734119056030091E-5</v>
      </c>
      <c r="J485" s="231">
        <v>5.2165505067365853E-3</v>
      </c>
      <c r="K485" s="229">
        <v>21</v>
      </c>
      <c r="L485" s="229">
        <v>9.1999999999999993</v>
      </c>
      <c r="M485" s="229">
        <v>8.1</v>
      </c>
      <c r="N485" s="229">
        <v>2.9</v>
      </c>
      <c r="O485" s="205">
        <v>1.8313931518281393E-4</v>
      </c>
      <c r="P485" s="232">
        <v>56.120000000000005</v>
      </c>
      <c r="Q485" s="213"/>
      <c r="R485" s="235"/>
    </row>
    <row r="486" spans="1:18" ht="16.5" customHeight="1" x14ac:dyDescent="0.25">
      <c r="A486" s="230">
        <v>44965</v>
      </c>
      <c r="B486" s="128" t="s">
        <v>14</v>
      </c>
      <c r="C486" s="157" t="str">
        <f t="shared" si="15"/>
        <v>08.02.2023_BRA1</v>
      </c>
      <c r="D486" s="190">
        <f t="shared" si="16"/>
        <v>0</v>
      </c>
      <c r="E486" s="231">
        <v>6.6604376279098625E-6</v>
      </c>
      <c r="F486" s="231">
        <v>7.0986210246890512E-4</v>
      </c>
      <c r="G486" s="231">
        <v>6.4962101326859339E-2</v>
      </c>
      <c r="H486" s="231">
        <v>1.176463728486409E-3</v>
      </c>
      <c r="I486" s="231">
        <v>7.4524716914654227E-6</v>
      </c>
      <c r="J486" s="231">
        <v>1.1886385029611843E-3</v>
      </c>
      <c r="K486" s="229">
        <v>14</v>
      </c>
      <c r="L486" s="229">
        <v>10</v>
      </c>
      <c r="M486" s="229">
        <v>7.8</v>
      </c>
      <c r="N486" s="229">
        <v>0.7</v>
      </c>
      <c r="O486" s="205">
        <v>1.1956677661614284E-4</v>
      </c>
      <c r="P486" s="232">
        <v>38.795999999999999</v>
      </c>
      <c r="Q486" s="213"/>
      <c r="R486" s="235"/>
    </row>
    <row r="487" spans="1:18" ht="16.5" customHeight="1" x14ac:dyDescent="0.25">
      <c r="A487" s="230">
        <v>44965</v>
      </c>
      <c r="B487" s="128" t="s">
        <v>17</v>
      </c>
      <c r="C487" s="157" t="str">
        <f t="shared" si="15"/>
        <v>08.02.2023_BRA2</v>
      </c>
      <c r="D487" s="190">
        <f t="shared" si="16"/>
        <v>0</v>
      </c>
      <c r="E487" s="231">
        <v>8.9494601103721862E-6</v>
      </c>
      <c r="F487" s="231">
        <v>7.0313221529953577E-4</v>
      </c>
      <c r="G487" s="231">
        <v>6.6099413815899885E-2</v>
      </c>
      <c r="H487" s="231">
        <v>1.0511138132803042E-3</v>
      </c>
      <c r="I487" s="231">
        <v>6.0935204706402825E-6</v>
      </c>
      <c r="J487" s="231">
        <v>8.8276953700147805E-4</v>
      </c>
      <c r="K487" s="229">
        <v>15</v>
      </c>
      <c r="L487" s="229">
        <v>10</v>
      </c>
      <c r="M487" s="229">
        <v>8.1999999999999993</v>
      </c>
      <c r="N487" s="229">
        <v>0.9</v>
      </c>
      <c r="O487" s="205">
        <v>8.6375401421338673E-5</v>
      </c>
      <c r="P487" s="232">
        <v>40.992000000000004</v>
      </c>
      <c r="Q487" s="213"/>
      <c r="R487" s="235"/>
    </row>
    <row r="488" spans="1:18" ht="16.5" customHeight="1" x14ac:dyDescent="0.25">
      <c r="A488" s="230">
        <v>44965</v>
      </c>
      <c r="B488" s="128" t="s">
        <v>30</v>
      </c>
      <c r="C488" s="157" t="str">
        <f t="shared" si="15"/>
        <v>08.02.2023_FAL1</v>
      </c>
      <c r="D488" s="190">
        <f t="shared" si="16"/>
        <v>0</v>
      </c>
      <c r="E488" s="231">
        <v>4.0788700120828348E-6</v>
      </c>
      <c r="F488" s="231">
        <v>7.2927033392028071E-4</v>
      </c>
      <c r="G488" s="231">
        <v>0.26955275476460699</v>
      </c>
      <c r="H488" s="231">
        <v>2.2421640808374596E-3</v>
      </c>
      <c r="I488" s="231">
        <v>1.7250664850215012E-5</v>
      </c>
      <c r="J488" s="231">
        <v>1.7742861428687753E-3</v>
      </c>
      <c r="K488" s="229">
        <v>97</v>
      </c>
      <c r="L488" s="229">
        <v>32</v>
      </c>
      <c r="M488" s="229">
        <v>31</v>
      </c>
      <c r="N488" s="229">
        <v>4.3</v>
      </c>
      <c r="O488" s="205">
        <v>1.5133194373964702E-4</v>
      </c>
      <c r="P488" s="232">
        <v>244</v>
      </c>
      <c r="Q488" s="213"/>
      <c r="R488" s="235"/>
    </row>
    <row r="489" spans="1:18" ht="16.5" customHeight="1" x14ac:dyDescent="0.25">
      <c r="A489" s="230">
        <v>44965</v>
      </c>
      <c r="B489" s="128" t="s">
        <v>32</v>
      </c>
      <c r="C489" s="157" t="str">
        <f t="shared" si="15"/>
        <v>08.02.2023_FAL2</v>
      </c>
      <c r="D489" s="190">
        <f t="shared" si="16"/>
        <v>0</v>
      </c>
      <c r="E489" s="231">
        <v>3.3560311627780471E-6</v>
      </c>
      <c r="F489" s="231">
        <v>7.8009459146480362E-4</v>
      </c>
      <c r="G489" s="231">
        <v>0.27063831854226555</v>
      </c>
      <c r="H489" s="231">
        <v>2.3747643552918403E-3</v>
      </c>
      <c r="I489" s="231">
        <v>1.1883046608203201E-5</v>
      </c>
      <c r="J489" s="231">
        <v>1.5158643687221034E-3</v>
      </c>
      <c r="K489" s="229">
        <v>111</v>
      </c>
      <c r="L489" s="229">
        <v>34</v>
      </c>
      <c r="M489" s="229">
        <v>35</v>
      </c>
      <c r="N489" s="229">
        <v>4.5</v>
      </c>
      <c r="O489" s="205">
        <v>1.399559384084153E-4</v>
      </c>
      <c r="P489" s="232">
        <v>280.84399999999999</v>
      </c>
      <c r="Q489" s="213"/>
      <c r="R489" s="235"/>
    </row>
    <row r="490" spans="1:18" ht="16.5" customHeight="1" x14ac:dyDescent="0.25">
      <c r="A490" s="230">
        <v>44965</v>
      </c>
      <c r="B490" s="128" t="s">
        <v>26</v>
      </c>
      <c r="C490" s="157" t="str">
        <f t="shared" si="15"/>
        <v>08.02.2023_GRU1</v>
      </c>
      <c r="D490" s="190">
        <f t="shared" si="16"/>
        <v>0</v>
      </c>
      <c r="E490" s="231">
        <v>1.8845498684288179E-5</v>
      </c>
      <c r="F490" s="231">
        <v>1.0011060284141873E-3</v>
      </c>
      <c r="G490" s="231">
        <v>6.7054330271683463E-2</v>
      </c>
      <c r="H490" s="231">
        <v>2.5868915236284939E-3</v>
      </c>
      <c r="I490" s="231">
        <v>1.0753679755440355E-5</v>
      </c>
      <c r="J490" s="231">
        <v>1.647180250240065E-3</v>
      </c>
      <c r="K490" s="229">
        <v>16</v>
      </c>
      <c r="L490" s="229">
        <v>8.6</v>
      </c>
      <c r="M490" s="229">
        <v>9.1</v>
      </c>
      <c r="N490" s="229">
        <v>1.8</v>
      </c>
      <c r="O490" s="205">
        <v>1.1027764560805276E-4</v>
      </c>
      <c r="P490" s="232">
        <v>32.451999999999998</v>
      </c>
      <c r="Q490" s="213"/>
      <c r="R490" s="235"/>
    </row>
    <row r="491" spans="1:18" ht="16.5" customHeight="1" x14ac:dyDescent="0.25">
      <c r="A491" s="230">
        <v>44965</v>
      </c>
      <c r="B491" s="128" t="s">
        <v>28</v>
      </c>
      <c r="C491" s="157" t="str">
        <f t="shared" si="15"/>
        <v>08.02.2023_GRU2</v>
      </c>
      <c r="D491" s="190">
        <f t="shared" si="16"/>
        <v>0</v>
      </c>
      <c r="E491" s="231">
        <v>1.5214064179201369E-5</v>
      </c>
      <c r="F491" s="231">
        <v>9.4771797399535013E-4</v>
      </c>
      <c r="G491" s="231">
        <v>7.3371388175151278E-2</v>
      </c>
      <c r="H491" s="231">
        <v>2.4327935234089385E-3</v>
      </c>
      <c r="I491" s="231">
        <v>8.2777724507944521E-6</v>
      </c>
      <c r="J491" s="231">
        <v>1.5507021811046158E-3</v>
      </c>
      <c r="K491" s="229">
        <v>20</v>
      </c>
      <c r="L491" s="229">
        <v>9.1</v>
      </c>
      <c r="M491" s="229">
        <v>9.1999999999999993</v>
      </c>
      <c r="N491" s="229">
        <v>1.7</v>
      </c>
      <c r="O491" s="205">
        <v>1.1091362833580044E-4</v>
      </c>
      <c r="P491" s="232">
        <v>39.283999999999999</v>
      </c>
      <c r="Q491" s="213"/>
      <c r="R491" s="235"/>
    </row>
    <row r="492" spans="1:18" ht="16.5" customHeight="1" x14ac:dyDescent="0.25">
      <c r="A492" s="230">
        <v>44965</v>
      </c>
      <c r="B492" s="128" t="s">
        <v>0</v>
      </c>
      <c r="C492" s="157" t="str">
        <f t="shared" si="15"/>
        <v>08.02.2023_KIN1</v>
      </c>
      <c r="D492" s="190">
        <f t="shared" si="16"/>
        <v>0</v>
      </c>
      <c r="E492" s="231">
        <v>4.9049706788018117E-6</v>
      </c>
      <c r="F492" s="231">
        <v>1.0477520418876456E-3</v>
      </c>
      <c r="G492" s="231">
        <v>0.13482491501406146</v>
      </c>
      <c r="H492" s="231">
        <v>1.6549072815918195E-3</v>
      </c>
      <c r="I492" s="231">
        <v>9.5436486783245307E-6</v>
      </c>
      <c r="J492" s="231">
        <v>1.4264661576592725E-3</v>
      </c>
      <c r="K492" s="229">
        <v>52</v>
      </c>
      <c r="L492" s="229">
        <v>16</v>
      </c>
      <c r="M492" s="229">
        <v>11</v>
      </c>
      <c r="N492" s="229">
        <v>2</v>
      </c>
      <c r="O492" s="205">
        <v>8.8992886372459538E-5</v>
      </c>
      <c r="P492" s="232">
        <v>123.952</v>
      </c>
      <c r="Q492" s="213"/>
      <c r="R492" s="235"/>
    </row>
    <row r="493" spans="1:18" ht="16.5" customHeight="1" x14ac:dyDescent="0.25">
      <c r="A493" s="230">
        <v>44965</v>
      </c>
      <c r="B493" s="128" t="s">
        <v>2</v>
      </c>
      <c r="C493" s="157" t="str">
        <f t="shared" si="15"/>
        <v>08.02.2023_KIN2</v>
      </c>
      <c r="D493" s="190">
        <f t="shared" si="16"/>
        <v>0</v>
      </c>
      <c r="E493" s="231">
        <v>3.9756067489892295E-6</v>
      </c>
      <c r="F493" s="231">
        <v>9.7668487763882751E-4</v>
      </c>
      <c r="G493" s="231">
        <v>0.15102285368733401</v>
      </c>
      <c r="H493" s="231">
        <v>1.7640282428558107E-3</v>
      </c>
      <c r="I493" s="231">
        <v>1.3533660948153922E-5</v>
      </c>
      <c r="J493" s="231">
        <v>1.8202004135361674E-3</v>
      </c>
      <c r="K493" s="229">
        <v>62</v>
      </c>
      <c r="L493" s="229">
        <v>19</v>
      </c>
      <c r="M493" s="229">
        <v>10</v>
      </c>
      <c r="N493" s="229">
        <v>2.1</v>
      </c>
      <c r="O493" s="205">
        <v>8.5993256054076598E-5</v>
      </c>
      <c r="P493" s="232">
        <v>153.964</v>
      </c>
      <c r="Q493" s="213"/>
      <c r="R493" s="235"/>
    </row>
    <row r="494" spans="1:18" ht="16.5" customHeight="1" x14ac:dyDescent="0.25">
      <c r="A494" s="230">
        <v>44965</v>
      </c>
      <c r="B494" s="128" t="s">
        <v>4</v>
      </c>
      <c r="C494" s="157" t="str">
        <f t="shared" si="15"/>
        <v>08.02.2023_KIN3</v>
      </c>
      <c r="D494" s="190">
        <f t="shared" si="16"/>
        <v>0</v>
      </c>
      <c r="E494" s="231">
        <v>2.9085598783684249E-6</v>
      </c>
      <c r="F494" s="231">
        <v>8.6839872818997093E-4</v>
      </c>
      <c r="G494" s="231">
        <v>0.12528359564822272</v>
      </c>
      <c r="H494" s="231">
        <v>1.8544754434097934E-3</v>
      </c>
      <c r="I494" s="231">
        <v>8.3460296889250154E-6</v>
      </c>
      <c r="J494" s="231">
        <v>7.3028685147851662E-4</v>
      </c>
      <c r="K494" s="229">
        <v>52</v>
      </c>
      <c r="L494" s="229">
        <v>20</v>
      </c>
      <c r="M494" s="229">
        <v>11</v>
      </c>
      <c r="N494" s="229">
        <v>1.7</v>
      </c>
      <c r="O494" s="205">
        <v>8.7876514773141049E-5</v>
      </c>
      <c r="P494" s="232">
        <v>127.61200000000001</v>
      </c>
      <c r="Q494" s="213"/>
      <c r="R494" s="235"/>
    </row>
    <row r="495" spans="1:18" ht="16.5" customHeight="1" x14ac:dyDescent="0.25">
      <c r="A495" s="230">
        <v>44965</v>
      </c>
      <c r="B495" s="128" t="s">
        <v>6</v>
      </c>
      <c r="C495" s="157" t="str">
        <f t="shared" si="15"/>
        <v>08.02.2023_KIN4</v>
      </c>
      <c r="D495" s="190">
        <f t="shared" si="16"/>
        <v>0</v>
      </c>
      <c r="E495" s="231">
        <v>3.6658189508638487E-6</v>
      </c>
      <c r="F495" s="231">
        <v>1.0634149932851693E-3</v>
      </c>
      <c r="G495" s="231">
        <v>0.13488295724567015</v>
      </c>
      <c r="H495" s="231">
        <v>2.0794069714640154E-3</v>
      </c>
      <c r="I495" s="231">
        <v>1.077850122207256E-5</v>
      </c>
      <c r="J495" s="231">
        <v>4.3449095990648334E-3</v>
      </c>
      <c r="K495" s="229">
        <v>56</v>
      </c>
      <c r="L495" s="229">
        <v>21</v>
      </c>
      <c r="M495" s="229">
        <v>17</v>
      </c>
      <c r="N495" s="229">
        <v>2.1</v>
      </c>
      <c r="O495" s="205">
        <v>9.1700438869994118E-5</v>
      </c>
      <c r="P495" s="232">
        <v>137.37199999999999</v>
      </c>
      <c r="Q495" s="213"/>
      <c r="R495" s="235"/>
    </row>
    <row r="496" spans="1:18" ht="16.5" customHeight="1" x14ac:dyDescent="0.25">
      <c r="A496" s="230">
        <v>44965</v>
      </c>
      <c r="B496" s="128" t="s">
        <v>34</v>
      </c>
      <c r="C496" s="157" t="str">
        <f t="shared" si="15"/>
        <v>08.02.2023_KRE1</v>
      </c>
      <c r="D496" s="190">
        <f t="shared" si="16"/>
        <v>0</v>
      </c>
      <c r="E496" s="231">
        <v>3.6486083121982224E-6</v>
      </c>
      <c r="F496" s="231">
        <v>6.4993002670483903E-4</v>
      </c>
      <c r="G496" s="231">
        <v>0.25415984807991165</v>
      </c>
      <c r="H496" s="231">
        <v>2.2867893779418965E-3</v>
      </c>
      <c r="I496" s="231">
        <v>9.1465114587548701E-6</v>
      </c>
      <c r="J496" s="231">
        <v>3.7140142319610115E-3</v>
      </c>
      <c r="K496" s="229">
        <v>128</v>
      </c>
      <c r="L496" s="229">
        <v>41</v>
      </c>
      <c r="M496" s="229">
        <v>36</v>
      </c>
      <c r="N496" s="229">
        <v>4.7</v>
      </c>
      <c r="O496" s="205">
        <v>1.6032240831491708E-4</v>
      </c>
      <c r="P496" s="232">
        <v>280.59999999999997</v>
      </c>
      <c r="Q496" s="213"/>
      <c r="R496" s="235"/>
    </row>
    <row r="497" spans="1:18" ht="16.5" customHeight="1" x14ac:dyDescent="0.25">
      <c r="A497" s="230">
        <v>44965</v>
      </c>
      <c r="B497" s="128" t="s">
        <v>37</v>
      </c>
      <c r="C497" s="157" t="str">
        <f t="shared" si="15"/>
        <v>08.02.2023_KRE2</v>
      </c>
      <c r="D497" s="190">
        <f t="shared" si="16"/>
        <v>0</v>
      </c>
      <c r="E497" s="231">
        <v>4.3026054635382243E-6</v>
      </c>
      <c r="F497" s="231">
        <v>8.0109216766909019E-4</v>
      </c>
      <c r="G497" s="231">
        <v>0.28227197752830568</v>
      </c>
      <c r="H497" s="231">
        <v>2.7473063044629788E-3</v>
      </c>
      <c r="I497" s="231">
        <v>1.3037234687491733E-5</v>
      </c>
      <c r="J497" s="231">
        <v>1.9462878903024122E-3</v>
      </c>
      <c r="K497" s="229">
        <v>141</v>
      </c>
      <c r="L497" s="229">
        <v>43</v>
      </c>
      <c r="M497" s="229">
        <v>40</v>
      </c>
      <c r="N497" s="229">
        <v>4.8</v>
      </c>
      <c r="O497" s="205">
        <v>2.4204129272522454E-4</v>
      </c>
      <c r="P497" s="232">
        <v>310.36799999999999</v>
      </c>
      <c r="Q497" s="213"/>
      <c r="R497" s="235"/>
    </row>
    <row r="498" spans="1:18" ht="16.5" customHeight="1" x14ac:dyDescent="0.25">
      <c r="A498" s="230">
        <v>44965</v>
      </c>
      <c r="B498" s="128" t="s">
        <v>18</v>
      </c>
      <c r="C498" s="157" t="str">
        <f t="shared" si="15"/>
        <v>08.02.2023_ORB1</v>
      </c>
      <c r="D498" s="190">
        <f t="shared" si="16"/>
        <v>0</v>
      </c>
      <c r="E498" s="231">
        <v>6.1957548247095812E-6</v>
      </c>
      <c r="F498" s="231">
        <v>3.7859377022625695E-4</v>
      </c>
      <c r="G498" s="231">
        <v>5.523099588507617E-2</v>
      </c>
      <c r="H498" s="231">
        <v>8.5809518682929738E-4</v>
      </c>
      <c r="I498" s="231">
        <v>2.6316777178086718E-5</v>
      </c>
      <c r="J498" s="231">
        <v>3.319019134078346E-3</v>
      </c>
      <c r="K498" s="229">
        <v>13</v>
      </c>
      <c r="L498" s="229">
        <v>4.0999999999999996</v>
      </c>
      <c r="M498" s="229">
        <v>14</v>
      </c>
      <c r="N498" s="229">
        <v>3.7</v>
      </c>
      <c r="O498" s="205">
        <v>2.009559458861982E-4</v>
      </c>
      <c r="P498" s="232">
        <v>17.080000000000002</v>
      </c>
      <c r="Q498" s="213"/>
      <c r="R498" s="235"/>
    </row>
    <row r="499" spans="1:18" ht="16.5" customHeight="1" x14ac:dyDescent="0.25">
      <c r="A499" s="230">
        <v>44965</v>
      </c>
      <c r="B499" s="128" t="s">
        <v>21</v>
      </c>
      <c r="C499" s="157" t="str">
        <f t="shared" si="15"/>
        <v>08.02.2023_ORB2</v>
      </c>
      <c r="D499" s="190">
        <f t="shared" si="16"/>
        <v>0</v>
      </c>
      <c r="E499" s="231">
        <v>5.0426545934356154E-6</v>
      </c>
      <c r="F499" s="231">
        <v>3.2968017108776971E-4</v>
      </c>
      <c r="G499" s="231">
        <v>6.0531883703318044E-2</v>
      </c>
      <c r="H499" s="231">
        <v>7.3759283006761829E-4</v>
      </c>
      <c r="I499" s="231">
        <v>2.0787736263609602E-5</v>
      </c>
      <c r="J499" s="231">
        <v>1.8129265870690946E-3</v>
      </c>
      <c r="K499" s="229">
        <v>15</v>
      </c>
      <c r="L499" s="229">
        <v>4.7</v>
      </c>
      <c r="M499" s="229">
        <v>15</v>
      </c>
      <c r="N499" s="229">
        <v>3.5</v>
      </c>
      <c r="O499" s="205">
        <v>1.5982851596724548E-4</v>
      </c>
      <c r="P499" s="232">
        <v>18.544</v>
      </c>
      <c r="Q499" s="213"/>
      <c r="R499" s="235"/>
    </row>
    <row r="500" spans="1:18" ht="16.5" customHeight="1" x14ac:dyDescent="0.25">
      <c r="A500" s="230">
        <v>44965</v>
      </c>
      <c r="B500" s="128" t="s">
        <v>10</v>
      </c>
      <c r="C500" s="157" t="str">
        <f t="shared" si="15"/>
        <v>08.02.2023_SAL1</v>
      </c>
      <c r="D500" s="190">
        <f t="shared" si="16"/>
        <v>0</v>
      </c>
      <c r="E500" s="231">
        <v>5.1459170567202611E-6</v>
      </c>
      <c r="F500" s="231">
        <v>6.8984502966697972E-4</v>
      </c>
      <c r="G500" s="231">
        <v>5.9730225573694236E-2</v>
      </c>
      <c r="H500" s="231">
        <v>1.1035576874011941E-3</v>
      </c>
      <c r="I500" s="231">
        <v>5.4792013614024882E-6</v>
      </c>
      <c r="J500" s="231">
        <v>7.8913778300324664E-4</v>
      </c>
      <c r="K500" s="229">
        <v>18</v>
      </c>
      <c r="L500" s="229">
        <v>14</v>
      </c>
      <c r="M500" s="229">
        <v>9.4</v>
      </c>
      <c r="N500" s="229">
        <v>1</v>
      </c>
      <c r="O500" s="205">
        <v>6.299939950191153E-5</v>
      </c>
      <c r="P500" s="232">
        <v>40.015999999999998</v>
      </c>
      <c r="Q500" s="213"/>
      <c r="R500" s="235"/>
    </row>
    <row r="501" spans="1:18" ht="16.5" customHeight="1" x14ac:dyDescent="0.25">
      <c r="A501" s="230">
        <v>44965</v>
      </c>
      <c r="B501" s="128" t="s">
        <v>12</v>
      </c>
      <c r="C501" s="157" t="str">
        <f t="shared" si="15"/>
        <v>08.02.2023_SAL2</v>
      </c>
      <c r="D501" s="190">
        <f t="shared" si="16"/>
        <v>0</v>
      </c>
      <c r="E501" s="231">
        <v>3.700239565592849E-6</v>
      </c>
      <c r="F501" s="231">
        <v>6.5895528691319895E-4</v>
      </c>
      <c r="G501" s="231">
        <v>6.2455229165757818E-2</v>
      </c>
      <c r="H501" s="231">
        <v>1.0550020406674486E-3</v>
      </c>
      <c r="I501" s="231">
        <v>6.8257403352531401E-6</v>
      </c>
      <c r="J501" s="231">
        <v>5.3737425910555274E-4</v>
      </c>
      <c r="K501" s="229">
        <v>18</v>
      </c>
      <c r="L501" s="229">
        <v>13</v>
      </c>
      <c r="M501" s="229">
        <v>9.3000000000000007</v>
      </c>
      <c r="N501" s="229">
        <v>0.9</v>
      </c>
      <c r="O501" s="205">
        <v>5.8796553771556203E-5</v>
      </c>
      <c r="P501" s="232">
        <v>50.019999999999996</v>
      </c>
      <c r="Q501" s="213"/>
      <c r="R501" s="235"/>
    </row>
    <row r="502" spans="1:18" ht="16.5" customHeight="1" x14ac:dyDescent="0.25">
      <c r="A502" s="230">
        <v>44965</v>
      </c>
      <c r="B502" s="128" t="s">
        <v>7</v>
      </c>
      <c r="C502" s="157" t="str">
        <f t="shared" si="15"/>
        <v>08.02.2023_STE1</v>
      </c>
      <c r="D502" s="190">
        <f t="shared" si="16"/>
        <v>0</v>
      </c>
      <c r="E502" s="231">
        <v>2.8052974719735215E-6</v>
      </c>
      <c r="F502" s="231">
        <v>7.6722055810493335E-4</v>
      </c>
      <c r="G502" s="231">
        <v>7.9740996330437339E-2</v>
      </c>
      <c r="H502" s="231">
        <v>1.4639706603170653E-3</v>
      </c>
      <c r="I502" s="231">
        <v>7.0615400349235711E-6</v>
      </c>
      <c r="J502" s="231">
        <v>7.9266155827582353E-4</v>
      </c>
      <c r="K502" s="229">
        <v>33</v>
      </c>
      <c r="L502" s="229">
        <v>15</v>
      </c>
      <c r="M502" s="229">
        <v>9.5</v>
      </c>
      <c r="N502" s="229">
        <v>1</v>
      </c>
      <c r="O502" s="205">
        <v>7.3004520033478201E-5</v>
      </c>
      <c r="P502" s="232">
        <v>73.688000000000002</v>
      </c>
      <c r="Q502" s="213"/>
      <c r="R502" s="235"/>
    </row>
    <row r="503" spans="1:18" ht="16.5" customHeight="1" x14ac:dyDescent="0.25">
      <c r="A503" s="230">
        <v>44965</v>
      </c>
      <c r="B503" s="128" t="s">
        <v>9</v>
      </c>
      <c r="C503" s="157" t="str">
        <f t="shared" si="15"/>
        <v>08.02.2023_STE2</v>
      </c>
      <c r="D503" s="190">
        <f t="shared" si="16"/>
        <v>0</v>
      </c>
      <c r="E503" s="231">
        <v>3.6313982424336528E-6</v>
      </c>
      <c r="F503" s="231">
        <v>7.5482314002235575E-4</v>
      </c>
      <c r="G503" s="231">
        <v>8.8448002176038237E-2</v>
      </c>
      <c r="H503" s="231">
        <v>1.5374782143835642E-3</v>
      </c>
      <c r="I503" s="231">
        <v>6.4534252917839005E-6</v>
      </c>
      <c r="J503" s="231">
        <v>1.2480384887582864E-3</v>
      </c>
      <c r="K503" s="229">
        <v>36</v>
      </c>
      <c r="L503" s="229">
        <v>14</v>
      </c>
      <c r="M503" s="229">
        <v>10</v>
      </c>
      <c r="N503" s="229">
        <v>0.8</v>
      </c>
      <c r="O503" s="205">
        <v>7.7019338417412788E-5</v>
      </c>
      <c r="P503" s="232">
        <v>83.448000000000008</v>
      </c>
      <c r="Q503" s="213"/>
      <c r="R503" s="235"/>
    </row>
    <row r="504" spans="1:18" ht="16.5" customHeight="1" x14ac:dyDescent="0.25">
      <c r="A504" s="230">
        <v>44993</v>
      </c>
      <c r="B504" s="128" t="s">
        <v>22</v>
      </c>
      <c r="C504" s="157" t="str">
        <f t="shared" si="15"/>
        <v>08.03.2023_BIE1</v>
      </c>
      <c r="D504" s="190">
        <f t="shared" si="16"/>
        <v>0</v>
      </c>
      <c r="E504" s="231">
        <v>2.770688819811768E-5</v>
      </c>
      <c r="F504" s="231">
        <v>1.8399479230523912E-3</v>
      </c>
      <c r="G504" s="231">
        <v>5.8335811925982195E-2</v>
      </c>
      <c r="H504" s="231">
        <v>1.1299975204434401E-3</v>
      </c>
      <c r="I504" s="231">
        <v>3.1693983767001444E-5</v>
      </c>
      <c r="J504" s="231">
        <v>5.5757333593713506E-3</v>
      </c>
      <c r="K504" s="229">
        <v>19</v>
      </c>
      <c r="L504" s="229">
        <v>10</v>
      </c>
      <c r="M504" s="229">
        <v>19</v>
      </c>
      <c r="N504" s="229">
        <v>3.3</v>
      </c>
      <c r="O504" s="205">
        <v>1.4512510324751104E-4</v>
      </c>
      <c r="P504" s="232">
        <v>49.775999999999996</v>
      </c>
      <c r="Q504" s="213"/>
      <c r="R504" s="235"/>
    </row>
    <row r="505" spans="1:18" ht="16.5" customHeight="1" x14ac:dyDescent="0.25">
      <c r="A505" s="230">
        <v>44993</v>
      </c>
      <c r="B505" s="128" t="s">
        <v>25</v>
      </c>
      <c r="C505" s="157" t="str">
        <f t="shared" si="15"/>
        <v>08.03.2023_BIE2</v>
      </c>
      <c r="D505" s="190">
        <f t="shared" si="16"/>
        <v>0</v>
      </c>
      <c r="E505" s="231">
        <v>2.5627482464447415E-5</v>
      </c>
      <c r="F505" s="231">
        <v>2.3706133644974519E-3</v>
      </c>
      <c r="G505" s="231">
        <v>6.2608773628642797E-2</v>
      </c>
      <c r="H505" s="231">
        <v>1.297589407824692E-3</v>
      </c>
      <c r="I505" s="231">
        <v>3.779443226628874E-5</v>
      </c>
      <c r="J505" s="231">
        <v>5.8982566473401304E-3</v>
      </c>
      <c r="K505" s="229">
        <v>21</v>
      </c>
      <c r="L505" s="229">
        <v>10</v>
      </c>
      <c r="M505" s="229">
        <v>22</v>
      </c>
      <c r="N505" s="229">
        <v>3.3</v>
      </c>
      <c r="O505" s="205">
        <v>1.860035409981263E-4</v>
      </c>
      <c r="P505" s="232">
        <v>50.751999999999995</v>
      </c>
      <c r="Q505" s="213"/>
      <c r="R505" s="235"/>
    </row>
    <row r="506" spans="1:18" ht="16.5" customHeight="1" x14ac:dyDescent="0.25">
      <c r="A506" s="230">
        <v>44993</v>
      </c>
      <c r="B506" s="128" t="s">
        <v>14</v>
      </c>
      <c r="C506" s="157" t="str">
        <f t="shared" si="15"/>
        <v>08.03.2023_BRA1</v>
      </c>
      <c r="D506" s="190">
        <f t="shared" si="16"/>
        <v>0</v>
      </c>
      <c r="E506" s="231">
        <v>5.2166665505538922E-6</v>
      </c>
      <c r="F506" s="231">
        <v>8.0440683716286954E-4</v>
      </c>
      <c r="G506" s="231">
        <v>5.3425746305357687E-2</v>
      </c>
      <c r="H506" s="231">
        <v>1.315577265196927E-3</v>
      </c>
      <c r="I506" s="231">
        <v>1.0614410212631457E-5</v>
      </c>
      <c r="J506" s="231">
        <v>5.7212774176492089E-3</v>
      </c>
      <c r="K506" s="229">
        <v>20</v>
      </c>
      <c r="L506" s="229">
        <v>15</v>
      </c>
      <c r="M506" s="229">
        <v>12</v>
      </c>
      <c r="N506" s="229">
        <v>1.1000000000000001</v>
      </c>
      <c r="O506" s="205">
        <v>1.3223298662812445E-4</v>
      </c>
      <c r="P506" s="232">
        <v>53.68</v>
      </c>
      <c r="Q506" s="213"/>
      <c r="R506" s="235"/>
    </row>
    <row r="507" spans="1:18" ht="16.5" customHeight="1" x14ac:dyDescent="0.25">
      <c r="A507" s="230">
        <v>44993</v>
      </c>
      <c r="B507" s="128" t="s">
        <v>17</v>
      </c>
      <c r="C507" s="157" t="str">
        <f t="shared" si="15"/>
        <v>08.03.2023_BRA2</v>
      </c>
      <c r="D507" s="190">
        <f t="shared" si="16"/>
        <v>0</v>
      </c>
      <c r="E507" s="231">
        <v>4.4870620009898893E-6</v>
      </c>
      <c r="F507" s="231">
        <v>6.0837424234809587E-4</v>
      </c>
      <c r="G507" s="231">
        <v>5.6218145182586624E-2</v>
      </c>
      <c r="H507" s="231">
        <v>9.9062963029264081E-4</v>
      </c>
      <c r="I507" s="231">
        <v>8.8536539966846085E-6</v>
      </c>
      <c r="J507" s="231">
        <v>3.7648767479338033E-3</v>
      </c>
      <c r="K507" s="229">
        <v>21</v>
      </c>
      <c r="L507" s="229">
        <v>17</v>
      </c>
      <c r="M507" s="229">
        <v>21</v>
      </c>
      <c r="N507" s="229">
        <v>1.3</v>
      </c>
      <c r="O507" s="205">
        <v>8.04576391545114E-5</v>
      </c>
      <c r="P507" s="232">
        <v>55.143999999999998</v>
      </c>
      <c r="Q507" s="213"/>
      <c r="R507" s="235"/>
    </row>
    <row r="508" spans="1:18" ht="16.5" customHeight="1" x14ac:dyDescent="0.25">
      <c r="A508" s="230">
        <v>44993</v>
      </c>
      <c r="B508" s="128" t="s">
        <v>30</v>
      </c>
      <c r="C508" s="157" t="str">
        <f t="shared" si="15"/>
        <v>08.03.2023_FAL1</v>
      </c>
      <c r="D508" s="190">
        <f t="shared" si="16"/>
        <v>0</v>
      </c>
      <c r="E508" s="231">
        <v>5.4720281012278566E-6</v>
      </c>
      <c r="F508" s="231">
        <v>1.3353756579412694E-3</v>
      </c>
      <c r="G508" s="231">
        <v>0.14352730408516559</v>
      </c>
      <c r="H508" s="231">
        <v>1.6847151483018194E-3</v>
      </c>
      <c r="I508" s="231">
        <v>1.6964417774694053E-5</v>
      </c>
      <c r="J508" s="231">
        <v>3.2155088104635272E-3</v>
      </c>
      <c r="K508" s="229">
        <v>93</v>
      </c>
      <c r="L508" s="229">
        <v>29</v>
      </c>
      <c r="M508" s="229">
        <v>37</v>
      </c>
      <c r="N508" s="229">
        <v>10</v>
      </c>
      <c r="O508" s="205">
        <v>1.1756612465875555E-4</v>
      </c>
      <c r="P508" s="232">
        <v>260.59200000000004</v>
      </c>
      <c r="Q508" s="213"/>
      <c r="R508" s="235"/>
    </row>
    <row r="509" spans="1:18" ht="16.5" customHeight="1" x14ac:dyDescent="0.25">
      <c r="A509" s="230">
        <v>44993</v>
      </c>
      <c r="B509" s="128" t="s">
        <v>32</v>
      </c>
      <c r="C509" s="157" t="str">
        <f t="shared" si="15"/>
        <v>08.03.2023_FAL2</v>
      </c>
      <c r="D509" s="190">
        <f t="shared" si="16"/>
        <v>0</v>
      </c>
      <c r="E509" s="231">
        <v>5.3078665672950038E-6</v>
      </c>
      <c r="F509" s="231">
        <v>2.142328952019689E-3</v>
      </c>
      <c r="G509" s="231">
        <v>0.14112160193974194</v>
      </c>
      <c r="H509" s="231">
        <v>1.5308704705857983E-3</v>
      </c>
      <c r="I509" s="231">
        <v>1.3773795837146206E-5</v>
      </c>
      <c r="J509" s="231">
        <v>5.2644323890281832E-3</v>
      </c>
      <c r="K509" s="229">
        <v>88</v>
      </c>
      <c r="L509" s="229">
        <v>38</v>
      </c>
      <c r="M509" s="229">
        <v>37</v>
      </c>
      <c r="N509" s="229">
        <v>4.9000000000000004</v>
      </c>
      <c r="O509" s="205">
        <v>1.0409216997377538E-4</v>
      </c>
      <c r="P509" s="232">
        <v>264.49600000000004</v>
      </c>
      <c r="Q509" s="213"/>
      <c r="R509" s="235"/>
    </row>
    <row r="510" spans="1:18" ht="16.5" customHeight="1" x14ac:dyDescent="0.25">
      <c r="A510" s="230">
        <v>44993</v>
      </c>
      <c r="B510" s="128" t="s">
        <v>26</v>
      </c>
      <c r="C510" s="157" t="str">
        <f t="shared" si="15"/>
        <v>08.03.2023_GRU1</v>
      </c>
      <c r="D510" s="190">
        <f t="shared" si="16"/>
        <v>0</v>
      </c>
      <c r="E510" s="231">
        <v>1.1728401251337807E-5</v>
      </c>
      <c r="F510" s="231">
        <v>9.0882592039822675E-4</v>
      </c>
      <c r="G510" s="231">
        <v>5.352809142937346E-2</v>
      </c>
      <c r="H510" s="231">
        <v>1.9432829143379204E-3</v>
      </c>
      <c r="I510" s="231">
        <v>1.2212834175264538E-5</v>
      </c>
      <c r="J510" s="231">
        <v>1.6502265830457246E-3</v>
      </c>
      <c r="K510" s="229">
        <v>18</v>
      </c>
      <c r="L510" s="229">
        <v>11</v>
      </c>
      <c r="M510" s="229">
        <v>18</v>
      </c>
      <c r="N510" s="229">
        <v>1.9</v>
      </c>
      <c r="O510" s="205">
        <v>7.9687943989573153E-5</v>
      </c>
      <c r="P510" s="232">
        <v>39.04</v>
      </c>
      <c r="Q510" s="213"/>
      <c r="R510" s="235"/>
    </row>
    <row r="511" spans="1:18" ht="16.5" customHeight="1" x14ac:dyDescent="0.25">
      <c r="A511" s="230">
        <v>44993</v>
      </c>
      <c r="B511" s="128" t="s">
        <v>28</v>
      </c>
      <c r="C511" s="157" t="str">
        <f t="shared" si="15"/>
        <v>08.03.2023_GRU2</v>
      </c>
      <c r="D511" s="190">
        <f t="shared" si="16"/>
        <v>0</v>
      </c>
      <c r="E511" s="231">
        <v>9.5760604698269229E-6</v>
      </c>
      <c r="F511" s="231">
        <v>7.8839074406152369E-4</v>
      </c>
      <c r="G511" s="231">
        <v>6.123758809917635E-2</v>
      </c>
      <c r="H511" s="231">
        <v>1.8025610149310634E-3</v>
      </c>
      <c r="I511" s="231">
        <v>1.0389632297222571E-5</v>
      </c>
      <c r="J511" s="231">
        <v>4.945727028280637E-3</v>
      </c>
      <c r="K511" s="229">
        <v>22</v>
      </c>
      <c r="L511" s="229">
        <v>12</v>
      </c>
      <c r="M511" s="229">
        <v>20</v>
      </c>
      <c r="N511" s="229">
        <v>1.9</v>
      </c>
      <c r="O511" s="205">
        <v>8.3858090024792182E-5</v>
      </c>
      <c r="P511" s="232">
        <v>49.288000000000004</v>
      </c>
      <c r="Q511" s="213"/>
      <c r="R511" s="235"/>
    </row>
    <row r="512" spans="1:18" ht="16.5" customHeight="1" x14ac:dyDescent="0.25">
      <c r="A512" s="230">
        <v>44993</v>
      </c>
      <c r="B512" s="128" t="s">
        <v>0</v>
      </c>
      <c r="C512" s="157" t="str">
        <f t="shared" si="15"/>
        <v>08.03.2023_KIN1</v>
      </c>
      <c r="D512" s="190">
        <f t="shared" si="16"/>
        <v>0</v>
      </c>
      <c r="E512" s="231">
        <v>4.5965021381199101E-6</v>
      </c>
      <c r="F512" s="231">
        <v>7.0415516011596198E-4</v>
      </c>
      <c r="G512" s="231">
        <v>0.10522028898378237</v>
      </c>
      <c r="H512" s="231">
        <v>1.2452896859909629E-3</v>
      </c>
      <c r="I512" s="231">
        <v>1.2649901402513433E-5</v>
      </c>
      <c r="J512" s="231">
        <v>5.9058528567401047E-3</v>
      </c>
      <c r="K512" s="229">
        <v>61</v>
      </c>
      <c r="L512" s="229">
        <v>25</v>
      </c>
      <c r="M512" s="229">
        <v>12</v>
      </c>
      <c r="N512" s="229">
        <v>1.8</v>
      </c>
      <c r="O512" s="205">
        <v>6.4711083755975623E-5</v>
      </c>
      <c r="P512" s="232">
        <v>172.99599999999998</v>
      </c>
      <c r="Q512" s="213"/>
      <c r="R512" s="235"/>
    </row>
    <row r="513" spans="1:18" ht="16.5" customHeight="1" x14ac:dyDescent="0.25">
      <c r="A513" s="230">
        <v>44993</v>
      </c>
      <c r="B513" s="128" t="s">
        <v>2</v>
      </c>
      <c r="C513" s="157" t="str">
        <f t="shared" si="15"/>
        <v>08.03.2023_KIN2</v>
      </c>
      <c r="D513" s="190">
        <f t="shared" si="16"/>
        <v>0</v>
      </c>
      <c r="E513" s="231">
        <v>4.0128187431902833E-6</v>
      </c>
      <c r="F513" s="231">
        <v>5.1147861002749607E-4</v>
      </c>
      <c r="G513" s="231">
        <v>9.6344552380406429E-2</v>
      </c>
      <c r="H513" s="231">
        <v>9.6885044813148152E-4</v>
      </c>
      <c r="I513" s="231">
        <v>1.1120160723232814E-5</v>
      </c>
      <c r="J513" s="231">
        <v>4.7610743788543859E-3</v>
      </c>
      <c r="K513" s="229">
        <v>52</v>
      </c>
      <c r="L513" s="229">
        <v>20</v>
      </c>
      <c r="M513" s="229">
        <v>9.4</v>
      </c>
      <c r="N513" s="229">
        <v>1.6</v>
      </c>
      <c r="O513" s="205">
        <v>4.6291968745166403E-5</v>
      </c>
      <c r="P513" s="232">
        <v>224.72400000000002</v>
      </c>
      <c r="Q513" s="213"/>
      <c r="R513" s="235"/>
    </row>
    <row r="514" spans="1:18" ht="16.5" customHeight="1" x14ac:dyDescent="0.25">
      <c r="A514" s="230">
        <v>44993</v>
      </c>
      <c r="B514" s="128" t="s">
        <v>4</v>
      </c>
      <c r="C514" s="157" t="str">
        <f t="shared" si="15"/>
        <v>08.03.2023_KIN3</v>
      </c>
      <c r="D514" s="190">
        <f t="shared" si="16"/>
        <v>0</v>
      </c>
      <c r="E514" s="231">
        <v>2.6265710974120244E-6</v>
      </c>
      <c r="F514" s="231">
        <v>9.2036669108055231E-4</v>
      </c>
      <c r="G514" s="231">
        <v>0.11141439229740337</v>
      </c>
      <c r="H514" s="231">
        <v>1.5211215001872556E-3</v>
      </c>
      <c r="I514" s="231">
        <v>9.122137335139092E-6</v>
      </c>
      <c r="J514" s="231">
        <v>4.7347609332434384E-3</v>
      </c>
      <c r="K514" s="229">
        <v>65</v>
      </c>
      <c r="L514" s="229">
        <v>26</v>
      </c>
      <c r="M514" s="229">
        <v>13</v>
      </c>
      <c r="N514" s="229">
        <v>1.7</v>
      </c>
      <c r="O514" s="205">
        <v>6.5747794238237847E-5</v>
      </c>
      <c r="P514" s="232">
        <v>175.92400000000001</v>
      </c>
      <c r="Q514" s="213"/>
      <c r="R514" s="235"/>
    </row>
    <row r="515" spans="1:18" ht="16.5" customHeight="1" x14ac:dyDescent="0.25">
      <c r="A515" s="230">
        <v>44993</v>
      </c>
      <c r="B515" s="128" t="s">
        <v>6</v>
      </c>
      <c r="C515" s="157" t="str">
        <f t="shared" si="15"/>
        <v>08.03.2023_KIN4</v>
      </c>
      <c r="D515" s="190">
        <f t="shared" si="16"/>
        <v>0</v>
      </c>
      <c r="E515" s="231">
        <v>3.7392169196196281E-6</v>
      </c>
      <c r="F515" s="231">
        <v>6.1072405722230523E-4</v>
      </c>
      <c r="G515" s="231">
        <v>0.10506484298800361</v>
      </c>
      <c r="H515" s="231">
        <v>1.271378022357473E-3</v>
      </c>
      <c r="I515" s="231">
        <v>1.0957820488491351E-5</v>
      </c>
      <c r="J515" s="231">
        <v>5.4311632876412608E-3</v>
      </c>
      <c r="K515" s="229">
        <v>59</v>
      </c>
      <c r="L515" s="229">
        <v>24</v>
      </c>
      <c r="M515" s="229">
        <v>22</v>
      </c>
      <c r="N515" s="229">
        <v>1.8</v>
      </c>
      <c r="O515" s="205">
        <v>6.4972410581415208E-5</v>
      </c>
      <c r="P515" s="232">
        <v>203.00799999999998</v>
      </c>
      <c r="Q515" s="213"/>
      <c r="R515" s="235"/>
    </row>
    <row r="516" spans="1:18" ht="16.5" customHeight="1" x14ac:dyDescent="0.25">
      <c r="A516" s="230">
        <v>44993</v>
      </c>
      <c r="B516" s="128" t="s">
        <v>34</v>
      </c>
      <c r="C516" s="157" t="str">
        <f t="shared" si="15"/>
        <v>08.03.2023_KRE1</v>
      </c>
      <c r="D516" s="190">
        <f t="shared" si="16"/>
        <v>0</v>
      </c>
      <c r="E516" s="231">
        <v>3.9945785554139502E-6</v>
      </c>
      <c r="F516" s="231">
        <v>1.2144495509911061E-3</v>
      </c>
      <c r="G516" s="231">
        <v>0.17586204728598692</v>
      </c>
      <c r="H516" s="231">
        <v>2.0325855435918624E-3</v>
      </c>
      <c r="I516" s="231">
        <v>2.0710769920946211E-5</v>
      </c>
      <c r="J516" s="231">
        <v>5.3208249089608216E-3</v>
      </c>
      <c r="K516" s="229">
        <v>120</v>
      </c>
      <c r="L516" s="229">
        <v>48</v>
      </c>
      <c r="M516" s="229">
        <v>44</v>
      </c>
      <c r="N516" s="229">
        <v>6.1</v>
      </c>
      <c r="O516" s="205">
        <v>1.8446068273956256E-4</v>
      </c>
      <c r="P516" s="232">
        <v>312.32</v>
      </c>
      <c r="Q516" s="213"/>
      <c r="R516" s="235"/>
    </row>
    <row r="517" spans="1:18" ht="16.5" customHeight="1" x14ac:dyDescent="0.25">
      <c r="A517" s="230">
        <v>44993</v>
      </c>
      <c r="B517" s="128" t="s">
        <v>37</v>
      </c>
      <c r="C517" s="157" t="str">
        <f t="shared" ref="C517:C580" si="17">CONCATENATE(TEXT(A517,"TT.MM.JJJJ"),"_",B517)</f>
        <v>08.03.2023_KRE2</v>
      </c>
      <c r="D517" s="190">
        <f t="shared" ref="D517:D580" si="18">COUNTBLANK(E517:P517)</f>
        <v>0</v>
      </c>
      <c r="E517" s="231">
        <v>4.7424233104883541E-6</v>
      </c>
      <c r="F517" s="231">
        <v>8.8555926319862051E-4</v>
      </c>
      <c r="G517" s="231">
        <v>0.16266325516025004</v>
      </c>
      <c r="H517" s="231">
        <v>1.907263486357474E-3</v>
      </c>
      <c r="I517" s="231">
        <v>1.7925978915619577E-5</v>
      </c>
      <c r="J517" s="231">
        <v>3.543142344396775E-3</v>
      </c>
      <c r="K517" s="229">
        <v>113</v>
      </c>
      <c r="L517" s="229">
        <v>39</v>
      </c>
      <c r="M517" s="229">
        <v>42</v>
      </c>
      <c r="N517" s="229">
        <v>4.9000000000000004</v>
      </c>
      <c r="O517" s="205">
        <v>1.8791988719090501E-4</v>
      </c>
      <c r="P517" s="232">
        <v>315.00399999999996</v>
      </c>
      <c r="Q517" s="213"/>
      <c r="R517" s="235"/>
    </row>
    <row r="518" spans="1:18" ht="16.5" customHeight="1" x14ac:dyDescent="0.25">
      <c r="A518" s="230">
        <v>44993</v>
      </c>
      <c r="B518" s="128" t="s">
        <v>18</v>
      </c>
      <c r="C518" s="157" t="str">
        <f t="shared" si="17"/>
        <v>08.03.2023_ORB1</v>
      </c>
      <c r="D518" s="190">
        <f t="shared" si="18"/>
        <v>0</v>
      </c>
      <c r="E518" s="231">
        <v>1.7619993039879085E-5</v>
      </c>
      <c r="F518" s="231">
        <v>1.6489420978643803E-3</v>
      </c>
      <c r="G518" s="231">
        <v>5.0838159836027276E-2</v>
      </c>
      <c r="H518" s="231">
        <v>1.2746061585509247E-3</v>
      </c>
      <c r="I518" s="231">
        <v>1.9511933954092161E-5</v>
      </c>
      <c r="J518" s="231">
        <v>2.0479526159089195E-2</v>
      </c>
      <c r="K518" s="229">
        <v>16</v>
      </c>
      <c r="L518" s="229">
        <v>4.8</v>
      </c>
      <c r="M518" s="229">
        <v>16</v>
      </c>
      <c r="N518" s="229">
        <v>3</v>
      </c>
      <c r="O518" s="205">
        <v>6.2542875825281221E-5</v>
      </c>
      <c r="P518" s="232">
        <v>19.276</v>
      </c>
      <c r="Q518" s="213"/>
      <c r="R518" s="235"/>
    </row>
    <row r="519" spans="1:18" ht="16.5" customHeight="1" x14ac:dyDescent="0.25">
      <c r="A519" s="230">
        <v>44993</v>
      </c>
      <c r="B519" s="128" t="s">
        <v>21</v>
      </c>
      <c r="C519" s="157" t="str">
        <f t="shared" si="17"/>
        <v>08.03.2023_ORB2</v>
      </c>
      <c r="D519" s="190">
        <f t="shared" si="18"/>
        <v>0</v>
      </c>
      <c r="E519" s="231">
        <v>1.512108021394667E-5</v>
      </c>
      <c r="F519" s="231">
        <v>1.1915207508082625E-3</v>
      </c>
      <c r="G519" s="231">
        <v>5.0272586155554577E-2</v>
      </c>
      <c r="H519" s="231">
        <v>1.2395864959711962E-3</v>
      </c>
      <c r="I519" s="231">
        <v>1.3505310493018546E-5</v>
      </c>
      <c r="J519" s="231">
        <v>1.5409004196162873E-2</v>
      </c>
      <c r="K519" s="229">
        <v>17</v>
      </c>
      <c r="L519" s="229">
        <v>5</v>
      </c>
      <c r="M519" s="229">
        <v>18</v>
      </c>
      <c r="N519" s="229">
        <v>3.4</v>
      </c>
      <c r="O519" s="205">
        <v>6.1911086543464883E-5</v>
      </c>
      <c r="P519" s="232">
        <v>23.423999999999999</v>
      </c>
      <c r="Q519" s="213"/>
      <c r="R519" s="235"/>
    </row>
    <row r="520" spans="1:18" ht="16.5" customHeight="1" x14ac:dyDescent="0.25">
      <c r="A520" s="230">
        <v>44993</v>
      </c>
      <c r="B520" s="128" t="s">
        <v>10</v>
      </c>
      <c r="C520" s="157" t="str">
        <f t="shared" si="17"/>
        <v>08.03.2023_SAL1</v>
      </c>
      <c r="D520" s="190">
        <f t="shared" si="18"/>
        <v>0</v>
      </c>
      <c r="E520" s="231">
        <v>5.1437054270454246E-6</v>
      </c>
      <c r="F520" s="231">
        <v>6.8575090323948651E-4</v>
      </c>
      <c r="G520" s="231">
        <v>5.5622679988274942E-2</v>
      </c>
      <c r="H520" s="231">
        <v>1.3235551266622429E-3</v>
      </c>
      <c r="I520" s="231">
        <v>9.1096506668331541E-6</v>
      </c>
      <c r="J520" s="231">
        <v>4.6100081895820528E-3</v>
      </c>
      <c r="K520" s="229">
        <v>21</v>
      </c>
      <c r="L520" s="229">
        <v>17</v>
      </c>
      <c r="M520" s="229">
        <v>19</v>
      </c>
      <c r="N520" s="229">
        <v>1.4</v>
      </c>
      <c r="O520" s="205">
        <v>6.3855292256436612E-5</v>
      </c>
      <c r="P520" s="232">
        <v>54.167999999999999</v>
      </c>
      <c r="Q520" s="213"/>
      <c r="R520" s="235"/>
    </row>
    <row r="521" spans="1:18" ht="16.5" customHeight="1" x14ac:dyDescent="0.25">
      <c r="A521" s="230">
        <v>44993</v>
      </c>
      <c r="B521" s="128" t="s">
        <v>12</v>
      </c>
      <c r="C521" s="157" t="str">
        <f t="shared" si="17"/>
        <v>08.03.2023_SAL2</v>
      </c>
      <c r="D521" s="190">
        <f t="shared" si="18"/>
        <v>0</v>
      </c>
      <c r="E521" s="231">
        <v>3.6297763639792437E-6</v>
      </c>
      <c r="F521" s="231">
        <v>6.0739742595352069E-4</v>
      </c>
      <c r="G521" s="231">
        <v>5.9244553033037266E-2</v>
      </c>
      <c r="H521" s="231">
        <v>1.3534741546267412E-3</v>
      </c>
      <c r="I521" s="231">
        <v>9.858907262636586E-6</v>
      </c>
      <c r="J521" s="231">
        <v>3.6798378790483719E-3</v>
      </c>
      <c r="K521" s="229">
        <v>24</v>
      </c>
      <c r="L521" s="229">
        <v>18</v>
      </c>
      <c r="M521" s="229">
        <v>22</v>
      </c>
      <c r="N521" s="229">
        <v>1.3</v>
      </c>
      <c r="O521" s="205">
        <v>5.866600217402694E-5</v>
      </c>
      <c r="P521" s="232">
        <v>61</v>
      </c>
      <c r="Q521" s="213"/>
      <c r="R521" s="235"/>
    </row>
    <row r="522" spans="1:18" ht="16.5" customHeight="1" x14ac:dyDescent="0.25">
      <c r="A522" s="230">
        <v>44993</v>
      </c>
      <c r="B522" s="128" t="s">
        <v>7</v>
      </c>
      <c r="C522" s="157" t="str">
        <f t="shared" si="17"/>
        <v>08.03.2023_STE1</v>
      </c>
      <c r="D522" s="190">
        <f t="shared" si="18"/>
        <v>0</v>
      </c>
      <c r="E522" s="231">
        <v>7.5331811944922789E-6</v>
      </c>
      <c r="F522" s="231">
        <v>8.9343048135071663E-4</v>
      </c>
      <c r="G522" s="231">
        <v>8.0543312790565147E-2</v>
      </c>
      <c r="H522" s="231">
        <v>1.3038622015538264E-3</v>
      </c>
      <c r="I522" s="231">
        <v>1.0826702161488127E-5</v>
      </c>
      <c r="J522" s="231">
        <v>1.0126085434348528E-3</v>
      </c>
      <c r="K522" s="229">
        <v>43</v>
      </c>
      <c r="L522" s="229">
        <v>21</v>
      </c>
      <c r="M522" s="229">
        <v>15</v>
      </c>
      <c r="N522" s="229">
        <v>1.3</v>
      </c>
      <c r="O522" s="205">
        <v>5.9053686182915296E-5</v>
      </c>
      <c r="P522" s="232">
        <v>103.944</v>
      </c>
      <c r="Q522" s="213"/>
      <c r="R522" s="235"/>
    </row>
    <row r="523" spans="1:18" ht="16.5" customHeight="1" x14ac:dyDescent="0.25">
      <c r="A523" s="230">
        <v>44993</v>
      </c>
      <c r="B523" s="128" t="s">
        <v>9</v>
      </c>
      <c r="C523" s="157" t="str">
        <f t="shared" si="17"/>
        <v>08.03.2023_STE2</v>
      </c>
      <c r="D523" s="190">
        <f t="shared" si="18"/>
        <v>0</v>
      </c>
      <c r="E523" s="231">
        <v>3.9216181518846592E-6</v>
      </c>
      <c r="F523" s="231">
        <v>7.8489177154542739E-4</v>
      </c>
      <c r="G523" s="231">
        <v>8.3152756460201149E-2</v>
      </c>
      <c r="H523" s="231">
        <v>1.2937620232059135E-3</v>
      </c>
      <c r="I523" s="231">
        <v>8.9722859261357866E-6</v>
      </c>
      <c r="J523" s="231">
        <v>1.1073326717371901E-3</v>
      </c>
      <c r="K523" s="229">
        <v>48</v>
      </c>
      <c r="L523" s="229">
        <v>22</v>
      </c>
      <c r="M523" s="229">
        <v>20</v>
      </c>
      <c r="N523" s="229">
        <v>1.4</v>
      </c>
      <c r="O523" s="205">
        <v>6.3117226272345762E-5</v>
      </c>
      <c r="P523" s="232">
        <v>106.14</v>
      </c>
      <c r="Q523" s="213"/>
      <c r="R523" s="235"/>
    </row>
    <row r="524" spans="1:18" ht="16.5" customHeight="1" x14ac:dyDescent="0.25">
      <c r="A524" s="230">
        <v>45030</v>
      </c>
      <c r="B524" s="128" t="s">
        <v>22</v>
      </c>
      <c r="C524" s="157" t="str">
        <f t="shared" si="17"/>
        <v>14.04.2023_BIE1</v>
      </c>
      <c r="D524" s="190">
        <f t="shared" si="18"/>
        <v>0</v>
      </c>
      <c r="E524" s="231">
        <v>3.3473854138194685E-5</v>
      </c>
      <c r="F524" s="231">
        <v>1.6798886373093061E-3</v>
      </c>
      <c r="G524" s="231">
        <v>6.1718689643302634E-2</v>
      </c>
      <c r="H524" s="231">
        <v>3.2117162806263836E-3</v>
      </c>
      <c r="I524" s="231">
        <v>4.4094820315983437E-5</v>
      </c>
      <c r="J524" s="231">
        <v>2.9438989704123433E-3</v>
      </c>
      <c r="K524" s="229">
        <v>38.922843555842398</v>
      </c>
      <c r="L524" s="229">
        <v>18.283190624618801</v>
      </c>
      <c r="M524" s="229">
        <v>14.707286673492799</v>
      </c>
      <c r="N524" s="229">
        <v>6.3639987380875596</v>
      </c>
      <c r="O524" s="205">
        <v>1.5455090368963348E-4</v>
      </c>
      <c r="P524" s="232">
        <v>38.795999999999999</v>
      </c>
      <c r="Q524" s="213"/>
      <c r="R524" s="235"/>
    </row>
    <row r="525" spans="1:18" ht="16.5" customHeight="1" x14ac:dyDescent="0.25">
      <c r="A525" s="230">
        <v>45030</v>
      </c>
      <c r="B525" s="128" t="s">
        <v>25</v>
      </c>
      <c r="C525" s="157" t="str">
        <f t="shared" si="17"/>
        <v>14.04.2023_BIE2</v>
      </c>
      <c r="D525" s="190">
        <f t="shared" si="18"/>
        <v>0</v>
      </c>
      <c r="E525" s="231">
        <v>2.0796356515255145E-5</v>
      </c>
      <c r="F525" s="231">
        <v>1.9595224291983192E-3</v>
      </c>
      <c r="G525" s="231">
        <v>5.601964951441131E-2</v>
      </c>
      <c r="H525" s="231">
        <v>1.3302339470664462E-3</v>
      </c>
      <c r="I525" s="231">
        <v>3.7151289306099785E-5</v>
      </c>
      <c r="J525" s="231">
        <v>2.8767635699349574E-3</v>
      </c>
      <c r="K525" s="229">
        <v>39.859121189079502</v>
      </c>
      <c r="L525" s="229">
        <v>18.666362023178799</v>
      </c>
      <c r="M525" s="229">
        <v>14.425750995705201</v>
      </c>
      <c r="N525" s="229">
        <v>6.4308221795813703</v>
      </c>
      <c r="O525" s="205">
        <v>1.4273704992206389E-4</v>
      </c>
      <c r="P525" s="232">
        <v>38.795999999999999</v>
      </c>
      <c r="Q525" s="213"/>
      <c r="R525" s="235"/>
    </row>
    <row r="526" spans="1:18" ht="16.5" customHeight="1" x14ac:dyDescent="0.25">
      <c r="A526" s="230">
        <v>45030</v>
      </c>
      <c r="B526" s="128" t="s">
        <v>14</v>
      </c>
      <c r="C526" s="157" t="str">
        <f t="shared" si="17"/>
        <v>14.04.2023_BRA1</v>
      </c>
      <c r="D526" s="190">
        <f t="shared" si="18"/>
        <v>0</v>
      </c>
      <c r="E526" s="231">
        <v>8.2323466116573413E-6</v>
      </c>
      <c r="F526" s="231">
        <v>6.9208252059629308E-4</v>
      </c>
      <c r="G526" s="231">
        <v>5.3450123602957068E-2</v>
      </c>
      <c r="H526" s="231">
        <v>1.1730225729623958E-3</v>
      </c>
      <c r="I526" s="231">
        <v>3.5496601033212905E-5</v>
      </c>
      <c r="J526" s="231">
        <v>5.7660559098963559E-4</v>
      </c>
      <c r="K526" s="229">
        <v>30.6747524184462</v>
      </c>
      <c r="L526" s="229">
        <v>23.102978389366999</v>
      </c>
      <c r="M526" s="229">
        <v>14.25767253487</v>
      </c>
      <c r="N526" s="229">
        <v>1.61461994271785</v>
      </c>
      <c r="O526" s="205">
        <v>1.5575930326875852E-4</v>
      </c>
      <c r="P526" s="232">
        <v>47.091999999999999</v>
      </c>
      <c r="Q526" s="213"/>
      <c r="R526" s="235"/>
    </row>
    <row r="527" spans="1:18" ht="16.5" customHeight="1" x14ac:dyDescent="0.25">
      <c r="A527" s="230">
        <v>45030</v>
      </c>
      <c r="B527" s="128" t="s">
        <v>17</v>
      </c>
      <c r="C527" s="157" t="str">
        <f t="shared" si="17"/>
        <v>14.04.2023_BRA2</v>
      </c>
      <c r="D527" s="190">
        <f t="shared" si="18"/>
        <v>0</v>
      </c>
      <c r="E527" s="231">
        <v>6.1685828901288465E-6</v>
      </c>
      <c r="F527" s="231">
        <v>8.8634312190344496E-4</v>
      </c>
      <c r="G527" s="231">
        <v>5.6779128092851509E-2</v>
      </c>
      <c r="H527" s="231">
        <v>1.2518946052546042E-3</v>
      </c>
      <c r="I527" s="231">
        <v>3.5477870080791919E-5</v>
      </c>
      <c r="J527" s="231">
        <v>7.2937877267360504E-4</v>
      </c>
      <c r="K527" s="229">
        <v>35.1130948533714</v>
      </c>
      <c r="L527" s="229">
        <v>24.317547537217401</v>
      </c>
      <c r="M527" s="229">
        <v>15.458827664542101</v>
      </c>
      <c r="N527" s="229">
        <v>1.9368403324958301</v>
      </c>
      <c r="O527" s="205">
        <v>1.0181710893140543E-4</v>
      </c>
      <c r="P527" s="232">
        <v>52.46</v>
      </c>
      <c r="Q527" s="213"/>
      <c r="R527" s="235"/>
    </row>
    <row r="528" spans="1:18" ht="16.5" customHeight="1" x14ac:dyDescent="0.25">
      <c r="A528" s="230">
        <v>45030</v>
      </c>
      <c r="B528" s="128" t="s">
        <v>30</v>
      </c>
      <c r="C528" s="157" t="str">
        <f t="shared" si="17"/>
        <v>14.04.2023_FAL1</v>
      </c>
      <c r="D528" s="190">
        <f t="shared" si="18"/>
        <v>0</v>
      </c>
      <c r="E528" s="231">
        <v>3.9914328347674617E-6</v>
      </c>
      <c r="F528" s="231">
        <v>1.0272778999162353E-3</v>
      </c>
      <c r="G528" s="231">
        <v>0.18890367240007563</v>
      </c>
      <c r="H528" s="231">
        <v>1.6609614706595093E-3</v>
      </c>
      <c r="I528" s="231">
        <v>3.4865953724850809E-5</v>
      </c>
      <c r="J528" s="231">
        <v>1.2792949360621894E-3</v>
      </c>
      <c r="K528" s="229">
        <v>198.26435119593401</v>
      </c>
      <c r="L528" s="229">
        <v>69.096853528908596</v>
      </c>
      <c r="M528" s="229">
        <v>48.471513246320399</v>
      </c>
      <c r="N528" s="229">
        <v>7.6793322469784</v>
      </c>
      <c r="O528" s="205">
        <v>1.3233326973366555E-4</v>
      </c>
      <c r="P528" s="232">
        <v>219.35599999999999</v>
      </c>
      <c r="Q528" s="213"/>
      <c r="R528" s="235"/>
    </row>
    <row r="529" spans="1:18" ht="16.5" customHeight="1" x14ac:dyDescent="0.25">
      <c r="A529" s="230">
        <v>45030</v>
      </c>
      <c r="B529" s="128" t="s">
        <v>32</v>
      </c>
      <c r="C529" s="157" t="str">
        <f t="shared" si="17"/>
        <v>14.04.2023_FAL2</v>
      </c>
      <c r="D529" s="190">
        <f t="shared" si="18"/>
        <v>0</v>
      </c>
      <c r="E529" s="231">
        <v>4.0594694761098437E-6</v>
      </c>
      <c r="F529" s="231">
        <v>4.2805405369432045E-3</v>
      </c>
      <c r="G529" s="231">
        <v>0.17893872293934704</v>
      </c>
      <c r="H529" s="231">
        <v>1.7866378033950525E-3</v>
      </c>
      <c r="I529" s="231">
        <v>3.6720447292764623E-5</v>
      </c>
      <c r="J529" s="231">
        <v>1.3064516118464025E-3</v>
      </c>
      <c r="K529" s="229">
        <v>196.410320096795</v>
      </c>
      <c r="L529" s="229">
        <v>69.3030698735801</v>
      </c>
      <c r="M529" s="229">
        <v>51.371943523560802</v>
      </c>
      <c r="N529" s="229">
        <v>7.9160797030418903</v>
      </c>
      <c r="O529" s="205">
        <v>1.7510096800755457E-4</v>
      </c>
      <c r="P529" s="232">
        <v>220.08799999999999</v>
      </c>
      <c r="Q529" s="213"/>
      <c r="R529" s="235"/>
    </row>
    <row r="530" spans="1:18" ht="16.5" customHeight="1" x14ac:dyDescent="0.25">
      <c r="A530" s="230">
        <v>45030</v>
      </c>
      <c r="B530" s="128" t="s">
        <v>26</v>
      </c>
      <c r="C530" s="157" t="str">
        <f t="shared" si="17"/>
        <v>14.04.2023_GRU1</v>
      </c>
      <c r="D530" s="190">
        <f t="shared" si="18"/>
        <v>0</v>
      </c>
      <c r="E530" s="231">
        <v>2.8507160216323562E-5</v>
      </c>
      <c r="F530" s="231">
        <v>1.0041401246136783E-3</v>
      </c>
      <c r="G530" s="231">
        <v>5.2948983961650771E-2</v>
      </c>
      <c r="H530" s="231">
        <v>2.7778213789404968E-3</v>
      </c>
      <c r="I530" s="231">
        <v>3.5190640739557027E-5</v>
      </c>
      <c r="J530" s="231">
        <v>1.4977017884826636E-3</v>
      </c>
      <c r="K530" s="229">
        <v>30.184667201165102</v>
      </c>
      <c r="L530" s="229">
        <v>16.8785225414256</v>
      </c>
      <c r="M530" s="229">
        <v>14.836499922811701</v>
      </c>
      <c r="N530" s="229">
        <v>3.1547317512567599</v>
      </c>
      <c r="O530" s="205">
        <v>1.3770516909144E-4</v>
      </c>
      <c r="P530" s="232">
        <v>35.867999999999995</v>
      </c>
      <c r="Q530" s="213"/>
      <c r="R530" s="235"/>
    </row>
    <row r="531" spans="1:18" ht="16.5" customHeight="1" x14ac:dyDescent="0.25">
      <c r="A531" s="230">
        <v>45030</v>
      </c>
      <c r="B531" s="128" t="s">
        <v>28</v>
      </c>
      <c r="C531" s="157" t="str">
        <f t="shared" si="17"/>
        <v>14.04.2023_GRU2</v>
      </c>
      <c r="D531" s="190">
        <f t="shared" si="18"/>
        <v>0</v>
      </c>
      <c r="E531" s="231">
        <v>1.3811297870391247E-5</v>
      </c>
      <c r="F531" s="231">
        <v>1.2426694458054573E-3</v>
      </c>
      <c r="G531" s="231">
        <v>5.5926160447380698E-2</v>
      </c>
      <c r="H531" s="231">
        <v>2.4754146663743593E-3</v>
      </c>
      <c r="I531" s="231">
        <v>3.5096978541906024E-5</v>
      </c>
      <c r="J531" s="231">
        <v>9.4544383355980323E-4</v>
      </c>
      <c r="K531" s="229">
        <v>35.185849876828399</v>
      </c>
      <c r="L531" s="229">
        <v>16.439657704536501</v>
      </c>
      <c r="M531" s="229">
        <v>14.807170797355701</v>
      </c>
      <c r="N531" s="229">
        <v>3.4039597090843401</v>
      </c>
      <c r="O531" s="205">
        <v>1.2051558635931899E-4</v>
      </c>
      <c r="P531" s="232">
        <v>40.992000000000004</v>
      </c>
      <c r="Q531" s="213"/>
      <c r="R531" s="235"/>
    </row>
    <row r="532" spans="1:18" ht="16.5" customHeight="1" x14ac:dyDescent="0.25">
      <c r="A532" s="230">
        <v>45030</v>
      </c>
      <c r="B532" s="128" t="s">
        <v>0</v>
      </c>
      <c r="C532" s="157" t="str">
        <f t="shared" si="17"/>
        <v>14.04.2023_KIN1</v>
      </c>
      <c r="D532" s="190">
        <f t="shared" si="18"/>
        <v>0</v>
      </c>
      <c r="E532" s="231">
        <v>4.8985778647080765E-6</v>
      </c>
      <c r="F532" s="231">
        <v>1.1439731936557674E-3</v>
      </c>
      <c r="G532" s="231">
        <v>0.10515909517354803</v>
      </c>
      <c r="H532" s="231">
        <v>1.2309489605422793E-3</v>
      </c>
      <c r="I532" s="231">
        <v>3.5009562064806173E-5</v>
      </c>
      <c r="J532" s="231">
        <v>1.3364664138850004E-3</v>
      </c>
      <c r="K532" s="229">
        <v>101.014834528184</v>
      </c>
      <c r="L532" s="229">
        <v>35.967249153860898</v>
      </c>
      <c r="M532" s="229">
        <v>19.002608300195298</v>
      </c>
      <c r="N532" s="229">
        <v>3.4854067366477799</v>
      </c>
      <c r="O532" s="205">
        <v>7.899128791253152E-5</v>
      </c>
      <c r="P532" s="232">
        <v>137.12800000000001</v>
      </c>
      <c r="Q532" s="213"/>
      <c r="R532" s="235"/>
    </row>
    <row r="533" spans="1:18" ht="16.5" customHeight="1" x14ac:dyDescent="0.25">
      <c r="A533" s="230">
        <v>45030</v>
      </c>
      <c r="B533" s="128" t="s">
        <v>2</v>
      </c>
      <c r="C533" s="157" t="str">
        <f t="shared" si="17"/>
        <v>14.04.2023_KIN2</v>
      </c>
      <c r="D533" s="190">
        <f t="shared" si="18"/>
        <v>0</v>
      </c>
      <c r="E533" s="231">
        <v>4.1728616617202279E-6</v>
      </c>
      <c r="F533" s="231">
        <v>7.9770055925801754E-4</v>
      </c>
      <c r="G533" s="231">
        <v>0.10794619727046074</v>
      </c>
      <c r="H533" s="231">
        <v>1.1384733632465501E-3</v>
      </c>
      <c r="I533" s="231">
        <v>3.4853462493786426E-5</v>
      </c>
      <c r="J533" s="231">
        <v>6.694705028620463E-4</v>
      </c>
      <c r="K533" s="229">
        <v>103.232672462065</v>
      </c>
      <c r="L533" s="229">
        <v>41.216492766531999</v>
      </c>
      <c r="M533" s="229">
        <v>18.225024595095199</v>
      </c>
      <c r="N533" s="229">
        <v>3.6979211516286901</v>
      </c>
      <c r="O533" s="205">
        <v>6.9535478090340745E-5</v>
      </c>
      <c r="P533" s="232">
        <v>155.184</v>
      </c>
      <c r="Q533" s="213"/>
      <c r="R533" s="235"/>
    </row>
    <row r="534" spans="1:18" ht="16.5" customHeight="1" x14ac:dyDescent="0.25">
      <c r="A534" s="230">
        <v>45030</v>
      </c>
      <c r="B534" s="128" t="s">
        <v>4</v>
      </c>
      <c r="C534" s="157" t="str">
        <f t="shared" si="17"/>
        <v>14.04.2023_KIN3</v>
      </c>
      <c r="D534" s="190">
        <f t="shared" si="18"/>
        <v>0</v>
      </c>
      <c r="E534" s="231">
        <v>4.2862550864662458E-6</v>
      </c>
      <c r="F534" s="231">
        <v>9.8308022514716708E-4</v>
      </c>
      <c r="G534" s="231">
        <v>0.10505572964549868</v>
      </c>
      <c r="H534" s="231">
        <v>1.4256153233903285E-3</v>
      </c>
      <c r="I534" s="231">
        <v>4.4913373723417063E-5</v>
      </c>
      <c r="J534" s="231">
        <v>8.2523147529368131E-4</v>
      </c>
      <c r="K534" s="229">
        <v>100.924455636649</v>
      </c>
      <c r="L534" s="229">
        <v>42.047519325333703</v>
      </c>
      <c r="M534" s="229">
        <v>18.245190758125499</v>
      </c>
      <c r="N534" s="229">
        <v>3.1106765483013001</v>
      </c>
      <c r="O534" s="205">
        <v>7.3999304789937613E-5</v>
      </c>
      <c r="P534" s="232">
        <v>139.32399999999998</v>
      </c>
      <c r="Q534" s="213"/>
      <c r="R534" s="235"/>
    </row>
    <row r="535" spans="1:18" ht="16.5" customHeight="1" x14ac:dyDescent="0.25">
      <c r="A535" s="230">
        <v>45030</v>
      </c>
      <c r="B535" s="128" t="s">
        <v>6</v>
      </c>
      <c r="C535" s="157" t="str">
        <f t="shared" si="17"/>
        <v>14.04.2023_KIN4</v>
      </c>
      <c r="D535" s="190">
        <f t="shared" si="18"/>
        <v>0</v>
      </c>
      <c r="E535" s="231">
        <v>7.0530495526202393E-6</v>
      </c>
      <c r="F535" s="231">
        <v>4.3517336398653907E-3</v>
      </c>
      <c r="G535" s="231">
        <v>0.11267132672633665</v>
      </c>
      <c r="H535" s="231">
        <v>1.8377851931281814E-3</v>
      </c>
      <c r="I535" s="231">
        <v>3.3885634766275816E-5</v>
      </c>
      <c r="J535" s="231">
        <v>3.1134412345693477E-3</v>
      </c>
      <c r="K535" s="229">
        <v>105.800049115438</v>
      </c>
      <c r="L535" s="229">
        <v>43.865913968507598</v>
      </c>
      <c r="M535" s="229">
        <v>26.008014436780901</v>
      </c>
      <c r="N535" s="229">
        <v>3.4660521490632901</v>
      </c>
      <c r="O535" s="205">
        <v>8.763611858146336E-5</v>
      </c>
      <c r="P535" s="232">
        <v>147.13200000000001</v>
      </c>
      <c r="Q535" s="213"/>
      <c r="R535" s="235"/>
    </row>
    <row r="536" spans="1:18" ht="16.5" customHeight="1" x14ac:dyDescent="0.25">
      <c r="A536" s="230">
        <v>45030</v>
      </c>
      <c r="B536" s="128" t="s">
        <v>34</v>
      </c>
      <c r="C536" s="157" t="str">
        <f t="shared" si="17"/>
        <v>14.04.2023_KRE1</v>
      </c>
      <c r="D536" s="190">
        <f t="shared" si="18"/>
        <v>0</v>
      </c>
      <c r="E536" s="231">
        <v>3.3564316449801965E-6</v>
      </c>
      <c r="F536" s="231">
        <v>8.6621722976058541E-4</v>
      </c>
      <c r="G536" s="231">
        <v>0.16225225626711542</v>
      </c>
      <c r="H536" s="231">
        <v>1.7139424253903638E-3</v>
      </c>
      <c r="I536" s="231">
        <v>3.4497549189294192E-5</v>
      </c>
      <c r="J536" s="231">
        <v>1.3694775096387772E-3</v>
      </c>
      <c r="K536" s="229">
        <v>184.35150253325301</v>
      </c>
      <c r="L536" s="229">
        <v>75.017717969204199</v>
      </c>
      <c r="M536" s="229">
        <v>50.417210472017501</v>
      </c>
      <c r="N536" s="229">
        <v>7.45103497535953</v>
      </c>
      <c r="O536" s="205">
        <v>1.385708374851456E-4</v>
      </c>
      <c r="P536" s="232">
        <v>195.68800000000002</v>
      </c>
      <c r="Q536" s="213"/>
      <c r="R536" s="235"/>
    </row>
    <row r="537" spans="1:18" ht="16.5" customHeight="1" x14ac:dyDescent="0.25">
      <c r="A537" s="230">
        <v>45030</v>
      </c>
      <c r="B537" s="128" t="s">
        <v>37</v>
      </c>
      <c r="C537" s="157" t="str">
        <f t="shared" si="17"/>
        <v>14.04.2023_KRE2</v>
      </c>
      <c r="D537" s="190">
        <f t="shared" si="18"/>
        <v>0</v>
      </c>
      <c r="E537" s="231">
        <v>3.6285749912430437E-6</v>
      </c>
      <c r="F537" s="231">
        <v>1.0417832422533035E-3</v>
      </c>
      <c r="G537" s="231">
        <v>0.21109054752950673</v>
      </c>
      <c r="H537" s="231">
        <v>2.2362748881095281E-3</v>
      </c>
      <c r="I537" s="231">
        <v>3.4641159046963997E-5</v>
      </c>
      <c r="J537" s="231">
        <v>1.4883616761551426E-3</v>
      </c>
      <c r="K537" s="229">
        <v>234.91329403351699</v>
      </c>
      <c r="L537" s="229">
        <v>78.426368524245305</v>
      </c>
      <c r="M537" s="229">
        <v>53.800516793161002</v>
      </c>
      <c r="N537" s="229">
        <v>7.7934600753362302</v>
      </c>
      <c r="O537" s="205">
        <v>2.0642285031067877E-4</v>
      </c>
      <c r="P537" s="232">
        <v>251.56399999999999</v>
      </c>
      <c r="Q537" s="213"/>
      <c r="R537" s="235"/>
    </row>
    <row r="538" spans="1:18" ht="16.5" customHeight="1" x14ac:dyDescent="0.25">
      <c r="A538" s="230">
        <v>45030</v>
      </c>
      <c r="B538" s="128" t="s">
        <v>18</v>
      </c>
      <c r="C538" s="157" t="str">
        <f t="shared" si="17"/>
        <v>14.04.2023_ORB1</v>
      </c>
      <c r="D538" s="190">
        <f t="shared" si="18"/>
        <v>0</v>
      </c>
      <c r="E538" s="231">
        <v>2.0524209204606071E-5</v>
      </c>
      <c r="F538" s="231">
        <v>1.2274361351834284E-3</v>
      </c>
      <c r="G538" s="231">
        <v>4.6730200957962931E-2</v>
      </c>
      <c r="H538" s="231">
        <v>1.3229309146252513E-3</v>
      </c>
      <c r="I538" s="231">
        <v>3.5908713230598804E-5</v>
      </c>
      <c r="J538" s="231">
        <v>5.7368629983321363E-3</v>
      </c>
      <c r="K538" s="229">
        <v>30.2687147665089</v>
      </c>
      <c r="L538" s="229">
        <v>9.2309715152141596</v>
      </c>
      <c r="M538" s="229">
        <v>16.007228574236599</v>
      </c>
      <c r="N538" s="229">
        <v>6.536980953174</v>
      </c>
      <c r="O538" s="205">
        <v>7.0084129110024255E-5</v>
      </c>
      <c r="P538" s="232">
        <v>16.592000000000002</v>
      </c>
      <c r="Q538" s="213"/>
      <c r="R538" s="235"/>
    </row>
    <row r="539" spans="1:18" ht="16.5" customHeight="1" x14ac:dyDescent="0.25">
      <c r="A539" s="230">
        <v>45030</v>
      </c>
      <c r="B539" s="128" t="s">
        <v>21</v>
      </c>
      <c r="C539" s="157" t="str">
        <f t="shared" si="17"/>
        <v>14.04.2023_ORB2</v>
      </c>
      <c r="D539" s="190">
        <f t="shared" si="18"/>
        <v>0</v>
      </c>
      <c r="E539" s="231">
        <v>2.0229384756844104E-5</v>
      </c>
      <c r="F539" s="231">
        <v>7.530785735548989E-4</v>
      </c>
      <c r="G539" s="231">
        <v>4.9107859678012983E-2</v>
      </c>
      <c r="H539" s="231">
        <v>1.4301255842960497E-3</v>
      </c>
      <c r="I539" s="231">
        <v>3.556528460915075E-5</v>
      </c>
      <c r="J539" s="231">
        <v>3.7345591977905033E-3</v>
      </c>
      <c r="K539" s="229">
        <v>31.8699930486253</v>
      </c>
      <c r="L539" s="229">
        <v>9.4078889309425904</v>
      </c>
      <c r="M539" s="229">
        <v>18.395392703348499</v>
      </c>
      <c r="N539" s="229">
        <v>6.5436597525731797</v>
      </c>
      <c r="O539" s="205">
        <v>7.2580048131075731E-5</v>
      </c>
      <c r="P539" s="232">
        <v>20.252000000000002</v>
      </c>
      <c r="Q539" s="213"/>
      <c r="R539" s="235"/>
    </row>
    <row r="540" spans="1:18" ht="16.5" customHeight="1" x14ac:dyDescent="0.25">
      <c r="A540" s="230">
        <v>45030</v>
      </c>
      <c r="B540" s="128" t="s">
        <v>10</v>
      </c>
      <c r="C540" s="157" t="str">
        <f t="shared" si="17"/>
        <v>14.04.2023_SAL1</v>
      </c>
      <c r="D540" s="190">
        <f t="shared" si="18"/>
        <v>0</v>
      </c>
      <c r="E540" s="231">
        <v>4.966613562367076E-6</v>
      </c>
      <c r="F540" s="231">
        <v>9.0593221474837883E-4</v>
      </c>
      <c r="G540" s="231">
        <v>5.2915387623229344E-2</v>
      </c>
      <c r="H540" s="231">
        <v>1.2832836913743539E-3</v>
      </c>
      <c r="I540" s="231">
        <v>3.4741065499670559E-5</v>
      </c>
      <c r="J540" s="231">
        <v>6.7506698492977293E-4</v>
      </c>
      <c r="K540" s="229">
        <v>31.645454910729502</v>
      </c>
      <c r="L540" s="229">
        <v>23.8253205858326</v>
      </c>
      <c r="M540" s="229">
        <v>15.1625427551754</v>
      </c>
      <c r="N540" s="229">
        <v>1.7743994192721499</v>
      </c>
      <c r="O540" s="205">
        <v>7.7924885838069803E-5</v>
      </c>
      <c r="P540" s="232">
        <v>49.044000000000004</v>
      </c>
      <c r="Q540" s="213"/>
      <c r="R540" s="235"/>
    </row>
    <row r="541" spans="1:18" ht="16.5" customHeight="1" x14ac:dyDescent="0.25">
      <c r="A541" s="230">
        <v>45030</v>
      </c>
      <c r="B541" s="128" t="s">
        <v>12</v>
      </c>
      <c r="C541" s="157" t="str">
        <f t="shared" si="17"/>
        <v>14.04.2023_SAL2</v>
      </c>
      <c r="D541" s="190">
        <f t="shared" si="18"/>
        <v>0</v>
      </c>
      <c r="E541" s="231">
        <v>6.5541180163022067E-6</v>
      </c>
      <c r="F541" s="231">
        <v>7.4021172834784368E-4</v>
      </c>
      <c r="G541" s="231">
        <v>5.695608920785699E-2</v>
      </c>
      <c r="H541" s="231">
        <v>1.2375712114449466E-3</v>
      </c>
      <c r="I541" s="231">
        <v>3.3723282858754006E-5</v>
      </c>
      <c r="J541" s="231">
        <v>4.653938191526514E-4</v>
      </c>
      <c r="K541" s="229">
        <v>37.916928470604901</v>
      </c>
      <c r="L541" s="229">
        <v>25.622362842455701</v>
      </c>
      <c r="M541" s="229">
        <v>15.6833634602873</v>
      </c>
      <c r="N541" s="229">
        <v>1.91437606053612</v>
      </c>
      <c r="O541" s="205">
        <v>7.0241225916965562E-5</v>
      </c>
      <c r="P541" s="232">
        <v>54.655999999999999</v>
      </c>
      <c r="Q541" s="213"/>
      <c r="R541" s="235"/>
    </row>
    <row r="542" spans="1:18" ht="16.5" customHeight="1" x14ac:dyDescent="0.25">
      <c r="A542" s="230">
        <v>45030</v>
      </c>
      <c r="B542" s="128" t="s">
        <v>7</v>
      </c>
      <c r="C542" s="157" t="str">
        <f t="shared" si="17"/>
        <v>14.04.2023_STE1</v>
      </c>
      <c r="D542" s="190">
        <f t="shared" si="18"/>
        <v>0</v>
      </c>
      <c r="E542" s="231">
        <v>4.6491145042706433E-6</v>
      </c>
      <c r="F542" s="231">
        <v>7.289789231483681E-4</v>
      </c>
      <c r="G542" s="231">
        <v>7.7653654473681569E-2</v>
      </c>
      <c r="H542" s="231">
        <v>1.4156580053435624E-3</v>
      </c>
      <c r="I542" s="231">
        <v>3.4066706831142033E-5</v>
      </c>
      <c r="J542" s="231">
        <v>4.7187024634189051E-4</v>
      </c>
      <c r="K542" s="229">
        <v>68.712691434191399</v>
      </c>
      <c r="L542" s="229">
        <v>29.543452363572602</v>
      </c>
      <c r="M542" s="229">
        <v>16.473285851999801</v>
      </c>
      <c r="N542" s="229">
        <v>1.8335935223647699</v>
      </c>
      <c r="O542" s="205">
        <v>7.4398712830950708E-5</v>
      </c>
      <c r="P542" s="232">
        <v>89.304000000000002</v>
      </c>
      <c r="Q542" s="213"/>
      <c r="R542" s="235"/>
    </row>
    <row r="543" spans="1:18" ht="16.5" customHeight="1" x14ac:dyDescent="0.25">
      <c r="A543" s="230">
        <v>45030</v>
      </c>
      <c r="B543" s="128" t="s">
        <v>9</v>
      </c>
      <c r="C543" s="157" t="str">
        <f t="shared" si="17"/>
        <v>14.04.2023_STE2</v>
      </c>
      <c r="D543" s="190">
        <f t="shared" si="18"/>
        <v>0</v>
      </c>
      <c r="E543" s="231">
        <v>6.9396550254375269E-6</v>
      </c>
      <c r="F543" s="231">
        <v>1.0886580752940648E-3</v>
      </c>
      <c r="G543" s="231">
        <v>8.3540395402283488E-2</v>
      </c>
      <c r="H543" s="231">
        <v>1.3775149915265981E-3</v>
      </c>
      <c r="I543" s="231">
        <v>3.502829228994348E-5</v>
      </c>
      <c r="J543" s="231">
        <v>1.1071419734845537E-3</v>
      </c>
      <c r="K543" s="229">
        <v>93.155469760990599</v>
      </c>
      <c r="L543" s="229">
        <v>32.991555353848497</v>
      </c>
      <c r="M543" s="229">
        <v>18.234444352045401</v>
      </c>
      <c r="N543" s="229">
        <v>2.0280848189007399</v>
      </c>
      <c r="O543" s="205">
        <v>7.3847349709923955E-5</v>
      </c>
      <c r="P543" s="232">
        <v>100.77199999999999</v>
      </c>
      <c r="Q543" s="213"/>
      <c r="R543" s="235"/>
    </row>
    <row r="544" spans="1:18" ht="16.5" customHeight="1" x14ac:dyDescent="0.25">
      <c r="A544" s="230">
        <v>45058</v>
      </c>
      <c r="B544" s="128" t="s">
        <v>22</v>
      </c>
      <c r="C544" s="157" t="str">
        <f t="shared" si="17"/>
        <v>12.05.2023_BIE1</v>
      </c>
      <c r="D544" s="190">
        <f t="shared" si="18"/>
        <v>0</v>
      </c>
      <c r="E544" s="231">
        <v>1.3396819422419905E-5</v>
      </c>
      <c r="F544" s="231">
        <v>1.6592689644293953E-3</v>
      </c>
      <c r="G544" s="231">
        <v>5.9472218512855536E-2</v>
      </c>
      <c r="H544" s="231">
        <v>1.3478355112050999E-3</v>
      </c>
      <c r="I544" s="231">
        <v>1.456426231842629E-5</v>
      </c>
      <c r="J544" s="231">
        <v>1.4060506097713151E-3</v>
      </c>
      <c r="K544" s="229">
        <v>19.4934672769289</v>
      </c>
      <c r="L544" s="229">
        <v>9.5819434602348892</v>
      </c>
      <c r="M544" s="229">
        <v>4.9014870691379304</v>
      </c>
      <c r="N544" s="229">
        <v>2.6782416539824201</v>
      </c>
      <c r="O544" s="205">
        <v>1.2733163819991379E-4</v>
      </c>
      <c r="P544" s="232">
        <v>52.216000000000001</v>
      </c>
      <c r="Q544" s="213"/>
      <c r="R544" s="235"/>
    </row>
    <row r="545" spans="1:18" ht="16.5" customHeight="1" x14ac:dyDescent="0.25">
      <c r="A545" s="230">
        <v>45058</v>
      </c>
      <c r="B545" s="128" t="s">
        <v>25</v>
      </c>
      <c r="C545" s="157" t="str">
        <f t="shared" si="17"/>
        <v>12.05.2023_BIE2</v>
      </c>
      <c r="D545" s="190">
        <f t="shared" si="18"/>
        <v>0</v>
      </c>
      <c r="E545" s="231">
        <v>3.6395496736985651E-5</v>
      </c>
      <c r="F545" s="231">
        <v>1.3119464373701575E-3</v>
      </c>
      <c r="G545" s="231">
        <v>5.6034229161779379E-2</v>
      </c>
      <c r="H545" s="231">
        <v>1.367240890764725E-3</v>
      </c>
      <c r="I545" s="231">
        <v>2.9881621067791699E-5</v>
      </c>
      <c r="J545" s="231">
        <v>3.0212112909177454E-3</v>
      </c>
      <c r="K545" s="229">
        <v>18.426306062336501</v>
      </c>
      <c r="L545" s="229">
        <v>9.0001025364505498</v>
      </c>
      <c r="M545" s="229">
        <v>5.8136028206371897</v>
      </c>
      <c r="N545" s="229">
        <v>2.6293389606722801</v>
      </c>
      <c r="O545" s="205">
        <v>1.4020136877847142E-4</v>
      </c>
      <c r="P545" s="232">
        <v>59.536000000000001</v>
      </c>
      <c r="Q545" s="213"/>
      <c r="R545" s="235"/>
    </row>
    <row r="546" spans="1:18" ht="16.5" customHeight="1" x14ac:dyDescent="0.25">
      <c r="A546" s="230">
        <v>45058</v>
      </c>
      <c r="B546" s="128" t="s">
        <v>14</v>
      </c>
      <c r="C546" s="157" t="str">
        <f t="shared" si="17"/>
        <v>12.05.2023_BRA1</v>
      </c>
      <c r="D546" s="190">
        <f t="shared" si="18"/>
        <v>0</v>
      </c>
      <c r="E546" s="231">
        <v>5.3526636144638682E-6</v>
      </c>
      <c r="F546" s="231">
        <v>1.0889874923704934E-3</v>
      </c>
      <c r="G546" s="231">
        <v>5.8232775458580306E-2</v>
      </c>
      <c r="H546" s="231">
        <v>1.6519833524610296E-3</v>
      </c>
      <c r="I546" s="231">
        <v>5.8750528921020697E-6</v>
      </c>
      <c r="J546" s="231">
        <v>5.8683823593058345E-4</v>
      </c>
      <c r="K546" s="229">
        <v>17.188599821329401</v>
      </c>
      <c r="L546" s="229">
        <v>11.581327701502</v>
      </c>
      <c r="M546" s="229">
        <v>6.3002618616525199</v>
      </c>
      <c r="N546" s="229">
        <v>1.20065719884654</v>
      </c>
      <c r="O546" s="205">
        <v>2.3284092565188059E-4</v>
      </c>
      <c r="P546" s="232">
        <v>62.707999999999998</v>
      </c>
      <c r="Q546" s="213"/>
      <c r="R546" s="235"/>
    </row>
    <row r="547" spans="1:18" ht="16.5" customHeight="1" x14ac:dyDescent="0.25">
      <c r="A547" s="230">
        <v>45058</v>
      </c>
      <c r="B547" s="128" t="s">
        <v>17</v>
      </c>
      <c r="C547" s="157" t="str">
        <f t="shared" si="17"/>
        <v>12.05.2023_BRA2</v>
      </c>
      <c r="D547" s="190">
        <f t="shared" si="18"/>
        <v>0</v>
      </c>
      <c r="E547" s="231">
        <v>3.8859712987927428E-6</v>
      </c>
      <c r="F547" s="231">
        <v>5.4678837415499835E-3</v>
      </c>
      <c r="G547" s="231">
        <v>5.9772286816679863E-2</v>
      </c>
      <c r="H547" s="231">
        <v>1.8385343325001626E-3</v>
      </c>
      <c r="I547" s="231">
        <v>7.4795896428121554E-6</v>
      </c>
      <c r="J547" s="231">
        <v>5.3924496875019793E-4</v>
      </c>
      <c r="K547" s="229">
        <v>19.1405020611721</v>
      </c>
      <c r="L547" s="229">
        <v>12.753307753897801</v>
      </c>
      <c r="M547" s="229">
        <v>7.0018610974933697</v>
      </c>
      <c r="N547" s="229">
        <v>1.37869481818091</v>
      </c>
      <c r="O547" s="205">
        <v>1.3346254929055311E-4</v>
      </c>
      <c r="P547" s="232">
        <v>66.612000000000009</v>
      </c>
      <c r="Q547" s="213"/>
      <c r="R547" s="235"/>
    </row>
    <row r="548" spans="1:18" ht="16.5" customHeight="1" x14ac:dyDescent="0.25">
      <c r="A548" s="230">
        <v>45058</v>
      </c>
      <c r="B548" s="128" t="s">
        <v>30</v>
      </c>
      <c r="C548" s="157" t="str">
        <f t="shared" si="17"/>
        <v>12.05.2023_FAL1</v>
      </c>
      <c r="D548" s="190">
        <f t="shared" si="18"/>
        <v>0</v>
      </c>
      <c r="E548" s="231">
        <v>3.6289224835164945E-6</v>
      </c>
      <c r="F548" s="231">
        <v>9.7730907064211107E-4</v>
      </c>
      <c r="G548" s="231">
        <v>0.14891858249121098</v>
      </c>
      <c r="H548" s="231">
        <v>3.3176270994517898E-3</v>
      </c>
      <c r="I548" s="231">
        <v>1.8513926172995055E-5</v>
      </c>
      <c r="J548" s="231">
        <v>1.7020176687678275E-3</v>
      </c>
      <c r="K548" s="229">
        <v>91.601583602930205</v>
      </c>
      <c r="L548" s="229">
        <v>28.007451987196799</v>
      </c>
      <c r="M548" s="229">
        <v>17.542607622940601</v>
      </c>
      <c r="N548" s="229">
        <v>3.2660765482082499</v>
      </c>
      <c r="O548" s="205">
        <v>1.2365635730870165E-4</v>
      </c>
      <c r="P548" s="232">
        <v>235.70399999999998</v>
      </c>
      <c r="Q548" s="213"/>
      <c r="R548" s="235"/>
    </row>
    <row r="549" spans="1:18" ht="16.5" customHeight="1" x14ac:dyDescent="0.25">
      <c r="A549" s="230">
        <v>45058</v>
      </c>
      <c r="B549" s="128" t="s">
        <v>32</v>
      </c>
      <c r="C549" s="157" t="str">
        <f t="shared" si="17"/>
        <v>12.05.2023_FAL2</v>
      </c>
      <c r="D549" s="190">
        <f t="shared" si="18"/>
        <v>0</v>
      </c>
      <c r="E549" s="231">
        <v>3.6894046742656528E-6</v>
      </c>
      <c r="F549" s="231">
        <v>8.6315489440112107E-4</v>
      </c>
      <c r="G549" s="231">
        <v>0.12745820013018228</v>
      </c>
      <c r="H549" s="231">
        <v>1.9774774385834101E-3</v>
      </c>
      <c r="I549" s="231">
        <v>1.1651394882819295E-5</v>
      </c>
      <c r="J549" s="231">
        <v>1.3646486616611657E-3</v>
      </c>
      <c r="K549" s="229">
        <v>81.665195918296206</v>
      </c>
      <c r="L549" s="229">
        <v>31.671964011625199</v>
      </c>
      <c r="M549" s="229">
        <v>20.161927228143799</v>
      </c>
      <c r="N549" s="229">
        <v>3.9577115009620898</v>
      </c>
      <c r="O549" s="205">
        <v>1.0834529862434816E-4</v>
      </c>
      <c r="P549" s="232">
        <v>215.208</v>
      </c>
      <c r="Q549" s="213"/>
      <c r="R549" s="235"/>
    </row>
    <row r="550" spans="1:18" ht="16.5" customHeight="1" x14ac:dyDescent="0.25">
      <c r="A550" s="230">
        <v>45058</v>
      </c>
      <c r="B550" s="128" t="s">
        <v>26</v>
      </c>
      <c r="C550" s="157" t="str">
        <f t="shared" si="17"/>
        <v>12.05.2023_GRU1</v>
      </c>
      <c r="D550" s="190">
        <f t="shared" si="18"/>
        <v>0</v>
      </c>
      <c r="E550" s="231">
        <v>1.3411938810221853E-5</v>
      </c>
      <c r="F550" s="231">
        <v>1.4231309646023428E-3</v>
      </c>
      <c r="G550" s="231">
        <v>5.6773468875905529E-2</v>
      </c>
      <c r="H550" s="231">
        <v>3.1625236902736113E-3</v>
      </c>
      <c r="I550" s="231">
        <v>1.2009331716173155E-5</v>
      </c>
      <c r="J550" s="231">
        <v>8.9342017367031676E-4</v>
      </c>
      <c r="K550" s="229">
        <v>16.397067290651702</v>
      </c>
      <c r="L550" s="229">
        <v>9.3407711109886407</v>
      </c>
      <c r="M550" s="229">
        <v>6.3245989511328498</v>
      </c>
      <c r="N550" s="229">
        <v>1.47061126086498</v>
      </c>
      <c r="O550" s="205">
        <v>1.1379713972350406E-4</v>
      </c>
      <c r="P550" s="232">
        <v>42.211999999999996</v>
      </c>
      <c r="Q550" s="213"/>
      <c r="R550" s="235"/>
    </row>
    <row r="551" spans="1:18" ht="16.5" customHeight="1" x14ac:dyDescent="0.25">
      <c r="A551" s="230">
        <v>45058</v>
      </c>
      <c r="B551" s="128" t="s">
        <v>28</v>
      </c>
      <c r="C551" s="157" t="str">
        <f t="shared" si="17"/>
        <v>12.05.2023_GRU2</v>
      </c>
      <c r="D551" s="190">
        <f t="shared" si="18"/>
        <v>0</v>
      </c>
      <c r="E551" s="231">
        <v>2.210633044291358E-5</v>
      </c>
      <c r="F551" s="231">
        <v>3.1442507300091464E-3</v>
      </c>
      <c r="G551" s="231">
        <v>6.5515575540563628E-2</v>
      </c>
      <c r="H551" s="231">
        <v>2.9520254438662394E-3</v>
      </c>
      <c r="I551" s="231">
        <v>1.9168090914285062E-5</v>
      </c>
      <c r="J551" s="231">
        <v>1.0580962422914739E-3</v>
      </c>
      <c r="K551" s="229">
        <v>23.2628572004981</v>
      </c>
      <c r="L551" s="229">
        <v>10.148435238238701</v>
      </c>
      <c r="M551" s="229">
        <v>6.4059905899262004</v>
      </c>
      <c r="N551" s="229">
        <v>1.5786715002145</v>
      </c>
      <c r="O551" s="205">
        <v>1.2493000841589622E-4</v>
      </c>
      <c r="P551" s="232">
        <v>53.192</v>
      </c>
      <c r="Q551" s="213"/>
      <c r="R551" s="235"/>
    </row>
    <row r="552" spans="1:18" ht="16.5" customHeight="1" x14ac:dyDescent="0.25">
      <c r="A552" s="230">
        <v>45058</v>
      </c>
      <c r="B552" s="128" t="s">
        <v>0</v>
      </c>
      <c r="C552" s="157" t="str">
        <f t="shared" si="17"/>
        <v>12.05.2023_KIN1</v>
      </c>
      <c r="D552" s="190">
        <f t="shared" si="18"/>
        <v>0</v>
      </c>
      <c r="E552" s="231">
        <v>4.1279005586688117E-6</v>
      </c>
      <c r="F552" s="231">
        <v>8.2534506370406872E-4</v>
      </c>
      <c r="G552" s="231">
        <v>8.8383875603247272E-2</v>
      </c>
      <c r="H552" s="231">
        <v>2.2032125091171919E-3</v>
      </c>
      <c r="I552" s="231">
        <v>9.2939531476629192E-6</v>
      </c>
      <c r="J552" s="231">
        <v>7.7473949552242874E-4</v>
      </c>
      <c r="K552" s="229">
        <v>56.784801887105502</v>
      </c>
      <c r="L552" s="229">
        <v>26.901838682727401</v>
      </c>
      <c r="M552" s="229">
        <v>7.0526201641360799</v>
      </c>
      <c r="N552" s="229">
        <v>1.6515749128603101</v>
      </c>
      <c r="O552" s="205">
        <v>7.493622851590668E-5</v>
      </c>
      <c r="P552" s="232">
        <v>164.21200000000002</v>
      </c>
      <c r="Q552" s="213"/>
      <c r="R552" s="235"/>
    </row>
    <row r="553" spans="1:18" ht="16.5" customHeight="1" x14ac:dyDescent="0.25">
      <c r="A553" s="230">
        <v>45058</v>
      </c>
      <c r="B553" s="128" t="s">
        <v>2</v>
      </c>
      <c r="C553" s="157" t="str">
        <f t="shared" si="17"/>
        <v>12.05.2023_KIN2</v>
      </c>
      <c r="D553" s="190">
        <f t="shared" si="18"/>
        <v>0</v>
      </c>
      <c r="E553" s="231">
        <v>3.0694629526421457E-6</v>
      </c>
      <c r="F553" s="231">
        <v>1.0800787139121986E-3</v>
      </c>
      <c r="G553" s="231">
        <v>9.1290174400326163E-2</v>
      </c>
      <c r="H553" s="231">
        <v>1.233500624439372E-3</v>
      </c>
      <c r="I553" s="231">
        <v>8.8743035657120184E-6</v>
      </c>
      <c r="J553" s="231">
        <v>1.1202421526544642E-3</v>
      </c>
      <c r="K553" s="229">
        <v>61.152364934323202</v>
      </c>
      <c r="L553" s="229">
        <v>29.588061280978899</v>
      </c>
      <c r="M553" s="229">
        <v>6.7689599014772899</v>
      </c>
      <c r="N553" s="229">
        <v>1.9373799946868699</v>
      </c>
      <c r="O553" s="205">
        <v>7.0791334834394634E-5</v>
      </c>
      <c r="P553" s="232">
        <v>193.49200000000002</v>
      </c>
      <c r="Q553" s="213"/>
      <c r="R553" s="235"/>
    </row>
    <row r="554" spans="1:18" ht="16.5" customHeight="1" x14ac:dyDescent="0.25">
      <c r="A554" s="230">
        <v>45058</v>
      </c>
      <c r="B554" s="128" t="s">
        <v>4</v>
      </c>
      <c r="C554" s="157" t="str">
        <f t="shared" si="17"/>
        <v>12.05.2023_KIN3</v>
      </c>
      <c r="D554" s="190">
        <f t="shared" si="18"/>
        <v>0</v>
      </c>
      <c r="E554" s="231">
        <v>3.6440431502780744E-6</v>
      </c>
      <c r="F554" s="231">
        <v>7.605747282161448E-4</v>
      </c>
      <c r="G554" s="231">
        <v>9.3299047559852508E-2</v>
      </c>
      <c r="H554" s="231">
        <v>1.5770849035486214E-3</v>
      </c>
      <c r="I554" s="231">
        <v>9.8987418082000436E-6</v>
      </c>
      <c r="J554" s="231">
        <v>8.6825272620489171E-4</v>
      </c>
      <c r="K554" s="229">
        <v>66.962041890997895</v>
      </c>
      <c r="L554" s="229">
        <v>30.274584431313201</v>
      </c>
      <c r="M554" s="229">
        <v>7.6733729514508902</v>
      </c>
      <c r="N554" s="229">
        <v>1.86720407769264</v>
      </c>
      <c r="O554" s="205">
        <v>7.2698086935501604E-5</v>
      </c>
      <c r="P554" s="232">
        <v>180.316</v>
      </c>
      <c r="Q554" s="213"/>
      <c r="R554" s="235"/>
    </row>
    <row r="555" spans="1:18" ht="16.5" customHeight="1" x14ac:dyDescent="0.25">
      <c r="A555" s="230">
        <v>45058</v>
      </c>
      <c r="B555" s="128" t="s">
        <v>6</v>
      </c>
      <c r="C555" s="157" t="str">
        <f t="shared" si="17"/>
        <v>12.05.2023_KIN4</v>
      </c>
      <c r="D555" s="190">
        <f t="shared" si="18"/>
        <v>0</v>
      </c>
      <c r="E555" s="231">
        <v>4.0371766757024227E-6</v>
      </c>
      <c r="F555" s="231">
        <v>8.1535818820488068E-4</v>
      </c>
      <c r="G555" s="231">
        <v>8.5231823870611748E-2</v>
      </c>
      <c r="H555" s="231">
        <v>1.6041365842304775E-3</v>
      </c>
      <c r="I555" s="231">
        <v>1.1046605221494532E-5</v>
      </c>
      <c r="J555" s="231">
        <v>1.3910989559619369E-3</v>
      </c>
      <c r="K555" s="229">
        <v>57.196290831138697</v>
      </c>
      <c r="L555" s="229">
        <v>30.373377738742999</v>
      </c>
      <c r="M555" s="229">
        <v>14.7771006964697</v>
      </c>
      <c r="N555" s="229">
        <v>1.9722622177104201</v>
      </c>
      <c r="O555" s="205">
        <v>8.6270120936675021E-5</v>
      </c>
      <c r="P555" s="232">
        <v>162.50400000000002</v>
      </c>
      <c r="Q555" s="213"/>
      <c r="R555" s="235"/>
    </row>
    <row r="556" spans="1:18" ht="16.5" customHeight="1" x14ac:dyDescent="0.25">
      <c r="A556" s="230">
        <v>45058</v>
      </c>
      <c r="B556" s="128" t="s">
        <v>34</v>
      </c>
      <c r="C556" s="157" t="str">
        <f t="shared" si="17"/>
        <v>12.05.2023_KRE1</v>
      </c>
      <c r="D556" s="190">
        <f t="shared" si="18"/>
        <v>0</v>
      </c>
      <c r="E556" s="231">
        <v>2.5100036687369054E-6</v>
      </c>
      <c r="F556" s="231">
        <v>1.032838821554318E-3</v>
      </c>
      <c r="G556" s="231">
        <v>0.14228480011526565</v>
      </c>
      <c r="H556" s="231">
        <v>2.2063313989477118E-3</v>
      </c>
      <c r="I556" s="231">
        <v>1.0528215144345659E-5</v>
      </c>
      <c r="J556" s="231">
        <v>8.7913762008374953E-4</v>
      </c>
      <c r="K556" s="229">
        <v>118.91265035231</v>
      </c>
      <c r="L556" s="229">
        <v>36.753841207318999</v>
      </c>
      <c r="M556" s="229">
        <v>22.2758466524723</v>
      </c>
      <c r="N556" s="229">
        <v>4.3453808753617897</v>
      </c>
      <c r="O556" s="205">
        <v>1.6257200488564881E-4</v>
      </c>
      <c r="P556" s="232">
        <v>242.048</v>
      </c>
      <c r="Q556" s="213"/>
      <c r="R556" s="235"/>
    </row>
    <row r="557" spans="1:18" ht="16.5" customHeight="1" x14ac:dyDescent="0.25">
      <c r="A557" s="230">
        <v>45058</v>
      </c>
      <c r="B557" s="128" t="s">
        <v>37</v>
      </c>
      <c r="C557" s="157" t="str">
        <f t="shared" si="17"/>
        <v>12.05.2023_KRE2</v>
      </c>
      <c r="D557" s="190">
        <f t="shared" si="18"/>
        <v>0</v>
      </c>
      <c r="E557" s="231">
        <v>4.2337438706102871E-6</v>
      </c>
      <c r="F557" s="231">
        <v>1.0534385219765452E-3</v>
      </c>
      <c r="G557" s="231">
        <v>0.14307542694115821</v>
      </c>
      <c r="H557" s="231">
        <v>2.2841953453932311E-3</v>
      </c>
      <c r="I557" s="231">
        <v>1.0886151272108855E-5</v>
      </c>
      <c r="J557" s="231">
        <v>1.105400438830884E-3</v>
      </c>
      <c r="K557" s="229">
        <v>122.255918141572</v>
      </c>
      <c r="L557" s="229">
        <v>39.105991942615702</v>
      </c>
      <c r="M557" s="229">
        <v>22.856334382793602</v>
      </c>
      <c r="N557" s="229">
        <v>4.3119468439412003</v>
      </c>
      <c r="O557" s="205">
        <v>2.1040084110093162E-4</v>
      </c>
      <c r="P557" s="232">
        <v>245.464</v>
      </c>
      <c r="Q557" s="213"/>
      <c r="R557" s="235"/>
    </row>
    <row r="558" spans="1:18" ht="16.5" customHeight="1" x14ac:dyDescent="0.25">
      <c r="A558" s="230">
        <v>45058</v>
      </c>
      <c r="B558" s="128" t="s">
        <v>18</v>
      </c>
      <c r="C558" s="157" t="str">
        <f t="shared" si="17"/>
        <v>12.05.2023_ORB1</v>
      </c>
      <c r="D558" s="190">
        <f t="shared" si="18"/>
        <v>0</v>
      </c>
      <c r="E558" s="231">
        <v>2.1047882161276377E-5</v>
      </c>
      <c r="F558" s="231">
        <v>1.8854198609043762E-3</v>
      </c>
      <c r="G558" s="231">
        <v>6.6004082740902081E-2</v>
      </c>
      <c r="H558" s="231">
        <v>4.9039366345193638E-2</v>
      </c>
      <c r="I558" s="231">
        <v>1.0448417748989981E-4</v>
      </c>
      <c r="J558" s="231">
        <v>2.8961143934500598E-3</v>
      </c>
      <c r="K558" s="229">
        <v>18.085285733278099</v>
      </c>
      <c r="L558" s="229">
        <v>5.71181716524615</v>
      </c>
      <c r="M558" s="229">
        <v>8.0205225353493095</v>
      </c>
      <c r="N558" s="229">
        <v>3.2941021298125901</v>
      </c>
      <c r="O558" s="205">
        <v>1.6748555503551282E-4</v>
      </c>
      <c r="P558" s="232">
        <v>17.567999999999998</v>
      </c>
      <c r="Q558" s="213"/>
      <c r="R558" s="235"/>
    </row>
    <row r="559" spans="1:18" ht="16.5" customHeight="1" x14ac:dyDescent="0.25">
      <c r="A559" s="230">
        <v>45058</v>
      </c>
      <c r="B559" s="128" t="s">
        <v>21</v>
      </c>
      <c r="C559" s="157" t="str">
        <f t="shared" si="17"/>
        <v>12.05.2023_ORB2</v>
      </c>
      <c r="D559" s="190">
        <f t="shared" si="18"/>
        <v>0</v>
      </c>
      <c r="E559" s="231">
        <v>1.0796072436536708E-5</v>
      </c>
      <c r="F559" s="231">
        <v>6.8467448312865267E-4</v>
      </c>
      <c r="G559" s="231">
        <v>4.2408550084245995E-2</v>
      </c>
      <c r="H559" s="231">
        <v>1.2816068042648913E-3</v>
      </c>
      <c r="I559" s="231">
        <v>9.8740559686127813E-6</v>
      </c>
      <c r="J559" s="231">
        <v>1.8983664411610941E-3</v>
      </c>
      <c r="K559" s="229">
        <v>18.7399616611787</v>
      </c>
      <c r="L559" s="229">
        <v>5.6593953872980096</v>
      </c>
      <c r="M559" s="229">
        <v>9.0731103278229899</v>
      </c>
      <c r="N559" s="229">
        <v>3.1404318321598201</v>
      </c>
      <c r="O559" s="205">
        <v>5.6624102192807438E-5</v>
      </c>
      <c r="P559" s="232">
        <v>19.032</v>
      </c>
      <c r="Q559" s="213"/>
      <c r="R559" s="235"/>
    </row>
    <row r="560" spans="1:18" ht="16.5" customHeight="1" x14ac:dyDescent="0.25">
      <c r="A560" s="230">
        <v>45058</v>
      </c>
      <c r="B560" s="128" t="s">
        <v>10</v>
      </c>
      <c r="C560" s="157" t="str">
        <f t="shared" si="17"/>
        <v>12.05.2023_SAL1</v>
      </c>
      <c r="D560" s="190">
        <f t="shared" si="18"/>
        <v>0</v>
      </c>
      <c r="E560" s="231">
        <v>6.0330891203772365E-6</v>
      </c>
      <c r="F560" s="231">
        <v>1.4007360487303423E-3</v>
      </c>
      <c r="G560" s="231">
        <v>5.5641320289558829E-2</v>
      </c>
      <c r="H560" s="231">
        <v>1.8230669706894719E-3</v>
      </c>
      <c r="I560" s="231">
        <v>6.8501173962497458E-6</v>
      </c>
      <c r="J560" s="231">
        <v>4.7035418075872291E-4</v>
      </c>
      <c r="K560" s="229">
        <v>25.054627830559902</v>
      </c>
      <c r="L560" s="229">
        <v>19.057455479847398</v>
      </c>
      <c r="M560" s="229">
        <v>7.9899680953375096</v>
      </c>
      <c r="N560" s="229">
        <v>1.3766692088704899</v>
      </c>
      <c r="O560" s="205">
        <v>1.2383893762728501E-4</v>
      </c>
      <c r="P560" s="232">
        <v>68.320000000000007</v>
      </c>
      <c r="Q560" s="213"/>
      <c r="R560" s="235"/>
    </row>
    <row r="561" spans="1:18" ht="16.5" customHeight="1" x14ac:dyDescent="0.25">
      <c r="A561" s="230">
        <v>45058</v>
      </c>
      <c r="B561" s="128" t="s">
        <v>12</v>
      </c>
      <c r="C561" s="157" t="str">
        <f t="shared" si="17"/>
        <v>12.05.2023_SAL2</v>
      </c>
      <c r="D561" s="190">
        <f t="shared" si="18"/>
        <v>0</v>
      </c>
      <c r="E561" s="231">
        <v>5.382904859784193E-6</v>
      </c>
      <c r="F561" s="231">
        <v>8.5212908528393971E-4</v>
      </c>
      <c r="G561" s="231">
        <v>5.8638269597783226E-2</v>
      </c>
      <c r="H561" s="231">
        <v>4.6480281526067174E-3</v>
      </c>
      <c r="I561" s="231">
        <v>1.618115311278419E-5</v>
      </c>
      <c r="J561" s="231">
        <v>6.4937508597815428E-4</v>
      </c>
      <c r="K561" s="229">
        <v>28.312399715942998</v>
      </c>
      <c r="L561" s="229">
        <v>20.1625312742473</v>
      </c>
      <c r="M561" s="229">
        <v>8.0338862988153501</v>
      </c>
      <c r="N561" s="229">
        <v>1.4200691617862</v>
      </c>
      <c r="O561" s="205">
        <v>1.2141595616522098E-4</v>
      </c>
      <c r="P561" s="232">
        <v>78.323999999999998</v>
      </c>
      <c r="Q561" s="213"/>
      <c r="R561" s="235"/>
    </row>
    <row r="562" spans="1:18" ht="16.5" customHeight="1" x14ac:dyDescent="0.25">
      <c r="A562" s="230">
        <v>45058</v>
      </c>
      <c r="B562" s="128" t="s">
        <v>7</v>
      </c>
      <c r="C562" s="157" t="str">
        <f t="shared" si="17"/>
        <v>12.05.2023_STE1</v>
      </c>
      <c r="D562" s="190">
        <f t="shared" si="18"/>
        <v>0</v>
      </c>
      <c r="E562" s="231">
        <v>3.5986813999022179E-6</v>
      </c>
      <c r="F562" s="231">
        <v>8.7843864766482514E-4</v>
      </c>
      <c r="G562" s="231">
        <v>7.9708826978708708E-2</v>
      </c>
      <c r="H562" s="231">
        <v>1.7010149991084926E-3</v>
      </c>
      <c r="I562" s="231">
        <v>6.0355065870929834E-6</v>
      </c>
      <c r="J562" s="231">
        <v>6.6097966001114525E-4</v>
      </c>
      <c r="K562" s="229">
        <v>59.555316683458202</v>
      </c>
      <c r="L562" s="229">
        <v>25.093725078744399</v>
      </c>
      <c r="M562" s="229">
        <v>8.8316472892072699</v>
      </c>
      <c r="N562" s="229">
        <v>1.63102689222527</v>
      </c>
      <c r="O562" s="205">
        <v>7.6680426372776798E-5</v>
      </c>
      <c r="P562" s="232">
        <v>133.22400000000002</v>
      </c>
      <c r="Q562" s="213"/>
      <c r="R562" s="235"/>
    </row>
    <row r="563" spans="1:18" ht="16.5" customHeight="1" x14ac:dyDescent="0.25">
      <c r="A563" s="230">
        <v>45058</v>
      </c>
      <c r="B563" s="128" t="s">
        <v>9</v>
      </c>
      <c r="C563" s="157" t="str">
        <f t="shared" si="17"/>
        <v>12.05.2023_STE2</v>
      </c>
      <c r="D563" s="190">
        <f t="shared" si="18"/>
        <v>0</v>
      </c>
      <c r="E563" s="231">
        <v>3.5079580255750899E-6</v>
      </c>
      <c r="F563" s="231">
        <v>1.0572155959084155E-3</v>
      </c>
      <c r="G563" s="231">
        <v>7.2420268061232987E-2</v>
      </c>
      <c r="H563" s="231">
        <v>1.7791310463832811E-3</v>
      </c>
      <c r="I563" s="231">
        <v>6.1836175926857306E-6</v>
      </c>
      <c r="J563" s="231">
        <v>7.2189451519706583E-4</v>
      </c>
      <c r="K563" s="229">
        <v>52.007500913967903</v>
      </c>
      <c r="L563" s="229">
        <v>25.445911735847702</v>
      </c>
      <c r="M563" s="229">
        <v>9.4570630847760508</v>
      </c>
      <c r="N563" s="229">
        <v>1.72370942714298</v>
      </c>
      <c r="O563" s="205">
        <v>8.0369885403526499E-5</v>
      </c>
      <c r="P563" s="232">
        <v>123.22</v>
      </c>
      <c r="Q563" s="213"/>
      <c r="R563" s="235"/>
    </row>
    <row r="564" spans="1:18" ht="16.5" customHeight="1" x14ac:dyDescent="0.25">
      <c r="A564" s="230">
        <v>45086</v>
      </c>
      <c r="B564" s="128" t="s">
        <v>22</v>
      </c>
      <c r="C564" s="157" t="str">
        <f t="shared" si="17"/>
        <v>09.06.2023_BIE1</v>
      </c>
      <c r="D564" s="190">
        <f t="shared" si="18"/>
        <v>0</v>
      </c>
      <c r="E564" s="231">
        <v>1.2073953976541251E-5</v>
      </c>
      <c r="F564" s="231">
        <v>1.1877448104723692E-3</v>
      </c>
      <c r="G564" s="231">
        <v>5.7677400092667669E-2</v>
      </c>
      <c r="H564" s="231">
        <v>1.2074479732408869E-3</v>
      </c>
      <c r="I564" s="231">
        <v>1.6980277299890336E-5</v>
      </c>
      <c r="J564" s="231">
        <v>9.8841395338002233E-4</v>
      </c>
      <c r="K564" s="229">
        <v>31.026217351970299</v>
      </c>
      <c r="L564" s="229">
        <v>19.214618093386299</v>
      </c>
      <c r="M564" s="229">
        <v>5.4395419342844296</v>
      </c>
      <c r="N564" s="229">
        <v>3.12146981706795</v>
      </c>
      <c r="O564" s="205">
        <v>8.2619762684142759E-5</v>
      </c>
      <c r="P564" s="232">
        <v>67.832000000000008</v>
      </c>
      <c r="Q564" s="213"/>
      <c r="R564" s="235"/>
    </row>
    <row r="565" spans="1:18" ht="16.5" customHeight="1" x14ac:dyDescent="0.25">
      <c r="A565" s="230">
        <v>45086</v>
      </c>
      <c r="B565" s="128" t="s">
        <v>25</v>
      </c>
      <c r="C565" s="157" t="str">
        <f t="shared" si="17"/>
        <v>09.06.2023_BIE2</v>
      </c>
      <c r="D565" s="190">
        <f t="shared" si="18"/>
        <v>0</v>
      </c>
      <c r="E565" s="231">
        <v>3.873063378674588E-5</v>
      </c>
      <c r="F565" s="231">
        <v>1.3382243987732159E-3</v>
      </c>
      <c r="G565" s="231">
        <v>6.1026384216379008E-2</v>
      </c>
      <c r="H565" s="231">
        <v>1.168302203277654E-3</v>
      </c>
      <c r="I565" s="231">
        <v>4.6846190818760043E-5</v>
      </c>
      <c r="J565" s="231">
        <v>4.5706403219420147E-3</v>
      </c>
      <c r="K565" s="229">
        <v>32.072621875122998</v>
      </c>
      <c r="L565" s="229">
        <v>19.0180435130981</v>
      </c>
      <c r="M565" s="229">
        <v>7.1195808825667699</v>
      </c>
      <c r="N565" s="229">
        <v>3.1456757489237299</v>
      </c>
      <c r="O565" s="205">
        <v>1.0997917551667525E-4</v>
      </c>
      <c r="P565" s="232">
        <v>66.612000000000009</v>
      </c>
      <c r="Q565" s="213"/>
      <c r="R565" s="235"/>
    </row>
    <row r="566" spans="1:18" ht="16.5" customHeight="1" x14ac:dyDescent="0.25">
      <c r="A566" s="230">
        <v>45086</v>
      </c>
      <c r="B566" s="128" t="s">
        <v>14</v>
      </c>
      <c r="C566" s="157" t="str">
        <f t="shared" si="17"/>
        <v>09.06.2023_BRA1</v>
      </c>
      <c r="D566" s="190">
        <f t="shared" si="18"/>
        <v>0</v>
      </c>
      <c r="E566" s="231">
        <v>3.2275158286922816E-6</v>
      </c>
      <c r="F566" s="231">
        <v>7.5298418484060338E-4</v>
      </c>
      <c r="G566" s="231">
        <v>5.0907653995740945E-2</v>
      </c>
      <c r="H566" s="231">
        <v>9.0937697983739323E-4</v>
      </c>
      <c r="I566" s="231">
        <v>6.0110815778314191E-6</v>
      </c>
      <c r="J566" s="231">
        <v>2.8359905080265976E-4</v>
      </c>
      <c r="K566" s="229">
        <v>26.245447521392101</v>
      </c>
      <c r="L566" s="229">
        <v>26.1684170774001</v>
      </c>
      <c r="M566" s="229">
        <v>6.8734792905320097</v>
      </c>
      <c r="N566" s="229">
        <v>1.08574188549537</v>
      </c>
      <c r="O566" s="205">
        <v>1.1981851063341577E-4</v>
      </c>
      <c r="P566" s="232">
        <v>84.179999999999993</v>
      </c>
      <c r="Q566" s="213"/>
      <c r="R566" s="235"/>
    </row>
    <row r="567" spans="1:18" ht="16.5" customHeight="1" x14ac:dyDescent="0.25">
      <c r="A567" s="230">
        <v>45086</v>
      </c>
      <c r="B567" s="128" t="s">
        <v>17</v>
      </c>
      <c r="C567" s="157" t="str">
        <f t="shared" si="17"/>
        <v>09.06.2023_BRA2</v>
      </c>
      <c r="D567" s="190">
        <f t="shared" si="18"/>
        <v>0</v>
      </c>
      <c r="E567" s="231">
        <v>4.6489626870606329E-6</v>
      </c>
      <c r="F567" s="231">
        <v>9.4565873778340798E-4</v>
      </c>
      <c r="G567" s="231">
        <v>6.2360868955337503E-2</v>
      </c>
      <c r="H567" s="231">
        <v>1.0957320838884126E-3</v>
      </c>
      <c r="I567" s="231">
        <v>1.0398749728802352E-5</v>
      </c>
      <c r="J567" s="231">
        <v>6.6296012852131467E-4</v>
      </c>
      <c r="K567" s="229">
        <v>37.140049436324603</v>
      </c>
      <c r="L567" s="229">
        <v>27.979469852517902</v>
      </c>
      <c r="M567" s="229">
        <v>8.0797636650626092</v>
      </c>
      <c r="N567" s="229">
        <v>1.45530119899025</v>
      </c>
      <c r="O567" s="205">
        <v>8.6910121412165782E-5</v>
      </c>
      <c r="P567" s="232">
        <v>92.475999999999999</v>
      </c>
      <c r="Q567" s="213"/>
      <c r="R567" s="235"/>
    </row>
    <row r="568" spans="1:18" ht="16.5" customHeight="1" x14ac:dyDescent="0.25">
      <c r="A568" s="230">
        <v>45086</v>
      </c>
      <c r="B568" s="128" t="s">
        <v>30</v>
      </c>
      <c r="C568" s="157" t="str">
        <f t="shared" si="17"/>
        <v>09.06.2023_FAL1</v>
      </c>
      <c r="D568" s="190">
        <f t="shared" si="18"/>
        <v>0</v>
      </c>
      <c r="E568" s="231">
        <v>3.4616362718061301E-6</v>
      </c>
      <c r="F568" s="231">
        <v>7.4628826836646133E-4</v>
      </c>
      <c r="G568" s="231">
        <v>0.16561281966810185</v>
      </c>
      <c r="H568" s="231">
        <v>1.9263120103958484E-3</v>
      </c>
      <c r="I568" s="231">
        <v>1.7784688533219614E-5</v>
      </c>
      <c r="J568" s="231">
        <v>1.238814215945006E-3</v>
      </c>
      <c r="K568" s="229">
        <v>141.04005409341801</v>
      </c>
      <c r="L568" s="229">
        <v>55.610540801813201</v>
      </c>
      <c r="M568" s="229">
        <v>35.305039935732601</v>
      </c>
      <c r="N568" s="229">
        <v>5.6824713330862497</v>
      </c>
      <c r="O568" s="205">
        <v>1.1186437956229748E-4</v>
      </c>
      <c r="P568" s="232">
        <v>268.88800000000003</v>
      </c>
      <c r="Q568" s="213"/>
      <c r="R568" s="235"/>
    </row>
    <row r="569" spans="1:18" ht="16.5" customHeight="1" x14ac:dyDescent="0.25">
      <c r="A569" s="230">
        <v>45086</v>
      </c>
      <c r="B569" s="128" t="s">
        <v>32</v>
      </c>
      <c r="C569" s="157" t="str">
        <f t="shared" si="17"/>
        <v>09.06.2023_FAL2</v>
      </c>
      <c r="D569" s="190">
        <f t="shared" si="18"/>
        <v>0</v>
      </c>
      <c r="E569" s="231">
        <v>3.1773473104942894E-6</v>
      </c>
      <c r="F569" s="231">
        <v>8.5910571655336328E-4</v>
      </c>
      <c r="G569" s="231">
        <v>0.18057938732821013</v>
      </c>
      <c r="H569" s="231">
        <v>2.7222343915581991E-3</v>
      </c>
      <c r="I569" s="231">
        <v>1.9817656424862007E-5</v>
      </c>
      <c r="J569" s="231">
        <v>1.3406620617606865E-3</v>
      </c>
      <c r="K569" s="229">
        <v>161.10675978535201</v>
      </c>
      <c r="L569" s="229">
        <v>58.393126815875497</v>
      </c>
      <c r="M569" s="229">
        <v>34.669864169547701</v>
      </c>
      <c r="N569" s="229">
        <v>5.6521339699646997</v>
      </c>
      <c r="O569" s="205">
        <v>1.1698810391577576E-4</v>
      </c>
      <c r="P569" s="232">
        <v>300.85200000000003</v>
      </c>
      <c r="Q569" s="213"/>
      <c r="R569" s="235"/>
    </row>
    <row r="570" spans="1:18" ht="16.5" customHeight="1" x14ac:dyDescent="0.25">
      <c r="A570" s="230">
        <v>45086</v>
      </c>
      <c r="B570" s="128" t="s">
        <v>26</v>
      </c>
      <c r="C570" s="157" t="str">
        <f t="shared" si="17"/>
        <v>09.06.2023_GRU1</v>
      </c>
      <c r="D570" s="190">
        <f t="shared" si="18"/>
        <v>0</v>
      </c>
      <c r="E570" s="231">
        <v>5.6523382146866185E-6</v>
      </c>
      <c r="F570" s="231">
        <v>1.2817186736446451E-3</v>
      </c>
      <c r="G570" s="231">
        <v>5.2120976333659676E-2</v>
      </c>
      <c r="H570" s="231">
        <v>1.4922592831772658E-3</v>
      </c>
      <c r="I570" s="231">
        <v>7.8831515649624651E-6</v>
      </c>
      <c r="J570" s="231">
        <v>4.3991926357077137E-4</v>
      </c>
      <c r="K570" s="229">
        <v>27.594793959369301</v>
      </c>
      <c r="L570" s="229">
        <v>14.578404055002499</v>
      </c>
      <c r="M570" s="229">
        <v>7.2760680999386</v>
      </c>
      <c r="N570" s="229">
        <v>2.0659314660206598</v>
      </c>
      <c r="O570" s="205">
        <v>6.9105012622226516E-5</v>
      </c>
      <c r="P570" s="232">
        <v>51.484000000000002</v>
      </c>
      <c r="Q570" s="213"/>
      <c r="R570" s="235"/>
    </row>
    <row r="571" spans="1:18" ht="16.5" customHeight="1" x14ac:dyDescent="0.25">
      <c r="A571" s="230">
        <v>45086</v>
      </c>
      <c r="B571" s="128" t="s">
        <v>28</v>
      </c>
      <c r="C571" s="157" t="str">
        <f t="shared" si="17"/>
        <v>09.06.2023_GRU2</v>
      </c>
      <c r="D571" s="190">
        <f t="shared" si="18"/>
        <v>0</v>
      </c>
      <c r="E571" s="231">
        <v>6.3547013357057154E-6</v>
      </c>
      <c r="F571" s="231">
        <v>6.7453729438521641E-4</v>
      </c>
      <c r="G571" s="231">
        <v>6.3942816362325169E-2</v>
      </c>
      <c r="H571" s="231">
        <v>1.7615036929312417E-3</v>
      </c>
      <c r="I571" s="231">
        <v>9.8137262126448771E-6</v>
      </c>
      <c r="J571" s="231">
        <v>8.4499041191792371E-4</v>
      </c>
      <c r="K571" s="229">
        <v>43.0700945471526</v>
      </c>
      <c r="L571" s="229">
        <v>14.3624484432655</v>
      </c>
      <c r="M571" s="229">
        <v>7.2218261696843902</v>
      </c>
      <c r="N571" s="229">
        <v>2.1632227864988498</v>
      </c>
      <c r="O571" s="205">
        <v>9.3193292761794544E-5</v>
      </c>
      <c r="P571" s="232">
        <v>70.271999999999991</v>
      </c>
      <c r="Q571" s="213"/>
      <c r="R571" s="235"/>
    </row>
    <row r="572" spans="1:18" ht="16.5" customHeight="1" x14ac:dyDescent="0.25">
      <c r="A572" s="230">
        <v>45086</v>
      </c>
      <c r="B572" s="128" t="s">
        <v>0</v>
      </c>
      <c r="C572" s="157" t="str">
        <f t="shared" si="17"/>
        <v>09.06.2023_KIN1</v>
      </c>
      <c r="D572" s="190">
        <f t="shared" si="18"/>
        <v>0</v>
      </c>
      <c r="E572" s="231">
        <v>2.3244797892295783E-6</v>
      </c>
      <c r="F572" s="231">
        <v>5.6040933749564861E-4</v>
      </c>
      <c r="G572" s="231">
        <v>9.643682415333793E-2</v>
      </c>
      <c r="H572" s="231">
        <v>1.5159034766177673E-3</v>
      </c>
      <c r="I572" s="231">
        <v>8.0879094917498875E-6</v>
      </c>
      <c r="J572" s="231">
        <v>5.7108081760537334E-4</v>
      </c>
      <c r="K572" s="229">
        <v>78.463545973166404</v>
      </c>
      <c r="L572" s="229">
        <v>43.104362305231803</v>
      </c>
      <c r="M572" s="229">
        <v>6.2678008430490202</v>
      </c>
      <c r="N572" s="229">
        <v>1.92620552777181</v>
      </c>
      <c r="O572" s="205">
        <v>6.0859534794250071E-5</v>
      </c>
      <c r="P572" s="232">
        <v>203.49599999999998</v>
      </c>
      <c r="Q572" s="213"/>
      <c r="R572" s="235"/>
    </row>
    <row r="573" spans="1:18" ht="16.5" customHeight="1" x14ac:dyDescent="0.25">
      <c r="A573" s="230">
        <v>45086</v>
      </c>
      <c r="B573" s="128" t="s">
        <v>2</v>
      </c>
      <c r="C573" s="157" t="str">
        <f t="shared" si="17"/>
        <v>09.06.2023_KIN2</v>
      </c>
      <c r="D573" s="190">
        <f t="shared" si="18"/>
        <v>0</v>
      </c>
      <c r="E573" s="231">
        <v>3.0268414014676169E-6</v>
      </c>
      <c r="F573" s="231">
        <v>5.3970142083648357E-4</v>
      </c>
      <c r="G573" s="231">
        <v>8.9364864242437655E-2</v>
      </c>
      <c r="H573" s="231">
        <v>7.2810678010737815E-3</v>
      </c>
      <c r="I573" s="231">
        <v>1.433303651519766E-5</v>
      </c>
      <c r="J573" s="231">
        <v>8.5578721506792408E-4</v>
      </c>
      <c r="K573" s="229">
        <v>71.170531492568003</v>
      </c>
      <c r="L573" s="229">
        <v>46.434705623804597</v>
      </c>
      <c r="M573" s="229">
        <v>6.4055214458262197</v>
      </c>
      <c r="N573" s="229">
        <v>2.5033338412411501</v>
      </c>
      <c r="O573" s="205">
        <v>5.3633090135498315E-5</v>
      </c>
      <c r="P573" s="232">
        <v>227.40800000000002</v>
      </c>
      <c r="Q573" s="213"/>
      <c r="R573" s="235"/>
    </row>
    <row r="574" spans="1:18" ht="16.5" customHeight="1" x14ac:dyDescent="0.25">
      <c r="A574" s="230">
        <v>45086</v>
      </c>
      <c r="B574" s="128" t="s">
        <v>4</v>
      </c>
      <c r="C574" s="157" t="str">
        <f t="shared" si="17"/>
        <v>09.06.2023_KIN3</v>
      </c>
      <c r="D574" s="190">
        <f t="shared" si="18"/>
        <v>0</v>
      </c>
      <c r="E574" s="231">
        <v>1.8896845579547568E-6</v>
      </c>
      <c r="F574" s="231">
        <v>5.7612158212317114E-4</v>
      </c>
      <c r="G574" s="231">
        <v>0.10208166511398328</v>
      </c>
      <c r="H574" s="231">
        <v>1.238949099681033E-3</v>
      </c>
      <c r="I574" s="231">
        <v>6.5668521281070537E-6</v>
      </c>
      <c r="J574" s="231">
        <v>6.3458958057675623E-4</v>
      </c>
      <c r="K574" s="229">
        <v>94.054207574319307</v>
      </c>
      <c r="L574" s="229">
        <v>47.693810601234503</v>
      </c>
      <c r="M574" s="229">
        <v>7.3945249475939203</v>
      </c>
      <c r="N574" s="229">
        <v>2.3869530372955099</v>
      </c>
      <c r="O574" s="205">
        <v>5.8362886341787577E-5</v>
      </c>
      <c r="P574" s="232">
        <v>240.584</v>
      </c>
      <c r="Q574" s="213"/>
      <c r="R574" s="235"/>
    </row>
    <row r="575" spans="1:18" ht="16.5" customHeight="1" x14ac:dyDescent="0.25">
      <c r="A575" s="230">
        <v>45086</v>
      </c>
      <c r="B575" s="128" t="s">
        <v>6</v>
      </c>
      <c r="C575" s="157" t="str">
        <f t="shared" si="17"/>
        <v>09.06.2023_KIN4</v>
      </c>
      <c r="D575" s="190">
        <f t="shared" si="18"/>
        <v>0</v>
      </c>
      <c r="E575" s="231">
        <v>3.9800465054099805E-6</v>
      </c>
      <c r="F575" s="231">
        <v>5.7708870751392691E-4</v>
      </c>
      <c r="G575" s="231">
        <v>8.391711702634605E-2</v>
      </c>
      <c r="H575" s="231">
        <v>1.5065676923994712E-3</v>
      </c>
      <c r="I575" s="231">
        <v>1.4084403507784422E-5</v>
      </c>
      <c r="J575" s="231">
        <v>1.0008671026837785E-3</v>
      </c>
      <c r="K575" s="229">
        <v>68.320418353564904</v>
      </c>
      <c r="L575" s="229">
        <v>47.417915246598497</v>
      </c>
      <c r="M575" s="229">
        <v>22.0016298178112</v>
      </c>
      <c r="N575" s="229">
        <v>2.5930759030061301</v>
      </c>
      <c r="O575" s="205">
        <v>7.8633145764703954E-5</v>
      </c>
      <c r="P575" s="232">
        <v>180.072</v>
      </c>
      <c r="Q575" s="213"/>
      <c r="R575" s="235"/>
    </row>
    <row r="576" spans="1:18" ht="16.5" customHeight="1" x14ac:dyDescent="0.25">
      <c r="A576" s="230">
        <v>45086</v>
      </c>
      <c r="B576" s="128" t="s">
        <v>34</v>
      </c>
      <c r="C576" s="157" t="str">
        <f t="shared" si="17"/>
        <v>09.06.2023_KRE1</v>
      </c>
      <c r="D576" s="190">
        <f t="shared" si="18"/>
        <v>0</v>
      </c>
      <c r="E576" s="231">
        <v>3.7793717660240672E-6</v>
      </c>
      <c r="F576" s="231">
        <v>8.2154862042239506E-4</v>
      </c>
      <c r="G576" s="231">
        <v>0.15225680469562908</v>
      </c>
      <c r="H576" s="231">
        <v>2.2343165097528997E-3</v>
      </c>
      <c r="I576" s="231">
        <v>1.649763084030191E-5</v>
      </c>
      <c r="J576" s="231">
        <v>1.1067726071394249E-3</v>
      </c>
      <c r="K576" s="229">
        <v>153.86414912807101</v>
      </c>
      <c r="L576" s="229">
        <v>67.0732625900079</v>
      </c>
      <c r="M576" s="229">
        <v>50.874746635370997</v>
      </c>
      <c r="N576" s="229">
        <v>8.7371939521819399</v>
      </c>
      <c r="O576" s="205">
        <v>1.8743389618804837E-4</v>
      </c>
      <c r="P576" s="232">
        <v>304.024</v>
      </c>
      <c r="Q576" s="213"/>
      <c r="R576" s="235"/>
    </row>
    <row r="577" spans="1:18" ht="16.5" customHeight="1" x14ac:dyDescent="0.25">
      <c r="A577" s="230">
        <v>45086</v>
      </c>
      <c r="B577" s="128" t="s">
        <v>37</v>
      </c>
      <c r="C577" s="157" t="str">
        <f t="shared" si="17"/>
        <v>09.06.2023_KRE2</v>
      </c>
      <c r="D577" s="190">
        <f t="shared" si="18"/>
        <v>0</v>
      </c>
      <c r="E577" s="231">
        <v>2.7927206526957655E-6</v>
      </c>
      <c r="F577" s="231">
        <v>1.4502679257093597E-3</v>
      </c>
      <c r="G577" s="231">
        <v>0.16926103843797216</v>
      </c>
      <c r="H577" s="231">
        <v>2.6885870131454995E-3</v>
      </c>
      <c r="I577" s="231">
        <v>1.5985734375308523E-5</v>
      </c>
      <c r="J577" s="231">
        <v>9.9098403863198984E-4</v>
      </c>
      <c r="K577" s="229">
        <v>177.77998299011</v>
      </c>
      <c r="L577" s="229">
        <v>67.362084178657</v>
      </c>
      <c r="M577" s="229">
        <v>47.905129676984203</v>
      </c>
      <c r="N577" s="229">
        <v>8.2427786600835198</v>
      </c>
      <c r="O577" s="205">
        <v>2.7962816151603311E-4</v>
      </c>
      <c r="P577" s="232">
        <v>303.536</v>
      </c>
      <c r="Q577" s="213"/>
      <c r="R577" s="235"/>
    </row>
    <row r="578" spans="1:18" ht="16.5" customHeight="1" x14ac:dyDescent="0.25">
      <c r="A578" s="230">
        <v>45086</v>
      </c>
      <c r="B578" s="128" t="s">
        <v>18</v>
      </c>
      <c r="C578" s="157" t="str">
        <f t="shared" si="17"/>
        <v>09.06.2023_ORB1</v>
      </c>
      <c r="D578" s="190">
        <f t="shared" si="18"/>
        <v>0</v>
      </c>
      <c r="E578" s="231">
        <v>9.2644941989141928E-6</v>
      </c>
      <c r="F578" s="231">
        <v>3.8520625891771162E-4</v>
      </c>
      <c r="G578" s="231">
        <v>3.8925897172163305E-2</v>
      </c>
      <c r="H578" s="231">
        <v>8.7271417333059946E-4</v>
      </c>
      <c r="I578" s="231">
        <v>5.2066780599389519E-6</v>
      </c>
      <c r="J578" s="231">
        <v>1.1382674241416813E-3</v>
      </c>
      <c r="K578" s="229">
        <v>19.805783399196802</v>
      </c>
      <c r="L578" s="229">
        <v>6.2264229221096699</v>
      </c>
      <c r="M578" s="229">
        <v>6.6300063418697999</v>
      </c>
      <c r="N578" s="229">
        <v>3.3309469531250002</v>
      </c>
      <c r="O578" s="205">
        <v>3.2069909096622851E-5</v>
      </c>
      <c r="P578" s="232">
        <v>17.811999999999998</v>
      </c>
      <c r="Q578" s="213"/>
      <c r="R578" s="235"/>
    </row>
    <row r="579" spans="1:18" ht="16.5" customHeight="1" x14ac:dyDescent="0.25">
      <c r="A579" s="230">
        <v>45086</v>
      </c>
      <c r="B579" s="128" t="s">
        <v>21</v>
      </c>
      <c r="C579" s="157" t="str">
        <f t="shared" si="17"/>
        <v>09.06.2023_ORB2</v>
      </c>
      <c r="D579" s="190">
        <f t="shared" si="18"/>
        <v>0</v>
      </c>
      <c r="E579" s="231">
        <v>9.4986150159699221E-6</v>
      </c>
      <c r="F579" s="231">
        <v>4.0476828804446644E-4</v>
      </c>
      <c r="G579" s="231">
        <v>4.1627399397831326E-2</v>
      </c>
      <c r="H579" s="231">
        <v>1.0360664655999284E-3</v>
      </c>
      <c r="I579" s="231">
        <v>1.092527079693703E-5</v>
      </c>
      <c r="J579" s="231">
        <v>1.5355045918407175E-3</v>
      </c>
      <c r="K579" s="229">
        <v>22.041809307548998</v>
      </c>
      <c r="L579" s="229">
        <v>6.50410084765163</v>
      </c>
      <c r="M579" s="229">
        <v>10.5210283507146</v>
      </c>
      <c r="N579" s="229">
        <v>3.43861249324056</v>
      </c>
      <c r="O579" s="205">
        <v>3.7311424107002524E-5</v>
      </c>
      <c r="P579" s="232">
        <v>18.544</v>
      </c>
      <c r="Q579" s="213"/>
      <c r="R579" s="235"/>
    </row>
    <row r="580" spans="1:18" ht="16.5" customHeight="1" x14ac:dyDescent="0.25">
      <c r="A580" s="230">
        <v>45086</v>
      </c>
      <c r="B580" s="128" t="s">
        <v>10</v>
      </c>
      <c r="C580" s="157" t="str">
        <f t="shared" si="17"/>
        <v>09.06.2023_SAL1</v>
      </c>
      <c r="D580" s="190">
        <f t="shared" si="18"/>
        <v>0</v>
      </c>
      <c r="E580" s="231">
        <v>6.2041947958520733E-6</v>
      </c>
      <c r="F580" s="231">
        <v>5.7924584241126275E-4</v>
      </c>
      <c r="G580" s="231">
        <v>6.3150809812632769E-2</v>
      </c>
      <c r="H580" s="231">
        <v>1.57361035405463E-3</v>
      </c>
      <c r="I580" s="231">
        <v>7.6637682017783373E-6</v>
      </c>
      <c r="J580" s="231">
        <v>4.4609263649034864E-4</v>
      </c>
      <c r="K580" s="229">
        <v>44.599048994351101</v>
      </c>
      <c r="L580" s="229">
        <v>33.928652573241799</v>
      </c>
      <c r="M580" s="229">
        <v>8.8376260015957797</v>
      </c>
      <c r="N580" s="229">
        <v>1.8525310342149901</v>
      </c>
      <c r="O580" s="205">
        <v>9.0302342961089043E-5</v>
      </c>
      <c r="P580" s="232">
        <v>108.092</v>
      </c>
      <c r="Q580" s="213"/>
      <c r="R580" s="235"/>
    </row>
    <row r="581" spans="1:18" ht="16.5" customHeight="1" x14ac:dyDescent="0.25">
      <c r="A581" s="230">
        <v>45086</v>
      </c>
      <c r="B581" s="128" t="s">
        <v>12</v>
      </c>
      <c r="C581" s="157" t="str">
        <f t="shared" ref="C581:C644" si="19">CONCATENATE(TEXT(A581,"TT.MM.JJJJ"),"_",B581)</f>
        <v>09.06.2023_SAL2</v>
      </c>
      <c r="D581" s="190">
        <f t="shared" ref="D581:D644" si="20">COUNTBLANK(E581:P581)</f>
        <v>0</v>
      </c>
      <c r="E581" s="231">
        <v>5.4683859971189378E-6</v>
      </c>
      <c r="F581" s="231">
        <v>7.2547698319338409E-4</v>
      </c>
      <c r="G581" s="231">
        <v>6.4633789688035626E-2</v>
      </c>
      <c r="H581" s="231">
        <v>1.2143100824848847E-3</v>
      </c>
      <c r="I581" s="231">
        <v>9.7405983310691826E-6</v>
      </c>
      <c r="J581" s="231">
        <v>4.3246696803034274E-4</v>
      </c>
      <c r="K581" s="229">
        <v>47.189375968403198</v>
      </c>
      <c r="L581" s="229">
        <v>35.667442170370499</v>
      </c>
      <c r="M581" s="229">
        <v>8.9784775985093397</v>
      </c>
      <c r="N581" s="229">
        <v>1.7160942534752199</v>
      </c>
      <c r="O581" s="205">
        <v>8.6228787579449792E-5</v>
      </c>
      <c r="P581" s="232">
        <v>112.24000000000001</v>
      </c>
      <c r="Q581" s="213"/>
      <c r="R581" s="235"/>
    </row>
    <row r="582" spans="1:18" ht="16.5" customHeight="1" x14ac:dyDescent="0.25">
      <c r="A582" s="230">
        <v>45086</v>
      </c>
      <c r="B582" s="128" t="s">
        <v>7</v>
      </c>
      <c r="C582" s="157" t="str">
        <f t="shared" si="19"/>
        <v>09.06.2023_STE1</v>
      </c>
      <c r="D582" s="190">
        <f t="shared" si="20"/>
        <v>0</v>
      </c>
      <c r="E582" s="231">
        <v>2.7759980918568824E-6</v>
      </c>
      <c r="F582" s="231">
        <v>9.587273939879919E-4</v>
      </c>
      <c r="G582" s="231">
        <v>9.2165978222540357E-2</v>
      </c>
      <c r="H582" s="231">
        <v>1.5987667167569944E-3</v>
      </c>
      <c r="I582" s="231">
        <v>8.7606852480519787E-6</v>
      </c>
      <c r="J582" s="231">
        <v>4.0588852430682243E-4</v>
      </c>
      <c r="K582" s="229">
        <v>85.079038249178893</v>
      </c>
      <c r="L582" s="229">
        <v>36.398216169158303</v>
      </c>
      <c r="M582" s="229">
        <v>9.0098390384076001</v>
      </c>
      <c r="N582" s="229">
        <v>1.8259672312897499</v>
      </c>
      <c r="O582" s="205">
        <v>6.5109142251043196E-5</v>
      </c>
      <c r="P582" s="232">
        <v>167.14000000000001</v>
      </c>
      <c r="Q582" s="213"/>
      <c r="R582" s="235"/>
    </row>
    <row r="583" spans="1:18" ht="16.5" customHeight="1" x14ac:dyDescent="0.25">
      <c r="A583" s="230">
        <v>45086</v>
      </c>
      <c r="B583" s="128" t="s">
        <v>9</v>
      </c>
      <c r="C583" s="157" t="str">
        <f t="shared" si="19"/>
        <v>09.06.2023_STE2</v>
      </c>
      <c r="D583" s="190">
        <f t="shared" si="20"/>
        <v>0</v>
      </c>
      <c r="E583" s="231">
        <v>2.6923832228469573E-6</v>
      </c>
      <c r="F583" s="231">
        <v>9.2746571905819887E-4</v>
      </c>
      <c r="G583" s="231">
        <v>8.4156483975726212E-2</v>
      </c>
      <c r="H583" s="231">
        <v>2.5171126500025181E-3</v>
      </c>
      <c r="I583" s="231">
        <v>9.3457077972931941E-6</v>
      </c>
      <c r="J583" s="231">
        <v>6.7905906795280319E-4</v>
      </c>
      <c r="K583" s="229">
        <v>69.940170209938401</v>
      </c>
      <c r="L583" s="229">
        <v>35.819163095777903</v>
      </c>
      <c r="M583" s="229">
        <v>9.1568843707538203</v>
      </c>
      <c r="N583" s="229">
        <v>1.7373478541677301</v>
      </c>
      <c r="O583" s="205">
        <v>6.7093394106852665E-5</v>
      </c>
      <c r="P583" s="232">
        <v>139.56799999999998</v>
      </c>
      <c r="Q583" s="213"/>
      <c r="R583" s="235"/>
    </row>
    <row r="584" spans="1:18" ht="16.5" customHeight="1" x14ac:dyDescent="0.25">
      <c r="A584" s="230">
        <v>45114</v>
      </c>
      <c r="B584" s="128" t="s">
        <v>22</v>
      </c>
      <c r="C584" s="157" t="str">
        <f t="shared" si="19"/>
        <v>07.07.2023_BIE1</v>
      </c>
      <c r="D584" s="190">
        <f t="shared" si="20"/>
        <v>0</v>
      </c>
      <c r="E584" s="231">
        <v>1.3785578672936181E-5</v>
      </c>
      <c r="F584" s="231">
        <v>1.299525458927051E-3</v>
      </c>
      <c r="G584" s="231">
        <v>4.7131635128183663E-2</v>
      </c>
      <c r="H584" s="231">
        <v>9.3907413388636014E-4</v>
      </c>
      <c r="I584" s="231">
        <v>2.9660314666637613E-5</v>
      </c>
      <c r="J584" s="231">
        <v>1.2670433718198586E-3</v>
      </c>
      <c r="K584" s="229">
        <v>18.786111169116001</v>
      </c>
      <c r="L584" s="229">
        <v>10.176818181463901</v>
      </c>
      <c r="M584" s="229">
        <v>4.2983764967967399</v>
      </c>
      <c r="N584" s="229">
        <v>3.11128474489625</v>
      </c>
      <c r="O584" s="205">
        <v>8.5182599762204567E-5</v>
      </c>
      <c r="P584" s="232">
        <v>73.932000000000002</v>
      </c>
      <c r="Q584" s="213"/>
      <c r="R584" s="235"/>
    </row>
    <row r="585" spans="1:18" ht="16.5" customHeight="1" x14ac:dyDescent="0.25">
      <c r="A585" s="230">
        <v>45114</v>
      </c>
      <c r="B585" s="128" t="s">
        <v>25</v>
      </c>
      <c r="C585" s="157" t="str">
        <f t="shared" si="19"/>
        <v>07.07.2023_BIE2</v>
      </c>
      <c r="D585" s="190">
        <f t="shared" si="20"/>
        <v>0</v>
      </c>
      <c r="E585" s="231">
        <v>1.425142465272233E-5</v>
      </c>
      <c r="F585" s="231">
        <v>1.3740239141064833E-3</v>
      </c>
      <c r="G585" s="231">
        <v>5.0074354591409645E-2</v>
      </c>
      <c r="H585" s="231">
        <v>1.0495044418420182E-3</v>
      </c>
      <c r="I585" s="231">
        <v>2.8104086558105841E-5</v>
      </c>
      <c r="J585" s="231">
        <v>1.3799714333202677E-3</v>
      </c>
      <c r="K585" s="229">
        <v>19.5982158376186</v>
      </c>
      <c r="L585" s="229">
        <v>10.2511084260007</v>
      </c>
      <c r="M585" s="229">
        <v>5.9340640440630503</v>
      </c>
      <c r="N585" s="229">
        <v>3.3487689271688099</v>
      </c>
      <c r="O585" s="205">
        <v>1.0641493380964566E-4</v>
      </c>
      <c r="P585" s="232">
        <v>71.97999999999999</v>
      </c>
      <c r="Q585" s="213"/>
      <c r="R585" s="235"/>
    </row>
    <row r="586" spans="1:18" ht="16.5" customHeight="1" x14ac:dyDescent="0.25">
      <c r="A586" s="230">
        <v>45114</v>
      </c>
      <c r="B586" s="128" t="s">
        <v>14</v>
      </c>
      <c r="C586" s="157" t="str">
        <f t="shared" si="19"/>
        <v>07.07.2023_BRA1</v>
      </c>
      <c r="D586" s="190">
        <f t="shared" si="20"/>
        <v>0</v>
      </c>
      <c r="E586" s="231">
        <v>2.4499936243384278E-6</v>
      </c>
      <c r="F586" s="231">
        <v>6.0006176890352477E-4</v>
      </c>
      <c r="G586" s="231">
        <v>4.1671679372044593E-2</v>
      </c>
      <c r="H586" s="231">
        <v>9.9666205378706957E-4</v>
      </c>
      <c r="I586" s="231">
        <v>1.9136029861552952E-5</v>
      </c>
      <c r="J586" s="231">
        <v>9.3691115577750376E-4</v>
      </c>
      <c r="K586" s="229">
        <v>16.694152001193999</v>
      </c>
      <c r="L586" s="229">
        <v>12.412040201376501</v>
      </c>
      <c r="M586" s="229">
        <v>5.6168574268614098</v>
      </c>
      <c r="N586" s="229">
        <v>1.3604699175036199</v>
      </c>
      <c r="O586" s="205">
        <v>1.2341326883906584E-4</v>
      </c>
      <c r="P586" s="232">
        <v>99.551999999999992</v>
      </c>
      <c r="Q586" s="213"/>
      <c r="R586" s="235"/>
    </row>
    <row r="587" spans="1:18" ht="16.5" customHeight="1" x14ac:dyDescent="0.25">
      <c r="A587" s="230">
        <v>45114</v>
      </c>
      <c r="B587" s="128" t="s">
        <v>17</v>
      </c>
      <c r="C587" s="157" t="str">
        <f t="shared" si="19"/>
        <v>07.07.2023_BRA2</v>
      </c>
      <c r="D587" s="190">
        <f t="shared" si="20"/>
        <v>0</v>
      </c>
      <c r="E587" s="231">
        <v>3.8647806666109104E-6</v>
      </c>
      <c r="F587" s="231">
        <v>5.6376512897515969E-4</v>
      </c>
      <c r="G587" s="231">
        <v>4.4897554744950982E-2</v>
      </c>
      <c r="H587" s="231">
        <v>7.6323140403686805E-4</v>
      </c>
      <c r="I587" s="231">
        <v>1.2541913873325224E-5</v>
      </c>
      <c r="J587" s="231">
        <v>3.7092219856926301E-4</v>
      </c>
      <c r="K587" s="229">
        <v>21.6979259876166</v>
      </c>
      <c r="L587" s="229">
        <v>14.224413874488601</v>
      </c>
      <c r="M587" s="229">
        <v>7.0951347061980803</v>
      </c>
      <c r="N587" s="229">
        <v>1.86681021631531</v>
      </c>
      <c r="O587" s="205">
        <v>7.5553825200822374E-5</v>
      </c>
      <c r="P587" s="232">
        <v>92.231999999999999</v>
      </c>
      <c r="Q587" s="213"/>
      <c r="R587" s="235"/>
    </row>
    <row r="588" spans="1:18" ht="16.5" customHeight="1" x14ac:dyDescent="0.25">
      <c r="A588" s="230">
        <v>45114</v>
      </c>
      <c r="B588" s="128" t="s">
        <v>30</v>
      </c>
      <c r="C588" s="157" t="str">
        <f t="shared" si="19"/>
        <v>07.07.2023_FAL1</v>
      </c>
      <c r="D588" s="190">
        <f t="shared" si="20"/>
        <v>0</v>
      </c>
      <c r="E588" s="231">
        <v>3.2264009973457269E-6</v>
      </c>
      <c r="F588" s="231">
        <v>8.1984442326346336E-4</v>
      </c>
      <c r="G588" s="231">
        <v>0.11764209988319946</v>
      </c>
      <c r="H588" s="231">
        <v>1.3408227110092768E-3</v>
      </c>
      <c r="I588" s="231">
        <v>2.4899317953717137E-5</v>
      </c>
      <c r="J588" s="231">
        <v>1.4129955705101237E-3</v>
      </c>
      <c r="K588" s="229">
        <v>85.8535704080318</v>
      </c>
      <c r="L588" s="229">
        <v>26.697459609570799</v>
      </c>
      <c r="M588" s="229">
        <v>40.280352955007103</v>
      </c>
      <c r="N588" s="229">
        <v>7.5866887448284901</v>
      </c>
      <c r="O588" s="205">
        <v>1.1995066031179118E-4</v>
      </c>
      <c r="P588" s="232">
        <v>273.76800000000003</v>
      </c>
      <c r="Q588" s="213"/>
      <c r="R588" s="235"/>
    </row>
    <row r="589" spans="1:18" ht="16.5" customHeight="1" x14ac:dyDescent="0.25">
      <c r="A589" s="230">
        <v>45114</v>
      </c>
      <c r="B589" s="128" t="s">
        <v>32</v>
      </c>
      <c r="C589" s="157" t="str">
        <f t="shared" si="19"/>
        <v>07.07.2023_FAL2</v>
      </c>
      <c r="D589" s="190">
        <f t="shared" si="20"/>
        <v>0</v>
      </c>
      <c r="E589" s="231">
        <v>3.3299219470885918E-6</v>
      </c>
      <c r="F589" s="231">
        <v>1.0310060907087037E-3</v>
      </c>
      <c r="G589" s="231">
        <v>0.11013804727800461</v>
      </c>
      <c r="H589" s="231">
        <v>1.3277487723812546E-3</v>
      </c>
      <c r="I589" s="231">
        <v>3.2311184749152848E-5</v>
      </c>
      <c r="J589" s="231">
        <v>1.5204735093837846E-3</v>
      </c>
      <c r="K589" s="229">
        <v>78.889925530534498</v>
      </c>
      <c r="L589" s="229">
        <v>25.859782192097398</v>
      </c>
      <c r="M589" s="229">
        <v>35.051090569231903</v>
      </c>
      <c r="N589" s="229">
        <v>6.6588671319366997</v>
      </c>
      <c r="O589" s="205">
        <v>1.2443268957831077E-4</v>
      </c>
      <c r="P589" s="232">
        <v>251.07599999999996</v>
      </c>
      <c r="Q589" s="213"/>
      <c r="R589" s="235"/>
    </row>
    <row r="590" spans="1:18" ht="16.5" customHeight="1" x14ac:dyDescent="0.25">
      <c r="A590" s="230">
        <v>45114</v>
      </c>
      <c r="B590" s="128" t="s">
        <v>26</v>
      </c>
      <c r="C590" s="157" t="str">
        <f t="shared" si="19"/>
        <v>07.07.2023_GRU1</v>
      </c>
      <c r="D590" s="190">
        <f t="shared" si="20"/>
        <v>0</v>
      </c>
      <c r="E590" s="231">
        <v>7.9538662851024882E-6</v>
      </c>
      <c r="F590" s="231">
        <v>1.3754254084378595E-3</v>
      </c>
      <c r="G590" s="231">
        <v>3.9470859658693756E-2</v>
      </c>
      <c r="H590" s="231">
        <v>1.4115356450794146E-3</v>
      </c>
      <c r="I590" s="231">
        <v>1.7790827643086939E-5</v>
      </c>
      <c r="J590" s="231">
        <v>1.0510327105995049E-3</v>
      </c>
      <c r="K590" s="229">
        <v>16.4725309411245</v>
      </c>
      <c r="L590" s="229">
        <v>7.2109042310040801</v>
      </c>
      <c r="M590" s="229">
        <v>6.6311231994067903</v>
      </c>
      <c r="N590" s="229">
        <v>2.5396450446642298</v>
      </c>
      <c r="O590" s="205">
        <v>6.7450835434164745E-5</v>
      </c>
      <c r="P590" s="232">
        <v>55.143999999999998</v>
      </c>
      <c r="Q590" s="213"/>
      <c r="R590" s="235"/>
    </row>
    <row r="591" spans="1:18" ht="16.5" customHeight="1" x14ac:dyDescent="0.25">
      <c r="A591" s="230">
        <v>45114</v>
      </c>
      <c r="B591" s="128" t="s">
        <v>28</v>
      </c>
      <c r="C591" s="157" t="str">
        <f t="shared" si="19"/>
        <v>07.07.2023_GRU2</v>
      </c>
      <c r="D591" s="190">
        <f t="shared" si="20"/>
        <v>0</v>
      </c>
      <c r="E591" s="231">
        <v>4.3996394901338016E-6</v>
      </c>
      <c r="F591" s="231">
        <v>6.0232768744749492E-4</v>
      </c>
      <c r="G591" s="231">
        <v>4.4736824291924104E-2</v>
      </c>
      <c r="H591" s="231">
        <v>1.0631004280373135E-3</v>
      </c>
      <c r="I591" s="231">
        <v>1.5496074655610041E-5</v>
      </c>
      <c r="J591" s="231">
        <v>7.7350555799750656E-4</v>
      </c>
      <c r="K591" s="229">
        <v>19.8578025596907</v>
      </c>
      <c r="L591" s="229">
        <v>6.1491954921234298</v>
      </c>
      <c r="M591" s="229">
        <v>5.7838816186998603</v>
      </c>
      <c r="N591" s="229">
        <v>2.3520097032039402</v>
      </c>
      <c r="O591" s="205">
        <v>7.808793777482169E-5</v>
      </c>
      <c r="P591" s="232">
        <v>63.928000000000004</v>
      </c>
      <c r="Q591" s="213"/>
      <c r="R591" s="235"/>
    </row>
    <row r="592" spans="1:18" ht="16.5" customHeight="1" x14ac:dyDescent="0.25">
      <c r="A592" s="230">
        <v>45114</v>
      </c>
      <c r="B592" s="128" t="s">
        <v>0</v>
      </c>
      <c r="C592" s="157" t="str">
        <f t="shared" si="19"/>
        <v>07.07.2023_KIN1</v>
      </c>
      <c r="D592" s="190">
        <f t="shared" si="20"/>
        <v>0</v>
      </c>
      <c r="E592" s="231">
        <v>3.0538661303121849E-6</v>
      </c>
      <c r="F592" s="231">
        <v>6.9084493082640296E-4</v>
      </c>
      <c r="G592" s="231">
        <v>6.8813017744896593E-2</v>
      </c>
      <c r="H592" s="231">
        <v>7.4758802326111145E-4</v>
      </c>
      <c r="I592" s="231">
        <v>1.527187294169415E-5</v>
      </c>
      <c r="J592" s="231">
        <v>6.3655105978168401E-4</v>
      </c>
      <c r="K592" s="229">
        <v>42.021462907609703</v>
      </c>
      <c r="L592" s="229">
        <v>20.298891380945999</v>
      </c>
      <c r="M592" s="229">
        <v>5.6104892836785298</v>
      </c>
      <c r="N592" s="229">
        <v>2.6063035832860399</v>
      </c>
      <c r="O592" s="205">
        <v>5.6386102151438789E-5</v>
      </c>
      <c r="P592" s="232">
        <v>184.22</v>
      </c>
      <c r="Q592" s="213"/>
      <c r="R592" s="235"/>
    </row>
    <row r="593" spans="1:18" ht="16.5" customHeight="1" x14ac:dyDescent="0.25">
      <c r="A593" s="230">
        <v>45114</v>
      </c>
      <c r="B593" s="128" t="s">
        <v>2</v>
      </c>
      <c r="C593" s="157" t="str">
        <f t="shared" si="19"/>
        <v>07.07.2023_KIN2</v>
      </c>
      <c r="D593" s="190">
        <f t="shared" si="20"/>
        <v>0</v>
      </c>
      <c r="E593" s="231">
        <v>2.7778101759869828E-6</v>
      </c>
      <c r="F593" s="231">
        <v>5.3336850661512842E-4</v>
      </c>
      <c r="G593" s="231">
        <v>7.784000115977624E-2</v>
      </c>
      <c r="H593" s="231">
        <v>7.1853524007143004E-4</v>
      </c>
      <c r="I593" s="231">
        <v>1.3913486329047507E-5</v>
      </c>
      <c r="J593" s="231">
        <v>6.6678752282369521E-4</v>
      </c>
      <c r="K593" s="229">
        <v>51.579094851977104</v>
      </c>
      <c r="L593" s="229">
        <v>22.745100658444699</v>
      </c>
      <c r="M593" s="229">
        <v>5.9927790769259799</v>
      </c>
      <c r="N593" s="229">
        <v>3.1159431315985802</v>
      </c>
      <c r="O593" s="205">
        <v>5.0455057186103845E-5</v>
      </c>
      <c r="P593" s="232">
        <v>207.4</v>
      </c>
      <c r="Q593" s="213"/>
      <c r="R593" s="235"/>
    </row>
    <row r="594" spans="1:18" ht="16.5" customHeight="1" x14ac:dyDescent="0.25">
      <c r="A594" s="230">
        <v>45114</v>
      </c>
      <c r="B594" s="128" t="s">
        <v>4</v>
      </c>
      <c r="C594" s="157" t="str">
        <f t="shared" si="19"/>
        <v>07.07.2023_KIN3</v>
      </c>
      <c r="D594" s="190">
        <f t="shared" si="20"/>
        <v>0</v>
      </c>
      <c r="E594" s="231">
        <v>2.6570357519537662E-6</v>
      </c>
      <c r="F594" s="231">
        <v>7.206554807835555E-4</v>
      </c>
      <c r="G594" s="231">
        <v>6.8818035429157848E-2</v>
      </c>
      <c r="H594" s="231">
        <v>8.2581763620400426E-4</v>
      </c>
      <c r="I594" s="231">
        <v>1.4572898996193696E-5</v>
      </c>
      <c r="J594" s="231">
        <v>8.9566997572507331E-4</v>
      </c>
      <c r="K594" s="229">
        <v>46.072866332047703</v>
      </c>
      <c r="L594" s="229">
        <v>21.455364447232601</v>
      </c>
      <c r="M594" s="229">
        <v>6.2495738933229097</v>
      </c>
      <c r="N594" s="229">
        <v>2.8552952779995802</v>
      </c>
      <c r="O594" s="205">
        <v>4.8745223034377224E-5</v>
      </c>
      <c r="P594" s="232">
        <v>213.012</v>
      </c>
      <c r="Q594" s="213"/>
      <c r="R594" s="235"/>
    </row>
    <row r="595" spans="1:18" ht="16.5" customHeight="1" x14ac:dyDescent="0.25">
      <c r="A595" s="230">
        <v>45114</v>
      </c>
      <c r="B595" s="128" t="s">
        <v>6</v>
      </c>
      <c r="C595" s="157" t="str">
        <f t="shared" si="19"/>
        <v>07.07.2023_KIN4</v>
      </c>
      <c r="D595" s="190">
        <f t="shared" si="20"/>
        <v>0</v>
      </c>
      <c r="E595" s="231">
        <v>4.2098508066150592E-6</v>
      </c>
      <c r="F595" s="231">
        <v>7.1249926460454022E-4</v>
      </c>
      <c r="G595" s="231">
        <v>7.1361518598108492E-2</v>
      </c>
      <c r="H595" s="231">
        <v>9.5937106859317095E-4</v>
      </c>
      <c r="I595" s="231">
        <v>1.8608499638078553E-5</v>
      </c>
      <c r="J595" s="231">
        <v>1.8783372250872005E-3</v>
      </c>
      <c r="K595" s="229">
        <v>48.630393834416502</v>
      </c>
      <c r="L595" s="229">
        <v>22.483928496609899</v>
      </c>
      <c r="M595" s="229">
        <v>23.5314017251577</v>
      </c>
      <c r="N595" s="229">
        <v>3.3645523022331298</v>
      </c>
      <c r="O595" s="205">
        <v>7.0965985123497922E-5</v>
      </c>
      <c r="P595" s="232">
        <v>208.62</v>
      </c>
      <c r="Q595" s="213"/>
      <c r="R595" s="235"/>
    </row>
    <row r="596" spans="1:18" ht="16.5" customHeight="1" x14ac:dyDescent="0.25">
      <c r="A596" s="230">
        <v>45114</v>
      </c>
      <c r="B596" s="128" t="s">
        <v>34</v>
      </c>
      <c r="C596" s="157" t="str">
        <f t="shared" si="19"/>
        <v>07.07.2023_KRE1</v>
      </c>
      <c r="D596" s="190">
        <f t="shared" si="20"/>
        <v>0</v>
      </c>
      <c r="E596" s="231">
        <v>3.243654434732789E-6</v>
      </c>
      <c r="F596" s="231">
        <v>8.3273771602330386E-4</v>
      </c>
      <c r="G596" s="231">
        <v>9.9861661023390572E-2</v>
      </c>
      <c r="H596" s="231">
        <v>1.6463492885897531E-3</v>
      </c>
      <c r="I596" s="231">
        <v>2.3132082318946684E-5</v>
      </c>
      <c r="J596" s="231">
        <v>8.8710505823292208E-4</v>
      </c>
      <c r="K596" s="229">
        <v>84.584592661440297</v>
      </c>
      <c r="L596" s="229">
        <v>30.742560005753202</v>
      </c>
      <c r="M596" s="229">
        <v>65.904686816102199</v>
      </c>
      <c r="N596" s="229">
        <v>12.1459784039184</v>
      </c>
      <c r="O596" s="205">
        <v>1.9521438217701736E-4</v>
      </c>
      <c r="P596" s="232">
        <v>303.048</v>
      </c>
      <c r="Q596" s="213"/>
      <c r="R596" s="235"/>
    </row>
    <row r="597" spans="1:18" ht="16.5" customHeight="1" x14ac:dyDescent="0.25">
      <c r="A597" s="230">
        <v>45114</v>
      </c>
      <c r="B597" s="128" t="s">
        <v>37</v>
      </c>
      <c r="C597" s="157" t="str">
        <f t="shared" si="19"/>
        <v>07.07.2023_KRE2</v>
      </c>
      <c r="D597" s="190">
        <f t="shared" si="20"/>
        <v>0</v>
      </c>
      <c r="E597" s="231">
        <v>2.9503451738597315E-6</v>
      </c>
      <c r="F597" s="231">
        <v>8.7844678736116483E-4</v>
      </c>
      <c r="G597" s="231">
        <v>0.10683281264418591</v>
      </c>
      <c r="H597" s="231">
        <v>1.8438142059363912E-3</v>
      </c>
      <c r="I597" s="231">
        <v>2.4371785363292582E-5</v>
      </c>
      <c r="J597" s="231">
        <v>8.6184768491842905E-4</v>
      </c>
      <c r="K597" s="229">
        <v>94.934912293854595</v>
      </c>
      <c r="L597" s="229">
        <v>33.028020349553699</v>
      </c>
      <c r="M597" s="229">
        <v>57.719081381168102</v>
      </c>
      <c r="N597" s="229">
        <v>11.147479536703401</v>
      </c>
      <c r="O597" s="205">
        <v>2.2696019640283392E-4</v>
      </c>
      <c r="P597" s="232">
        <v>299.38800000000003</v>
      </c>
      <c r="Q597" s="213"/>
      <c r="R597" s="235"/>
    </row>
    <row r="598" spans="1:18" ht="16.5" customHeight="1" x14ac:dyDescent="0.25">
      <c r="A598" s="230">
        <v>45114</v>
      </c>
      <c r="B598" s="128" t="s">
        <v>18</v>
      </c>
      <c r="C598" s="157" t="str">
        <f t="shared" si="19"/>
        <v>07.07.2023_ORB1</v>
      </c>
      <c r="D598" s="190">
        <f t="shared" si="20"/>
        <v>0</v>
      </c>
      <c r="E598" s="231">
        <v>7.2637259044507117E-6</v>
      </c>
      <c r="F598" s="231">
        <v>4.5412233842205541E-4</v>
      </c>
      <c r="G598" s="231">
        <v>3.0103793915950045E-2</v>
      </c>
      <c r="H598" s="231">
        <v>6.2745055522706148E-4</v>
      </c>
      <c r="I598" s="231">
        <v>1.8265603949493707E-5</v>
      </c>
      <c r="J598" s="231">
        <v>3.516274928417704E-3</v>
      </c>
      <c r="K598" s="229">
        <v>10.413678791131099</v>
      </c>
      <c r="L598" s="229">
        <v>2.6393583693075602</v>
      </c>
      <c r="M598" s="229">
        <v>6.0164890432396998</v>
      </c>
      <c r="N598" s="229">
        <v>3.6282200757753098</v>
      </c>
      <c r="O598" s="205">
        <v>2.7268414909238094E-5</v>
      </c>
      <c r="P598" s="232">
        <v>17.811999999999998</v>
      </c>
      <c r="Q598" s="213"/>
      <c r="R598" s="235"/>
    </row>
    <row r="599" spans="1:18" ht="16.5" customHeight="1" x14ac:dyDescent="0.25">
      <c r="A599" s="230">
        <v>45114</v>
      </c>
      <c r="B599" s="128" t="s">
        <v>21</v>
      </c>
      <c r="C599" s="157" t="str">
        <f t="shared" si="19"/>
        <v>07.07.2023_ORB2</v>
      </c>
      <c r="D599" s="190">
        <f t="shared" si="20"/>
        <v>0</v>
      </c>
      <c r="E599" s="231">
        <v>8.6267554023195016E-6</v>
      </c>
      <c r="F599" s="231">
        <v>6.7673897720666701E-4</v>
      </c>
      <c r="G599" s="231">
        <v>3.405851356465997E-2</v>
      </c>
      <c r="H599" s="231">
        <v>7.6672178761111754E-4</v>
      </c>
      <c r="I599" s="231">
        <v>2.1298911514358372E-5</v>
      </c>
      <c r="J599" s="231">
        <v>9.7630737227070961E-3</v>
      </c>
      <c r="K599" s="229">
        <v>13.605426951154</v>
      </c>
      <c r="L599" s="229">
        <v>3.3202185643812898</v>
      </c>
      <c r="M599" s="229">
        <v>14.4256216248169</v>
      </c>
      <c r="N599" s="229">
        <v>4.2087137635997296</v>
      </c>
      <c r="O599" s="205">
        <v>3.5923725673666775E-5</v>
      </c>
      <c r="P599" s="232">
        <v>22.936</v>
      </c>
      <c r="Q599" s="213"/>
      <c r="R599" s="235"/>
    </row>
    <row r="600" spans="1:18" ht="16.5" customHeight="1" x14ac:dyDescent="0.25">
      <c r="A600" s="230">
        <v>45114</v>
      </c>
      <c r="B600" s="128" t="s">
        <v>10</v>
      </c>
      <c r="C600" s="157" t="str">
        <f t="shared" si="19"/>
        <v>07.07.2023_SAL1</v>
      </c>
      <c r="D600" s="190">
        <f t="shared" si="20"/>
        <v>0</v>
      </c>
      <c r="E600" s="231">
        <v>4.2271044218092515E-6</v>
      </c>
      <c r="F600" s="231">
        <v>3.9842357059758482E-4</v>
      </c>
      <c r="G600" s="231">
        <v>4.6496802753798791E-2</v>
      </c>
      <c r="H600" s="231">
        <v>8.7498666981351153E-4</v>
      </c>
      <c r="I600" s="231">
        <v>1.5192745545977586E-5</v>
      </c>
      <c r="J600" s="231">
        <v>1.5859427129959916E-3</v>
      </c>
      <c r="K600" s="229">
        <v>23.8104368553707</v>
      </c>
      <c r="L600" s="229">
        <v>15.3021164635171</v>
      </c>
      <c r="M600" s="229">
        <v>7.6019325017720698</v>
      </c>
      <c r="N600" s="229">
        <v>2.0232381354877198</v>
      </c>
      <c r="O600" s="205">
        <v>6.7689203251163196E-5</v>
      </c>
      <c r="P600" s="232">
        <v>108.092</v>
      </c>
      <c r="Q600" s="213"/>
      <c r="R600" s="235"/>
    </row>
    <row r="601" spans="1:18" ht="16.5" customHeight="1" x14ac:dyDescent="0.25">
      <c r="A601" s="230">
        <v>45114</v>
      </c>
      <c r="B601" s="128" t="s">
        <v>12</v>
      </c>
      <c r="C601" s="157" t="str">
        <f t="shared" si="19"/>
        <v>07.07.2023_SAL2</v>
      </c>
      <c r="D601" s="190">
        <f t="shared" si="20"/>
        <v>0</v>
      </c>
      <c r="E601" s="231">
        <v>4.1753436131299528E-6</v>
      </c>
      <c r="F601" s="231">
        <v>4.5560737038167701E-4</v>
      </c>
      <c r="G601" s="231">
        <v>4.6928272884322872E-2</v>
      </c>
      <c r="H601" s="231">
        <v>8.3889411809268892E-4</v>
      </c>
      <c r="I601" s="231">
        <v>1.6142296102151234E-5</v>
      </c>
      <c r="J601" s="231">
        <v>1.8760901770585238E-3</v>
      </c>
      <c r="K601" s="229">
        <v>25.550410814590599</v>
      </c>
      <c r="L601" s="229">
        <v>13.732356961299599</v>
      </c>
      <c r="M601" s="229">
        <v>6.52631143727712</v>
      </c>
      <c r="N601" s="229">
        <v>1.84323395386058</v>
      </c>
      <c r="O601" s="205">
        <v>6.1933952097540163E-5</v>
      </c>
      <c r="P601" s="232">
        <v>104.188</v>
      </c>
      <c r="Q601" s="213"/>
      <c r="R601" s="235"/>
    </row>
    <row r="602" spans="1:18" ht="16.5" customHeight="1" x14ac:dyDescent="0.25">
      <c r="A602" s="230">
        <v>45114</v>
      </c>
      <c r="B602" s="128" t="s">
        <v>7</v>
      </c>
      <c r="C602" s="157" t="str">
        <f t="shared" si="19"/>
        <v>07.07.2023_STE1</v>
      </c>
      <c r="D602" s="190">
        <f t="shared" si="20"/>
        <v>0</v>
      </c>
      <c r="E602" s="231">
        <v>2.8985845899556437E-6</v>
      </c>
      <c r="F602" s="231">
        <v>1.2487722114116302E-3</v>
      </c>
      <c r="G602" s="231">
        <v>6.2542507636652173E-2</v>
      </c>
      <c r="H602" s="231">
        <v>1.0441764491969795E-3</v>
      </c>
      <c r="I602" s="231">
        <v>1.521911999653513E-5</v>
      </c>
      <c r="J602" s="231">
        <v>6.2473795049103234E-4</v>
      </c>
      <c r="K602" s="229">
        <v>41.168365774964798</v>
      </c>
      <c r="L602" s="229">
        <v>17.189263267516601</v>
      </c>
      <c r="M602" s="229">
        <v>8.9378857983176392</v>
      </c>
      <c r="N602" s="229">
        <v>2.4259143609825302</v>
      </c>
      <c r="O602" s="205">
        <v>5.5726328093345218E-5</v>
      </c>
      <c r="P602" s="232">
        <v>150.548</v>
      </c>
      <c r="Q602" s="213"/>
      <c r="R602" s="235"/>
    </row>
    <row r="603" spans="1:18" ht="16.5" customHeight="1" x14ac:dyDescent="0.25">
      <c r="A603" s="230">
        <v>45114</v>
      </c>
      <c r="B603" s="128" t="s">
        <v>9</v>
      </c>
      <c r="C603" s="157" t="str">
        <f t="shared" si="19"/>
        <v>07.07.2023_STE2</v>
      </c>
      <c r="D603" s="190">
        <f t="shared" si="20"/>
        <v>0</v>
      </c>
      <c r="E603" s="231">
        <v>3.7440060178026838E-6</v>
      </c>
      <c r="F603" s="231">
        <v>9.1200782861563276E-4</v>
      </c>
      <c r="G603" s="231">
        <v>6.7229292730467252E-2</v>
      </c>
      <c r="H603" s="231">
        <v>1.2074382272963182E-3</v>
      </c>
      <c r="I603" s="231">
        <v>1.392667530580237E-5</v>
      </c>
      <c r="J603" s="231">
        <v>6.513158177803472E-4</v>
      </c>
      <c r="K603" s="229">
        <v>42.853065702923303</v>
      </c>
      <c r="L603" s="229">
        <v>17.097503368242499</v>
      </c>
      <c r="M603" s="229">
        <v>8.7986790694490598</v>
      </c>
      <c r="N603" s="229">
        <v>2.3920500895522099</v>
      </c>
      <c r="O603" s="205">
        <v>6.6455912687320685E-5</v>
      </c>
      <c r="P603" s="232">
        <v>153.72</v>
      </c>
      <c r="Q603" s="213"/>
      <c r="R603" s="235"/>
    </row>
    <row r="604" spans="1:18" ht="16.5" customHeight="1" x14ac:dyDescent="0.25">
      <c r="A604" s="230">
        <v>45142</v>
      </c>
      <c r="B604" s="128" t="s">
        <v>22</v>
      </c>
      <c r="C604" s="157" t="str">
        <f t="shared" si="19"/>
        <v>04.08.2023_BIE1</v>
      </c>
      <c r="D604" s="190">
        <f t="shared" si="20"/>
        <v>0</v>
      </c>
      <c r="E604" s="231">
        <v>1.0714437483142072E-5</v>
      </c>
      <c r="F604" s="231">
        <v>2.1361860048806488E-3</v>
      </c>
      <c r="G604" s="231">
        <v>5.0316684832585432E-2</v>
      </c>
      <c r="H604" s="231">
        <v>1.286770896708515E-3</v>
      </c>
      <c r="I604" s="231">
        <v>2.5426852390523925E-5</v>
      </c>
      <c r="J604" s="231">
        <v>9.5607090772252632E-4</v>
      </c>
      <c r="K604" s="229">
        <v>21.275686345853</v>
      </c>
      <c r="L604" s="229">
        <v>9.7285148819541494</v>
      </c>
      <c r="M604" s="229">
        <v>7.0473122492519504</v>
      </c>
      <c r="N604" s="229">
        <v>3.8443332167012501</v>
      </c>
      <c r="O604" s="205">
        <v>1.1965683887608755E-4</v>
      </c>
      <c r="P604" s="232">
        <v>76.372</v>
      </c>
      <c r="Q604" s="213"/>
      <c r="R604" s="235"/>
    </row>
    <row r="605" spans="1:18" ht="16.5" customHeight="1" x14ac:dyDescent="0.25">
      <c r="A605" s="230">
        <v>45142</v>
      </c>
      <c r="B605" s="128" t="s">
        <v>25</v>
      </c>
      <c r="C605" s="157" t="str">
        <f t="shared" si="19"/>
        <v>04.08.2023_BIE2</v>
      </c>
      <c r="D605" s="190">
        <f t="shared" si="20"/>
        <v>0</v>
      </c>
      <c r="E605" s="231">
        <v>1.1853174931914108E-5</v>
      </c>
      <c r="F605" s="231">
        <v>2.1974851813659556E-3</v>
      </c>
      <c r="G605" s="231">
        <v>5.3270494608046941E-2</v>
      </c>
      <c r="H605" s="231">
        <v>1.4388195347245464E-3</v>
      </c>
      <c r="I605" s="231">
        <v>2.4622364769175347E-5</v>
      </c>
      <c r="J605" s="231">
        <v>5.6866490338443156E-3</v>
      </c>
      <c r="K605" s="229">
        <v>19.850592263738399</v>
      </c>
      <c r="L605" s="229">
        <v>9.6483183885599502</v>
      </c>
      <c r="M605" s="229">
        <v>7.9078361008525198</v>
      </c>
      <c r="N605" s="229">
        <v>3.9289078199569798</v>
      </c>
      <c r="O605" s="205">
        <v>1.484543678414804E-4</v>
      </c>
      <c r="P605" s="232">
        <v>69.295999999999992</v>
      </c>
      <c r="Q605" s="213"/>
      <c r="R605" s="235"/>
    </row>
    <row r="606" spans="1:18" ht="16.5" customHeight="1" x14ac:dyDescent="0.25">
      <c r="A606" s="230">
        <v>45142</v>
      </c>
      <c r="B606" s="128" t="s">
        <v>14</v>
      </c>
      <c r="C606" s="157" t="str">
        <f t="shared" si="19"/>
        <v>04.08.2023_BRA1</v>
      </c>
      <c r="D606" s="190">
        <f t="shared" si="20"/>
        <v>0</v>
      </c>
      <c r="E606" s="231">
        <v>4.5376682439452937E-6</v>
      </c>
      <c r="F606" s="231">
        <v>1.3456804357607332E-3</v>
      </c>
      <c r="G606" s="231">
        <v>4.2231286390150877E-2</v>
      </c>
      <c r="H606" s="231">
        <v>1.5184770302465787E-3</v>
      </c>
      <c r="I606" s="231">
        <v>1.037905118168093E-5</v>
      </c>
      <c r="J606" s="231">
        <v>2.3682814925108354E-3</v>
      </c>
      <c r="K606" s="229">
        <v>14.8801401317857</v>
      </c>
      <c r="L606" s="229">
        <v>9.5815699727182206</v>
      </c>
      <c r="M606" s="229">
        <v>9.0438826092176203</v>
      </c>
      <c r="N606" s="229">
        <v>2.21391860705514</v>
      </c>
      <c r="O606" s="205">
        <v>1.6563230124144379E-4</v>
      </c>
      <c r="P606" s="232">
        <v>57.583999999999996</v>
      </c>
      <c r="Q606" s="213"/>
      <c r="R606" s="235"/>
    </row>
    <row r="607" spans="1:18" ht="16.5" customHeight="1" x14ac:dyDescent="0.25">
      <c r="A607" s="230">
        <v>45142</v>
      </c>
      <c r="B607" s="128" t="s">
        <v>17</v>
      </c>
      <c r="C607" s="157" t="str">
        <f t="shared" si="19"/>
        <v>04.08.2023_BRA2</v>
      </c>
      <c r="D607" s="190">
        <f t="shared" si="20"/>
        <v>0</v>
      </c>
      <c r="E607" s="231">
        <v>2.8985846100846778E-6</v>
      </c>
      <c r="F607" s="231">
        <v>1.1532107575604523E-3</v>
      </c>
      <c r="G607" s="231">
        <v>4.8690031909088397E-2</v>
      </c>
      <c r="H607" s="231">
        <v>1.4217583656537512E-3</v>
      </c>
      <c r="I607" s="231">
        <v>1.0708755259876627E-5</v>
      </c>
      <c r="J607" s="231">
        <v>3.1577102870573343E-3</v>
      </c>
      <c r="K607" s="229">
        <v>13.313112985326599</v>
      </c>
      <c r="L607" s="229">
        <v>9.0644253622800992</v>
      </c>
      <c r="M607" s="229">
        <v>8.7207025296844094</v>
      </c>
      <c r="N607" s="229">
        <v>2.31952537457973</v>
      </c>
      <c r="O607" s="205">
        <v>9.9191639098202534E-5</v>
      </c>
      <c r="P607" s="232">
        <v>61</v>
      </c>
      <c r="Q607" s="213"/>
      <c r="R607" s="235"/>
    </row>
    <row r="608" spans="1:18" ht="16.5" customHeight="1" x14ac:dyDescent="0.25">
      <c r="A608" s="230">
        <v>45142</v>
      </c>
      <c r="B608" s="128" t="s">
        <v>30</v>
      </c>
      <c r="C608" s="157" t="str">
        <f t="shared" si="19"/>
        <v>04.08.2023_FAL1</v>
      </c>
      <c r="D608" s="190">
        <f t="shared" si="20"/>
        <v>0</v>
      </c>
      <c r="E608" s="231">
        <v>3.7957667593846431E-6</v>
      </c>
      <c r="F608" s="231">
        <v>1.3739384740226789E-3</v>
      </c>
      <c r="G608" s="231">
        <v>7.3994388304346126E-2</v>
      </c>
      <c r="H608" s="231">
        <v>1.0748594816234313E-3</v>
      </c>
      <c r="I608" s="231">
        <v>1.0919765783962804E-5</v>
      </c>
      <c r="J608" s="231">
        <v>2.2277194294249656E-3</v>
      </c>
      <c r="K608" s="229">
        <v>52.208126633324902</v>
      </c>
      <c r="L608" s="229">
        <v>19.1366404156194</v>
      </c>
      <c r="M608" s="229">
        <v>29.4914868838666</v>
      </c>
      <c r="N608" s="229">
        <v>7.9531268361729204</v>
      </c>
      <c r="O608" s="205">
        <v>1.0290251869859049E-4</v>
      </c>
      <c r="P608" s="232">
        <v>168.60399999999998</v>
      </c>
      <c r="Q608" s="213"/>
      <c r="R608" s="235"/>
    </row>
    <row r="609" spans="1:18" ht="16.5" customHeight="1" x14ac:dyDescent="0.25">
      <c r="A609" s="230">
        <v>45142</v>
      </c>
      <c r="B609" s="128" t="s">
        <v>32</v>
      </c>
      <c r="C609" s="157" t="str">
        <f t="shared" si="19"/>
        <v>04.08.2023_FAL2</v>
      </c>
      <c r="D609" s="190">
        <f t="shared" si="20"/>
        <v>0</v>
      </c>
      <c r="E609" s="231">
        <v>4.2443584530059796E-6</v>
      </c>
      <c r="F609" s="231">
        <v>1.3038460027223052E-3</v>
      </c>
      <c r="G609" s="231">
        <v>8.4193889510289235E-2</v>
      </c>
      <c r="H609" s="231">
        <v>1.196870883442938E-3</v>
      </c>
      <c r="I609" s="231">
        <v>2.2670492878799092E-5</v>
      </c>
      <c r="J609" s="231">
        <v>3.8525653021702446E-3</v>
      </c>
      <c r="K609" s="229">
        <v>65.864067951718894</v>
      </c>
      <c r="L609" s="229">
        <v>17.975666172139299</v>
      </c>
      <c r="M609" s="229">
        <v>23.6177990622623</v>
      </c>
      <c r="N609" s="229">
        <v>7.1707696861157499</v>
      </c>
      <c r="O609" s="205">
        <v>9.6797035017032014E-5</v>
      </c>
      <c r="P609" s="232">
        <v>169.82399999999998</v>
      </c>
      <c r="Q609" s="213"/>
      <c r="R609" s="235"/>
    </row>
    <row r="610" spans="1:18" ht="16.5" customHeight="1" x14ac:dyDescent="0.25">
      <c r="A610" s="230">
        <v>45142</v>
      </c>
      <c r="B610" s="128" t="s">
        <v>26</v>
      </c>
      <c r="C610" s="157" t="str">
        <f t="shared" si="19"/>
        <v>04.08.2023_GRU1</v>
      </c>
      <c r="D610" s="190">
        <f t="shared" si="20"/>
        <v>0</v>
      </c>
      <c r="E610" s="231">
        <v>5.2795705168997129E-6</v>
      </c>
      <c r="F610" s="231">
        <v>9.9759595411123944E-4</v>
      </c>
      <c r="G610" s="231">
        <v>4.3341506477063571E-2</v>
      </c>
      <c r="H610" s="231">
        <v>2.6517170706079085E-3</v>
      </c>
      <c r="I610" s="231">
        <v>9.6009483505477187E-6</v>
      </c>
      <c r="J610" s="231">
        <v>1.6177852971061338E-3</v>
      </c>
      <c r="K610" s="229">
        <v>13.5720335363087</v>
      </c>
      <c r="L610" s="229">
        <v>6.9204821310258602</v>
      </c>
      <c r="M610" s="229">
        <v>7.6232669359285596</v>
      </c>
      <c r="N610" s="229">
        <v>2.5078383532387698</v>
      </c>
      <c r="O610" s="205">
        <v>9.8560917714299483E-5</v>
      </c>
      <c r="P610" s="232">
        <v>49.775999999999996</v>
      </c>
      <c r="Q610" s="213"/>
      <c r="R610" s="235"/>
    </row>
    <row r="611" spans="1:18" ht="16.5" customHeight="1" x14ac:dyDescent="0.25">
      <c r="A611" s="230">
        <v>45142</v>
      </c>
      <c r="B611" s="128" t="s">
        <v>28</v>
      </c>
      <c r="C611" s="157" t="str">
        <f t="shared" si="19"/>
        <v>04.08.2023_GRU2</v>
      </c>
      <c r="D611" s="190">
        <f t="shared" si="20"/>
        <v>0</v>
      </c>
      <c r="E611" s="231">
        <v>6.9876686954072734E-6</v>
      </c>
      <c r="F611" s="231">
        <v>9.9064674620534727E-4</v>
      </c>
      <c r="G611" s="231">
        <v>5.1519219861313137E-2</v>
      </c>
      <c r="H611" s="231">
        <v>2.4257930487058383E-3</v>
      </c>
      <c r="I611" s="231">
        <v>1.2607854336104523E-5</v>
      </c>
      <c r="J611" s="231">
        <v>4.0488451578805816E-3</v>
      </c>
      <c r="K611" s="229">
        <v>18.9031880523947</v>
      </c>
      <c r="L611" s="229">
        <v>7.5091209715851699</v>
      </c>
      <c r="M611" s="229">
        <v>7.8981496417966301</v>
      </c>
      <c r="N611" s="229">
        <v>2.6863663895551602</v>
      </c>
      <c r="O611" s="205">
        <v>1.0982916437081588E-4</v>
      </c>
      <c r="P611" s="232">
        <v>61</v>
      </c>
      <c r="Q611" s="213"/>
      <c r="R611" s="235"/>
    </row>
    <row r="612" spans="1:18" ht="16.5" customHeight="1" x14ac:dyDescent="0.25">
      <c r="A612" s="230">
        <v>45142</v>
      </c>
      <c r="B612" s="128" t="s">
        <v>0</v>
      </c>
      <c r="C612" s="157" t="str">
        <f t="shared" si="19"/>
        <v>04.08.2023_KIN1</v>
      </c>
      <c r="D612" s="190">
        <f t="shared" si="20"/>
        <v>0</v>
      </c>
      <c r="E612" s="231">
        <v>1.3078180694858384E-5</v>
      </c>
      <c r="F612" s="231">
        <v>1.9867298036172275E-3</v>
      </c>
      <c r="G612" s="231">
        <v>6.3695847930783533E-2</v>
      </c>
      <c r="H612" s="231">
        <v>1.3864950228616594E-3</v>
      </c>
      <c r="I612" s="231">
        <v>5.9426859498246457E-5</v>
      </c>
      <c r="J612" s="231">
        <v>1.3062232869361793E-2</v>
      </c>
      <c r="K612" s="229">
        <v>40.6082280988077</v>
      </c>
      <c r="L612" s="229">
        <v>16.6503619838414</v>
      </c>
      <c r="M612" s="229">
        <v>17.074282120637001</v>
      </c>
      <c r="N612" s="229">
        <v>4.8282003322204599</v>
      </c>
      <c r="O612" s="205">
        <v>1.0296297674395615E-4</v>
      </c>
      <c r="P612" s="232">
        <v>114.67999999999999</v>
      </c>
      <c r="Q612" s="213"/>
      <c r="R612" s="235"/>
    </row>
    <row r="613" spans="1:18" ht="16.5" customHeight="1" x14ac:dyDescent="0.25">
      <c r="A613" s="230">
        <v>45142</v>
      </c>
      <c r="B613" s="128" t="s">
        <v>2</v>
      </c>
      <c r="C613" s="157" t="str">
        <f t="shared" si="19"/>
        <v>04.08.2023_KIN2</v>
      </c>
      <c r="D613" s="190">
        <f t="shared" si="20"/>
        <v>0</v>
      </c>
      <c r="E613" s="231">
        <v>8.1609096338884797E-6</v>
      </c>
      <c r="F613" s="231">
        <v>1.6632583979813195E-3</v>
      </c>
      <c r="G613" s="231">
        <v>6.5391086389968961E-2</v>
      </c>
      <c r="H613" s="231">
        <v>1.1438558287455557E-3</v>
      </c>
      <c r="I613" s="231">
        <v>4.8190134916105127E-5</v>
      </c>
      <c r="J613" s="231">
        <v>9.2305505015844672E-3</v>
      </c>
      <c r="K613" s="229">
        <v>49.576221540610597</v>
      </c>
      <c r="L613" s="229">
        <v>20.491577260514799</v>
      </c>
      <c r="M613" s="229">
        <v>16.426442988362201</v>
      </c>
      <c r="N613" s="229">
        <v>4.9557177782607198</v>
      </c>
      <c r="O613" s="205">
        <v>8.3411946657411618E-5</v>
      </c>
      <c r="P613" s="232">
        <v>138.34799999999998</v>
      </c>
      <c r="Q613" s="213"/>
      <c r="R613" s="235"/>
    </row>
    <row r="614" spans="1:18" ht="16.5" customHeight="1" x14ac:dyDescent="0.25">
      <c r="A614" s="230">
        <v>45142</v>
      </c>
      <c r="B614" s="128" t="s">
        <v>4</v>
      </c>
      <c r="C614" s="157" t="str">
        <f t="shared" si="19"/>
        <v>04.08.2023_KIN3</v>
      </c>
      <c r="D614" s="190">
        <f t="shared" si="20"/>
        <v>0</v>
      </c>
      <c r="E614" s="231">
        <v>4.986258615753022E-6</v>
      </c>
      <c r="F614" s="231">
        <v>1.5916576897481696E-3</v>
      </c>
      <c r="G614" s="231">
        <v>5.8682589107261797E-2</v>
      </c>
      <c r="H614" s="231">
        <v>1.8606612458637499E-3</v>
      </c>
      <c r="I614" s="231">
        <v>1.9201973368273571E-5</v>
      </c>
      <c r="J614" s="231">
        <v>5.5670612018805373E-3</v>
      </c>
      <c r="K614" s="229">
        <v>49.357282168824298</v>
      </c>
      <c r="L614" s="229">
        <v>21.3419044468273</v>
      </c>
      <c r="M614" s="229">
        <v>16.839962387231299</v>
      </c>
      <c r="N614" s="229">
        <v>4.4994400575487701</v>
      </c>
      <c r="O614" s="205">
        <v>9.4623755571403761E-5</v>
      </c>
      <c r="P614" s="232">
        <v>124.44</v>
      </c>
      <c r="Q614" s="213"/>
      <c r="R614" s="235"/>
    </row>
    <row r="615" spans="1:18" ht="16.5" customHeight="1" x14ac:dyDescent="0.25">
      <c r="A615" s="230">
        <v>45142</v>
      </c>
      <c r="B615" s="128" t="s">
        <v>6</v>
      </c>
      <c r="C615" s="157" t="str">
        <f t="shared" si="19"/>
        <v>04.08.2023_KIN4</v>
      </c>
      <c r="D615" s="190">
        <f t="shared" si="20"/>
        <v>0</v>
      </c>
      <c r="E615" s="231">
        <v>5.9524562289319711E-6</v>
      </c>
      <c r="F615" s="231">
        <v>1.7007206304839766E-3</v>
      </c>
      <c r="G615" s="231">
        <v>6.2246522877624055E-2</v>
      </c>
      <c r="H615" s="231">
        <v>1.9079741166284248E-3</v>
      </c>
      <c r="I615" s="231">
        <v>2.0903259416092055E-5</v>
      </c>
      <c r="J615" s="231">
        <v>5.7731355176353395E-3</v>
      </c>
      <c r="K615" s="229">
        <v>49.948238385101497</v>
      </c>
      <c r="L615" s="229">
        <v>22.787496759542901</v>
      </c>
      <c r="M615" s="229">
        <v>23.307399404066</v>
      </c>
      <c r="N615" s="229">
        <v>4.5609019916679197</v>
      </c>
      <c r="O615" s="205">
        <v>1.0602454820603683E-4</v>
      </c>
      <c r="P615" s="232">
        <v>119.316</v>
      </c>
      <c r="Q615" s="213"/>
      <c r="R615" s="235"/>
    </row>
    <row r="616" spans="1:18" ht="16.5" customHeight="1" x14ac:dyDescent="0.25">
      <c r="A616" s="230">
        <v>45142</v>
      </c>
      <c r="B616" s="128" t="s">
        <v>34</v>
      </c>
      <c r="C616" s="157" t="str">
        <f t="shared" si="19"/>
        <v>04.08.2023_KRE1</v>
      </c>
      <c r="D616" s="190">
        <f t="shared" si="20"/>
        <v>0</v>
      </c>
      <c r="E616" s="231">
        <v>3.295415803672213E-6</v>
      </c>
      <c r="F616" s="231">
        <v>9.3684895273528899E-4</v>
      </c>
      <c r="G616" s="231">
        <v>8.3563399218674866E-2</v>
      </c>
      <c r="H616" s="231">
        <v>1.2958260225904474E-3</v>
      </c>
      <c r="I616" s="231">
        <v>1.6551132158626878E-5</v>
      </c>
      <c r="J616" s="231">
        <v>2.8579334795030883E-3</v>
      </c>
      <c r="K616" s="229">
        <v>97.911687678602803</v>
      </c>
      <c r="L616" s="229">
        <v>29.221734211731</v>
      </c>
      <c r="M616" s="229">
        <v>35.432986733339803</v>
      </c>
      <c r="N616" s="229">
        <v>12.0249156834695</v>
      </c>
      <c r="O616" s="205">
        <v>1.6752773070459985E-4</v>
      </c>
      <c r="P616" s="232">
        <v>180.316</v>
      </c>
      <c r="Q616" s="213"/>
      <c r="R616" s="235"/>
    </row>
    <row r="617" spans="1:18" ht="16.5" customHeight="1" x14ac:dyDescent="0.25">
      <c r="A617" s="230">
        <v>45142</v>
      </c>
      <c r="B617" s="128" t="s">
        <v>37</v>
      </c>
      <c r="C617" s="157" t="str">
        <f t="shared" si="19"/>
        <v>04.08.2023_KRE2</v>
      </c>
      <c r="D617" s="190">
        <f t="shared" si="20"/>
        <v>0</v>
      </c>
      <c r="E617" s="231">
        <v>4.6756955149109073E-6</v>
      </c>
      <c r="F617" s="231">
        <v>2.2067470946042374E-3</v>
      </c>
      <c r="G617" s="231">
        <v>5.5872630065628592E-2</v>
      </c>
      <c r="H617" s="231">
        <v>8.783524871922915E-4</v>
      </c>
      <c r="I617" s="231">
        <v>3.6425974468834656E-5</v>
      </c>
      <c r="J617" s="231">
        <v>4.4060838894435274E-3</v>
      </c>
      <c r="K617" s="229">
        <v>56.241217636548498</v>
      </c>
      <c r="L617" s="229">
        <v>16.4957479593096</v>
      </c>
      <c r="M617" s="229">
        <v>31.742581493324899</v>
      </c>
      <c r="N617" s="229">
        <v>6.0191260090179801</v>
      </c>
      <c r="O617" s="205">
        <v>1.1222720339380278E-4</v>
      </c>
      <c r="P617" s="232">
        <v>70.515999999999991</v>
      </c>
      <c r="Q617" s="213"/>
      <c r="R617" s="235"/>
    </row>
    <row r="618" spans="1:18" ht="16.5" customHeight="1" x14ac:dyDescent="0.25">
      <c r="A618" s="230">
        <v>45142</v>
      </c>
      <c r="B618" s="128" t="s">
        <v>18</v>
      </c>
      <c r="C618" s="157" t="str">
        <f t="shared" si="19"/>
        <v>04.08.2023_ORB1</v>
      </c>
      <c r="D618" s="190">
        <f t="shared" si="20"/>
        <v>0</v>
      </c>
      <c r="E618" s="231">
        <v>7.1256969661201876E-6</v>
      </c>
      <c r="F618" s="231">
        <v>1.5420813770865573E-3</v>
      </c>
      <c r="G618" s="231">
        <v>3.8046802833594712E-2</v>
      </c>
      <c r="H618" s="231">
        <v>1.1337415662408294E-3</v>
      </c>
      <c r="I618" s="231">
        <v>1.2027572754834587E-5</v>
      </c>
      <c r="J618" s="231">
        <v>4.0639008392787633E-3</v>
      </c>
      <c r="K618" s="229">
        <v>24.057314004967701</v>
      </c>
      <c r="L618" s="229">
        <v>6.7384239641016102</v>
      </c>
      <c r="M618" s="229">
        <v>12.8761408926825</v>
      </c>
      <c r="N618" s="229">
        <v>5.1434266426778503</v>
      </c>
      <c r="O618" s="205">
        <v>4.1608988618076392E-5</v>
      </c>
      <c r="P618" s="232">
        <v>27.327999999999999</v>
      </c>
      <c r="Q618" s="213"/>
      <c r="R618" s="235"/>
    </row>
    <row r="619" spans="1:18" ht="16.5" customHeight="1" x14ac:dyDescent="0.25">
      <c r="A619" s="230">
        <v>45142</v>
      </c>
      <c r="B619" s="128" t="s">
        <v>21</v>
      </c>
      <c r="C619" s="157" t="str">
        <f t="shared" si="19"/>
        <v>04.08.2023_ORB2</v>
      </c>
      <c r="D619" s="190">
        <f t="shared" si="20"/>
        <v>0</v>
      </c>
      <c r="E619" s="231">
        <v>6.1767531459435139E-6</v>
      </c>
      <c r="F619" s="231">
        <v>1.5130261822702651E-3</v>
      </c>
      <c r="G619" s="231">
        <v>4.0556065854389173E-2</v>
      </c>
      <c r="H619" s="231">
        <v>1.1177661753698661E-3</v>
      </c>
      <c r="I619" s="231">
        <v>2.2419913796033847E-5</v>
      </c>
      <c r="J619" s="231">
        <v>4.1062814222726533E-3</v>
      </c>
      <c r="K619" s="229">
        <v>30.697863122497001</v>
      </c>
      <c r="L619" s="229">
        <v>8.10273607512738</v>
      </c>
      <c r="M619" s="229">
        <v>22.388804329634901</v>
      </c>
      <c r="N619" s="229">
        <v>5.5618162888250904</v>
      </c>
      <c r="O619" s="205">
        <v>5.2030211722658572E-5</v>
      </c>
      <c r="P619" s="232">
        <v>117.11999999999999</v>
      </c>
      <c r="Q619" s="213"/>
      <c r="R619" s="235"/>
    </row>
    <row r="620" spans="1:18" ht="16.5" customHeight="1" x14ac:dyDescent="0.25">
      <c r="A620" s="230">
        <v>45142</v>
      </c>
      <c r="B620" s="128" t="s">
        <v>10</v>
      </c>
      <c r="C620" s="157" t="str">
        <f t="shared" si="19"/>
        <v>04.08.2023_SAL1</v>
      </c>
      <c r="D620" s="190">
        <f t="shared" si="20"/>
        <v>0</v>
      </c>
      <c r="E620" s="231">
        <v>5.2278087789227819E-6</v>
      </c>
      <c r="F620" s="231">
        <v>1.8424302809922784E-3</v>
      </c>
      <c r="G620" s="231">
        <v>4.3906263200831602E-2</v>
      </c>
      <c r="H620" s="231">
        <v>1.8260804088042137E-3</v>
      </c>
      <c r="I620" s="231">
        <v>1.1209906139933354E-5</v>
      </c>
      <c r="J620" s="231">
        <v>8.7790151817459725E-4</v>
      </c>
      <c r="K620" s="229">
        <v>28.377991369758501</v>
      </c>
      <c r="L620" s="229">
        <v>22.2890322327194</v>
      </c>
      <c r="M620" s="229">
        <v>13.056938149071801</v>
      </c>
      <c r="N620" s="229">
        <v>3.2538003729349598</v>
      </c>
      <c r="O620" s="205">
        <v>1.1307898412042388E-4</v>
      </c>
      <c r="P620" s="232">
        <v>64.903999999999996</v>
      </c>
      <c r="Q620" s="213"/>
      <c r="R620" s="235"/>
    </row>
    <row r="621" spans="1:18" ht="16.5" customHeight="1" x14ac:dyDescent="0.25">
      <c r="A621" s="230">
        <v>45142</v>
      </c>
      <c r="B621" s="128" t="s">
        <v>12</v>
      </c>
      <c r="C621" s="157" t="str">
        <f t="shared" si="19"/>
        <v>04.08.2023_SAL2</v>
      </c>
      <c r="D621" s="190">
        <f t="shared" si="20"/>
        <v>0</v>
      </c>
      <c r="E621" s="231">
        <v>3.4506963610571854E-6</v>
      </c>
      <c r="F621" s="231">
        <v>1.3401004129746492E-3</v>
      </c>
      <c r="G621" s="231">
        <v>4.3286610974407287E-2</v>
      </c>
      <c r="H621" s="231">
        <v>1.7094731592108667E-3</v>
      </c>
      <c r="I621" s="231">
        <v>1.0458179887802415E-5</v>
      </c>
      <c r="J621" s="231">
        <v>8.9762946190421751E-4</v>
      </c>
      <c r="K621" s="229">
        <v>30.640946790051601</v>
      </c>
      <c r="L621" s="229">
        <v>24.1385137333111</v>
      </c>
      <c r="M621" s="229">
        <v>13.579798584091</v>
      </c>
      <c r="N621" s="229">
        <v>3.2664295932981</v>
      </c>
      <c r="O621" s="205">
        <v>9.6847107783978089E-5</v>
      </c>
      <c r="P621" s="232">
        <v>69.539999999999992</v>
      </c>
      <c r="Q621" s="213"/>
      <c r="R621" s="235"/>
    </row>
    <row r="622" spans="1:18" ht="16.5" customHeight="1" x14ac:dyDescent="0.25">
      <c r="A622" s="230">
        <v>45142</v>
      </c>
      <c r="B622" s="128" t="s">
        <v>7</v>
      </c>
      <c r="C622" s="157" t="str">
        <f t="shared" si="19"/>
        <v>04.08.2023_STE1</v>
      </c>
      <c r="D622" s="190">
        <f t="shared" si="20"/>
        <v>0</v>
      </c>
      <c r="E622" s="231">
        <v>3.1573870934743606E-6</v>
      </c>
      <c r="F622" s="231">
        <v>1.7034810090208142E-3</v>
      </c>
      <c r="G622" s="231">
        <v>4.7056115587558359E-2</v>
      </c>
      <c r="H622" s="231">
        <v>2.0366423155316624E-3</v>
      </c>
      <c r="I622" s="231">
        <v>8.0974980131844502E-6</v>
      </c>
      <c r="J622" s="231">
        <v>2.2843791840166075E-3</v>
      </c>
      <c r="K622" s="229">
        <v>54.677689522336898</v>
      </c>
      <c r="L622" s="229">
        <v>29.943909035633901</v>
      </c>
      <c r="M622" s="229">
        <v>16.204588353844098</v>
      </c>
      <c r="N622" s="229">
        <v>3.7598279369260799</v>
      </c>
      <c r="O622" s="205">
        <v>8.9081785362586226E-5</v>
      </c>
      <c r="P622" s="232">
        <v>95.89200000000001</v>
      </c>
      <c r="Q622" s="213"/>
      <c r="R622" s="235"/>
    </row>
    <row r="623" spans="1:18" ht="16.5" customHeight="1" x14ac:dyDescent="0.25">
      <c r="A623" s="230">
        <v>45142</v>
      </c>
      <c r="B623" s="128" t="s">
        <v>9</v>
      </c>
      <c r="C623" s="157" t="str">
        <f t="shared" si="19"/>
        <v>04.08.2023_STE2</v>
      </c>
      <c r="D623" s="190">
        <f t="shared" si="20"/>
        <v>0</v>
      </c>
      <c r="E623" s="231">
        <v>3.0538662141832761E-6</v>
      </c>
      <c r="F623" s="231">
        <v>1.8502286531572455E-3</v>
      </c>
      <c r="G623" s="231">
        <v>4.8714192690725466E-2</v>
      </c>
      <c r="H623" s="231">
        <v>2.1435214481658883E-3</v>
      </c>
      <c r="I623" s="231">
        <v>6.7259307195545834E-6</v>
      </c>
      <c r="J623" s="231">
        <v>3.7796046074175501E-3</v>
      </c>
      <c r="K623" s="229">
        <v>49.369706468328097</v>
      </c>
      <c r="L623" s="229">
        <v>29.999456032740898</v>
      </c>
      <c r="M623" s="229">
        <v>16.504096015894199</v>
      </c>
      <c r="N623" s="229">
        <v>3.69443494949769</v>
      </c>
      <c r="O623" s="205">
        <v>1.0145829383056982E-4</v>
      </c>
      <c r="P623" s="232">
        <v>87.84</v>
      </c>
      <c r="Q623" s="213"/>
      <c r="R623" s="235"/>
    </row>
    <row r="624" spans="1:18" ht="16.5" customHeight="1" x14ac:dyDescent="0.25">
      <c r="A624" s="230">
        <v>45180</v>
      </c>
      <c r="B624" s="128" t="s">
        <v>22</v>
      </c>
      <c r="C624" s="157" t="str">
        <f t="shared" si="19"/>
        <v>11.09.2023_BIE1</v>
      </c>
      <c r="D624" s="190">
        <f t="shared" si="20"/>
        <v>0</v>
      </c>
      <c r="E624" s="231">
        <v>1.2413176190916069E-5</v>
      </c>
      <c r="F624" s="231">
        <v>1.3795847746593847E-3</v>
      </c>
      <c r="G624" s="231">
        <v>8.4547947269860022E-2</v>
      </c>
      <c r="H624" s="231">
        <v>2.8226974073297085E-3</v>
      </c>
      <c r="I624" s="231">
        <v>1.9080446659824256E-5</v>
      </c>
      <c r="J624" s="231">
        <v>2.0962881298590085E-3</v>
      </c>
      <c r="K624" s="229">
        <v>15.9120636538106</v>
      </c>
      <c r="L624" s="229">
        <v>7.6197226064880299</v>
      </c>
      <c r="M624" s="229">
        <v>3.5249038112406801</v>
      </c>
      <c r="N624" s="229">
        <v>2.4860686992501</v>
      </c>
      <c r="O624" s="205">
        <v>9.3648941007298066E-5</v>
      </c>
      <c r="P624" s="232">
        <v>74.908000000000001</v>
      </c>
      <c r="Q624" s="213"/>
      <c r="R624" s="235"/>
    </row>
    <row r="625" spans="1:18" ht="16.5" customHeight="1" x14ac:dyDescent="0.25">
      <c r="A625" s="230">
        <v>45180</v>
      </c>
      <c r="B625" s="128" t="s">
        <v>25</v>
      </c>
      <c r="C625" s="157" t="str">
        <f t="shared" si="19"/>
        <v>11.09.2023_BIE2</v>
      </c>
      <c r="D625" s="190">
        <f t="shared" si="20"/>
        <v>0</v>
      </c>
      <c r="E625" s="231">
        <v>1.0011435957148387E-5</v>
      </c>
      <c r="F625" s="231">
        <v>1.6009458544005409E-3</v>
      </c>
      <c r="G625" s="231">
        <v>7.7527411860371348E-2</v>
      </c>
      <c r="H625" s="231">
        <v>9.4522867793047187E-3</v>
      </c>
      <c r="I625" s="231">
        <v>1.7737002759547341E-5</v>
      </c>
      <c r="J625" s="231">
        <v>2.2116474446710163E-3</v>
      </c>
      <c r="K625" s="229">
        <v>14.844633687190701</v>
      </c>
      <c r="L625" s="229">
        <v>6.3335584074089004</v>
      </c>
      <c r="M625" s="229">
        <v>3.5540190928003899</v>
      </c>
      <c r="N625" s="229">
        <v>2.4780546107928698</v>
      </c>
      <c r="O625" s="205">
        <v>9.0827984968432326E-5</v>
      </c>
      <c r="P625" s="232">
        <v>72.468000000000004</v>
      </c>
      <c r="Q625" s="213"/>
      <c r="R625" s="235"/>
    </row>
    <row r="626" spans="1:18" ht="16.5" customHeight="1" x14ac:dyDescent="0.25">
      <c r="A626" s="230">
        <v>45180</v>
      </c>
      <c r="B626" s="128" t="s">
        <v>14</v>
      </c>
      <c r="C626" s="157" t="str">
        <f t="shared" si="19"/>
        <v>11.09.2023_BRA1</v>
      </c>
      <c r="D626" s="190">
        <f t="shared" si="20"/>
        <v>0</v>
      </c>
      <c r="E626" s="231">
        <v>4.2472702552166543E-6</v>
      </c>
      <c r="F626" s="231">
        <v>8.3306029024691379E-4</v>
      </c>
      <c r="G626" s="231">
        <v>6.7674510929178894E-2</v>
      </c>
      <c r="H626" s="231">
        <v>2.2323179122760448E-3</v>
      </c>
      <c r="I626" s="231">
        <v>6.9713271405735322E-6</v>
      </c>
      <c r="J626" s="231">
        <v>4.4945141628029319E-4</v>
      </c>
      <c r="K626" s="229">
        <v>10.7218709034229</v>
      </c>
      <c r="L626" s="229">
        <v>6.9520855742770804</v>
      </c>
      <c r="M626" s="229">
        <v>3.7409634707689099</v>
      </c>
      <c r="N626" s="229">
        <v>0.97045375622680596</v>
      </c>
      <c r="O626" s="205">
        <v>8.1794940158687768E-5</v>
      </c>
      <c r="P626" s="232">
        <v>80.76400000000001</v>
      </c>
      <c r="Q626" s="213"/>
      <c r="R626" s="235"/>
    </row>
    <row r="627" spans="1:18" ht="16.5" customHeight="1" x14ac:dyDescent="0.25">
      <c r="A627" s="230">
        <v>45180</v>
      </c>
      <c r="B627" s="128" t="s">
        <v>17</v>
      </c>
      <c r="C627" s="157" t="str">
        <f t="shared" si="19"/>
        <v>11.09.2023_BRA2</v>
      </c>
      <c r="D627" s="190">
        <f t="shared" si="20"/>
        <v>0</v>
      </c>
      <c r="E627" s="231">
        <v>4.0955821685816363E-6</v>
      </c>
      <c r="F627" s="231">
        <v>8.9435179195774585E-4</v>
      </c>
      <c r="G627" s="231">
        <v>7.798296070218079E-2</v>
      </c>
      <c r="H627" s="231">
        <v>2.5118254772943465E-3</v>
      </c>
      <c r="I627" s="231">
        <v>2.8175960960960966E-5</v>
      </c>
      <c r="J627" s="231">
        <v>5.9234038265580365E-4</v>
      </c>
      <c r="K627" s="229">
        <v>12.571743770524201</v>
      </c>
      <c r="L627" s="229">
        <v>7.1251144035115201</v>
      </c>
      <c r="M627" s="229">
        <v>4.0643742581728901</v>
      </c>
      <c r="N627" s="229">
        <v>1.15985737190511</v>
      </c>
      <c r="O627" s="205">
        <v>6.2859362118397933E-5</v>
      </c>
      <c r="P627" s="232">
        <v>84.179999999999993</v>
      </c>
      <c r="Q627" s="213"/>
      <c r="R627" s="235"/>
    </row>
    <row r="628" spans="1:18" ht="16.5" customHeight="1" x14ac:dyDescent="0.25">
      <c r="A628" s="230">
        <v>45180</v>
      </c>
      <c r="B628" s="128" t="s">
        <v>30</v>
      </c>
      <c r="C628" s="157" t="str">
        <f t="shared" si="19"/>
        <v>11.09.2023_FAL1</v>
      </c>
      <c r="D628" s="190">
        <f t="shared" si="20"/>
        <v>0</v>
      </c>
      <c r="E628" s="231">
        <v>3.6405169992476725E-6</v>
      </c>
      <c r="F628" s="231">
        <v>9.160297182754728E-4</v>
      </c>
      <c r="G628" s="231">
        <v>0.20460883582064823</v>
      </c>
      <c r="H628" s="231">
        <v>5.6866586209058734E-3</v>
      </c>
      <c r="I628" s="231">
        <v>1.1600740964728804E-5</v>
      </c>
      <c r="J628" s="231">
        <v>9.2478435663014848E-4</v>
      </c>
      <c r="K628" s="229">
        <v>48.640584699795703</v>
      </c>
      <c r="L628" s="229">
        <v>13.924455106928599</v>
      </c>
      <c r="M628" s="229">
        <v>23.455902264057499</v>
      </c>
      <c r="N628" s="229">
        <v>5.2466365952326601</v>
      </c>
      <c r="O628" s="205">
        <v>1.2143171953039052E-4</v>
      </c>
      <c r="P628" s="232">
        <v>254.00399999999999</v>
      </c>
      <c r="Q628" s="213"/>
      <c r="R628" s="235"/>
    </row>
    <row r="629" spans="1:18" ht="16.5" customHeight="1" x14ac:dyDescent="0.25">
      <c r="A629" s="230">
        <v>45180</v>
      </c>
      <c r="B629" s="128" t="s">
        <v>32</v>
      </c>
      <c r="C629" s="157" t="str">
        <f t="shared" si="19"/>
        <v>11.09.2023_FAL2</v>
      </c>
      <c r="D629" s="190">
        <f t="shared" si="20"/>
        <v>0</v>
      </c>
      <c r="E629" s="231">
        <v>3.7922052481052276E-6</v>
      </c>
      <c r="F629" s="231">
        <v>1.0325879961514636E-3</v>
      </c>
      <c r="G629" s="231">
        <v>0.20111831029628499</v>
      </c>
      <c r="H629" s="231">
        <v>1.8960075816157312E-3</v>
      </c>
      <c r="I629" s="231">
        <v>1.5122734622009937E-5</v>
      </c>
      <c r="J629" s="231">
        <v>1.0431691967096766E-3</v>
      </c>
      <c r="K629" s="229">
        <v>47.121500212572499</v>
      </c>
      <c r="L629" s="229">
        <v>13.3561810322485</v>
      </c>
      <c r="M629" s="229">
        <v>17.7245235560613</v>
      </c>
      <c r="N629" s="229">
        <v>4.2735796692702701</v>
      </c>
      <c r="O629" s="205">
        <v>1.1942611157149813E-4</v>
      </c>
      <c r="P629" s="232">
        <v>267.42400000000004</v>
      </c>
      <c r="Q629" s="213"/>
      <c r="R629" s="235"/>
    </row>
    <row r="630" spans="1:18" ht="16.5" customHeight="1" x14ac:dyDescent="0.25">
      <c r="A630" s="230">
        <v>45180</v>
      </c>
      <c r="B630" s="128" t="s">
        <v>26</v>
      </c>
      <c r="C630" s="157" t="str">
        <f t="shared" si="19"/>
        <v>11.09.2023_GRU1</v>
      </c>
      <c r="D630" s="190">
        <f t="shared" si="20"/>
        <v>0</v>
      </c>
      <c r="E630" s="231">
        <v>1.1503041555796102E-5</v>
      </c>
      <c r="F630" s="231">
        <v>1.3684422174434297E-3</v>
      </c>
      <c r="G630" s="231">
        <v>7.4618010588515554E-2</v>
      </c>
      <c r="H630" s="231">
        <v>7.4664919055301001E-3</v>
      </c>
      <c r="I630" s="231">
        <v>1.3252809442592974E-5</v>
      </c>
      <c r="J630" s="231">
        <v>1.9702966231519336E-3</v>
      </c>
      <c r="K630" s="229">
        <v>7.3583183648052399</v>
      </c>
      <c r="L630" s="229">
        <v>2.6307208479957498</v>
      </c>
      <c r="M630" s="229">
        <v>3.12315289012757</v>
      </c>
      <c r="N630" s="229">
        <v>1.4618568150162199</v>
      </c>
      <c r="O630" s="205">
        <v>9.2537451771919786E-5</v>
      </c>
      <c r="P630" s="232">
        <v>48.556000000000004</v>
      </c>
      <c r="Q630" s="213"/>
      <c r="R630" s="235"/>
    </row>
    <row r="631" spans="1:18" ht="16.5" customHeight="1" x14ac:dyDescent="0.25">
      <c r="A631" s="230">
        <v>45180</v>
      </c>
      <c r="B631" s="128" t="s">
        <v>28</v>
      </c>
      <c r="C631" s="157" t="str">
        <f t="shared" si="19"/>
        <v>11.09.2023_GRU2</v>
      </c>
      <c r="D631" s="190">
        <f t="shared" si="20"/>
        <v>0</v>
      </c>
      <c r="E631" s="231">
        <v>5.1068381031661301E-6</v>
      </c>
      <c r="F631" s="231">
        <v>1.2640800599642273E-3</v>
      </c>
      <c r="G631" s="231">
        <v>8.2140533386739323E-2</v>
      </c>
      <c r="H631" s="231">
        <v>3.2174735820074823E-3</v>
      </c>
      <c r="I631" s="231">
        <v>1.0983485130641932E-5</v>
      </c>
      <c r="J631" s="231">
        <v>1.178999396509704E-3</v>
      </c>
      <c r="K631" s="229">
        <v>9.5469934325493604</v>
      </c>
      <c r="L631" s="229">
        <v>2.4377945266016798</v>
      </c>
      <c r="M631" s="229">
        <v>3.0788331854776501</v>
      </c>
      <c r="N631" s="229">
        <v>1.5292840974799</v>
      </c>
      <c r="O631" s="205">
        <v>8.4104278907343625E-5</v>
      </c>
      <c r="P631" s="232">
        <v>62.22</v>
      </c>
      <c r="Q631" s="213"/>
      <c r="R631" s="235"/>
    </row>
    <row r="632" spans="1:18" ht="16.5" customHeight="1" x14ac:dyDescent="0.25">
      <c r="A632" s="230">
        <v>45180</v>
      </c>
      <c r="B632" s="128" t="s">
        <v>0</v>
      </c>
      <c r="C632" s="157" t="str">
        <f t="shared" si="19"/>
        <v>11.09.2023_KIN1</v>
      </c>
      <c r="D632" s="190">
        <f t="shared" si="20"/>
        <v>0</v>
      </c>
      <c r="E632" s="231">
        <v>1.6205400443671076E-5</v>
      </c>
      <c r="F632" s="231">
        <v>9.5913562657705192E-4</v>
      </c>
      <c r="G632" s="231">
        <v>0.13657932728294053</v>
      </c>
      <c r="H632" s="231">
        <v>3.7568821387151796E-3</v>
      </c>
      <c r="I632" s="231">
        <v>2.1803648621548837E-5</v>
      </c>
      <c r="J632" s="231">
        <v>7.3598999334102575E-3</v>
      </c>
      <c r="K632" s="229">
        <v>21.2181496270587</v>
      </c>
      <c r="L632" s="229">
        <v>6.8791024271735903</v>
      </c>
      <c r="M632" s="229">
        <v>3.3891866049293702</v>
      </c>
      <c r="N632" s="229">
        <v>1.43680353444757</v>
      </c>
      <c r="O632" s="205">
        <v>1.2154160161171201E-4</v>
      </c>
      <c r="P632" s="232">
        <v>181.292</v>
      </c>
      <c r="Q632" s="213"/>
      <c r="R632" s="235"/>
    </row>
    <row r="633" spans="1:18" ht="16.5" customHeight="1" x14ac:dyDescent="0.25">
      <c r="A633" s="230">
        <v>45180</v>
      </c>
      <c r="B633" s="128" t="s">
        <v>2</v>
      </c>
      <c r="C633" s="157" t="str">
        <f t="shared" si="19"/>
        <v>11.09.2023_KIN2</v>
      </c>
      <c r="D633" s="190">
        <f t="shared" si="20"/>
        <v>0</v>
      </c>
      <c r="E633" s="231">
        <v>7.0535070473701154E-6</v>
      </c>
      <c r="F633" s="231">
        <v>6.9916483432400079E-4</v>
      </c>
      <c r="G633" s="231">
        <v>0.13349456522435418</v>
      </c>
      <c r="H633" s="231">
        <v>2.6034654411929482E-3</v>
      </c>
      <c r="I633" s="231">
        <v>1.4941190313035047E-5</v>
      </c>
      <c r="J633" s="231">
        <v>6.4816531472874309E-3</v>
      </c>
      <c r="K633" s="229">
        <v>21.5777039059498</v>
      </c>
      <c r="L633" s="229">
        <v>7.3342735940027097</v>
      </c>
      <c r="M633" s="229">
        <v>3.1325422415115698</v>
      </c>
      <c r="N633" s="229">
        <v>1.63579120993422</v>
      </c>
      <c r="O633" s="205">
        <v>8.5378468200445626E-5</v>
      </c>
      <c r="P633" s="232">
        <v>201.05599999999998</v>
      </c>
      <c r="Q633" s="213"/>
      <c r="R633" s="235"/>
    </row>
    <row r="634" spans="1:18" ht="16.5" customHeight="1" x14ac:dyDescent="0.25">
      <c r="A634" s="230">
        <v>45180</v>
      </c>
      <c r="B634" s="128" t="s">
        <v>4</v>
      </c>
      <c r="C634" s="157" t="str">
        <f t="shared" si="19"/>
        <v>11.09.2023_KIN3</v>
      </c>
      <c r="D634" s="190">
        <f t="shared" si="20"/>
        <v>0</v>
      </c>
      <c r="E634" s="231">
        <v>6.6742856878509454E-6</v>
      </c>
      <c r="F634" s="231">
        <v>7.6047428753626706E-4</v>
      </c>
      <c r="G634" s="231">
        <v>0.14138288173435176</v>
      </c>
      <c r="H634" s="231">
        <v>2.7740924680711506E-3</v>
      </c>
      <c r="I634" s="231">
        <v>1.4106075140422184E-5</v>
      </c>
      <c r="J634" s="231">
        <v>1.7667022690456382E-3</v>
      </c>
      <c r="K634" s="229">
        <v>22.626245581304101</v>
      </c>
      <c r="L634" s="229">
        <v>7.2977961074150297</v>
      </c>
      <c r="M634" s="229">
        <v>3.6034507516537602</v>
      </c>
      <c r="N634" s="229">
        <v>1.5539016036595501</v>
      </c>
      <c r="O634" s="205">
        <v>8.4622001277355951E-5</v>
      </c>
      <c r="P634" s="232">
        <v>203.73999999999998</v>
      </c>
      <c r="Q634" s="213"/>
      <c r="R634" s="235"/>
    </row>
    <row r="635" spans="1:18" ht="16.5" customHeight="1" x14ac:dyDescent="0.25">
      <c r="A635" s="230">
        <v>45180</v>
      </c>
      <c r="B635" s="128" t="s">
        <v>6</v>
      </c>
      <c r="C635" s="157" t="str">
        <f t="shared" si="19"/>
        <v>11.09.2023_KIN4</v>
      </c>
      <c r="D635" s="190">
        <f t="shared" si="20"/>
        <v>0</v>
      </c>
      <c r="E635" s="231">
        <v>7.0282252760158799E-6</v>
      </c>
      <c r="F635" s="231">
        <v>7.9577530980322352E-4</v>
      </c>
      <c r="G635" s="231">
        <v>0.14453372052907543</v>
      </c>
      <c r="H635" s="231">
        <v>3.5516296478648192E-3</v>
      </c>
      <c r="I635" s="231">
        <v>1.7283135918899115E-5</v>
      </c>
      <c r="J635" s="231">
        <v>1.6694347284707592E-3</v>
      </c>
      <c r="K635" s="229">
        <v>24.105631967515301</v>
      </c>
      <c r="L635" s="229">
        <v>7.5061075567625704</v>
      </c>
      <c r="M635" s="229">
        <v>7.76662069273344</v>
      </c>
      <c r="N635" s="229">
        <v>1.7579756504170501</v>
      </c>
      <c r="O635" s="205">
        <v>9.3826394411190684E-5</v>
      </c>
      <c r="P635" s="232">
        <v>201.05599999999998</v>
      </c>
      <c r="Q635" s="213"/>
      <c r="R635" s="235"/>
    </row>
    <row r="636" spans="1:18" ht="16.5" customHeight="1" x14ac:dyDescent="0.25">
      <c r="A636" s="230">
        <v>45180</v>
      </c>
      <c r="B636" s="128" t="s">
        <v>34</v>
      </c>
      <c r="C636" s="157" t="str">
        <f t="shared" si="19"/>
        <v>11.09.2023_KRE1</v>
      </c>
      <c r="D636" s="190">
        <f t="shared" si="20"/>
        <v>0</v>
      </c>
      <c r="E636" s="231">
        <v>4.1208635024259243E-6</v>
      </c>
      <c r="F636" s="231">
        <v>8.7282418989413375E-4</v>
      </c>
      <c r="G636" s="231">
        <v>0.17787878231562018</v>
      </c>
      <c r="H636" s="231">
        <v>2.7847250377627045E-3</v>
      </c>
      <c r="I636" s="231">
        <v>1.4977498197708049E-5</v>
      </c>
      <c r="J636" s="231">
        <v>1.1463811996592181E-3</v>
      </c>
      <c r="K636" s="229">
        <v>32.914399150537903</v>
      </c>
      <c r="L636" s="229">
        <v>11.3021942568711</v>
      </c>
      <c r="M636" s="229">
        <v>24.8600963281567</v>
      </c>
      <c r="N636" s="229">
        <v>6.4120740105712599</v>
      </c>
      <c r="O636" s="205">
        <v>1.7176917042923681E-4</v>
      </c>
      <c r="P636" s="232">
        <v>247.416</v>
      </c>
      <c r="Q636" s="213"/>
      <c r="R636" s="235"/>
    </row>
    <row r="637" spans="1:18" ht="16.5" customHeight="1" x14ac:dyDescent="0.25">
      <c r="A637" s="230">
        <v>45180</v>
      </c>
      <c r="B637" s="128" t="s">
        <v>37</v>
      </c>
      <c r="C637" s="157" t="str">
        <f t="shared" si="19"/>
        <v>11.09.2023_KRE2</v>
      </c>
      <c r="D637" s="190">
        <f t="shared" si="20"/>
        <v>0</v>
      </c>
      <c r="E637" s="231">
        <v>4.2472705649141268E-6</v>
      </c>
      <c r="F637" s="231">
        <v>9.4327011003132819E-4</v>
      </c>
      <c r="G637" s="231">
        <v>0.22620126159265555</v>
      </c>
      <c r="H637" s="231">
        <v>3.3236353261125889E-3</v>
      </c>
      <c r="I637" s="231">
        <v>1.6520641422435031E-5</v>
      </c>
      <c r="J637" s="231">
        <v>1.3766491614525869E-3</v>
      </c>
      <c r="K637" s="229">
        <v>42.409966757894502</v>
      </c>
      <c r="L637" s="229">
        <v>11.238177066432799</v>
      </c>
      <c r="M637" s="229">
        <v>23.478011318104599</v>
      </c>
      <c r="N637" s="229">
        <v>6.0354554563690597</v>
      </c>
      <c r="O637" s="205">
        <v>2.4987831372493973E-4</v>
      </c>
      <c r="P637" s="232">
        <v>267.66800000000001</v>
      </c>
      <c r="Q637" s="213"/>
      <c r="R637" s="235"/>
    </row>
    <row r="638" spans="1:18" ht="16.5" customHeight="1" x14ac:dyDescent="0.25">
      <c r="A638" s="230">
        <v>45180</v>
      </c>
      <c r="B638" s="128" t="s">
        <v>18</v>
      </c>
      <c r="C638" s="157" t="str">
        <f t="shared" si="19"/>
        <v>11.09.2023_ORB1</v>
      </c>
      <c r="D638" s="190">
        <f t="shared" si="20"/>
        <v>0</v>
      </c>
      <c r="E638" s="231">
        <v>7.7108238460457832E-6</v>
      </c>
      <c r="F638" s="231">
        <v>1.3330604029074941E-3</v>
      </c>
      <c r="G638" s="231">
        <v>5.5289573054495091E-2</v>
      </c>
      <c r="H638" s="231">
        <v>1.8853507908440617E-3</v>
      </c>
      <c r="I638" s="231">
        <v>2.0750678724222881E-5</v>
      </c>
      <c r="J638" s="231">
        <v>9.4334304411755252E-4</v>
      </c>
      <c r="K638" s="229">
        <v>5.23003069174296</v>
      </c>
      <c r="L638" s="229">
        <v>0.86458596580581404</v>
      </c>
      <c r="M638" s="229">
        <v>3.1530260764089202</v>
      </c>
      <c r="N638" s="229">
        <v>2.4250578899649202</v>
      </c>
      <c r="O638" s="205">
        <v>2.937282449067778E-5</v>
      </c>
      <c r="P638" s="232">
        <v>20.983999999999998</v>
      </c>
      <c r="Q638" s="213"/>
      <c r="R638" s="235"/>
    </row>
    <row r="639" spans="1:18" ht="16.5" customHeight="1" x14ac:dyDescent="0.25">
      <c r="A639" s="230">
        <v>45180</v>
      </c>
      <c r="B639" s="128" t="s">
        <v>21</v>
      </c>
      <c r="C639" s="157" t="str">
        <f t="shared" si="19"/>
        <v>11.09.2023_ORB2</v>
      </c>
      <c r="D639" s="190">
        <f t="shared" si="20"/>
        <v>0</v>
      </c>
      <c r="E639" s="231">
        <v>1.0340095174975337E-5</v>
      </c>
      <c r="F639" s="231">
        <v>7.3986518289909477E-4</v>
      </c>
      <c r="G639" s="231">
        <v>6.4101519487895234E-2</v>
      </c>
      <c r="H639" s="231">
        <v>4.2670963789556418E-3</v>
      </c>
      <c r="I639" s="231">
        <v>1.0075755847826642E-5</v>
      </c>
      <c r="J639" s="231">
        <v>3.0989400790807065E-3</v>
      </c>
      <c r="K639" s="229">
        <v>6.6383695870117698</v>
      </c>
      <c r="L639" s="229">
        <v>1.11173022867073</v>
      </c>
      <c r="M639" s="229">
        <v>6.7908065623673703</v>
      </c>
      <c r="N639" s="229">
        <v>2.6968235152942701</v>
      </c>
      <c r="O639" s="205">
        <v>4.7766325863394756E-5</v>
      </c>
      <c r="P639" s="232">
        <v>25.619999999999997</v>
      </c>
      <c r="Q639" s="213"/>
      <c r="R639" s="235"/>
    </row>
    <row r="640" spans="1:18" ht="16.5" customHeight="1" x14ac:dyDescent="0.25">
      <c r="A640" s="230">
        <v>45180</v>
      </c>
      <c r="B640" s="128" t="s">
        <v>10</v>
      </c>
      <c r="C640" s="157" t="str">
        <f t="shared" si="19"/>
        <v>11.09.2023_SAL1</v>
      </c>
      <c r="D640" s="190">
        <f t="shared" si="20"/>
        <v>0</v>
      </c>
      <c r="E640" s="231">
        <v>3.8174865475387315E-6</v>
      </c>
      <c r="F640" s="231">
        <v>9.7665364407991621E-4</v>
      </c>
      <c r="G640" s="231">
        <v>7.7228160841755128E-2</v>
      </c>
      <c r="H640" s="231">
        <v>2.834674749212277E-3</v>
      </c>
      <c r="I640" s="231">
        <v>6.9350187369778986E-6</v>
      </c>
      <c r="J640" s="231">
        <v>6.8242038628830949E-4</v>
      </c>
      <c r="K640" s="229">
        <v>10.9303116833192</v>
      </c>
      <c r="L640" s="229">
        <v>5.9546518369138504</v>
      </c>
      <c r="M640" s="229">
        <v>4.7265396102120398</v>
      </c>
      <c r="N640" s="229">
        <v>1.2723671659454101</v>
      </c>
      <c r="O640" s="205">
        <v>7.5272193203684192E-5</v>
      </c>
      <c r="P640" s="232">
        <v>101.99199999999999</v>
      </c>
      <c r="Q640" s="213"/>
      <c r="R640" s="235"/>
    </row>
    <row r="641" spans="1:18" ht="16.5" customHeight="1" x14ac:dyDescent="0.25">
      <c r="A641" s="230">
        <v>45180</v>
      </c>
      <c r="B641" s="128" t="s">
        <v>12</v>
      </c>
      <c r="C641" s="157" t="str">
        <f t="shared" si="19"/>
        <v>11.09.2023_SAL2</v>
      </c>
      <c r="D641" s="190">
        <f t="shared" si="20"/>
        <v>0</v>
      </c>
      <c r="E641" s="231">
        <v>6.8006926569381953E-6</v>
      </c>
      <c r="F641" s="231">
        <v>9.390103922693213E-4</v>
      </c>
      <c r="G641" s="231">
        <v>8.9190716791233166E-2</v>
      </c>
      <c r="H641" s="231">
        <v>1.5494201387034896E-3</v>
      </c>
      <c r="I641" s="231">
        <v>1.0275456637262356E-5</v>
      </c>
      <c r="J641" s="231">
        <v>9.0062440483601274E-4</v>
      </c>
      <c r="K641" s="229">
        <v>12.0308233719849</v>
      </c>
      <c r="L641" s="229">
        <v>6.0423910296858603</v>
      </c>
      <c r="M641" s="229">
        <v>4.9860851286639596</v>
      </c>
      <c r="N641" s="229">
        <v>1.3412980622187201</v>
      </c>
      <c r="O641" s="205">
        <v>7.5859710831088035E-5</v>
      </c>
      <c r="P641" s="232">
        <v>108.58</v>
      </c>
      <c r="Q641" s="213"/>
      <c r="R641" s="235"/>
    </row>
    <row r="642" spans="1:18" ht="16.5" customHeight="1" x14ac:dyDescent="0.25">
      <c r="A642" s="230">
        <v>45180</v>
      </c>
      <c r="B642" s="128" t="s">
        <v>7</v>
      </c>
      <c r="C642" s="157" t="str">
        <f t="shared" si="19"/>
        <v>11.09.2023_STE1</v>
      </c>
      <c r="D642" s="190">
        <f t="shared" si="20"/>
        <v>0</v>
      </c>
      <c r="E642" s="231">
        <v>3.3624218353770774E-6</v>
      </c>
      <c r="F642" s="231">
        <v>9.9260251743575091E-4</v>
      </c>
      <c r="G642" s="231">
        <v>0.1126675854525909</v>
      </c>
      <c r="H642" s="231">
        <v>1.5556960061455048E-3</v>
      </c>
      <c r="I642" s="231">
        <v>5.9909832003766653E-6</v>
      </c>
      <c r="J642" s="231">
        <v>9.0918669911947214E-4</v>
      </c>
      <c r="K642" s="229">
        <v>20.1939797005994</v>
      </c>
      <c r="L642" s="229">
        <v>6.5984891145265401</v>
      </c>
      <c r="M642" s="229">
        <v>5.8326205223370904</v>
      </c>
      <c r="N642" s="229">
        <v>1.5776495874912799</v>
      </c>
      <c r="O642" s="205">
        <v>6.6968693518284914E-5</v>
      </c>
      <c r="P642" s="232">
        <v>141.51999999999998</v>
      </c>
      <c r="Q642" s="213"/>
      <c r="R642" s="235"/>
    </row>
    <row r="643" spans="1:18" ht="16.5" customHeight="1" x14ac:dyDescent="0.25">
      <c r="A643" s="230">
        <v>45180</v>
      </c>
      <c r="B643" s="128" t="s">
        <v>9</v>
      </c>
      <c r="C643" s="157" t="str">
        <f t="shared" si="19"/>
        <v>11.09.2023_STE2</v>
      </c>
      <c r="D643" s="190">
        <f t="shared" si="20"/>
        <v>0</v>
      </c>
      <c r="E643" s="231">
        <v>4.449521324153497E-6</v>
      </c>
      <c r="F643" s="231">
        <v>1.0124804115645624E-3</v>
      </c>
      <c r="G643" s="231">
        <v>0.12362424674548239</v>
      </c>
      <c r="H643" s="231">
        <v>3.9217900000466229E-3</v>
      </c>
      <c r="I643" s="231">
        <v>7.9335185998754761E-6</v>
      </c>
      <c r="J643" s="231">
        <v>5.0356615399612765E-3</v>
      </c>
      <c r="K643" s="229">
        <v>21.744226239440799</v>
      </c>
      <c r="L643" s="229">
        <v>6.9281221629792897</v>
      </c>
      <c r="M643" s="229">
        <v>6.3625104825472496</v>
      </c>
      <c r="N643" s="229">
        <v>1.61995225931913</v>
      </c>
      <c r="O643" s="205">
        <v>8.1541350294855132E-5</v>
      </c>
      <c r="P643" s="232">
        <v>149.816</v>
      </c>
      <c r="Q643" s="213"/>
      <c r="R643" s="235"/>
    </row>
    <row r="644" spans="1:18" ht="16.5" customHeight="1" x14ac:dyDescent="0.25">
      <c r="A644" s="230">
        <v>45208</v>
      </c>
      <c r="B644" s="128" t="s">
        <v>22</v>
      </c>
      <c r="C644" s="157" t="str">
        <f t="shared" si="19"/>
        <v>09.10.2023_BIE1</v>
      </c>
      <c r="D644" s="190">
        <f t="shared" si="20"/>
        <v>0</v>
      </c>
      <c r="E644" s="231">
        <v>1.0119590470301745E-5</v>
      </c>
      <c r="F644" s="231">
        <v>1.6441689978192427E-3</v>
      </c>
      <c r="G644" s="231">
        <v>7.7709173333564377E-2</v>
      </c>
      <c r="H644" s="231">
        <v>1.2025644884150596E-3</v>
      </c>
      <c r="I644" s="231">
        <v>1.6746541558973026E-5</v>
      </c>
      <c r="J644" s="231">
        <v>1.7517541321098614E-3</v>
      </c>
      <c r="K644" s="229">
        <v>14.2720675253211</v>
      </c>
      <c r="L644" s="229">
        <v>6.3610857256735702</v>
      </c>
      <c r="M644" s="229">
        <v>4.30819344726432</v>
      </c>
      <c r="N644" s="229">
        <v>3.186008999582</v>
      </c>
      <c r="O644" s="205">
        <v>1.0337755579354385E-4</v>
      </c>
      <c r="P644" s="232">
        <v>84.423999999999992</v>
      </c>
      <c r="Q644" s="213"/>
      <c r="R644" s="235"/>
    </row>
    <row r="645" spans="1:18" ht="16.5" customHeight="1" x14ac:dyDescent="0.25">
      <c r="A645" s="230">
        <v>45208</v>
      </c>
      <c r="B645" s="128" t="s">
        <v>25</v>
      </c>
      <c r="C645" s="157" t="str">
        <f t="shared" ref="C645:C708" si="21">CONCATENATE(TEXT(A645,"TT.MM.JJJJ"),"_",B645)</f>
        <v>09.10.2023_BIE2</v>
      </c>
      <c r="D645" s="190">
        <f t="shared" ref="D645:D708" si="22">COUNTBLANK(E645:P645)</f>
        <v>0</v>
      </c>
      <c r="E645" s="231">
        <v>2.5840841371644173E-5</v>
      </c>
      <c r="F645" s="231">
        <v>1.5747042458033032E-3</v>
      </c>
      <c r="G645" s="231">
        <v>7.6599309879708616E-2</v>
      </c>
      <c r="H645" s="231">
        <v>1.2147598556719E-3</v>
      </c>
      <c r="I645" s="231">
        <v>5.4401863933649565E-5</v>
      </c>
      <c r="J645" s="231">
        <v>7.114221500017396E-3</v>
      </c>
      <c r="K645" s="229">
        <v>12.0169469965992</v>
      </c>
      <c r="L645" s="229">
        <v>5.6733018731651796</v>
      </c>
      <c r="M645" s="229">
        <v>10.352721809453101</v>
      </c>
      <c r="N645" s="229">
        <v>3.0238282593144601</v>
      </c>
      <c r="O645" s="205">
        <v>1.3710351148140616E-4</v>
      </c>
      <c r="P645" s="232">
        <v>95.64800000000001</v>
      </c>
      <c r="Q645" s="213"/>
      <c r="R645" s="235"/>
    </row>
    <row r="646" spans="1:18" ht="16.5" customHeight="1" x14ac:dyDescent="0.25">
      <c r="A646" s="230">
        <v>45208</v>
      </c>
      <c r="B646" s="128" t="s">
        <v>14</v>
      </c>
      <c r="C646" s="157" t="str">
        <f t="shared" si="21"/>
        <v>09.10.2023_BRA1</v>
      </c>
      <c r="D646" s="190">
        <f t="shared" si="22"/>
        <v>0</v>
      </c>
      <c r="E646" s="231">
        <v>3.1074242748143577E-6</v>
      </c>
      <c r="F646" s="231">
        <v>6.5010345280349562E-4</v>
      </c>
      <c r="G646" s="231">
        <v>7.0293460429858484E-2</v>
      </c>
      <c r="H646" s="231">
        <v>1.0235798894430302E-3</v>
      </c>
      <c r="I646" s="231">
        <v>8.0292843484451132E-6</v>
      </c>
      <c r="J646" s="231">
        <v>6.1488347954546333E-4</v>
      </c>
      <c r="K646" s="229">
        <v>11.0007253767282</v>
      </c>
      <c r="L646" s="229">
        <v>6.8459073967666297</v>
      </c>
      <c r="M646" s="229">
        <v>4.4440596144620699</v>
      </c>
      <c r="N646" s="229">
        <v>1.2180930063019899</v>
      </c>
      <c r="O646" s="205">
        <v>1.0779998178951477E-4</v>
      </c>
      <c r="P646" s="232">
        <v>95.403999999999996</v>
      </c>
      <c r="Q646" s="213"/>
      <c r="R646" s="235"/>
    </row>
    <row r="647" spans="1:18" ht="16.5" customHeight="1" x14ac:dyDescent="0.25">
      <c r="A647" s="230">
        <v>45208</v>
      </c>
      <c r="B647" s="128" t="s">
        <v>17</v>
      </c>
      <c r="C647" s="157" t="str">
        <f t="shared" si="21"/>
        <v>09.10.2023_BRA2</v>
      </c>
      <c r="D647" s="190">
        <f t="shared" si="22"/>
        <v>0</v>
      </c>
      <c r="E647" s="231">
        <v>3.1687552880704262E-6</v>
      </c>
      <c r="F647" s="231">
        <v>7.1932188822528887E-4</v>
      </c>
      <c r="G647" s="231">
        <v>7.8107028921795815E-2</v>
      </c>
      <c r="H647" s="231">
        <v>1.1550044535330222E-3</v>
      </c>
      <c r="I647" s="231">
        <v>9.3487091548082159E-6</v>
      </c>
      <c r="J647" s="231">
        <v>5.1173520492051906E-4</v>
      </c>
      <c r="K647" s="229">
        <v>12.9509514944539</v>
      </c>
      <c r="L647" s="229">
        <v>7.6901553304400903</v>
      </c>
      <c r="M647" s="229">
        <v>4.8565715781862702</v>
      </c>
      <c r="N647" s="229">
        <v>1.49790122430808</v>
      </c>
      <c r="O647" s="205">
        <v>8.0323413412059628E-5</v>
      </c>
      <c r="P647" s="232">
        <v>94.183999999999997</v>
      </c>
      <c r="Q647" s="213"/>
      <c r="R647" s="235"/>
    </row>
    <row r="648" spans="1:18" ht="16.5" customHeight="1" x14ac:dyDescent="0.25">
      <c r="A648" s="230">
        <v>45208</v>
      </c>
      <c r="B648" s="128" t="s">
        <v>30</v>
      </c>
      <c r="C648" s="157" t="str">
        <f t="shared" si="21"/>
        <v>09.10.2023_FAL1</v>
      </c>
      <c r="D648" s="190">
        <f t="shared" si="22"/>
        <v>0</v>
      </c>
      <c r="E648" s="231">
        <v>3.1074242072366965E-6</v>
      </c>
      <c r="F648" s="231">
        <v>1.3919927489509836E-3</v>
      </c>
      <c r="G648" s="231">
        <v>0.21862988880808978</v>
      </c>
      <c r="H648" s="231">
        <v>2.5795911897244497E-3</v>
      </c>
      <c r="I648" s="231">
        <v>1.7603609975354586E-5</v>
      </c>
      <c r="J648" s="231">
        <v>1.4890004613068741E-3</v>
      </c>
      <c r="K648" s="229">
        <v>60.780476316858703</v>
      </c>
      <c r="L648" s="229">
        <v>16.148341551253299</v>
      </c>
      <c r="M648" s="229">
        <v>32.002583433022899</v>
      </c>
      <c r="N648" s="229">
        <v>7.5990981851800097</v>
      </c>
      <c r="O648" s="205">
        <v>1.6490179917770019E-4</v>
      </c>
      <c r="P648" s="232">
        <v>328.42400000000004</v>
      </c>
      <c r="Q648" s="213"/>
      <c r="R648" s="235"/>
    </row>
    <row r="649" spans="1:18" ht="16.5" customHeight="1" x14ac:dyDescent="0.25">
      <c r="A649" s="230">
        <v>45208</v>
      </c>
      <c r="B649" s="128" t="s">
        <v>32</v>
      </c>
      <c r="C649" s="157" t="str">
        <f t="shared" si="21"/>
        <v>09.10.2023_FAL2</v>
      </c>
      <c r="D649" s="190">
        <f t="shared" si="22"/>
        <v>0</v>
      </c>
      <c r="E649" s="231">
        <v>2.2692368967066836E-6</v>
      </c>
      <c r="F649" s="231">
        <v>1.0962501692925034E-3</v>
      </c>
      <c r="G649" s="231">
        <v>0.18795632497945783</v>
      </c>
      <c r="H649" s="231">
        <v>2.3624159619538071E-3</v>
      </c>
      <c r="I649" s="231">
        <v>2.5802188845657565E-5</v>
      </c>
      <c r="J649" s="231">
        <v>1.739579018873377E-3</v>
      </c>
      <c r="K649" s="229">
        <v>56.507135872265003</v>
      </c>
      <c r="L649" s="229">
        <v>16.035230404556799</v>
      </c>
      <c r="M649" s="229">
        <v>25.032357799683702</v>
      </c>
      <c r="N649" s="229">
        <v>6.2992329503487099</v>
      </c>
      <c r="O649" s="205">
        <v>2.1130187532542957E-4</v>
      </c>
      <c r="P649" s="232">
        <v>297.92400000000004</v>
      </c>
      <c r="Q649" s="213"/>
      <c r="R649" s="235"/>
    </row>
    <row r="650" spans="1:18" ht="16.5" customHeight="1" x14ac:dyDescent="0.25">
      <c r="A650" s="230">
        <v>45208</v>
      </c>
      <c r="B650" s="128" t="s">
        <v>26</v>
      </c>
      <c r="C650" s="157" t="str">
        <f t="shared" si="21"/>
        <v>09.10.2023_GRU1</v>
      </c>
      <c r="D650" s="190">
        <f t="shared" si="22"/>
        <v>0</v>
      </c>
      <c r="E650" s="231">
        <v>9.1587380366109509E-6</v>
      </c>
      <c r="F650" s="231">
        <v>9.2096184701991849E-4</v>
      </c>
      <c r="G650" s="231">
        <v>6.9304536001980041E-2</v>
      </c>
      <c r="H650" s="231">
        <v>1.9807002690364396E-3</v>
      </c>
      <c r="I650" s="231">
        <v>9.5855292080912949E-6</v>
      </c>
      <c r="J650" s="231">
        <v>1.525182101714973E-3</v>
      </c>
      <c r="K650" s="229">
        <v>10.559219998072701</v>
      </c>
      <c r="L650" s="229">
        <v>4.5344258230264698</v>
      </c>
      <c r="M650" s="229">
        <v>5.5680493345229003</v>
      </c>
      <c r="N650" s="229">
        <v>2.0008059289490299</v>
      </c>
      <c r="O650" s="205">
        <v>9.6169858915467728E-5</v>
      </c>
      <c r="P650" s="232">
        <v>61.731999999999999</v>
      </c>
      <c r="Q650" s="213"/>
      <c r="R650" s="235"/>
    </row>
    <row r="651" spans="1:18" ht="16.5" customHeight="1" x14ac:dyDescent="0.25">
      <c r="A651" s="230">
        <v>45208</v>
      </c>
      <c r="B651" s="128" t="s">
        <v>28</v>
      </c>
      <c r="C651" s="157" t="str">
        <f t="shared" si="21"/>
        <v>09.10.2023_GRU2</v>
      </c>
      <c r="D651" s="190">
        <f t="shared" si="22"/>
        <v>0</v>
      </c>
      <c r="E651" s="231">
        <v>5.5402138276500607E-6</v>
      </c>
      <c r="F651" s="231">
        <v>1.2071025283858202E-3</v>
      </c>
      <c r="G651" s="231">
        <v>7.880194808134923E-2</v>
      </c>
      <c r="H651" s="231">
        <v>1.7056719074828716E-3</v>
      </c>
      <c r="I651" s="231">
        <v>1.1401152346613619E-5</v>
      </c>
      <c r="J651" s="231">
        <v>1.408767005141952E-3</v>
      </c>
      <c r="K651" s="229">
        <v>13.590179393922901</v>
      </c>
      <c r="L651" s="229">
        <v>4.1325632077808701</v>
      </c>
      <c r="M651" s="229">
        <v>5.2619055500962597</v>
      </c>
      <c r="N651" s="229">
        <v>2.03823691577049</v>
      </c>
      <c r="O651" s="205">
        <v>1.1015892072545582E-4</v>
      </c>
      <c r="P651" s="232">
        <v>72.22399999999999</v>
      </c>
      <c r="Q651" s="213"/>
      <c r="R651" s="235"/>
    </row>
    <row r="652" spans="1:18" ht="16.5" customHeight="1" x14ac:dyDescent="0.25">
      <c r="A652" s="230">
        <v>45208</v>
      </c>
      <c r="B652" s="128" t="s">
        <v>0</v>
      </c>
      <c r="C652" s="157" t="str">
        <f t="shared" si="21"/>
        <v>09.10.2023_KIN1</v>
      </c>
      <c r="D652" s="190">
        <f t="shared" si="22"/>
        <v>0</v>
      </c>
      <c r="E652" s="231">
        <v>3.5776270720165983E-6</v>
      </c>
      <c r="F652" s="231">
        <v>1.0429797590598355E-3</v>
      </c>
      <c r="G652" s="231">
        <v>0.12506453552646785</v>
      </c>
      <c r="H652" s="231">
        <v>1.3480184846562206E-3</v>
      </c>
      <c r="I652" s="231">
        <v>2.5903685679086185E-5</v>
      </c>
      <c r="J652" s="231">
        <v>8.5517402211507723E-4</v>
      </c>
      <c r="K652" s="229">
        <v>29.292690167617099</v>
      </c>
      <c r="L652" s="229">
        <v>11.4362027199558</v>
      </c>
      <c r="M652" s="229">
        <v>5.1989624549226203</v>
      </c>
      <c r="N652" s="229">
        <v>1.93724948632204</v>
      </c>
      <c r="O652" s="205">
        <v>9.5017520067798222E-5</v>
      </c>
      <c r="P652" s="232">
        <v>189.1</v>
      </c>
      <c r="Q652" s="213"/>
      <c r="R652" s="235"/>
    </row>
    <row r="653" spans="1:18" ht="16.5" customHeight="1" x14ac:dyDescent="0.25">
      <c r="A653" s="230">
        <v>45208</v>
      </c>
      <c r="B653" s="128" t="s">
        <v>2</v>
      </c>
      <c r="C653" s="157" t="str">
        <f t="shared" si="21"/>
        <v>09.10.2023_KIN2</v>
      </c>
      <c r="D653" s="190">
        <f t="shared" si="22"/>
        <v>0</v>
      </c>
      <c r="E653" s="231">
        <v>4.3340404057813687E-6</v>
      </c>
      <c r="F653" s="231">
        <v>7.7220818170200081E-4</v>
      </c>
      <c r="G653" s="231">
        <v>0.14456094882945647</v>
      </c>
      <c r="H653" s="231">
        <v>1.4680852762407842E-3</v>
      </c>
      <c r="I653" s="231">
        <v>1.4152782485177518E-5</v>
      </c>
      <c r="J653" s="231">
        <v>2.7644696274050375E-3</v>
      </c>
      <c r="K653" s="229">
        <v>34.549695514659</v>
      </c>
      <c r="L653" s="229">
        <v>12.4205811931278</v>
      </c>
      <c r="M653" s="229">
        <v>5.0886511530010399</v>
      </c>
      <c r="N653" s="229">
        <v>2.3590528213669399</v>
      </c>
      <c r="O653" s="205">
        <v>8.5507529531009366E-5</v>
      </c>
      <c r="P653" s="232">
        <v>224.23600000000002</v>
      </c>
      <c r="Q653" s="213"/>
      <c r="R653" s="235"/>
    </row>
    <row r="654" spans="1:18" ht="16.5" customHeight="1" x14ac:dyDescent="0.25">
      <c r="A654" s="230">
        <v>45208</v>
      </c>
      <c r="B654" s="128" t="s">
        <v>4</v>
      </c>
      <c r="C654" s="157" t="str">
        <f t="shared" si="21"/>
        <v>09.10.2023_KIN3</v>
      </c>
      <c r="D654" s="190">
        <f t="shared" si="22"/>
        <v>0</v>
      </c>
      <c r="E654" s="231">
        <v>3.2709730869764525E-6</v>
      </c>
      <c r="F654" s="231">
        <v>8.7568923114271838E-4</v>
      </c>
      <c r="G654" s="231">
        <v>0.14429698715618919</v>
      </c>
      <c r="H654" s="231">
        <v>1.6326761692728197E-3</v>
      </c>
      <c r="I654" s="231">
        <v>8.8299611292012661E-6</v>
      </c>
      <c r="J654" s="231">
        <v>1.7842555122799192E-3</v>
      </c>
      <c r="K654" s="229">
        <v>33.454691213854296</v>
      </c>
      <c r="L654" s="229">
        <v>12.357836035592801</v>
      </c>
      <c r="M654" s="229">
        <v>5.8352926932997704</v>
      </c>
      <c r="N654" s="229">
        <v>2.2166054663499399</v>
      </c>
      <c r="O654" s="205">
        <v>8.7252349377219806E-5</v>
      </c>
      <c r="P654" s="232">
        <v>221.79600000000002</v>
      </c>
      <c r="Q654" s="213"/>
      <c r="R654" s="235"/>
    </row>
    <row r="655" spans="1:18" ht="16.5" customHeight="1" x14ac:dyDescent="0.25">
      <c r="A655" s="230">
        <v>45208</v>
      </c>
      <c r="B655" s="128" t="s">
        <v>6</v>
      </c>
      <c r="C655" s="157" t="str">
        <f t="shared" si="21"/>
        <v>09.10.2023_KIN4</v>
      </c>
      <c r="D655" s="190">
        <f t="shared" si="22"/>
        <v>0</v>
      </c>
      <c r="E655" s="231">
        <v>4.6611379347020073E-6</v>
      </c>
      <c r="F655" s="231">
        <v>6.9944690762332637E-4</v>
      </c>
      <c r="G655" s="231">
        <v>0.13739617265344972</v>
      </c>
      <c r="H655" s="231">
        <v>1.6169232224149924E-3</v>
      </c>
      <c r="I655" s="231">
        <v>1.379191444028063E-5</v>
      </c>
      <c r="J655" s="231">
        <v>2.6242791269927945E-3</v>
      </c>
      <c r="K655" s="229">
        <v>33.596293635227198</v>
      </c>
      <c r="L655" s="229">
        <v>12.7379363082457</v>
      </c>
      <c r="M655" s="229">
        <v>18.875505206381501</v>
      </c>
      <c r="N655" s="229">
        <v>2.5346949777723502</v>
      </c>
      <c r="O655" s="205">
        <v>1.0123875742759616E-4</v>
      </c>
      <c r="P655" s="232">
        <v>228.14000000000001</v>
      </c>
      <c r="Q655" s="213"/>
      <c r="R655" s="235"/>
    </row>
    <row r="656" spans="1:18" ht="16.5" customHeight="1" x14ac:dyDescent="0.25">
      <c r="A656" s="230">
        <v>45208</v>
      </c>
      <c r="B656" s="128" t="s">
        <v>34</v>
      </c>
      <c r="C656" s="157" t="str">
        <f t="shared" si="21"/>
        <v>09.10.2023_KRE1</v>
      </c>
      <c r="D656" s="190">
        <f t="shared" si="22"/>
        <v>0</v>
      </c>
      <c r="E656" s="231">
        <v>4.5384767191203919E-6</v>
      </c>
      <c r="F656" s="231">
        <v>7.8260279894207328E-4</v>
      </c>
      <c r="G656" s="231">
        <v>0.20409528855644371</v>
      </c>
      <c r="H656" s="231">
        <v>2.6234238175301778E-3</v>
      </c>
      <c r="I656" s="231">
        <v>1.6261620233417034E-5</v>
      </c>
      <c r="J656" s="231">
        <v>1.5363384232491254E-3</v>
      </c>
      <c r="K656" s="229">
        <v>61.607090308629701</v>
      </c>
      <c r="L656" s="229">
        <v>16.537749444421401</v>
      </c>
      <c r="M656" s="229">
        <v>37.373246117594199</v>
      </c>
      <c r="N656" s="229">
        <v>7.1586283626798499</v>
      </c>
      <c r="O656" s="205">
        <v>2.0156617056461891E-4</v>
      </c>
      <c r="P656" s="232">
        <v>315.49199999999996</v>
      </c>
      <c r="Q656" s="213"/>
      <c r="R656" s="235"/>
    </row>
    <row r="657" spans="1:21" ht="16.5" customHeight="1" x14ac:dyDescent="0.25">
      <c r="A657" s="230">
        <v>45208</v>
      </c>
      <c r="B657" s="128" t="s">
        <v>37</v>
      </c>
      <c r="C657" s="157" t="str">
        <f t="shared" si="21"/>
        <v>09.10.2023_KRE2</v>
      </c>
      <c r="D657" s="190">
        <f t="shared" si="22"/>
        <v>0</v>
      </c>
      <c r="E657" s="231">
        <v>3.3323042592383129E-6</v>
      </c>
      <c r="F657" s="231">
        <v>1.6780486914557294E-3</v>
      </c>
      <c r="G657" s="231">
        <v>0.20792587309964683</v>
      </c>
      <c r="H657" s="231">
        <v>2.9901318688594736E-3</v>
      </c>
      <c r="I657" s="231">
        <v>1.2201830938616128E-5</v>
      </c>
      <c r="J657" s="231">
        <v>1.1144276192998973E-3</v>
      </c>
      <c r="K657" s="229">
        <v>63.009685151138299</v>
      </c>
      <c r="L657" s="229">
        <v>17.4340283633009</v>
      </c>
      <c r="M657" s="229">
        <v>35.999937066181403</v>
      </c>
      <c r="N657" s="229">
        <v>7.0773853780751104</v>
      </c>
      <c r="O657" s="205">
        <v>2.9313076063898936E-4</v>
      </c>
      <c r="P657" s="232">
        <v>292.31200000000001</v>
      </c>
      <c r="Q657" s="213"/>
      <c r="R657" s="235"/>
    </row>
    <row r="658" spans="1:21" ht="16.5" customHeight="1" x14ac:dyDescent="0.25">
      <c r="A658" s="230">
        <v>45208</v>
      </c>
      <c r="B658" s="128" t="s">
        <v>18</v>
      </c>
      <c r="C658" s="157" t="str">
        <f t="shared" si="21"/>
        <v>09.10.2023_ORB1</v>
      </c>
      <c r="D658" s="190">
        <f t="shared" si="22"/>
        <v>0</v>
      </c>
      <c r="E658" s="231">
        <v>6.4601772058743284E-6</v>
      </c>
      <c r="F658" s="231">
        <v>1.0135260654042209E-3</v>
      </c>
      <c r="G658" s="231">
        <v>5.885209372505721E-2</v>
      </c>
      <c r="H658" s="231">
        <v>8.8118941479910489E-4</v>
      </c>
      <c r="I658" s="231">
        <v>1.3408488323265826E-5</v>
      </c>
      <c r="J658" s="231">
        <v>2.1477436021133528E-3</v>
      </c>
      <c r="K658" s="229">
        <v>7.6902386097132096</v>
      </c>
      <c r="L658" s="229">
        <v>1.49635384189358</v>
      </c>
      <c r="M658" s="229">
        <v>5.0384576888346402</v>
      </c>
      <c r="N658" s="229">
        <v>3.1215804152047002</v>
      </c>
      <c r="O658" s="205">
        <v>3.34690941752766E-5</v>
      </c>
      <c r="P658" s="232">
        <v>25.864000000000001</v>
      </c>
      <c r="Q658" s="213"/>
      <c r="R658" s="235"/>
    </row>
    <row r="659" spans="1:21" ht="16.5" customHeight="1" x14ac:dyDescent="0.25">
      <c r="A659" s="230">
        <v>45208</v>
      </c>
      <c r="B659" s="128" t="s">
        <v>21</v>
      </c>
      <c r="C659" s="157" t="str">
        <f t="shared" si="21"/>
        <v>09.10.2023_ORB2</v>
      </c>
      <c r="D659" s="190">
        <f t="shared" si="22"/>
        <v>0</v>
      </c>
      <c r="E659" s="231">
        <v>8.0138941651423561E-6</v>
      </c>
      <c r="F659" s="231">
        <v>8.8406069632571572E-4</v>
      </c>
      <c r="G659" s="231">
        <v>6.8028531338227644E-2</v>
      </c>
      <c r="H659" s="231">
        <v>1.1647212972330818E-3</v>
      </c>
      <c r="I659" s="231">
        <v>1.1107944571857351E-5</v>
      </c>
      <c r="J659" s="231">
        <v>3.7703947674430907E-3</v>
      </c>
      <c r="K659" s="229">
        <v>10.467320304769901</v>
      </c>
      <c r="L659" s="229">
        <v>2.0353795923085798</v>
      </c>
      <c r="M659" s="229">
        <v>12.1374697709579</v>
      </c>
      <c r="N659" s="229">
        <v>3.6033993175349299</v>
      </c>
      <c r="O659" s="205">
        <v>5.1787437167388801E-5</v>
      </c>
      <c r="P659" s="232">
        <v>29.524000000000001</v>
      </c>
      <c r="Q659" s="213"/>
      <c r="R659" s="235"/>
    </row>
    <row r="660" spans="1:21" ht="16.5" customHeight="1" x14ac:dyDescent="0.25">
      <c r="A660" s="230">
        <v>45208</v>
      </c>
      <c r="B660" s="128" t="s">
        <v>10</v>
      </c>
      <c r="C660" s="157" t="str">
        <f t="shared" si="21"/>
        <v>09.10.2023_SAL1</v>
      </c>
      <c r="D660" s="190">
        <f t="shared" si="22"/>
        <v>0</v>
      </c>
      <c r="E660" s="231">
        <v>6.030861341402912E-6</v>
      </c>
      <c r="F660" s="231">
        <v>8.8921063509330659E-4</v>
      </c>
      <c r="G660" s="231">
        <v>8.6680478121692134E-2</v>
      </c>
      <c r="H660" s="231">
        <v>1.3886173955181362E-3</v>
      </c>
      <c r="I660" s="231">
        <v>8.9652860528924629E-6</v>
      </c>
      <c r="J660" s="231">
        <v>8.1634508030089972E-4</v>
      </c>
      <c r="K660" s="229">
        <v>15.8639730695326</v>
      </c>
      <c r="L660" s="229">
        <v>9.5897848968201806</v>
      </c>
      <c r="M660" s="229">
        <v>6.9448294674368602</v>
      </c>
      <c r="N660" s="229">
        <v>1.80632913820379</v>
      </c>
      <c r="O660" s="205">
        <v>8.8649789640984854E-5</v>
      </c>
      <c r="P660" s="232">
        <v>112.72800000000001</v>
      </c>
      <c r="Q660" s="213"/>
      <c r="R660" s="235"/>
    </row>
    <row r="661" spans="1:21" ht="16.5" customHeight="1" x14ac:dyDescent="0.25">
      <c r="A661" s="230">
        <v>45208</v>
      </c>
      <c r="B661" s="128" t="s">
        <v>12</v>
      </c>
      <c r="C661" s="157" t="str">
        <f t="shared" si="21"/>
        <v>09.10.2023_SAL2</v>
      </c>
      <c r="D661" s="190">
        <f t="shared" si="22"/>
        <v>0</v>
      </c>
      <c r="E661" s="231">
        <v>5.3357773433792618E-6</v>
      </c>
      <c r="F661" s="231">
        <v>8.0374438834684904E-4</v>
      </c>
      <c r="G661" s="231">
        <v>8.7618322198225351E-2</v>
      </c>
      <c r="H661" s="231">
        <v>1.4082789960752915E-3</v>
      </c>
      <c r="I661" s="231">
        <v>1.211161333533539E-5</v>
      </c>
      <c r="J661" s="231">
        <v>5.9143286177341958E-4</v>
      </c>
      <c r="K661" s="229">
        <v>17.401315456506499</v>
      </c>
      <c r="L661" s="229">
        <v>9.8957160692292199</v>
      </c>
      <c r="M661" s="229">
        <v>6.7699655180715901</v>
      </c>
      <c r="N661" s="229">
        <v>1.7961667269258399</v>
      </c>
      <c r="O661" s="205">
        <v>7.8997443156106852E-5</v>
      </c>
      <c r="P661" s="232">
        <v>117.85199999999999</v>
      </c>
      <c r="Q661" s="213"/>
      <c r="R661" s="235"/>
    </row>
    <row r="662" spans="1:21" ht="16.5" customHeight="1" x14ac:dyDescent="0.25">
      <c r="A662" s="230">
        <v>45208</v>
      </c>
      <c r="B662" s="128" t="s">
        <v>7</v>
      </c>
      <c r="C662" s="157" t="str">
        <f t="shared" si="21"/>
        <v>09.10.2023_STE1</v>
      </c>
      <c r="D662" s="190">
        <f t="shared" si="22"/>
        <v>0</v>
      </c>
      <c r="E662" s="231">
        <v>4.3749280619893576E-6</v>
      </c>
      <c r="F662" s="231">
        <v>1.6109438786597527E-3</v>
      </c>
      <c r="G662" s="231">
        <v>0.12146753305296158</v>
      </c>
      <c r="H662" s="231">
        <v>1.6558141357895905E-3</v>
      </c>
      <c r="I662" s="231">
        <v>7.9503442846359278E-6</v>
      </c>
      <c r="J662" s="231">
        <v>1.1156162207534958E-3</v>
      </c>
      <c r="K662" s="229">
        <v>31.246517167230699</v>
      </c>
      <c r="L662" s="229">
        <v>10.4651909463298</v>
      </c>
      <c r="M662" s="229">
        <v>7.4072713636476699</v>
      </c>
      <c r="N662" s="229">
        <v>1.79115757782268</v>
      </c>
      <c r="O662" s="205">
        <v>7.4313115359443777E-5</v>
      </c>
      <c r="P662" s="232">
        <v>170.06799999999998</v>
      </c>
      <c r="Q662" s="213"/>
      <c r="R662" s="235"/>
    </row>
    <row r="663" spans="1:21" ht="16.5" customHeight="1" x14ac:dyDescent="0.25">
      <c r="A663" s="230">
        <v>45208</v>
      </c>
      <c r="B663" s="128" t="s">
        <v>9</v>
      </c>
      <c r="C663" s="157" t="str">
        <f t="shared" si="21"/>
        <v>09.10.2023_STE2</v>
      </c>
      <c r="D663" s="190">
        <f t="shared" si="22"/>
        <v>0</v>
      </c>
      <c r="E663" s="231">
        <v>3.9864994283838439E-6</v>
      </c>
      <c r="F663" s="231">
        <v>1.1358941067197597E-3</v>
      </c>
      <c r="G663" s="231">
        <v>0.12000316440176685</v>
      </c>
      <c r="H663" s="231">
        <v>1.5821468851933873E-3</v>
      </c>
      <c r="I663" s="231">
        <v>7.2962716182061069E-6</v>
      </c>
      <c r="J663" s="231">
        <v>1.1005445242704473E-3</v>
      </c>
      <c r="K663" s="229">
        <v>29.6236435690811</v>
      </c>
      <c r="L663" s="229">
        <v>10.574362074836699</v>
      </c>
      <c r="M663" s="229">
        <v>7.3832991515215598</v>
      </c>
      <c r="N663" s="229">
        <v>1.75543281224637</v>
      </c>
      <c r="O663" s="205">
        <v>7.9429630734365359E-5</v>
      </c>
      <c r="P663" s="232">
        <v>161.77200000000002</v>
      </c>
      <c r="Q663" s="213"/>
      <c r="R663" s="235"/>
      <c r="T663" s="196"/>
      <c r="U663" s="196"/>
    </row>
    <row r="664" spans="1:21" ht="16.5" customHeight="1" x14ac:dyDescent="0.25">
      <c r="A664" s="230">
        <v>45236</v>
      </c>
      <c r="B664" s="128" t="s">
        <v>22</v>
      </c>
      <c r="C664" s="157" t="str">
        <f t="shared" si="21"/>
        <v>06.11.2023_BIE1</v>
      </c>
      <c r="D664" s="190">
        <f t="shared" si="22"/>
        <v>0</v>
      </c>
      <c r="E664" s="231">
        <v>2.1531242072617672E-5</v>
      </c>
      <c r="F664" s="231">
        <v>2.6919604747571275E-3</v>
      </c>
      <c r="G664" s="231">
        <v>9.4952283734189263E-2</v>
      </c>
      <c r="H664" s="231">
        <v>2.0588218754845557E-3</v>
      </c>
      <c r="I664" s="231">
        <v>2.9196212990177652E-5</v>
      </c>
      <c r="J664" s="231">
        <v>2.513037640646182E-3</v>
      </c>
      <c r="K664" s="229">
        <v>21.632016576694099</v>
      </c>
      <c r="L664" s="229">
        <v>10.341091139542799</v>
      </c>
      <c r="M664" s="229">
        <v>8.1175820286580294</v>
      </c>
      <c r="N664" s="229">
        <v>3.54211262504578</v>
      </c>
      <c r="O664" s="205">
        <v>1.814056035282328E-4</v>
      </c>
      <c r="P664" s="232">
        <v>72.468000000000004</v>
      </c>
      <c r="Q664" s="213"/>
      <c r="R664" s="235"/>
    </row>
    <row r="665" spans="1:21" ht="16.5" customHeight="1" x14ac:dyDescent="0.25">
      <c r="A665" s="230">
        <v>45236</v>
      </c>
      <c r="B665" s="128" t="s">
        <v>25</v>
      </c>
      <c r="C665" s="157" t="str">
        <f t="shared" si="21"/>
        <v>06.11.2023_BIE2</v>
      </c>
      <c r="D665" s="190">
        <f t="shared" si="22"/>
        <v>0</v>
      </c>
      <c r="E665" s="231">
        <v>1.4496958374608729E-5</v>
      </c>
      <c r="F665" s="231">
        <v>2.3214191581993602E-3</v>
      </c>
      <c r="G665" s="231">
        <v>9.0668451747107331E-2</v>
      </c>
      <c r="H665" s="231">
        <v>1.9527911252607108E-3</v>
      </c>
      <c r="I665" s="231">
        <v>2.5122516669088804E-5</v>
      </c>
      <c r="J665" s="231">
        <v>2.1929104105288134E-3</v>
      </c>
      <c r="K665" s="229">
        <v>20.523035081530299</v>
      </c>
      <c r="L665" s="229">
        <v>10.0650188178866</v>
      </c>
      <c r="M665" s="229">
        <v>8.1088389497070299</v>
      </c>
      <c r="N665" s="229">
        <v>3.3921240453708199</v>
      </c>
      <c r="O665" s="205">
        <v>1.9151928873619098E-4</v>
      </c>
      <c r="P665" s="232">
        <v>72.22399999999999</v>
      </c>
      <c r="Q665" s="213"/>
      <c r="R665" s="235"/>
    </row>
    <row r="666" spans="1:21" ht="16.5" customHeight="1" x14ac:dyDescent="0.25">
      <c r="A666" s="230">
        <v>45236</v>
      </c>
      <c r="B666" s="128" t="s">
        <v>14</v>
      </c>
      <c r="C666" s="157" t="str">
        <f t="shared" si="21"/>
        <v>06.11.2023_BRA1</v>
      </c>
      <c r="D666" s="190">
        <f t="shared" si="22"/>
        <v>0</v>
      </c>
      <c r="E666" s="231">
        <v>9.3730200906002818E-6</v>
      </c>
      <c r="F666" s="231">
        <v>1.8865608940525258E-3</v>
      </c>
      <c r="G666" s="231">
        <v>7.8746974654283486E-2</v>
      </c>
      <c r="H666" s="231">
        <v>1.9838616175779141E-3</v>
      </c>
      <c r="I666" s="231">
        <v>1.9134324655909849E-5</v>
      </c>
      <c r="J666" s="231">
        <v>1.4910912029777441E-3</v>
      </c>
      <c r="K666" s="229">
        <v>15.1854345616975</v>
      </c>
      <c r="L666" s="229">
        <v>10.141087078197801</v>
      </c>
      <c r="M666" s="229">
        <v>7.8438964507583702</v>
      </c>
      <c r="N666" s="229">
        <v>1.57487962104118</v>
      </c>
      <c r="O666" s="205">
        <v>1.8578954653410991E-4</v>
      </c>
      <c r="P666" s="232">
        <v>55.632000000000005</v>
      </c>
      <c r="Q666" s="213"/>
      <c r="R666" s="235"/>
    </row>
    <row r="667" spans="1:21" ht="16.5" customHeight="1" x14ac:dyDescent="0.25">
      <c r="A667" s="230">
        <v>45236</v>
      </c>
      <c r="B667" s="128" t="s">
        <v>17</v>
      </c>
      <c r="C667" s="157" t="str">
        <f t="shared" si="21"/>
        <v>06.11.2023_BRA2</v>
      </c>
      <c r="D667" s="190">
        <f t="shared" si="22"/>
        <v>0</v>
      </c>
      <c r="E667" s="231">
        <v>6.2486732493221493E-6</v>
      </c>
      <c r="F667" s="231">
        <v>1.3693698770358724E-3</v>
      </c>
      <c r="G667" s="231">
        <v>8.3332905603091645E-2</v>
      </c>
      <c r="H667" s="231">
        <v>1.976343875286367E-3</v>
      </c>
      <c r="I667" s="231">
        <v>1.6900724497714528E-5</v>
      </c>
      <c r="J667" s="231">
        <v>1.4815266768155976E-3</v>
      </c>
      <c r="K667" s="229">
        <v>16.842548954368201</v>
      </c>
      <c r="L667" s="229">
        <v>11.0217795756291</v>
      </c>
      <c r="M667" s="229">
        <v>8.4613479179675704</v>
      </c>
      <c r="N667" s="229">
        <v>1.6661077845147201</v>
      </c>
      <c r="O667" s="205">
        <v>1.181825957794324E-4</v>
      </c>
      <c r="P667" s="232">
        <v>58.559999999999995</v>
      </c>
      <c r="Q667" s="213"/>
      <c r="R667" s="235"/>
    </row>
    <row r="668" spans="1:21" ht="16.5" customHeight="1" x14ac:dyDescent="0.25">
      <c r="A668" s="230">
        <v>45236</v>
      </c>
      <c r="B668" s="128" t="s">
        <v>30</v>
      </c>
      <c r="C668" s="157" t="str">
        <f t="shared" si="21"/>
        <v>06.11.2023_FAL1</v>
      </c>
      <c r="D668" s="190">
        <f t="shared" si="22"/>
        <v>12</v>
      </c>
      <c r="E668" s="231"/>
      <c r="F668" s="231"/>
      <c r="G668" s="231"/>
      <c r="H668" s="231"/>
      <c r="I668" s="231"/>
      <c r="J668" s="231"/>
      <c r="K668" s="229"/>
      <c r="L668" s="229"/>
      <c r="M668" s="229"/>
      <c r="N668" s="229"/>
      <c r="O668" s="205"/>
      <c r="P668" s="232"/>
      <c r="Q668" s="213"/>
      <c r="R668" s="235" t="s">
        <v>441</v>
      </c>
    </row>
    <row r="669" spans="1:21" ht="16.5" customHeight="1" x14ac:dyDescent="0.25">
      <c r="A669" s="230">
        <v>45236</v>
      </c>
      <c r="B669" s="128" t="s">
        <v>32</v>
      </c>
      <c r="C669" s="157" t="str">
        <f t="shared" si="21"/>
        <v>06.11.2023_FAL2</v>
      </c>
      <c r="D669" s="190">
        <f t="shared" si="22"/>
        <v>0</v>
      </c>
      <c r="E669" s="231">
        <v>6.2665281476701358E-6</v>
      </c>
      <c r="F669" s="231">
        <v>1.2871342670189097E-3</v>
      </c>
      <c r="G669" s="231">
        <v>0.23357722160035829</v>
      </c>
      <c r="H669" s="231">
        <v>2.7986734966604192E-3</v>
      </c>
      <c r="I669" s="231">
        <v>4.1162125784251264E-5</v>
      </c>
      <c r="J669" s="231">
        <v>2.3978848074566158E-3</v>
      </c>
      <c r="K669" s="229">
        <v>100.458204725486</v>
      </c>
      <c r="L669" s="229">
        <v>30.558264806366299</v>
      </c>
      <c r="M669" s="229">
        <v>34.904226577924597</v>
      </c>
      <c r="N669" s="229">
        <v>7.3583868419210496</v>
      </c>
      <c r="O669" s="205">
        <v>1.4238337102149222E-4</v>
      </c>
      <c r="P669" s="232">
        <v>253.51599999999999</v>
      </c>
      <c r="Q669" s="213"/>
      <c r="R669" s="235"/>
    </row>
    <row r="670" spans="1:21" ht="16.5" customHeight="1" x14ac:dyDescent="0.25">
      <c r="A670" s="230">
        <v>45236</v>
      </c>
      <c r="B670" s="128" t="s">
        <v>26</v>
      </c>
      <c r="C670" s="157" t="str">
        <f t="shared" si="21"/>
        <v>06.11.2023_GRU1</v>
      </c>
      <c r="D670" s="190">
        <f t="shared" si="22"/>
        <v>0</v>
      </c>
      <c r="E670" s="231">
        <v>9.872914458073944E-6</v>
      </c>
      <c r="F670" s="231">
        <v>1.2966039326999753E-3</v>
      </c>
      <c r="G670" s="231">
        <v>8.2018531301794373E-2</v>
      </c>
      <c r="H670" s="231">
        <v>3.0773417788628309E-3</v>
      </c>
      <c r="I670" s="231">
        <v>1.6188103327339921E-5</v>
      </c>
      <c r="J670" s="231">
        <v>1.3063782738168561E-3</v>
      </c>
      <c r="K670" s="229">
        <v>18.262129660864399</v>
      </c>
      <c r="L670" s="229">
        <v>10.072056905357799</v>
      </c>
      <c r="M670" s="229">
        <v>9.5854864543318801</v>
      </c>
      <c r="N670" s="229">
        <v>2.3461086399755899</v>
      </c>
      <c r="O670" s="205">
        <v>9.9539233605628924E-5</v>
      </c>
      <c r="P670" s="232">
        <v>57.096000000000004</v>
      </c>
      <c r="Q670" s="213"/>
      <c r="R670" s="235"/>
    </row>
    <row r="671" spans="1:21" ht="16.5" customHeight="1" x14ac:dyDescent="0.25">
      <c r="A671" s="230">
        <v>45236</v>
      </c>
      <c r="B671" s="128" t="s">
        <v>28</v>
      </c>
      <c r="C671" s="157" t="str">
        <f t="shared" si="21"/>
        <v>06.11.2023_GRU2</v>
      </c>
      <c r="D671" s="190">
        <f t="shared" si="22"/>
        <v>0</v>
      </c>
      <c r="E671" s="231">
        <v>8.6053232261917291E-6</v>
      </c>
      <c r="F671" s="231">
        <v>1.0420323561804079E-3</v>
      </c>
      <c r="G671" s="231">
        <v>9.4842829922232391E-2</v>
      </c>
      <c r="H671" s="231">
        <v>2.9063891087671417E-3</v>
      </c>
      <c r="I671" s="231">
        <v>1.3699245017884593E-5</v>
      </c>
      <c r="J671" s="231">
        <v>1.1449335645410648E-3</v>
      </c>
      <c r="K671" s="229">
        <v>21.6427043071774</v>
      </c>
      <c r="L671" s="229">
        <v>10.186966615468201</v>
      </c>
      <c r="M671" s="229">
        <v>8.9238813794976402</v>
      </c>
      <c r="N671" s="229">
        <v>2.3547855174344501</v>
      </c>
      <c r="O671" s="205">
        <v>1.1971156789298931E-4</v>
      </c>
      <c r="P671" s="232">
        <v>61.244</v>
      </c>
      <c r="Q671" s="213"/>
      <c r="R671" s="235"/>
    </row>
    <row r="672" spans="1:21" ht="16.5" customHeight="1" x14ac:dyDescent="0.25">
      <c r="A672" s="230">
        <v>45236</v>
      </c>
      <c r="B672" s="128" t="s">
        <v>0</v>
      </c>
      <c r="C672" s="157" t="str">
        <f t="shared" si="21"/>
        <v>06.11.2023_KIN1</v>
      </c>
      <c r="D672" s="190">
        <f t="shared" si="22"/>
        <v>0</v>
      </c>
      <c r="E672" s="231">
        <v>6.4272079302112176E-6</v>
      </c>
      <c r="F672" s="231">
        <v>1.2608256328821706E-3</v>
      </c>
      <c r="G672" s="231">
        <v>0.15262618646668288</v>
      </c>
      <c r="H672" s="231">
        <v>1.9667311354776267E-3</v>
      </c>
      <c r="I672" s="231">
        <v>1.2188915052831339E-5</v>
      </c>
      <c r="J672" s="231">
        <v>3.0509036962447708E-3</v>
      </c>
      <c r="K672" s="229">
        <v>59.430395365290202</v>
      </c>
      <c r="L672" s="229">
        <v>20.152650414447301</v>
      </c>
      <c r="M672" s="229">
        <v>10.939869557499099</v>
      </c>
      <c r="N672" s="229">
        <v>2.73946833262278</v>
      </c>
      <c r="O672" s="205">
        <v>1.0624995710350059E-4</v>
      </c>
      <c r="P672" s="232">
        <v>159.33199999999999</v>
      </c>
      <c r="Q672" s="213"/>
      <c r="R672" s="235"/>
    </row>
    <row r="673" spans="1:18" ht="16.5" customHeight="1" x14ac:dyDescent="0.25">
      <c r="A673" s="230">
        <v>45236</v>
      </c>
      <c r="B673" s="128" t="s">
        <v>2</v>
      </c>
      <c r="C673" s="157" t="str">
        <f t="shared" si="21"/>
        <v>06.11.2023_KIN2</v>
      </c>
      <c r="D673" s="190">
        <f t="shared" si="22"/>
        <v>0</v>
      </c>
      <c r="E673" s="231">
        <v>4.2133882669667828E-6</v>
      </c>
      <c r="F673" s="231">
        <v>1.0293399152543469E-3</v>
      </c>
      <c r="G673" s="231">
        <v>0.13737843234997615</v>
      </c>
      <c r="H673" s="231">
        <v>1.6126477472720726E-3</v>
      </c>
      <c r="I673" s="231">
        <v>1.1806015713740629E-5</v>
      </c>
      <c r="J673" s="231">
        <v>1.9791879473347101E-3</v>
      </c>
      <c r="K673" s="229">
        <v>54.412547574528197</v>
      </c>
      <c r="L673" s="229">
        <v>24.3488285318126</v>
      </c>
      <c r="M673" s="229">
        <v>10.7476939300256</v>
      </c>
      <c r="N673" s="229">
        <v>2.8820642910209799</v>
      </c>
      <c r="O673" s="205">
        <v>8.2136572414584185E-5</v>
      </c>
      <c r="P673" s="232">
        <v>155.184</v>
      </c>
      <c r="Q673" s="213"/>
      <c r="R673" s="235"/>
    </row>
    <row r="674" spans="1:18" ht="16.5" customHeight="1" x14ac:dyDescent="0.25">
      <c r="A674" s="230">
        <v>45236</v>
      </c>
      <c r="B674" s="128" t="s">
        <v>4</v>
      </c>
      <c r="C674" s="157" t="str">
        <f t="shared" si="21"/>
        <v>06.11.2023_KIN3</v>
      </c>
      <c r="D674" s="190">
        <f t="shared" si="22"/>
        <v>0</v>
      </c>
      <c r="E674" s="231">
        <v>4.3919221667683609E-6</v>
      </c>
      <c r="F674" s="231">
        <v>1.102591923111405E-3</v>
      </c>
      <c r="G674" s="231">
        <v>0.14076667435444187</v>
      </c>
      <c r="H674" s="231">
        <v>2.2785227976729488E-3</v>
      </c>
      <c r="I674" s="231">
        <v>1.0444593907927331E-5</v>
      </c>
      <c r="J674" s="231">
        <v>2.2834175190676858E-3</v>
      </c>
      <c r="K674" s="229">
        <v>58.865745327511</v>
      </c>
      <c r="L674" s="229">
        <v>22.8124697345919</v>
      </c>
      <c r="M674" s="229">
        <v>11.9744546886572</v>
      </c>
      <c r="N674" s="229">
        <v>2.4325267873880199</v>
      </c>
      <c r="O674" s="205">
        <v>9.707576157661754E-5</v>
      </c>
      <c r="P674" s="232">
        <v>165.67600000000002</v>
      </c>
      <c r="Q674" s="213"/>
      <c r="R674" s="235"/>
    </row>
    <row r="675" spans="1:18" ht="16.5" customHeight="1" x14ac:dyDescent="0.25">
      <c r="A675" s="230">
        <v>45236</v>
      </c>
      <c r="B675" s="128" t="s">
        <v>6</v>
      </c>
      <c r="C675" s="157" t="str">
        <f t="shared" si="21"/>
        <v>06.11.2023_KIN4</v>
      </c>
      <c r="D675" s="190">
        <f t="shared" si="22"/>
        <v>0</v>
      </c>
      <c r="E675" s="231">
        <v>5.5702448292969921E-6</v>
      </c>
      <c r="F675" s="231">
        <v>1.2992636581431371E-3</v>
      </c>
      <c r="G675" s="231">
        <v>0.14438880595092377</v>
      </c>
      <c r="H675" s="231">
        <v>2.2526127098275554E-3</v>
      </c>
      <c r="I675" s="231">
        <v>2.5867054878147584E-5</v>
      </c>
      <c r="J675" s="231">
        <v>2.5748491426145471E-3</v>
      </c>
      <c r="K675" s="229">
        <v>61.518821640859102</v>
      </c>
      <c r="L675" s="229">
        <v>24.4454950393201</v>
      </c>
      <c r="M675" s="229">
        <v>19.0332166515736</v>
      </c>
      <c r="N675" s="229">
        <v>2.59044349659835</v>
      </c>
      <c r="O675" s="205">
        <v>1.0470432938139566E-4</v>
      </c>
      <c r="P675" s="232">
        <v>165.67600000000002</v>
      </c>
      <c r="Q675" s="213"/>
      <c r="R675" s="235"/>
    </row>
    <row r="676" spans="1:18" ht="16.5" customHeight="1" x14ac:dyDescent="0.25">
      <c r="A676" s="230">
        <v>45236</v>
      </c>
      <c r="B676" s="128" t="s">
        <v>34</v>
      </c>
      <c r="C676" s="157" t="str">
        <f t="shared" si="21"/>
        <v>06.11.2023_KRE1</v>
      </c>
      <c r="D676" s="190">
        <f t="shared" si="22"/>
        <v>0</v>
      </c>
      <c r="E676" s="231">
        <v>3.5171077674498186E-6</v>
      </c>
      <c r="F676" s="231">
        <v>1.0692057246957044E-3</v>
      </c>
      <c r="G676" s="231">
        <v>0.2340184776465129</v>
      </c>
      <c r="H676" s="231">
        <v>2.6404767824293597E-3</v>
      </c>
      <c r="I676" s="231">
        <v>1.0976398564631266E-5</v>
      </c>
      <c r="J676" s="231">
        <v>1.4885456732618521E-3</v>
      </c>
      <c r="K676" s="229">
        <v>110.103798614723</v>
      </c>
      <c r="L676" s="229">
        <v>39.164046550364901</v>
      </c>
      <c r="M676" s="229">
        <v>33.301707483107499</v>
      </c>
      <c r="N676" s="229">
        <v>5.7693051017727699</v>
      </c>
      <c r="O676" s="205">
        <v>1.6047634243081157E-4</v>
      </c>
      <c r="P676" s="232">
        <v>300.12</v>
      </c>
      <c r="Q676" s="213"/>
      <c r="R676" s="235"/>
    </row>
    <row r="677" spans="1:18" ht="16.5" customHeight="1" x14ac:dyDescent="0.25">
      <c r="A677" s="230">
        <v>45236</v>
      </c>
      <c r="B677" s="128" t="s">
        <v>37</v>
      </c>
      <c r="C677" s="157" t="str">
        <f t="shared" si="21"/>
        <v>06.11.2023_KRE2</v>
      </c>
      <c r="D677" s="190">
        <f t="shared" si="22"/>
        <v>0</v>
      </c>
      <c r="E677" s="231">
        <v>4.0170015586597613E-6</v>
      </c>
      <c r="F677" s="231">
        <v>9.5906717192032842E-4</v>
      </c>
      <c r="G677" s="231">
        <v>0.23642278823074322</v>
      </c>
      <c r="H677" s="231">
        <v>2.8554244666917565E-3</v>
      </c>
      <c r="I677" s="231">
        <v>2.404825764629197E-5</v>
      </c>
      <c r="J677" s="231">
        <v>1.4501202324066586E-3</v>
      </c>
      <c r="K677" s="229">
        <v>116.38364164549</v>
      </c>
      <c r="L677" s="229">
        <v>39.638363605042798</v>
      </c>
      <c r="M677" s="229">
        <v>33.6586946652384</v>
      </c>
      <c r="N677" s="229">
        <v>5.7446469126632698</v>
      </c>
      <c r="O677" s="205">
        <v>1.8910825270962529E-4</v>
      </c>
      <c r="P677" s="232">
        <v>287.43199999999996</v>
      </c>
      <c r="Q677" s="213"/>
      <c r="R677" s="235"/>
    </row>
    <row r="678" spans="1:18" ht="16.5" customHeight="1" x14ac:dyDescent="0.25">
      <c r="A678" s="230">
        <v>45236</v>
      </c>
      <c r="B678" s="128" t="s">
        <v>18</v>
      </c>
      <c r="C678" s="157" t="str">
        <f t="shared" si="21"/>
        <v>06.11.2023_ORB1</v>
      </c>
      <c r="D678" s="190">
        <f t="shared" si="22"/>
        <v>0</v>
      </c>
      <c r="E678" s="231">
        <v>8.855269439642485E-6</v>
      </c>
      <c r="F678" s="231">
        <v>1.1056218971388755E-3</v>
      </c>
      <c r="G678" s="231">
        <v>6.767808131840071E-2</v>
      </c>
      <c r="H678" s="231">
        <v>1.4966244900289135E-3</v>
      </c>
      <c r="I678" s="231">
        <v>1.5518029882055041E-5</v>
      </c>
      <c r="J678" s="231">
        <v>1.4985001120450306E-3</v>
      </c>
      <c r="K678" s="229">
        <v>17.5768855036312</v>
      </c>
      <c r="L678" s="229">
        <v>4.8567721873780201</v>
      </c>
      <c r="M678" s="229">
        <v>10.390062808541501</v>
      </c>
      <c r="N678" s="229">
        <v>3.9458165173991402</v>
      </c>
      <c r="O678" s="205">
        <v>4.8366582591068464E-5</v>
      </c>
      <c r="P678" s="232">
        <v>28.791999999999998</v>
      </c>
      <c r="Q678" s="213"/>
      <c r="R678" s="235"/>
    </row>
    <row r="679" spans="1:18" ht="16.5" customHeight="1" x14ac:dyDescent="0.25">
      <c r="A679" s="230">
        <v>45236</v>
      </c>
      <c r="B679" s="128" t="s">
        <v>21</v>
      </c>
      <c r="C679" s="157" t="str">
        <f t="shared" si="21"/>
        <v>06.11.2023_ORB2</v>
      </c>
      <c r="D679" s="190">
        <f t="shared" si="22"/>
        <v>0</v>
      </c>
      <c r="E679" s="231">
        <v>1.1658258527964154E-5</v>
      </c>
      <c r="F679" s="231">
        <v>1.1619531027392898E-3</v>
      </c>
      <c r="G679" s="231">
        <v>7.5537022527699699E-2</v>
      </c>
      <c r="H679" s="231">
        <v>1.4927256617416175E-3</v>
      </c>
      <c r="I679" s="231">
        <v>1.5464845340473209E-5</v>
      </c>
      <c r="J679" s="231">
        <v>5.4049130455520646E-3</v>
      </c>
      <c r="K679" s="229">
        <v>20.784067616386501</v>
      </c>
      <c r="L679" s="229">
        <v>5.6227777276218296</v>
      </c>
      <c r="M679" s="229">
        <v>16.726126889501</v>
      </c>
      <c r="N679" s="229">
        <v>4.1522549148700199</v>
      </c>
      <c r="O679" s="205">
        <v>6.3353235355710982E-5</v>
      </c>
      <c r="P679" s="232">
        <v>31.964000000000002</v>
      </c>
      <c r="Q679" s="213"/>
      <c r="R679" s="235"/>
    </row>
    <row r="680" spans="1:18" ht="16.5" customHeight="1" x14ac:dyDescent="0.25">
      <c r="A680" s="230">
        <v>45236</v>
      </c>
      <c r="B680" s="128" t="s">
        <v>10</v>
      </c>
      <c r="C680" s="157" t="str">
        <f t="shared" si="21"/>
        <v>06.11.2023_SAL1</v>
      </c>
      <c r="D680" s="190">
        <f t="shared" si="22"/>
        <v>0</v>
      </c>
      <c r="E680" s="231">
        <v>5.5166847444077818E-6</v>
      </c>
      <c r="F680" s="231">
        <v>1.243026232833021E-3</v>
      </c>
      <c r="G680" s="231">
        <v>8.1292691050807372E-2</v>
      </c>
      <c r="H680" s="231">
        <v>2.0524556485958813E-3</v>
      </c>
      <c r="I680" s="231">
        <v>9.6256134222683947E-6</v>
      </c>
      <c r="J680" s="231">
        <v>1.2447839177654701E-3</v>
      </c>
      <c r="K680" s="229">
        <v>19.231638854286899</v>
      </c>
      <c r="L680" s="229">
        <v>14.396523125146199</v>
      </c>
      <c r="M680" s="229">
        <v>9.5155083588011493</v>
      </c>
      <c r="N680" s="229">
        <v>1.75827089521237</v>
      </c>
      <c r="O680" s="205">
        <v>1.0052661092890023E-4</v>
      </c>
      <c r="P680" s="232">
        <v>57.096000000000004</v>
      </c>
      <c r="Q680" s="213"/>
      <c r="R680" s="235"/>
    </row>
    <row r="681" spans="1:18" ht="16.5" customHeight="1" x14ac:dyDescent="0.25">
      <c r="A681" s="230">
        <v>45236</v>
      </c>
      <c r="B681" s="128" t="s">
        <v>12</v>
      </c>
      <c r="C681" s="157" t="str">
        <f t="shared" si="21"/>
        <v>06.11.2023_SAL2</v>
      </c>
      <c r="D681" s="190">
        <f t="shared" si="22"/>
        <v>0</v>
      </c>
      <c r="E681" s="231">
        <v>4.9275232621337725E-6</v>
      </c>
      <c r="F681" s="231">
        <v>1.5872125146512285E-3</v>
      </c>
      <c r="G681" s="231">
        <v>8.1145492735321151E-2</v>
      </c>
      <c r="H681" s="231">
        <v>1.9361147624358092E-3</v>
      </c>
      <c r="I681" s="231">
        <v>2.4112074839104669E-5</v>
      </c>
      <c r="J681" s="231">
        <v>8.4831758057068844E-4</v>
      </c>
      <c r="K681" s="229">
        <v>20.610249066532599</v>
      </c>
      <c r="L681" s="229">
        <v>14.523377538513699</v>
      </c>
      <c r="M681" s="229">
        <v>9.6812053415194494</v>
      </c>
      <c r="N681" s="229">
        <v>1.69081176970532</v>
      </c>
      <c r="O681" s="205">
        <v>9.1198209445071085E-5</v>
      </c>
      <c r="P681" s="232">
        <v>65.14800000000001</v>
      </c>
      <c r="Q681" s="213"/>
      <c r="R681" s="235"/>
    </row>
    <row r="682" spans="1:18" ht="16.5" customHeight="1" x14ac:dyDescent="0.25">
      <c r="A682" s="230">
        <v>45236</v>
      </c>
      <c r="B682" s="128" t="s">
        <v>7</v>
      </c>
      <c r="C682" s="157" t="str">
        <f t="shared" si="21"/>
        <v>06.11.2023_STE1</v>
      </c>
      <c r="D682" s="190">
        <f t="shared" si="22"/>
        <v>0</v>
      </c>
      <c r="E682" s="231">
        <v>3.6956409868394711E-6</v>
      </c>
      <c r="F682" s="231">
        <v>1.2017327965507397E-3</v>
      </c>
      <c r="G682" s="231">
        <v>9.4350453474845497E-2</v>
      </c>
      <c r="H682" s="231">
        <v>2.2032386433779101E-3</v>
      </c>
      <c r="I682" s="231">
        <v>8.5832771813757919E-6</v>
      </c>
      <c r="J682" s="231">
        <v>6.1137241541074096E-4</v>
      </c>
      <c r="K682" s="229">
        <v>33.166257429993898</v>
      </c>
      <c r="L682" s="229">
        <v>17.306773474114301</v>
      </c>
      <c r="M682" s="229">
        <v>10.922623441436301</v>
      </c>
      <c r="N682" s="229">
        <v>1.4011473457531201</v>
      </c>
      <c r="O682" s="205">
        <v>9.4589749791986418E-5</v>
      </c>
      <c r="P682" s="232">
        <v>91.256</v>
      </c>
      <c r="Q682" s="213"/>
      <c r="R682" s="235"/>
    </row>
    <row r="683" spans="1:18" ht="16.5" customHeight="1" x14ac:dyDescent="0.25">
      <c r="A683" s="230">
        <v>45236</v>
      </c>
      <c r="B683" s="128" t="s">
        <v>9</v>
      </c>
      <c r="C683" s="157" t="str">
        <f t="shared" si="21"/>
        <v>06.11.2023_STE2</v>
      </c>
      <c r="D683" s="190">
        <f t="shared" si="22"/>
        <v>0</v>
      </c>
      <c r="E683" s="231">
        <v>5.6059514356824726E-6</v>
      </c>
      <c r="F683" s="231">
        <v>1.6817614595840656E-3</v>
      </c>
      <c r="G683" s="231">
        <v>9.3320361849509495E-2</v>
      </c>
      <c r="H683" s="231">
        <v>2.2469513106401196E-3</v>
      </c>
      <c r="I683" s="231">
        <v>1.16677453988566E-5</v>
      </c>
      <c r="J683" s="231">
        <v>1.1825442024930282E-3</v>
      </c>
      <c r="K683" s="229">
        <v>33.473194104559497</v>
      </c>
      <c r="L683" s="229">
        <v>17.3308394431997</v>
      </c>
      <c r="M683" s="229">
        <v>11.033078220661301</v>
      </c>
      <c r="N683" s="229">
        <v>1.4016909542665299</v>
      </c>
      <c r="O683" s="205">
        <v>9.4557842925842064E-5</v>
      </c>
      <c r="P683" s="232">
        <v>98.576000000000008</v>
      </c>
      <c r="Q683" s="213"/>
      <c r="R683" s="235"/>
    </row>
    <row r="684" spans="1:18" ht="16.5" customHeight="1" x14ac:dyDescent="0.25">
      <c r="A684" s="230">
        <v>45264</v>
      </c>
      <c r="B684" s="128" t="s">
        <v>22</v>
      </c>
      <c r="C684" s="157" t="str">
        <f t="shared" si="21"/>
        <v>04.12.2023_BIE1</v>
      </c>
      <c r="D684" s="190">
        <f t="shared" si="22"/>
        <v>0</v>
      </c>
      <c r="E684" s="231">
        <v>1.4640804207777978E-5</v>
      </c>
      <c r="F684" s="231">
        <v>2.7568242550143019E-3</v>
      </c>
      <c r="G684" s="231">
        <v>7.509667447413626E-2</v>
      </c>
      <c r="H684" s="231">
        <v>1.397403270762764E-3</v>
      </c>
      <c r="I684" s="231">
        <v>1.3839461727111835E-4</v>
      </c>
      <c r="J684" s="231">
        <v>4.0470542655114423E-3</v>
      </c>
      <c r="K684" s="229">
        <v>24.520731705505899</v>
      </c>
      <c r="L684" s="229">
        <v>11.8907965002764</v>
      </c>
      <c r="M684" s="229">
        <v>21.321407766506599</v>
      </c>
      <c r="N684" s="229">
        <v>3.72410086476724</v>
      </c>
      <c r="O684" s="205">
        <v>1.7648304341151121E-4</v>
      </c>
      <c r="P684" s="232">
        <v>50.751999999999995</v>
      </c>
      <c r="Q684" s="213"/>
      <c r="R684" s="235"/>
    </row>
    <row r="685" spans="1:18" ht="16.5" customHeight="1" x14ac:dyDescent="0.25">
      <c r="A685" s="230">
        <v>45264</v>
      </c>
      <c r="B685" s="128" t="s">
        <v>25</v>
      </c>
      <c r="C685" s="157" t="str">
        <f t="shared" si="21"/>
        <v>04.12.2023_BIE2</v>
      </c>
      <c r="D685" s="190">
        <f t="shared" si="22"/>
        <v>0</v>
      </c>
      <c r="E685" s="231">
        <v>3.2598236977985292E-5</v>
      </c>
      <c r="F685" s="231">
        <v>2.3152099827875084E-3</v>
      </c>
      <c r="G685" s="231">
        <v>7.7123535714264987E-2</v>
      </c>
      <c r="H685" s="231">
        <v>1.503902000634964E-3</v>
      </c>
      <c r="I685" s="231">
        <v>3.5626915453402666E-5</v>
      </c>
      <c r="J685" s="231">
        <v>9.418635200289396E-3</v>
      </c>
      <c r="K685" s="229">
        <v>26.472773234315</v>
      </c>
      <c r="L685" s="229">
        <v>11.7874251530713</v>
      </c>
      <c r="M685" s="229">
        <v>25.6580946461217</v>
      </c>
      <c r="N685" s="229">
        <v>3.64971172609195</v>
      </c>
      <c r="O685" s="205">
        <v>2.2198634196990974E-4</v>
      </c>
      <c r="P685" s="232">
        <v>55.632000000000005</v>
      </c>
      <c r="Q685" s="213"/>
      <c r="R685" s="235"/>
    </row>
    <row r="686" spans="1:18" ht="16.5" customHeight="1" x14ac:dyDescent="0.25">
      <c r="A686" s="230">
        <v>45264</v>
      </c>
      <c r="B686" s="128" t="s">
        <v>14</v>
      </c>
      <c r="C686" s="157" t="str">
        <f t="shared" si="21"/>
        <v>04.12.2023_BRA1</v>
      </c>
      <c r="D686" s="190">
        <f t="shared" si="22"/>
        <v>0</v>
      </c>
      <c r="E686" s="231">
        <v>8.0402922791075473E-6</v>
      </c>
      <c r="F686" s="231">
        <v>1.1629825713256759E-3</v>
      </c>
      <c r="G686" s="231">
        <v>6.7605390351998071E-2</v>
      </c>
      <c r="H686" s="231">
        <v>1.5528867371392507E-3</v>
      </c>
      <c r="I686" s="231">
        <v>1.252105497406279E-5</v>
      </c>
      <c r="J686" s="231">
        <v>1.1798414276518179E-3</v>
      </c>
      <c r="K686" s="229">
        <v>19.370765829204402</v>
      </c>
      <c r="L686" s="229">
        <v>14.278071226642099</v>
      </c>
      <c r="M686" s="229">
        <v>12.3679615076631</v>
      </c>
      <c r="N686" s="229">
        <v>1.25145961902393</v>
      </c>
      <c r="O686" s="205">
        <v>2.181993774095254E-4</v>
      </c>
      <c r="P686" s="232">
        <v>48.312000000000005</v>
      </c>
      <c r="Q686" s="213"/>
      <c r="R686" s="235"/>
    </row>
    <row r="687" spans="1:18" ht="16.5" customHeight="1" x14ac:dyDescent="0.25">
      <c r="A687" s="230">
        <v>45264</v>
      </c>
      <c r="B687" s="128" t="s">
        <v>17</v>
      </c>
      <c r="C687" s="157" t="str">
        <f t="shared" si="21"/>
        <v>04.12.2023_BRA2</v>
      </c>
      <c r="D687" s="190">
        <f t="shared" si="22"/>
        <v>0</v>
      </c>
      <c r="E687" s="231">
        <v>5.1768431909331647E-6</v>
      </c>
      <c r="F687" s="231">
        <v>1.0906931572553528E-3</v>
      </c>
      <c r="G687" s="231">
        <v>6.7238540051856366E-2</v>
      </c>
      <c r="H687" s="231">
        <v>1.3547243422814756E-3</v>
      </c>
      <c r="I687" s="231">
        <v>7.2900050826036491E-6</v>
      </c>
      <c r="J687" s="231">
        <v>6.186606314015949E-4</v>
      </c>
      <c r="K687" s="229">
        <v>19.606497139444802</v>
      </c>
      <c r="L687" s="229">
        <v>14.317669354602</v>
      </c>
      <c r="M687" s="229">
        <v>14.052403539562301</v>
      </c>
      <c r="N687" s="229">
        <v>1.3847231623819201</v>
      </c>
      <c r="O687" s="205">
        <v>1.3620419867176097E-4</v>
      </c>
      <c r="P687" s="232">
        <v>52.948</v>
      </c>
      <c r="Q687" s="213"/>
      <c r="R687" s="235"/>
    </row>
    <row r="688" spans="1:18" ht="16.5" customHeight="1" x14ac:dyDescent="0.25">
      <c r="A688" s="230">
        <v>45264</v>
      </c>
      <c r="B688" s="128" t="s">
        <v>30</v>
      </c>
      <c r="C688" s="157" t="str">
        <f t="shared" si="21"/>
        <v>04.12.2023_FAL1</v>
      </c>
      <c r="D688" s="190">
        <f t="shared" si="22"/>
        <v>0</v>
      </c>
      <c r="E688" s="231">
        <v>4.2061834995544797E-6</v>
      </c>
      <c r="F688" s="231">
        <v>1.5962102113610632E-3</v>
      </c>
      <c r="G688" s="231">
        <v>0.17810278252815021</v>
      </c>
      <c r="H688" s="231">
        <v>2.5030771632705787E-3</v>
      </c>
      <c r="I688" s="231">
        <v>2.5899284297383267E-5</v>
      </c>
      <c r="J688" s="231">
        <v>2.5556761031445838E-3</v>
      </c>
      <c r="K688" s="229">
        <v>127.702759065992</v>
      </c>
      <c r="L688" s="229">
        <v>39.384979163337697</v>
      </c>
      <c r="M688" s="229">
        <v>84.9276668930234</v>
      </c>
      <c r="N688" s="229">
        <v>7.2687068432438897</v>
      </c>
      <c r="O688" s="205">
        <v>1.6575325478031754E-4</v>
      </c>
      <c r="P688" s="232">
        <v>261.56800000000004</v>
      </c>
      <c r="Q688" s="213"/>
      <c r="R688" s="235"/>
    </row>
    <row r="689" spans="1:18" ht="16.5" customHeight="1" x14ac:dyDescent="0.25">
      <c r="A689" s="230">
        <v>45264</v>
      </c>
      <c r="B689" s="128" t="s">
        <v>32</v>
      </c>
      <c r="C689" s="157" t="str">
        <f t="shared" si="21"/>
        <v>04.12.2023_FAL2</v>
      </c>
      <c r="D689" s="190">
        <f t="shared" si="22"/>
        <v>0</v>
      </c>
      <c r="E689" s="231">
        <v>5.1121320478264725E-6</v>
      </c>
      <c r="F689" s="231">
        <v>1.6360339808177316E-3</v>
      </c>
      <c r="G689" s="231">
        <v>0.17015961698781085</v>
      </c>
      <c r="H689" s="231">
        <v>2.3633424949480739E-3</v>
      </c>
      <c r="I689" s="231">
        <v>1.762966027648023E-5</v>
      </c>
      <c r="J689" s="231">
        <v>2.56488586759721E-3</v>
      </c>
      <c r="K689" s="229">
        <v>115.931978913671</v>
      </c>
      <c r="L689" s="229">
        <v>38.238898925308398</v>
      </c>
      <c r="M689" s="229">
        <v>74.214977993782995</v>
      </c>
      <c r="N689" s="229">
        <v>5.3085771697300004</v>
      </c>
      <c r="O689" s="205">
        <v>1.4329308516578923E-4</v>
      </c>
      <c r="P689" s="232">
        <v>283.52799999999996</v>
      </c>
      <c r="Q689" s="213"/>
      <c r="R689" s="235"/>
    </row>
    <row r="690" spans="1:18" ht="16.5" customHeight="1" x14ac:dyDescent="0.25">
      <c r="A690" s="230">
        <v>45264</v>
      </c>
      <c r="B690" s="128" t="s">
        <v>26</v>
      </c>
      <c r="C690" s="157" t="str">
        <f t="shared" si="21"/>
        <v>04.12.2023_GRU1</v>
      </c>
      <c r="D690" s="190">
        <f t="shared" si="22"/>
        <v>0</v>
      </c>
      <c r="E690" s="231">
        <v>1.7374848606673562E-5</v>
      </c>
      <c r="F690" s="231">
        <v>1.6725932067503946E-3</v>
      </c>
      <c r="G690" s="231">
        <v>7.4597398937452222E-2</v>
      </c>
      <c r="H690" s="231">
        <v>2.7608710106060467E-3</v>
      </c>
      <c r="I690" s="231">
        <v>2.7056762772789985E-5</v>
      </c>
      <c r="J690" s="231">
        <v>2.7468348775320892E-3</v>
      </c>
      <c r="K690" s="229">
        <v>19.674504829567098</v>
      </c>
      <c r="L690" s="229">
        <v>11.2649222619116</v>
      </c>
      <c r="M690" s="229">
        <v>13.8608598823942</v>
      </c>
      <c r="N690" s="229">
        <v>2.1762500469917399</v>
      </c>
      <c r="O690" s="205">
        <v>1.2933188276433421E-4</v>
      </c>
      <c r="P690" s="232">
        <v>46.847999999999999</v>
      </c>
      <c r="Q690" s="213"/>
      <c r="R690" s="235"/>
    </row>
    <row r="691" spans="1:18" ht="16.5" customHeight="1" x14ac:dyDescent="0.25">
      <c r="A691" s="230">
        <v>45264</v>
      </c>
      <c r="B691" s="128" t="s">
        <v>28</v>
      </c>
      <c r="C691" s="157" t="str">
        <f t="shared" si="21"/>
        <v>04.12.2023_GRU2</v>
      </c>
      <c r="D691" s="190">
        <f t="shared" si="22"/>
        <v>0</v>
      </c>
      <c r="E691" s="231">
        <v>1.349218530487293E-5</v>
      </c>
      <c r="F691" s="231">
        <v>2.3478367829797247E-3</v>
      </c>
      <c r="G691" s="231">
        <v>7.5535753325256583E-2</v>
      </c>
      <c r="H691" s="231">
        <v>2.4762374919542291E-3</v>
      </c>
      <c r="I691" s="231">
        <v>2.4496864817145733E-5</v>
      </c>
      <c r="J691" s="231">
        <v>1.9963734967242243E-3</v>
      </c>
      <c r="K691" s="229">
        <v>23.686041084970402</v>
      </c>
      <c r="L691" s="229">
        <v>11.4506053060417</v>
      </c>
      <c r="M691" s="229">
        <v>15.6738407815605</v>
      </c>
      <c r="N691" s="229">
        <v>2.2341470024536498</v>
      </c>
      <c r="O691" s="205">
        <v>1.4697786008408621E-4</v>
      </c>
      <c r="P691" s="232">
        <v>53.923999999999999</v>
      </c>
      <c r="Q691" s="213"/>
      <c r="R691" s="235"/>
    </row>
    <row r="692" spans="1:18" ht="16.5" customHeight="1" x14ac:dyDescent="0.25">
      <c r="A692" s="230">
        <v>45264</v>
      </c>
      <c r="B692" s="128" t="s">
        <v>0</v>
      </c>
      <c r="C692" s="157" t="str">
        <f t="shared" si="21"/>
        <v>04.12.2023_KIN1</v>
      </c>
      <c r="D692" s="190">
        <f t="shared" si="22"/>
        <v>0</v>
      </c>
      <c r="E692" s="231">
        <v>5.1606652077660584E-6</v>
      </c>
      <c r="F692" s="231">
        <v>1.6640377029191564E-3</v>
      </c>
      <c r="G692" s="231">
        <v>9.8436002794948754E-2</v>
      </c>
      <c r="H692" s="231">
        <v>1.5729261225437092E-3</v>
      </c>
      <c r="I692" s="231">
        <v>1.8085993282277606E-5</v>
      </c>
      <c r="J692" s="231">
        <v>6.1063511127735647E-4</v>
      </c>
      <c r="K692" s="229">
        <v>54.155137144915997</v>
      </c>
      <c r="L692" s="229">
        <v>18.3439567407226</v>
      </c>
      <c r="M692" s="229">
        <v>22.885222761258301</v>
      </c>
      <c r="N692" s="229">
        <v>2.4675329531130399</v>
      </c>
      <c r="O692" s="205">
        <v>9.7289283250253259E-5</v>
      </c>
      <c r="P692" s="232">
        <v>139.56799999999998</v>
      </c>
      <c r="Q692" s="213"/>
      <c r="R692" s="235"/>
    </row>
    <row r="693" spans="1:18" ht="16.5" customHeight="1" x14ac:dyDescent="0.25">
      <c r="A693" s="230">
        <v>45264</v>
      </c>
      <c r="B693" s="128" t="s">
        <v>2</v>
      </c>
      <c r="C693" s="157" t="str">
        <f t="shared" si="21"/>
        <v>04.12.2023_KIN2</v>
      </c>
      <c r="D693" s="190">
        <f t="shared" si="22"/>
        <v>0</v>
      </c>
      <c r="E693" s="231">
        <v>4.5135584228443203E-6</v>
      </c>
      <c r="F693" s="231">
        <v>1.2766449963643291E-3</v>
      </c>
      <c r="G693" s="231">
        <v>0.11827394130680162</v>
      </c>
      <c r="H693" s="231">
        <v>1.6485587995480847E-3</v>
      </c>
      <c r="I693" s="231">
        <v>1.4145996773185722E-5</v>
      </c>
      <c r="J693" s="231">
        <v>9.2351195915178741E-4</v>
      </c>
      <c r="K693" s="229">
        <v>56.732798950768903</v>
      </c>
      <c r="L693" s="229">
        <v>20.4886315936945</v>
      </c>
      <c r="M693" s="229">
        <v>20.580666216094698</v>
      </c>
      <c r="N693" s="229">
        <v>2.4333261828300499</v>
      </c>
      <c r="O693" s="205">
        <v>1.0376293663511712E-4</v>
      </c>
      <c r="P693" s="232">
        <v>145.91200000000001</v>
      </c>
      <c r="Q693" s="213"/>
      <c r="R693" s="235"/>
    </row>
    <row r="694" spans="1:18" ht="16.5" customHeight="1" x14ac:dyDescent="0.25">
      <c r="A694" s="230">
        <v>45264</v>
      </c>
      <c r="B694" s="128" t="s">
        <v>4</v>
      </c>
      <c r="C694" s="157" t="str">
        <f t="shared" si="21"/>
        <v>04.12.2023_KIN3</v>
      </c>
      <c r="D694" s="190">
        <f t="shared" si="22"/>
        <v>0</v>
      </c>
      <c r="E694" s="231">
        <v>4.5297362644562732E-6</v>
      </c>
      <c r="F694" s="231">
        <v>1.2903417825924387E-3</v>
      </c>
      <c r="G694" s="231">
        <v>0.11283497988066987</v>
      </c>
      <c r="H694" s="231">
        <v>2.1306993008270553E-3</v>
      </c>
      <c r="I694" s="231">
        <v>1.1497087576227561E-5</v>
      </c>
      <c r="J694" s="231">
        <v>9.5371673452342067E-4</v>
      </c>
      <c r="K694" s="229">
        <v>63.436721044446003</v>
      </c>
      <c r="L694" s="229">
        <v>21.014144417152199</v>
      </c>
      <c r="M694" s="229">
        <v>18.453529169317999</v>
      </c>
      <c r="N694" s="229">
        <v>1.89994385910722</v>
      </c>
      <c r="O694" s="205">
        <v>1.0679398384826908E-4</v>
      </c>
      <c r="P694" s="232">
        <v>156.404</v>
      </c>
      <c r="Q694" s="213"/>
      <c r="R694" s="235"/>
    </row>
    <row r="695" spans="1:18" ht="16.5" customHeight="1" x14ac:dyDescent="0.25">
      <c r="A695" s="230">
        <v>45264</v>
      </c>
      <c r="B695" s="128" t="s">
        <v>6</v>
      </c>
      <c r="C695" s="157" t="str">
        <f t="shared" si="21"/>
        <v>04.12.2023_KIN4</v>
      </c>
      <c r="D695" s="190">
        <f t="shared" si="22"/>
        <v>0</v>
      </c>
      <c r="E695" s="231">
        <v>5.7915944562061068E-6</v>
      </c>
      <c r="F695" s="231">
        <v>1.4107305081150177E-3</v>
      </c>
      <c r="G695" s="231">
        <v>0.12231544026283125</v>
      </c>
      <c r="H695" s="231">
        <v>2.4459375885562459E-3</v>
      </c>
      <c r="I695" s="231">
        <v>1.7418190723160933E-5</v>
      </c>
      <c r="J695" s="231">
        <v>1.8414718463051552E-3</v>
      </c>
      <c r="K695" s="229">
        <v>61.889988510590499</v>
      </c>
      <c r="L695" s="229">
        <v>20.901031961750299</v>
      </c>
      <c r="M695" s="229">
        <v>27.157926645389701</v>
      </c>
      <c r="N695" s="229">
        <v>1.9950923097678199</v>
      </c>
      <c r="O695" s="205">
        <v>1.2175444623311788E-4</v>
      </c>
      <c r="P695" s="232">
        <v>155.184</v>
      </c>
      <c r="Q695" s="213"/>
      <c r="R695" s="235"/>
    </row>
    <row r="696" spans="1:18" ht="16.5" customHeight="1" x14ac:dyDescent="0.25">
      <c r="A696" s="230">
        <v>45264</v>
      </c>
      <c r="B696" s="128" t="s">
        <v>34</v>
      </c>
      <c r="C696" s="157" t="str">
        <f t="shared" si="21"/>
        <v>04.12.2023_KRE1</v>
      </c>
      <c r="D696" s="190">
        <f t="shared" si="22"/>
        <v>0</v>
      </c>
      <c r="E696" s="231">
        <v>4.9018227806816475E-6</v>
      </c>
      <c r="F696" s="231">
        <v>1.6265423044317876E-3</v>
      </c>
      <c r="G696" s="231">
        <v>0.1926023553908815</v>
      </c>
      <c r="H696" s="231">
        <v>2.6211980853750728E-3</v>
      </c>
      <c r="I696" s="231">
        <v>1.7763218035898224E-5</v>
      </c>
      <c r="J696" s="231">
        <v>2.6620905138938877E-3</v>
      </c>
      <c r="K696" s="229">
        <v>127.067131988867</v>
      </c>
      <c r="L696" s="229">
        <v>38.482614034875702</v>
      </c>
      <c r="M696" s="229">
        <v>39.220792812042902</v>
      </c>
      <c r="N696" s="229">
        <v>4.6090347630100501</v>
      </c>
      <c r="O696" s="205">
        <v>1.7346662430308709E-4</v>
      </c>
      <c r="P696" s="232">
        <v>298.65600000000001</v>
      </c>
      <c r="Q696" s="213"/>
      <c r="R696" s="235"/>
    </row>
    <row r="697" spans="1:18" ht="16.5" customHeight="1" x14ac:dyDescent="0.25">
      <c r="A697" s="230">
        <v>45264</v>
      </c>
      <c r="B697" s="128" t="s">
        <v>37</v>
      </c>
      <c r="C697" s="157" t="str">
        <f t="shared" si="21"/>
        <v>04.12.2023_KRE2</v>
      </c>
      <c r="D697" s="190">
        <f t="shared" si="22"/>
        <v>0</v>
      </c>
      <c r="E697" s="231">
        <v>4.3517821331905061E-6</v>
      </c>
      <c r="F697" s="231">
        <v>1.4117660386240183E-3</v>
      </c>
      <c r="G697" s="231">
        <v>0.1983684025916912</v>
      </c>
      <c r="H697" s="231">
        <v>3.0221155327922666E-3</v>
      </c>
      <c r="I697" s="231">
        <v>2.2549102932057484E-5</v>
      </c>
      <c r="J697" s="231">
        <v>2.7494718457601844E-3</v>
      </c>
      <c r="K697" s="229">
        <v>135.599023069</v>
      </c>
      <c r="L697" s="229">
        <v>40.435628873772103</v>
      </c>
      <c r="M697" s="229">
        <v>50.366809584758599</v>
      </c>
      <c r="N697" s="229">
        <v>4.6270452273190399</v>
      </c>
      <c r="O697" s="205">
        <v>2.249697075355049E-4</v>
      </c>
      <c r="P697" s="232">
        <v>326.71600000000001</v>
      </c>
      <c r="Q697" s="213"/>
      <c r="R697" s="235"/>
    </row>
    <row r="698" spans="1:18" ht="16.5" customHeight="1" x14ac:dyDescent="0.25">
      <c r="A698" s="230">
        <v>45264</v>
      </c>
      <c r="B698" s="128" t="s">
        <v>18</v>
      </c>
      <c r="C698" s="157" t="str">
        <f t="shared" si="21"/>
        <v>04.12.2023_ORB1</v>
      </c>
      <c r="D698" s="190">
        <f t="shared" si="22"/>
        <v>0</v>
      </c>
      <c r="E698" s="231">
        <v>1.3556894812225186E-5</v>
      </c>
      <c r="F698" s="231">
        <v>1.191903642871269E-3</v>
      </c>
      <c r="G698" s="231">
        <v>6.413886947646201E-2</v>
      </c>
      <c r="H698" s="231">
        <v>1.2918984607783468E-3</v>
      </c>
      <c r="I698" s="231">
        <v>1.1586127806618601E-5</v>
      </c>
      <c r="J698" s="231">
        <v>4.265511125024754E-3</v>
      </c>
      <c r="K698" s="229">
        <v>17.008849662108801</v>
      </c>
      <c r="L698" s="229">
        <v>4.4791452066075799</v>
      </c>
      <c r="M698" s="229">
        <v>26.623551997011699</v>
      </c>
      <c r="N698" s="229">
        <v>3.3509990993463199</v>
      </c>
      <c r="O698" s="205">
        <v>7.2195925462493094E-5</v>
      </c>
      <c r="P698" s="232">
        <v>24.156000000000002</v>
      </c>
      <c r="Q698" s="213"/>
      <c r="R698" s="235"/>
    </row>
    <row r="699" spans="1:18" ht="16.5" customHeight="1" x14ac:dyDescent="0.25">
      <c r="A699" s="230">
        <v>45264</v>
      </c>
      <c r="B699" s="128" t="s">
        <v>21</v>
      </c>
      <c r="C699" s="157" t="str">
        <f t="shared" si="21"/>
        <v>04.12.2023_ORB2</v>
      </c>
      <c r="D699" s="190">
        <f t="shared" si="22"/>
        <v>0</v>
      </c>
      <c r="E699" s="231">
        <v>1.1777345695157969E-5</v>
      </c>
      <c r="F699" s="231">
        <v>7.7557202693511959E-4</v>
      </c>
      <c r="G699" s="231">
        <v>6.7576180258199989E-2</v>
      </c>
      <c r="H699" s="231">
        <v>1.3435154490405855E-3</v>
      </c>
      <c r="I699" s="231">
        <v>1.2687985365332698E-5</v>
      </c>
      <c r="J699" s="231">
        <v>4.046106439838942E-3</v>
      </c>
      <c r="K699" s="229">
        <v>17.718629233378699</v>
      </c>
      <c r="L699" s="229">
        <v>4.7421920360643002</v>
      </c>
      <c r="M699" s="229">
        <v>33.359015885418202</v>
      </c>
      <c r="N699" s="229">
        <v>3.4473320658831201</v>
      </c>
      <c r="O699" s="205">
        <v>7.8048056260773677E-5</v>
      </c>
      <c r="P699" s="232">
        <v>27.084</v>
      </c>
      <c r="Q699" s="213"/>
      <c r="R699" s="235"/>
    </row>
    <row r="700" spans="1:18" ht="16.5" customHeight="1" x14ac:dyDescent="0.25">
      <c r="A700" s="230">
        <v>45264</v>
      </c>
      <c r="B700" s="128" t="s">
        <v>10</v>
      </c>
      <c r="C700" s="157" t="str">
        <f t="shared" si="21"/>
        <v>04.12.2023_SAL1</v>
      </c>
      <c r="D700" s="190">
        <f t="shared" si="22"/>
        <v>0</v>
      </c>
      <c r="E700" s="231">
        <v>4.1900056673795496E-6</v>
      </c>
      <c r="F700" s="231">
        <v>1.0028833416629267E-3</v>
      </c>
      <c r="G700" s="231">
        <v>6.9092224565218519E-2</v>
      </c>
      <c r="H700" s="231">
        <v>1.3782948159405061E-3</v>
      </c>
      <c r="I700" s="231">
        <v>1.1797592012299633E-5</v>
      </c>
      <c r="J700" s="231">
        <v>6.851920035130225E-4</v>
      </c>
      <c r="K700" s="229">
        <v>16.336531811526399</v>
      </c>
      <c r="L700" s="229">
        <v>11.99459831886</v>
      </c>
      <c r="M700" s="229">
        <v>11.1752705146481</v>
      </c>
      <c r="N700" s="229">
        <v>0.93547429642243096</v>
      </c>
      <c r="O700" s="205">
        <v>9.2009736061887689E-5</v>
      </c>
      <c r="P700" s="232">
        <v>49.775999999999996</v>
      </c>
      <c r="Q700" s="213"/>
      <c r="R700" s="235"/>
    </row>
    <row r="701" spans="1:18" ht="16.5" customHeight="1" x14ac:dyDescent="0.25">
      <c r="A701" s="230">
        <v>45264</v>
      </c>
      <c r="B701" s="128" t="s">
        <v>12</v>
      </c>
      <c r="C701" s="157" t="str">
        <f t="shared" si="21"/>
        <v>04.12.2023_SAL2</v>
      </c>
      <c r="D701" s="190">
        <f t="shared" si="22"/>
        <v>0</v>
      </c>
      <c r="E701" s="231">
        <v>4.6106251768245699E-6</v>
      </c>
      <c r="F701" s="231">
        <v>1.1266350339379394E-3</v>
      </c>
      <c r="G701" s="231">
        <v>6.4912918196933359E-2</v>
      </c>
      <c r="H701" s="231">
        <v>1.3556539788248051E-3</v>
      </c>
      <c r="I701" s="231">
        <v>1.5014128444426804E-5</v>
      </c>
      <c r="J701" s="231">
        <v>6.6190677748039406E-4</v>
      </c>
      <c r="K701" s="229">
        <v>17.356559739018699</v>
      </c>
      <c r="L701" s="229">
        <v>11.890449984718099</v>
      </c>
      <c r="M701" s="229">
        <v>12.4838584342363</v>
      </c>
      <c r="N701" s="229">
        <v>0.93840785113638403</v>
      </c>
      <c r="O701" s="205">
        <v>8.4687345059307649E-5</v>
      </c>
      <c r="P701" s="232">
        <v>53.192</v>
      </c>
      <c r="Q701" s="213"/>
      <c r="R701" s="235"/>
    </row>
    <row r="702" spans="1:18" ht="16.5" customHeight="1" x14ac:dyDescent="0.25">
      <c r="A702" s="230">
        <v>45264</v>
      </c>
      <c r="B702" s="128" t="s">
        <v>7</v>
      </c>
      <c r="C702" s="157" t="str">
        <f t="shared" si="21"/>
        <v>04.12.2023_STE1</v>
      </c>
      <c r="D702" s="190">
        <f t="shared" si="22"/>
        <v>0</v>
      </c>
      <c r="E702" s="231">
        <v>4.0767623426340614E-6</v>
      </c>
      <c r="F702" s="231">
        <v>1.03328347859031E-3</v>
      </c>
      <c r="G702" s="231">
        <v>8.2893555102948158E-2</v>
      </c>
      <c r="H702" s="231">
        <v>1.7478800218848065E-3</v>
      </c>
      <c r="I702" s="231">
        <v>1.3967918210353722E-5</v>
      </c>
      <c r="J702" s="231">
        <v>9.3892022204006926E-4</v>
      </c>
      <c r="K702" s="229">
        <v>33.504355466289702</v>
      </c>
      <c r="L702" s="229">
        <v>13.8101361842456</v>
      </c>
      <c r="M702" s="229">
        <v>13.0367940462289</v>
      </c>
      <c r="N702" s="229">
        <v>0.85358384816556099</v>
      </c>
      <c r="O702" s="205">
        <v>8.8216648339089742E-5</v>
      </c>
      <c r="P702" s="232">
        <v>92.72</v>
      </c>
      <c r="Q702" s="213"/>
      <c r="R702" s="235"/>
    </row>
    <row r="703" spans="1:18" ht="16.5" customHeight="1" x14ac:dyDescent="0.25">
      <c r="A703" s="230">
        <v>45264</v>
      </c>
      <c r="B703" s="128" t="s">
        <v>9</v>
      </c>
      <c r="C703" s="157" t="str">
        <f t="shared" si="21"/>
        <v>04.12.2023_STE2</v>
      </c>
      <c r="D703" s="190">
        <f t="shared" si="22"/>
        <v>0</v>
      </c>
      <c r="E703" s="231">
        <v>4.1576501697495344E-6</v>
      </c>
      <c r="F703" s="231">
        <v>1.37298182059142E-3</v>
      </c>
      <c r="G703" s="231">
        <v>7.3953789851659332E-2</v>
      </c>
      <c r="H703" s="231">
        <v>1.7267090743237881E-3</v>
      </c>
      <c r="I703" s="231">
        <v>1.4791532791889245E-5</v>
      </c>
      <c r="J703" s="231">
        <v>1.0733969489929373E-3</v>
      </c>
      <c r="K703" s="229">
        <v>32.063524200197797</v>
      </c>
      <c r="L703" s="229">
        <v>13.523521229612101</v>
      </c>
      <c r="M703" s="229">
        <v>16.020456097558199</v>
      </c>
      <c r="N703" s="229">
        <v>0.85466131445674398</v>
      </c>
      <c r="O703" s="205">
        <v>8.4875028700634483E-5</v>
      </c>
      <c r="P703" s="232">
        <v>92.231999999999999</v>
      </c>
      <c r="Q703" s="213"/>
      <c r="R703" s="235"/>
    </row>
    <row r="704" spans="1:18" ht="16.5" customHeight="1" x14ac:dyDescent="0.25">
      <c r="A704" s="230">
        <v>45303</v>
      </c>
      <c r="B704" s="128" t="s">
        <v>22</v>
      </c>
      <c r="C704" s="157" t="str">
        <f t="shared" si="21"/>
        <v>12.01.2024_BIE1</v>
      </c>
      <c r="D704" s="190">
        <f t="shared" si="22"/>
        <v>0</v>
      </c>
      <c r="E704" s="231">
        <v>1.0563941095275335E-3</v>
      </c>
      <c r="F704" s="231">
        <v>1.1463200301353721E-2</v>
      </c>
      <c r="G704" s="231">
        <v>5.5271360714293852E-3</v>
      </c>
      <c r="H704" s="231">
        <v>2.0268274677654376E-3</v>
      </c>
      <c r="I704" s="231">
        <v>6.7233480674367785E-4</v>
      </c>
      <c r="J704" s="231">
        <v>1.4752920881427834E-2</v>
      </c>
      <c r="K704" s="229">
        <v>14.492192497404201</v>
      </c>
      <c r="L704" s="229">
        <v>5.7858665039273598</v>
      </c>
      <c r="M704" s="229">
        <v>4.9853998842089302</v>
      </c>
      <c r="N704" s="229">
        <v>2.70115166383103</v>
      </c>
      <c r="O704" s="205">
        <v>1.1389964486131631E-3</v>
      </c>
      <c r="P704" s="232">
        <v>38.308</v>
      </c>
      <c r="Q704" s="213"/>
      <c r="R704" s="235"/>
    </row>
    <row r="705" spans="1:18" ht="16.5" customHeight="1" x14ac:dyDescent="0.25">
      <c r="A705" s="230">
        <v>45303</v>
      </c>
      <c r="B705" s="128" t="s">
        <v>25</v>
      </c>
      <c r="C705" s="157" t="str">
        <f t="shared" si="21"/>
        <v>12.01.2024_BIE2</v>
      </c>
      <c r="D705" s="190">
        <f t="shared" si="22"/>
        <v>0</v>
      </c>
      <c r="E705" s="231">
        <v>1.8742905062361885E-4</v>
      </c>
      <c r="F705" s="231">
        <v>2.5692313586018907E-3</v>
      </c>
      <c r="G705" s="231">
        <v>5.3397723430399285E-3</v>
      </c>
      <c r="H705" s="231">
        <v>1.1172179099812728E-3</v>
      </c>
      <c r="I705" s="231">
        <v>1.5994602398328677E-4</v>
      </c>
      <c r="J705" s="231">
        <v>4.9429233674663925E-3</v>
      </c>
      <c r="K705" s="229">
        <v>13.3924244594894</v>
      </c>
      <c r="L705" s="229">
        <v>5.4845381298507601</v>
      </c>
      <c r="M705" s="229">
        <v>5.2798268376951603</v>
      </c>
      <c r="N705" s="229">
        <v>2.7015882887682401</v>
      </c>
      <c r="O705" s="205">
        <v>2.732312807569108E-4</v>
      </c>
      <c r="P705" s="232">
        <v>35.623999999999995</v>
      </c>
      <c r="Q705" s="213"/>
      <c r="R705" s="235"/>
    </row>
    <row r="706" spans="1:18" ht="16.5" customHeight="1" x14ac:dyDescent="0.25">
      <c r="A706" s="230">
        <v>45303</v>
      </c>
      <c r="B706" s="128" t="s">
        <v>14</v>
      </c>
      <c r="C706" s="157" t="str">
        <f t="shared" si="21"/>
        <v>12.01.2024_BRA1</v>
      </c>
      <c r="D706" s="190">
        <f t="shared" si="22"/>
        <v>0</v>
      </c>
      <c r="E706" s="231">
        <v>7.9688906310658466E-5</v>
      </c>
      <c r="F706" s="231">
        <v>1.2981753384196995E-3</v>
      </c>
      <c r="G706" s="231">
        <v>4.8445969949061016E-3</v>
      </c>
      <c r="H706" s="231">
        <v>8.2254636464803828E-4</v>
      </c>
      <c r="I706" s="231">
        <v>8.1358146010233529E-5</v>
      </c>
      <c r="J706" s="231">
        <v>1.7373943042265775E-3</v>
      </c>
      <c r="K706" s="229">
        <v>11.592217092547401</v>
      </c>
      <c r="L706" s="229">
        <v>7.8910118962463303</v>
      </c>
      <c r="M706" s="229">
        <v>5.0367700864788496</v>
      </c>
      <c r="N706" s="229">
        <v>0.74040483386926403</v>
      </c>
      <c r="O706" s="205">
        <v>2.819675813882444E-4</v>
      </c>
      <c r="P706" s="232">
        <v>43.431999999999995</v>
      </c>
      <c r="Q706" s="213"/>
      <c r="R706" s="235"/>
    </row>
    <row r="707" spans="1:18" ht="16.5" customHeight="1" x14ac:dyDescent="0.25">
      <c r="A707" s="230">
        <v>45303</v>
      </c>
      <c r="B707" s="128" t="s">
        <v>17</v>
      </c>
      <c r="C707" s="157" t="str">
        <f t="shared" si="21"/>
        <v>12.01.2024_BRA2</v>
      </c>
      <c r="D707" s="190">
        <f t="shared" si="22"/>
        <v>0</v>
      </c>
      <c r="E707" s="231">
        <v>6.5663642444088011E-5</v>
      </c>
      <c r="F707" s="231">
        <v>1.0692962821293281E-3</v>
      </c>
      <c r="G707" s="231">
        <v>4.483254449727676E-3</v>
      </c>
      <c r="H707" s="231">
        <v>7.9418801582874644E-4</v>
      </c>
      <c r="I707" s="231">
        <v>5.0851257491154753E-5</v>
      </c>
      <c r="J707" s="231">
        <v>1.0367986726184761E-3</v>
      </c>
      <c r="K707" s="229">
        <v>13.754875953897001</v>
      </c>
      <c r="L707" s="229">
        <v>8.9346449463976896</v>
      </c>
      <c r="M707" s="229">
        <v>5.6323415058141499</v>
      </c>
      <c r="N707" s="229">
        <v>0.83696741891567195</v>
      </c>
      <c r="O707" s="205">
        <v>1.6636258401897405E-4</v>
      </c>
      <c r="P707" s="232">
        <v>49.532000000000004</v>
      </c>
      <c r="Q707" s="213"/>
      <c r="R707" s="235"/>
    </row>
    <row r="708" spans="1:18" ht="16.5" customHeight="1" x14ac:dyDescent="0.25">
      <c r="A708" s="230">
        <v>45303</v>
      </c>
      <c r="B708" s="128" t="s">
        <v>30</v>
      </c>
      <c r="C708" s="157" t="str">
        <f t="shared" si="21"/>
        <v>12.01.2024_FAL1</v>
      </c>
      <c r="D708" s="190">
        <f t="shared" si="22"/>
        <v>0</v>
      </c>
      <c r="E708" s="231">
        <v>4.3988222528245525E-5</v>
      </c>
      <c r="F708" s="231">
        <v>9.703733322745595E-4</v>
      </c>
      <c r="G708" s="231">
        <v>9.3815366220709497E-3</v>
      </c>
      <c r="H708" s="231">
        <v>5.5071148625903429E-4</v>
      </c>
      <c r="I708" s="231">
        <v>3.1240530329790688E-5</v>
      </c>
      <c r="J708" s="231">
        <v>1.8800138411311609E-3</v>
      </c>
      <c r="K708" s="229">
        <v>94.638162907606699</v>
      </c>
      <c r="L708" s="229">
        <v>26.9965631667406</v>
      </c>
      <c r="M708" s="229">
        <v>19.653484674902799</v>
      </c>
      <c r="N708" s="229">
        <v>3.9922641451023702</v>
      </c>
      <c r="O708" s="205">
        <v>1.3522969019039152E-4</v>
      </c>
      <c r="P708" s="232">
        <v>270.35200000000003</v>
      </c>
      <c r="Q708" s="213"/>
      <c r="R708" s="235"/>
    </row>
    <row r="709" spans="1:18" ht="16.5" customHeight="1" x14ac:dyDescent="0.25">
      <c r="A709" s="230">
        <v>45303</v>
      </c>
      <c r="B709" s="128" t="s">
        <v>32</v>
      </c>
      <c r="C709" s="157" t="str">
        <f t="shared" ref="C709:C772" si="23">CONCATENATE(TEXT(A709,"TT.MM.JJJJ"),"_",B709)</f>
        <v>12.01.2024_FAL2</v>
      </c>
      <c r="D709" s="190">
        <f t="shared" ref="D709:D772" si="24">COUNTBLANK(E709:P709)</f>
        <v>0</v>
      </c>
      <c r="E709" s="231">
        <v>3.6338086739162121E-5</v>
      </c>
      <c r="F709" s="231">
        <v>1.0958320569055147E-3</v>
      </c>
      <c r="G709" s="231">
        <v>9.7094328708550188E-3</v>
      </c>
      <c r="H709" s="231">
        <v>5.7818230828058888E-4</v>
      </c>
      <c r="I709" s="231">
        <v>2.9134845006663175E-5</v>
      </c>
      <c r="J709" s="231">
        <v>1.4990015359110664E-3</v>
      </c>
      <c r="K709" s="229">
        <v>102.495880506652</v>
      </c>
      <c r="L709" s="229">
        <v>28.953440066323001</v>
      </c>
      <c r="M709" s="229">
        <v>21.145658664690099</v>
      </c>
      <c r="N709" s="229">
        <v>4.4344895627777801</v>
      </c>
      <c r="O709" s="205">
        <v>1.2327588384416293E-4</v>
      </c>
      <c r="P709" s="232">
        <v>278.64799999999997</v>
      </c>
      <c r="Q709" s="213"/>
      <c r="R709" s="235"/>
    </row>
    <row r="710" spans="1:18" ht="16.5" customHeight="1" x14ac:dyDescent="0.25">
      <c r="A710" s="230">
        <v>45303</v>
      </c>
      <c r="B710" s="128" t="s">
        <v>26</v>
      </c>
      <c r="C710" s="157" t="str">
        <f t="shared" si="23"/>
        <v>12.01.2024_GRU1</v>
      </c>
      <c r="D710" s="190">
        <f t="shared" si="24"/>
        <v>0</v>
      </c>
      <c r="E710" s="231">
        <v>3.6338091648000925E-5</v>
      </c>
      <c r="F710" s="231">
        <v>1.0601257114599345E-3</v>
      </c>
      <c r="G710" s="231">
        <v>8.9733400527549495E-3</v>
      </c>
      <c r="H710" s="231">
        <v>2.1622308156818721E-3</v>
      </c>
      <c r="I710" s="231">
        <v>2.8189425720187432E-5</v>
      </c>
      <c r="J710" s="231">
        <v>1.3959418705802365E-3</v>
      </c>
      <c r="K710" s="229">
        <v>13.189023335216</v>
      </c>
      <c r="L710" s="229">
        <v>6.6487348545276799</v>
      </c>
      <c r="M710" s="229">
        <v>5.5612894945905103</v>
      </c>
      <c r="N710" s="229">
        <v>1.7088910437339699</v>
      </c>
      <c r="O710" s="205">
        <v>1.1834990249946022E-4</v>
      </c>
      <c r="P710" s="232">
        <v>35.379999999999995</v>
      </c>
      <c r="Q710" s="213"/>
      <c r="R710" s="235"/>
    </row>
    <row r="711" spans="1:18" ht="16.5" customHeight="1" x14ac:dyDescent="0.25">
      <c r="A711" s="230">
        <v>45303</v>
      </c>
      <c r="B711" s="128" t="s">
        <v>28</v>
      </c>
      <c r="C711" s="157" t="str">
        <f t="shared" si="23"/>
        <v>12.01.2024_GRU2</v>
      </c>
      <c r="D711" s="190">
        <f t="shared" si="24"/>
        <v>0</v>
      </c>
      <c r="E711" s="231">
        <v>3.3150529751308358E-5</v>
      </c>
      <c r="F711" s="231">
        <v>9.0110917078193328E-4</v>
      </c>
      <c r="G711" s="231">
        <v>1.0151090271891754E-2</v>
      </c>
      <c r="H711" s="231">
        <v>1.8575224035386473E-3</v>
      </c>
      <c r="I711" s="231">
        <v>2.1206334665421504E-5</v>
      </c>
      <c r="J711" s="231">
        <v>1.8737675527963709E-3</v>
      </c>
      <c r="K711" s="229">
        <v>16.963380239315399</v>
      </c>
      <c r="L711" s="229">
        <v>6.7057292345401303</v>
      </c>
      <c r="M711" s="229">
        <v>5.5412858481890304</v>
      </c>
      <c r="N711" s="229">
        <v>1.70816838302542</v>
      </c>
      <c r="O711" s="205">
        <v>1.3601786116022537E-4</v>
      </c>
      <c r="P711" s="232">
        <v>44.896000000000001</v>
      </c>
      <c r="Q711" s="213"/>
      <c r="R711" s="235"/>
    </row>
    <row r="712" spans="1:18" ht="16.5" customHeight="1" x14ac:dyDescent="0.25">
      <c r="A712" s="230">
        <v>45303</v>
      </c>
      <c r="B712" s="128" t="s">
        <v>0</v>
      </c>
      <c r="C712" s="157" t="str">
        <f t="shared" si="23"/>
        <v>12.01.2024_KIN1</v>
      </c>
      <c r="D712" s="190">
        <f t="shared" si="24"/>
        <v>0</v>
      </c>
      <c r="E712" s="231">
        <v>2.550040163786902E-5</v>
      </c>
      <c r="F712" s="231">
        <v>7.7448577301507003E-4</v>
      </c>
      <c r="G712" s="231">
        <v>1.0632900179146049E-2</v>
      </c>
      <c r="H712" s="231">
        <v>6.2426275879290188E-4</v>
      </c>
      <c r="I712" s="231">
        <v>2.4715753119908687E-5</v>
      </c>
      <c r="J712" s="231">
        <v>1.1273647249123242E-3</v>
      </c>
      <c r="K712" s="229">
        <v>45.800909141610603</v>
      </c>
      <c r="L712" s="229">
        <v>13.882088900250899</v>
      </c>
      <c r="M712" s="229">
        <v>5.9044218698843602</v>
      </c>
      <c r="N712" s="229">
        <v>1.44221975184323</v>
      </c>
      <c r="O712" s="205">
        <v>7.3359995640956711E-5</v>
      </c>
      <c r="P712" s="232">
        <v>149.084</v>
      </c>
      <c r="Q712" s="213"/>
      <c r="R712" s="235"/>
    </row>
    <row r="713" spans="1:18" ht="16.5" customHeight="1" x14ac:dyDescent="0.25">
      <c r="A713" s="230">
        <v>45303</v>
      </c>
      <c r="B713" s="128" t="s">
        <v>2</v>
      </c>
      <c r="C713" s="157" t="str">
        <f t="shared" si="23"/>
        <v>12.01.2024_KIN2</v>
      </c>
      <c r="D713" s="190">
        <f t="shared" si="24"/>
        <v>0</v>
      </c>
      <c r="E713" s="231">
        <v>2.1037827923985055E-5</v>
      </c>
      <c r="F713" s="231">
        <v>7.7565626662741232E-4</v>
      </c>
      <c r="G713" s="231">
        <v>6.1159975660567949E-3</v>
      </c>
      <c r="H713" s="231">
        <v>4.8978893340691015E-4</v>
      </c>
      <c r="I713" s="231">
        <v>1.5433738644693126E-5</v>
      </c>
      <c r="J713" s="231">
        <v>8.0465979042221617E-4</v>
      </c>
      <c r="K713" s="229">
        <v>50.757780103488102</v>
      </c>
      <c r="L713" s="229">
        <v>15.3955163678721</v>
      </c>
      <c r="M713" s="229">
        <v>5.5630379261800798</v>
      </c>
      <c r="N713" s="229">
        <v>1.49516349498985</v>
      </c>
      <c r="O713" s="205">
        <v>5.3459813546353945E-5</v>
      </c>
      <c r="P713" s="232">
        <v>168.84799999999998</v>
      </c>
      <c r="Q713" s="213"/>
      <c r="R713" s="235"/>
    </row>
    <row r="714" spans="1:18" ht="16.5" customHeight="1" x14ac:dyDescent="0.25">
      <c r="A714" s="230">
        <v>45303</v>
      </c>
      <c r="B714" s="128" t="s">
        <v>4</v>
      </c>
      <c r="C714" s="157" t="str">
        <f t="shared" si="23"/>
        <v>12.01.2024_KIN3</v>
      </c>
      <c r="D714" s="190">
        <f t="shared" si="24"/>
        <v>0</v>
      </c>
      <c r="E714" s="231">
        <v>2.1675336644008776E-5</v>
      </c>
      <c r="F714" s="231">
        <v>8.3243154388428972E-4</v>
      </c>
      <c r="G714" s="231">
        <v>5.2661651575387587E-3</v>
      </c>
      <c r="H714" s="231">
        <v>7.7026079305680245E-4</v>
      </c>
      <c r="I714" s="231">
        <v>3.595330086011632E-5</v>
      </c>
      <c r="J714" s="231">
        <v>1.3168257454545102E-3</v>
      </c>
      <c r="K714" s="229">
        <v>50.524399579991197</v>
      </c>
      <c r="L714" s="229">
        <v>15.8797544808801</v>
      </c>
      <c r="M714" s="229">
        <v>6.4121112697743898</v>
      </c>
      <c r="N714" s="229">
        <v>1.30495091882791</v>
      </c>
      <c r="O714" s="205">
        <v>7.0798571120849935E-5</v>
      </c>
      <c r="P714" s="232">
        <v>159.57599999999999</v>
      </c>
      <c r="Q714" s="213"/>
      <c r="R714" s="235"/>
    </row>
    <row r="715" spans="1:18" ht="16.5" customHeight="1" x14ac:dyDescent="0.25">
      <c r="A715" s="230">
        <v>45303</v>
      </c>
      <c r="B715" s="128" t="s">
        <v>6</v>
      </c>
      <c r="C715" s="157" t="str">
        <f t="shared" si="23"/>
        <v>12.01.2024_KIN4</v>
      </c>
      <c r="D715" s="190">
        <f t="shared" si="24"/>
        <v>0</v>
      </c>
      <c r="E715" s="231">
        <v>3.506306323000737E-5</v>
      </c>
      <c r="F715" s="231">
        <v>9.4871603276853837E-4</v>
      </c>
      <c r="G715" s="231">
        <v>5.8884817044145624E-3</v>
      </c>
      <c r="H715" s="231">
        <v>7.888707980542234E-4</v>
      </c>
      <c r="I715" s="231">
        <v>1.7453426490809263E-5</v>
      </c>
      <c r="J715" s="231">
        <v>1.0336756395133043E-3</v>
      </c>
      <c r="K715" s="229">
        <v>49.349950954655</v>
      </c>
      <c r="L715" s="229">
        <v>16.319252495700901</v>
      </c>
      <c r="M715" s="229">
        <v>9.50617947170295</v>
      </c>
      <c r="N715" s="229">
        <v>1.4049272050791399</v>
      </c>
      <c r="O715" s="205">
        <v>7.5790067874465547E-5</v>
      </c>
      <c r="P715" s="232">
        <v>162.50400000000002</v>
      </c>
      <c r="Q715" s="213"/>
      <c r="R715" s="235"/>
    </row>
    <row r="716" spans="1:18" ht="16.5" customHeight="1" x14ac:dyDescent="0.25">
      <c r="A716" s="230">
        <v>45303</v>
      </c>
      <c r="B716" s="128" t="s">
        <v>34</v>
      </c>
      <c r="C716" s="157" t="str">
        <f t="shared" si="23"/>
        <v>12.01.2024_KRE1</v>
      </c>
      <c r="D716" s="190">
        <f t="shared" si="24"/>
        <v>0</v>
      </c>
      <c r="E716" s="231">
        <v>2.0400317954439644E-5</v>
      </c>
      <c r="F716" s="231">
        <v>6.2855144932613335E-4</v>
      </c>
      <c r="G716" s="231">
        <v>6.7517003642394114E-3</v>
      </c>
      <c r="H716" s="231">
        <v>6.5084772940660084E-4</v>
      </c>
      <c r="I716" s="231">
        <v>1.4939566738169004E-5</v>
      </c>
      <c r="J716" s="231">
        <v>1.0440855354780887E-3</v>
      </c>
      <c r="K716" s="229">
        <v>85.975192006478906</v>
      </c>
      <c r="L716" s="229">
        <v>27.900130354169299</v>
      </c>
      <c r="M716" s="229">
        <v>20.946435500065</v>
      </c>
      <c r="N716" s="229">
        <v>3.6864643772724102</v>
      </c>
      <c r="O716" s="205">
        <v>1.2222499282572917E-4</v>
      </c>
      <c r="P716" s="232">
        <v>300.12</v>
      </c>
      <c r="Q716" s="213"/>
      <c r="R716" s="235"/>
    </row>
    <row r="717" spans="1:18" ht="16.5" customHeight="1" x14ac:dyDescent="0.25">
      <c r="A717" s="230">
        <v>45303</v>
      </c>
      <c r="B717" s="128" t="s">
        <v>37</v>
      </c>
      <c r="C717" s="157" t="str">
        <f t="shared" si="23"/>
        <v>12.01.2024_KRE2</v>
      </c>
      <c r="D717" s="190">
        <f t="shared" si="24"/>
        <v>0</v>
      </c>
      <c r="E717" s="231">
        <v>2.2312849558855027E-5</v>
      </c>
      <c r="F717" s="231">
        <v>6.6835124985833896E-4</v>
      </c>
      <c r="G717" s="231">
        <v>8.2372503019780344E-3</v>
      </c>
      <c r="H717" s="231">
        <v>8.7682669614689516E-4</v>
      </c>
      <c r="I717" s="231">
        <v>1.5841973510054883E-5</v>
      </c>
      <c r="J717" s="231">
        <v>1.0107739628022248E-3</v>
      </c>
      <c r="K717" s="229">
        <v>95.176516715646301</v>
      </c>
      <c r="L717" s="229">
        <v>28.655697004692801</v>
      </c>
      <c r="M717" s="229">
        <v>21.768047110081099</v>
      </c>
      <c r="N717" s="229">
        <v>3.8037424420781898</v>
      </c>
      <c r="O717" s="205">
        <v>1.9539431440777162E-4</v>
      </c>
      <c r="P717" s="232">
        <v>265.22800000000001</v>
      </c>
      <c r="Q717" s="213"/>
      <c r="R717" s="235"/>
    </row>
    <row r="718" spans="1:18" ht="16.5" customHeight="1" x14ac:dyDescent="0.25">
      <c r="A718" s="230">
        <v>45303</v>
      </c>
      <c r="B718" s="128" t="s">
        <v>18</v>
      </c>
      <c r="C718" s="157" t="str">
        <f t="shared" si="23"/>
        <v>12.01.2024_ORB1</v>
      </c>
      <c r="D718" s="190">
        <f t="shared" si="24"/>
        <v>0</v>
      </c>
      <c r="E718" s="231">
        <v>3.4425552100191848E-5</v>
      </c>
      <c r="F718" s="231">
        <v>6.9859143850681921E-4</v>
      </c>
      <c r="G718" s="231">
        <v>2.8237644372408406E-3</v>
      </c>
      <c r="H718" s="231">
        <v>1.22667205704373E-3</v>
      </c>
      <c r="I718" s="231">
        <v>1.0928884995737214E-5</v>
      </c>
      <c r="J718" s="231">
        <v>2.6149902326674176E-3</v>
      </c>
      <c r="K718" s="229">
        <v>10.549266035429699</v>
      </c>
      <c r="L718" s="229">
        <v>2.85835508734352</v>
      </c>
      <c r="M718" s="229">
        <v>5.3961282837337103</v>
      </c>
      <c r="N718" s="229">
        <v>2.8080823106299602</v>
      </c>
      <c r="O718" s="205">
        <v>7.3162972360343775E-5</v>
      </c>
      <c r="P718" s="232">
        <v>14.395999999999999</v>
      </c>
      <c r="Q718" s="213"/>
      <c r="R718" s="235"/>
    </row>
    <row r="719" spans="1:18" ht="16.5" customHeight="1" x14ac:dyDescent="0.25">
      <c r="A719" s="230">
        <v>45303</v>
      </c>
      <c r="B719" s="128" t="s">
        <v>21</v>
      </c>
      <c r="C719" s="157" t="str">
        <f t="shared" si="23"/>
        <v>12.01.2024_ORB2</v>
      </c>
      <c r="D719" s="190">
        <f t="shared" si="24"/>
        <v>0</v>
      </c>
      <c r="E719" s="231">
        <v>2.8687953270625358E-5</v>
      </c>
      <c r="F719" s="231">
        <v>5.122759872014525E-4</v>
      </c>
      <c r="G719" s="231">
        <v>3.2787838027608586E-3</v>
      </c>
      <c r="H719" s="231">
        <v>1.0044430751614515E-3</v>
      </c>
      <c r="I719" s="231">
        <v>1.0542149162780084E-5</v>
      </c>
      <c r="J719" s="231">
        <v>2.3953277071304766E-3</v>
      </c>
      <c r="K719" s="229">
        <v>12.161191015081499</v>
      </c>
      <c r="L719" s="229">
        <v>2.96381525778042</v>
      </c>
      <c r="M719" s="229">
        <v>6.37000949389168</v>
      </c>
      <c r="N719" s="229">
        <v>2.7302831026182899</v>
      </c>
      <c r="O719" s="205">
        <v>7.2177804630111275E-5</v>
      </c>
      <c r="P719" s="232">
        <v>18.3</v>
      </c>
      <c r="Q719" s="213"/>
      <c r="R719" s="235"/>
    </row>
    <row r="720" spans="1:18" ht="16.5" customHeight="1" x14ac:dyDescent="0.25">
      <c r="A720" s="230">
        <v>45303</v>
      </c>
      <c r="B720" s="128" t="s">
        <v>10</v>
      </c>
      <c r="C720" s="157" t="str">
        <f t="shared" si="23"/>
        <v>12.01.2024_SAL1</v>
      </c>
      <c r="D720" s="190">
        <f t="shared" si="24"/>
        <v>0</v>
      </c>
      <c r="E720" s="231">
        <v>1.8487784832749396E-5</v>
      </c>
      <c r="F720" s="231">
        <v>7.3624575608738536E-4</v>
      </c>
      <c r="G720" s="231">
        <v>6.1293792867872249E-3</v>
      </c>
      <c r="H720" s="231">
        <v>9.0695812346945496E-4</v>
      </c>
      <c r="I720" s="231">
        <v>1.0162567427188458E-5</v>
      </c>
      <c r="J720" s="231">
        <v>6.037523974561582E-4</v>
      </c>
      <c r="K720" s="229">
        <v>13.0970917612885</v>
      </c>
      <c r="L720" s="229">
        <v>8.7001948499167394</v>
      </c>
      <c r="M720" s="229">
        <v>5.44529070718625</v>
      </c>
      <c r="N720" s="229">
        <v>0.84359415681482497</v>
      </c>
      <c r="O720" s="205">
        <v>7.3359994215715344E-5</v>
      </c>
      <c r="P720" s="232">
        <v>48.800000000000004</v>
      </c>
      <c r="Q720" s="213"/>
      <c r="R720" s="235"/>
    </row>
    <row r="721" spans="1:18" ht="16.5" customHeight="1" x14ac:dyDescent="0.25">
      <c r="A721" s="230">
        <v>45303</v>
      </c>
      <c r="B721" s="128" t="s">
        <v>12</v>
      </c>
      <c r="C721" s="157" t="str">
        <f t="shared" si="23"/>
        <v>12.01.2024_SAL2</v>
      </c>
      <c r="D721" s="190">
        <f t="shared" si="24"/>
        <v>0</v>
      </c>
      <c r="E721" s="231">
        <v>2.6137914998973691E-5</v>
      </c>
      <c r="F721" s="231">
        <v>8.2365183173720461E-4</v>
      </c>
      <c r="G721" s="231">
        <v>4.9382788038276016E-3</v>
      </c>
      <c r="H721" s="231">
        <v>8.353963729931628E-4</v>
      </c>
      <c r="I721" s="231">
        <v>9.7686656161346401E-6</v>
      </c>
      <c r="J721" s="231">
        <v>7.4116036257113418E-4</v>
      </c>
      <c r="K721" s="229">
        <v>15.000712989381</v>
      </c>
      <c r="L721" s="229">
        <v>9.1474662456669193</v>
      </c>
      <c r="M721" s="229">
        <v>5.6726662983976404</v>
      </c>
      <c r="N721" s="229">
        <v>0.87986094343135302</v>
      </c>
      <c r="O721" s="205">
        <v>7.2112124275455815E-5</v>
      </c>
      <c r="P721" s="232">
        <v>52.704000000000001</v>
      </c>
      <c r="Q721" s="213"/>
      <c r="R721" s="235"/>
    </row>
    <row r="722" spans="1:18" ht="16.5" customHeight="1" x14ac:dyDescent="0.25">
      <c r="A722" s="230">
        <v>45303</v>
      </c>
      <c r="B722" s="128" t="s">
        <v>7</v>
      </c>
      <c r="C722" s="157" t="str">
        <f t="shared" si="23"/>
        <v>12.01.2024_STE1</v>
      </c>
      <c r="D722" s="190">
        <f t="shared" si="24"/>
        <v>0</v>
      </c>
      <c r="E722" s="231">
        <v>2.4225379378238445E-5</v>
      </c>
      <c r="F722" s="231">
        <v>7.4307426241000142E-4</v>
      </c>
      <c r="G722" s="231">
        <v>4.1955188923763261E-3</v>
      </c>
      <c r="H722" s="231">
        <v>9.5880216050327921E-4</v>
      </c>
      <c r="I722" s="231">
        <v>8.8018114071981241E-6</v>
      </c>
      <c r="J722" s="231">
        <v>6.5996463745176257E-4</v>
      </c>
      <c r="K722" s="229">
        <v>36.350495041952001</v>
      </c>
      <c r="L722" s="229">
        <v>9.7980007423606104</v>
      </c>
      <c r="M722" s="229">
        <v>5.83283483437061</v>
      </c>
      <c r="N722" s="229">
        <v>0.87850856705493996</v>
      </c>
      <c r="O722" s="205">
        <v>7.1915085307977972E-5</v>
      </c>
      <c r="P722" s="232">
        <v>111.75200000000001</v>
      </c>
      <c r="Q722" s="213"/>
      <c r="R722" s="235"/>
    </row>
    <row r="723" spans="1:18" ht="16.5" customHeight="1" x14ac:dyDescent="0.25">
      <c r="A723" s="230">
        <v>45303</v>
      </c>
      <c r="B723" s="128" t="s">
        <v>9</v>
      </c>
      <c r="C723" s="157" t="str">
        <f t="shared" si="23"/>
        <v>12.01.2024_STE2</v>
      </c>
      <c r="D723" s="190">
        <f t="shared" si="24"/>
        <v>0</v>
      </c>
      <c r="E723" s="231">
        <v>1.9762805485851912E-5</v>
      </c>
      <c r="F723" s="231">
        <v>8.133112723983343E-4</v>
      </c>
      <c r="G723" s="231">
        <v>3.9211666764959723E-3</v>
      </c>
      <c r="H723" s="231">
        <v>9.0141909368489316E-4</v>
      </c>
      <c r="I723" s="231">
        <v>1.2891244729490393E-5</v>
      </c>
      <c r="J723" s="231">
        <v>6.9431663193665551E-4</v>
      </c>
      <c r="K723" s="229">
        <v>35.161989225484</v>
      </c>
      <c r="L723" s="229">
        <v>9.9735336205201506</v>
      </c>
      <c r="M723" s="229">
        <v>5.9672793697511803</v>
      </c>
      <c r="N723" s="229">
        <v>0.934874213897958</v>
      </c>
      <c r="O723" s="205">
        <v>6.4296509766061186E-5</v>
      </c>
      <c r="P723" s="232">
        <v>111.26400000000001</v>
      </c>
      <c r="Q723" s="213"/>
      <c r="R723" s="235"/>
    </row>
    <row r="724" spans="1:18" ht="16.5" customHeight="1" x14ac:dyDescent="0.25">
      <c r="A724" s="230">
        <v>45332</v>
      </c>
      <c r="B724" s="128" t="s">
        <v>22</v>
      </c>
      <c r="C724" s="157" t="str">
        <f t="shared" si="23"/>
        <v>10.02.2024_BIE1</v>
      </c>
      <c r="D724" s="190">
        <f t="shared" si="24"/>
        <v>0</v>
      </c>
      <c r="E724" s="231">
        <v>8.1601449250067357E-5</v>
      </c>
      <c r="F724" s="231">
        <v>2.689857013070604E-3</v>
      </c>
      <c r="G724" s="231">
        <v>1.2078339830093949E-2</v>
      </c>
      <c r="H724" s="231">
        <v>1.3086534889383212E-3</v>
      </c>
      <c r="I724" s="231">
        <v>5.6696060711885511E-5</v>
      </c>
      <c r="J724" s="231">
        <v>7.9312775958479808E-3</v>
      </c>
      <c r="K724" s="229">
        <v>15.5974640296721</v>
      </c>
      <c r="L724" s="229">
        <v>5.7282876458917604</v>
      </c>
      <c r="M724" s="229">
        <v>7.2994883990491202</v>
      </c>
      <c r="N724" s="229">
        <v>2.7378530647539598</v>
      </c>
      <c r="O724" s="205">
        <v>2.0439297131339575E-4</v>
      </c>
      <c r="P724" s="232">
        <v>45.384</v>
      </c>
      <c r="Q724" s="213"/>
      <c r="R724" s="235"/>
    </row>
    <row r="725" spans="1:18" ht="16.5" customHeight="1" x14ac:dyDescent="0.25">
      <c r="A725" s="230">
        <v>45332</v>
      </c>
      <c r="B725" s="128" t="s">
        <v>25</v>
      </c>
      <c r="C725" s="157" t="str">
        <f t="shared" si="23"/>
        <v>10.02.2024_BIE2</v>
      </c>
      <c r="D725" s="190">
        <f t="shared" si="24"/>
        <v>0</v>
      </c>
      <c r="E725" s="231">
        <v>4.1438173278640574E-5</v>
      </c>
      <c r="F725" s="231">
        <v>2.4523150154029593E-3</v>
      </c>
      <c r="G725" s="231">
        <v>1.2419626987628435E-2</v>
      </c>
      <c r="H725" s="231">
        <v>1.2951374670944458E-3</v>
      </c>
      <c r="I725" s="231">
        <v>2.8712261036657688E-5</v>
      </c>
      <c r="J725" s="231">
        <v>7.5105930220311125E-3</v>
      </c>
      <c r="K725" s="229">
        <v>14.911603655544001</v>
      </c>
      <c r="L725" s="229">
        <v>5.3965607342426098</v>
      </c>
      <c r="M725" s="229">
        <v>7.1572554968808397</v>
      </c>
      <c r="N725" s="229">
        <v>2.6873944155957399</v>
      </c>
      <c r="O725" s="205">
        <v>1.7293080576470782E-4</v>
      </c>
      <c r="P725" s="232">
        <v>44.164000000000001</v>
      </c>
      <c r="Q725" s="213"/>
      <c r="R725" s="235"/>
    </row>
    <row r="726" spans="1:18" ht="16.5" customHeight="1" x14ac:dyDescent="0.25">
      <c r="A726" s="230">
        <v>45332</v>
      </c>
      <c r="B726" s="128" t="s">
        <v>14</v>
      </c>
      <c r="C726" s="157" t="str">
        <f t="shared" si="23"/>
        <v>10.02.2024_BRA1</v>
      </c>
      <c r="D726" s="190">
        <f t="shared" si="24"/>
        <v>0</v>
      </c>
      <c r="E726" s="231">
        <v>1.9762805485851912E-5</v>
      </c>
      <c r="F726" s="231">
        <v>3.326816935648159E-3</v>
      </c>
      <c r="G726" s="231">
        <v>2.1681513262860694E-2</v>
      </c>
      <c r="H726" s="231">
        <v>1.614212978097189E-3</v>
      </c>
      <c r="I726" s="231">
        <v>1.5591307100511E-5</v>
      </c>
      <c r="J726" s="231">
        <v>1.3511789060176877E-3</v>
      </c>
      <c r="K726" s="229">
        <v>9.4389599473414307</v>
      </c>
      <c r="L726" s="229">
        <v>5.4537867918196001</v>
      </c>
      <c r="M726" s="229">
        <v>5.5262948704778001</v>
      </c>
      <c r="N726" s="229">
        <v>1.50056523745506</v>
      </c>
      <c r="O726" s="205">
        <v>2.1056724288790116E-4</v>
      </c>
      <c r="P726" s="232">
        <v>32.696000000000005</v>
      </c>
      <c r="Q726" s="213"/>
      <c r="R726" s="235"/>
    </row>
    <row r="727" spans="1:18" ht="16.5" customHeight="1" x14ac:dyDescent="0.25">
      <c r="A727" s="230">
        <v>45332</v>
      </c>
      <c r="B727" s="128" t="s">
        <v>17</v>
      </c>
      <c r="C727" s="157" t="str">
        <f t="shared" si="23"/>
        <v>10.02.2024_BRA2</v>
      </c>
      <c r="D727" s="190">
        <f t="shared" si="24"/>
        <v>0</v>
      </c>
      <c r="E727" s="231">
        <v>1.7212765786173603E-5</v>
      </c>
      <c r="F727" s="231">
        <v>1.6131208635936809E-3</v>
      </c>
      <c r="G727" s="231">
        <v>1.6227367412677881E-2</v>
      </c>
      <c r="H727" s="231">
        <v>1.5118406663112672E-3</v>
      </c>
      <c r="I727" s="231">
        <v>2.1944019944310091E-5</v>
      </c>
      <c r="J727" s="231">
        <v>1.5552161738024322E-3</v>
      </c>
      <c r="K727" s="229">
        <v>10.4157075429118</v>
      </c>
      <c r="L727" s="229">
        <v>5.8446007797412198</v>
      </c>
      <c r="M727" s="229">
        <v>6.0159706376484303</v>
      </c>
      <c r="N727" s="229">
        <v>1.5126806998804301</v>
      </c>
      <c r="O727" s="205">
        <v>1.6925258888144046E-4</v>
      </c>
      <c r="P727" s="232">
        <v>34.403999999999996</v>
      </c>
      <c r="Q727" s="213"/>
      <c r="R727" s="235"/>
    </row>
    <row r="728" spans="1:18" ht="16.5" customHeight="1" x14ac:dyDescent="0.25">
      <c r="A728" s="230">
        <v>45332</v>
      </c>
      <c r="B728" s="128" t="s">
        <v>30</v>
      </c>
      <c r="C728" s="157" t="str">
        <f t="shared" si="23"/>
        <v>10.02.2024_FAL1</v>
      </c>
      <c r="D728" s="190">
        <f t="shared" si="24"/>
        <v>0</v>
      </c>
      <c r="E728" s="231">
        <v>1.721276471515582E-5</v>
      </c>
      <c r="F728" s="231">
        <v>1.6966423675666875E-3</v>
      </c>
      <c r="G728" s="231">
        <v>1.3336419926879962E-2</v>
      </c>
      <c r="H728" s="231">
        <v>1.0919600412855948E-3</v>
      </c>
      <c r="I728" s="231">
        <v>1.5125773980178732E-5</v>
      </c>
      <c r="J728" s="231">
        <v>1.2345870893109192E-3</v>
      </c>
      <c r="K728" s="229">
        <v>69.785589825833199</v>
      </c>
      <c r="L728" s="229">
        <v>16.6856383257042</v>
      </c>
      <c r="M728" s="229">
        <v>16.327110551547399</v>
      </c>
      <c r="N728" s="229">
        <v>4.4142164754605799</v>
      </c>
      <c r="O728" s="205">
        <v>1.551310226863364E-4</v>
      </c>
      <c r="P728" s="232">
        <v>204.22799999999998</v>
      </c>
      <c r="Q728" s="213"/>
      <c r="R728" s="235"/>
    </row>
    <row r="729" spans="1:18" ht="16.5" customHeight="1" x14ac:dyDescent="0.25">
      <c r="A729" s="230">
        <v>45332</v>
      </c>
      <c r="B729" s="128" t="s">
        <v>32</v>
      </c>
      <c r="C729" s="157" t="str">
        <f t="shared" si="23"/>
        <v>10.02.2024_FAL2</v>
      </c>
      <c r="D729" s="190">
        <f t="shared" si="24"/>
        <v>0</v>
      </c>
      <c r="E729" s="231">
        <v>2.4225379378238445E-5</v>
      </c>
      <c r="F729" s="231">
        <v>1.8289532130979587E-3</v>
      </c>
      <c r="G729" s="231">
        <v>1.8930991216750778E-2</v>
      </c>
      <c r="H729" s="231">
        <v>1.2067313571933718E-3</v>
      </c>
      <c r="I729" s="231">
        <v>1.9745274055809498E-5</v>
      </c>
      <c r="J729" s="231">
        <v>1.8654395283517861E-3</v>
      </c>
      <c r="K729" s="229">
        <v>80.186176189616901</v>
      </c>
      <c r="L729" s="229">
        <v>17.225547022431002</v>
      </c>
      <c r="M729" s="229">
        <v>16.8361618875457</v>
      </c>
      <c r="N729" s="229">
        <v>4.7144210578878303</v>
      </c>
      <c r="O729" s="205">
        <v>1.5467124208729815E-4</v>
      </c>
      <c r="P729" s="232">
        <v>209.84</v>
      </c>
      <c r="Q729" s="213"/>
      <c r="R729" s="235"/>
    </row>
    <row r="730" spans="1:18" ht="16.5" customHeight="1" x14ac:dyDescent="0.25">
      <c r="A730" s="230">
        <v>45332</v>
      </c>
      <c r="B730" s="128" t="s">
        <v>26</v>
      </c>
      <c r="C730" s="157" t="str">
        <f t="shared" si="23"/>
        <v>10.02.2024_GRU1</v>
      </c>
      <c r="D730" s="190">
        <f t="shared" si="24"/>
        <v>0</v>
      </c>
      <c r="E730" s="231">
        <v>4.0163153339553486E-5</v>
      </c>
      <c r="F730" s="231">
        <v>1.3522245207042865E-3</v>
      </c>
      <c r="G730" s="231">
        <v>2.6700850554607431E-2</v>
      </c>
      <c r="H730" s="231">
        <v>2.843518594727778E-3</v>
      </c>
      <c r="I730" s="231">
        <v>2.0518781525053913E-5</v>
      </c>
      <c r="J730" s="231">
        <v>1.8654393817279533E-3</v>
      </c>
      <c r="K730" s="229">
        <v>10.3143051092996</v>
      </c>
      <c r="L730" s="229">
        <v>5.2370270723524497</v>
      </c>
      <c r="M730" s="229">
        <v>6.5739579705048996</v>
      </c>
      <c r="N730" s="229">
        <v>1.68963936242795</v>
      </c>
      <c r="O730" s="205">
        <v>2.1299755235416564E-4</v>
      </c>
      <c r="P730" s="232">
        <v>29.279999999999998</v>
      </c>
      <c r="Q730" s="213"/>
      <c r="R730" s="235"/>
    </row>
    <row r="731" spans="1:18" ht="16.5" customHeight="1" x14ac:dyDescent="0.25">
      <c r="A731" s="230">
        <v>45332</v>
      </c>
      <c r="B731" s="128" t="s">
        <v>28</v>
      </c>
      <c r="C731" s="157" t="str">
        <f t="shared" si="23"/>
        <v>10.02.2024_GRU2</v>
      </c>
      <c r="D731" s="190">
        <f t="shared" si="24"/>
        <v>0</v>
      </c>
      <c r="E731" s="231">
        <v>3.8888129919650116E-5</v>
      </c>
      <c r="F731" s="231">
        <v>1.4533027769504324E-3</v>
      </c>
      <c r="G731" s="231">
        <v>2.5362345871358161E-2</v>
      </c>
      <c r="H731" s="231">
        <v>2.9115641867521066E-3</v>
      </c>
      <c r="I731" s="231">
        <v>2.1564434048334346E-5</v>
      </c>
      <c r="J731" s="231">
        <v>2.1767082824589341E-3</v>
      </c>
      <c r="K731" s="229">
        <v>12.1256876784936</v>
      </c>
      <c r="L731" s="229">
        <v>5.3761547790502204</v>
      </c>
      <c r="M731" s="229">
        <v>6.5437425905764002</v>
      </c>
      <c r="N731" s="229">
        <v>1.6884927196081101</v>
      </c>
      <c r="O731" s="205">
        <v>1.9467179055798517E-4</v>
      </c>
      <c r="P731" s="232">
        <v>32.696000000000005</v>
      </c>
      <c r="Q731" s="213"/>
      <c r="R731" s="235"/>
    </row>
    <row r="732" spans="1:18" ht="16.5" customHeight="1" x14ac:dyDescent="0.25">
      <c r="A732" s="230">
        <v>45332</v>
      </c>
      <c r="B732" s="128" t="s">
        <v>0</v>
      </c>
      <c r="C732" s="157" t="str">
        <f t="shared" si="23"/>
        <v>10.02.2024_KIN1</v>
      </c>
      <c r="D732" s="190">
        <f t="shared" si="24"/>
        <v>0</v>
      </c>
      <c r="E732" s="231">
        <v>1.5937744597562146E-5</v>
      </c>
      <c r="F732" s="231">
        <v>1.9091614080106528E-3</v>
      </c>
      <c r="G732" s="231">
        <v>1.5993144824341311E-2</v>
      </c>
      <c r="H732" s="231">
        <v>1.1322845195251056E-3</v>
      </c>
      <c r="I732" s="231">
        <v>1.9430137624330781E-5</v>
      </c>
      <c r="J732" s="231">
        <v>1.1377746348684025E-3</v>
      </c>
      <c r="K732" s="229">
        <v>33.652897011271897</v>
      </c>
      <c r="L732" s="229">
        <v>7.7335445749699403</v>
      </c>
      <c r="M732" s="229">
        <v>8.8250088358746108</v>
      </c>
      <c r="N732" s="229">
        <v>2.4470484021313199</v>
      </c>
      <c r="O732" s="205">
        <v>8.4525243044619757E-5</v>
      </c>
      <c r="P732" s="232">
        <v>97.844000000000008</v>
      </c>
      <c r="Q732" s="213"/>
      <c r="R732" s="235"/>
    </row>
    <row r="733" spans="1:18" ht="16.5" customHeight="1" x14ac:dyDescent="0.25">
      <c r="A733" s="230">
        <v>45332</v>
      </c>
      <c r="B733" s="128" t="s">
        <v>2</v>
      </c>
      <c r="C733" s="157" t="str">
        <f t="shared" si="23"/>
        <v>10.02.2024_KIN2</v>
      </c>
      <c r="D733" s="190">
        <f t="shared" si="24"/>
        <v>0</v>
      </c>
      <c r="E733" s="231">
        <v>1.976280575360643E-5</v>
      </c>
      <c r="F733" s="231">
        <v>1.759089409149907E-3</v>
      </c>
      <c r="G733" s="231">
        <v>1.7465406415071136E-2</v>
      </c>
      <c r="H733" s="231">
        <v>1.1440272784583108E-3</v>
      </c>
      <c r="I733" s="231">
        <v>1.8004889617384241E-5</v>
      </c>
      <c r="J733" s="231">
        <v>1.4001058873219178E-3</v>
      </c>
      <c r="K733" s="229">
        <v>38.258466959718298</v>
      </c>
      <c r="L733" s="229">
        <v>8.3109847721513095</v>
      </c>
      <c r="M733" s="229">
        <v>8.4439994003312897</v>
      </c>
      <c r="N733" s="229">
        <v>2.4664290455483702</v>
      </c>
      <c r="O733" s="205">
        <v>8.3080320960180102E-5</v>
      </c>
      <c r="P733" s="232">
        <v>110.044</v>
      </c>
      <c r="Q733" s="213"/>
      <c r="R733" s="235"/>
    </row>
    <row r="734" spans="1:18" ht="16.5" customHeight="1" x14ac:dyDescent="0.25">
      <c r="A734" s="230">
        <v>45332</v>
      </c>
      <c r="B734" s="128" t="s">
        <v>4</v>
      </c>
      <c r="C734" s="157" t="str">
        <f t="shared" si="23"/>
        <v>10.02.2024_KIN3</v>
      </c>
      <c r="D734" s="190">
        <f t="shared" si="24"/>
        <v>0</v>
      </c>
      <c r="E734" s="231">
        <v>2.2950357386362765E-5</v>
      </c>
      <c r="F734" s="231">
        <v>1.7739207367131584E-3</v>
      </c>
      <c r="G734" s="231">
        <v>1.4801961790368247E-2</v>
      </c>
      <c r="H734" s="231">
        <v>1.7695484238086207E-3</v>
      </c>
      <c r="I734" s="231">
        <v>1.3371100202289364E-5</v>
      </c>
      <c r="J734" s="231">
        <v>1.6041435968602929E-3</v>
      </c>
      <c r="K734" s="229">
        <v>38.397779863361698</v>
      </c>
      <c r="L734" s="229">
        <v>8.8493970291926907</v>
      </c>
      <c r="M734" s="229">
        <v>8.5303537625479997</v>
      </c>
      <c r="N734" s="229">
        <v>2.1163578822582401</v>
      </c>
      <c r="O734" s="205">
        <v>1.0738142472267654E-4</v>
      </c>
      <c r="P734" s="232">
        <v>108.092</v>
      </c>
      <c r="Q734" s="213"/>
      <c r="R734" s="235"/>
    </row>
    <row r="735" spans="1:18" ht="16.5" customHeight="1" x14ac:dyDescent="0.25">
      <c r="A735" s="230">
        <v>45332</v>
      </c>
      <c r="B735" s="128" t="s">
        <v>6</v>
      </c>
      <c r="C735" s="157" t="str">
        <f t="shared" si="23"/>
        <v>10.02.2024_KIN4</v>
      </c>
      <c r="D735" s="190">
        <f t="shared" si="24"/>
        <v>0</v>
      </c>
      <c r="E735" s="231">
        <v>2.0400316258660686E-5</v>
      </c>
      <c r="F735" s="231">
        <v>1.8281726870439429E-3</v>
      </c>
      <c r="G735" s="231">
        <v>1.5390863398064244E-2</v>
      </c>
      <c r="H735" s="231">
        <v>1.7163660306385349E-3</v>
      </c>
      <c r="I735" s="231">
        <v>2.4866166048080968E-5</v>
      </c>
      <c r="J735" s="231">
        <v>1.4146801422365988E-3</v>
      </c>
      <c r="K735" s="229">
        <v>32.132467698816399</v>
      </c>
      <c r="L735" s="229">
        <v>8.5463959206197497</v>
      </c>
      <c r="M735" s="229">
        <v>10.1863260347327</v>
      </c>
      <c r="N735" s="229">
        <v>2.11502195153883</v>
      </c>
      <c r="O735" s="205">
        <v>1.0711869832904178E-4</v>
      </c>
      <c r="P735" s="232">
        <v>94.183999999999997</v>
      </c>
      <c r="Q735" s="213"/>
      <c r="R735" s="235"/>
    </row>
    <row r="736" spans="1:18" ht="16.5" customHeight="1" x14ac:dyDescent="0.25">
      <c r="A736" s="230">
        <v>45332</v>
      </c>
      <c r="B736" s="128" t="s">
        <v>34</v>
      </c>
      <c r="C736" s="157" t="str">
        <f t="shared" si="23"/>
        <v>10.02.2024_KRE1</v>
      </c>
      <c r="D736" s="190">
        <f t="shared" si="24"/>
        <v>0</v>
      </c>
      <c r="E736" s="231">
        <v>2.9325464221937554E-5</v>
      </c>
      <c r="F736" s="231">
        <v>1.5787761999059753E-3</v>
      </c>
      <c r="G736" s="231">
        <v>1.5257019466528989E-2</v>
      </c>
      <c r="H736" s="231">
        <v>1.0833186886602334E-3</v>
      </c>
      <c r="I736" s="231">
        <v>1.662979756219923E-5</v>
      </c>
      <c r="J736" s="231">
        <v>1.5146165838260466E-3</v>
      </c>
      <c r="K736" s="229">
        <v>82.625952265940796</v>
      </c>
      <c r="L736" s="229">
        <v>17.488010029352399</v>
      </c>
      <c r="M736" s="229">
        <v>14.7904682514122</v>
      </c>
      <c r="N736" s="229">
        <v>3.66295008591326</v>
      </c>
      <c r="O736" s="205">
        <v>1.7155146558568444E-4</v>
      </c>
      <c r="P736" s="232">
        <v>207.15600000000001</v>
      </c>
      <c r="Q736" s="213"/>
      <c r="R736" s="235"/>
    </row>
    <row r="737" spans="1:18" ht="16.5" customHeight="1" x14ac:dyDescent="0.25">
      <c r="A737" s="230">
        <v>45332</v>
      </c>
      <c r="B737" s="128" t="s">
        <v>37</v>
      </c>
      <c r="C737" s="157" t="str">
        <f t="shared" si="23"/>
        <v>10.02.2024_KRE2</v>
      </c>
      <c r="D737" s="190">
        <f t="shared" si="24"/>
        <v>0</v>
      </c>
      <c r="E737" s="231">
        <v>2.1675337179517812E-5</v>
      </c>
      <c r="F737" s="231">
        <v>2.0170844116992087E-3</v>
      </c>
      <c r="G737" s="231">
        <v>1.5919531506871386E-2</v>
      </c>
      <c r="H737" s="231">
        <v>1.5005401100603869E-3</v>
      </c>
      <c r="I737" s="231">
        <v>1.8198285029410292E-5</v>
      </c>
      <c r="J737" s="231">
        <v>1.7176143404503787E-3</v>
      </c>
      <c r="K737" s="229">
        <v>82.2669424853474</v>
      </c>
      <c r="L737" s="229">
        <v>17.971015869024701</v>
      </c>
      <c r="M737" s="229">
        <v>16.038891945039101</v>
      </c>
      <c r="N737" s="229">
        <v>4.0000606063122204</v>
      </c>
      <c r="O737" s="205">
        <v>1.486285741011086E-4</v>
      </c>
      <c r="P737" s="232">
        <v>202.76399999999998</v>
      </c>
      <c r="Q737" s="213"/>
      <c r="R737" s="235"/>
    </row>
    <row r="738" spans="1:18" ht="16.5" customHeight="1" x14ac:dyDescent="0.25">
      <c r="A738" s="230">
        <v>45332</v>
      </c>
      <c r="B738" s="128" t="s">
        <v>18</v>
      </c>
      <c r="C738" s="157" t="str">
        <f t="shared" si="23"/>
        <v>10.02.2024_ORB1</v>
      </c>
      <c r="D738" s="190">
        <f t="shared" si="24"/>
        <v>0</v>
      </c>
      <c r="E738" s="231">
        <v>3.0600487731091061E-5</v>
      </c>
      <c r="F738" s="231">
        <v>1.3526147129416027E-3</v>
      </c>
      <c r="G738" s="231">
        <v>7.4610152963601514E-3</v>
      </c>
      <c r="H738" s="231">
        <v>1.2700998114369866E-3</v>
      </c>
      <c r="I738" s="231">
        <v>3.8059041497206871E-5</v>
      </c>
      <c r="J738" s="231">
        <v>3.5967316455404854E-3</v>
      </c>
      <c r="K738" s="229">
        <v>13.608736777435</v>
      </c>
      <c r="L738" s="229">
        <v>3.33805741746461</v>
      </c>
      <c r="M738" s="229">
        <v>8.1721956902923107</v>
      </c>
      <c r="N738" s="229">
        <v>2.9419474804753301</v>
      </c>
      <c r="O738" s="205">
        <v>1.14671822928848E-4</v>
      </c>
      <c r="P738" s="232">
        <v>22.692</v>
      </c>
      <c r="Q738" s="213"/>
      <c r="R738" s="235"/>
    </row>
    <row r="739" spans="1:18" ht="16.5" customHeight="1" x14ac:dyDescent="0.25">
      <c r="A739" s="230">
        <v>45332</v>
      </c>
      <c r="B739" s="128" t="s">
        <v>21</v>
      </c>
      <c r="C739" s="157" t="str">
        <f t="shared" si="23"/>
        <v>10.02.2024_ORB2</v>
      </c>
      <c r="D739" s="190">
        <f t="shared" si="24"/>
        <v>0</v>
      </c>
      <c r="E739" s="231">
        <v>3.2513023530331545E-5</v>
      </c>
      <c r="F739" s="231">
        <v>9.5066704089694922E-4</v>
      </c>
      <c r="G739" s="231">
        <v>1.0104248568311476E-2</v>
      </c>
      <c r="H739" s="231">
        <v>1.3084321144646528E-3</v>
      </c>
      <c r="I739" s="231">
        <v>1.3951218135201807E-5</v>
      </c>
      <c r="J739" s="231">
        <v>4.3848636027136864E-3</v>
      </c>
      <c r="K739" s="229">
        <v>15.0604249906135</v>
      </c>
      <c r="L739" s="229">
        <v>3.6132469958867102</v>
      </c>
      <c r="M739" s="229">
        <v>11.1011252677445</v>
      </c>
      <c r="N739" s="229">
        <v>2.9933138739962799</v>
      </c>
      <c r="O739" s="205">
        <v>1.0652759213889298E-4</v>
      </c>
      <c r="P739" s="232">
        <v>27.571999999999999</v>
      </c>
      <c r="Q739" s="213"/>
      <c r="R739" s="235"/>
    </row>
    <row r="740" spans="1:18" ht="16.5" customHeight="1" x14ac:dyDescent="0.25">
      <c r="A740" s="230">
        <v>45332</v>
      </c>
      <c r="B740" s="128" t="s">
        <v>10</v>
      </c>
      <c r="C740" s="157" t="str">
        <f t="shared" si="23"/>
        <v>10.02.2024_SAL1</v>
      </c>
      <c r="D740" s="190">
        <f t="shared" si="24"/>
        <v>0</v>
      </c>
      <c r="E740" s="231">
        <v>2.8687953002870553E-5</v>
      </c>
      <c r="F740" s="231">
        <v>1.3633468503853438E-3</v>
      </c>
      <c r="G740" s="231">
        <v>1.7492175225750639E-2</v>
      </c>
      <c r="H740" s="231">
        <v>1.6924341097672884E-3</v>
      </c>
      <c r="I740" s="231">
        <v>1.3865270917674315E-5</v>
      </c>
      <c r="J740" s="231">
        <v>1.5260677323251713E-3</v>
      </c>
      <c r="K740" s="229">
        <v>8.6918044277127695</v>
      </c>
      <c r="L740" s="229">
        <v>5.23388806782045</v>
      </c>
      <c r="M740" s="229">
        <v>5.0626453184850204</v>
      </c>
      <c r="N740" s="229">
        <v>1.1930664679710199</v>
      </c>
      <c r="O740" s="205">
        <v>1.3385039151292782E-4</v>
      </c>
      <c r="P740" s="232">
        <v>31.720000000000002</v>
      </c>
      <c r="Q740" s="213"/>
      <c r="R740" s="235"/>
    </row>
    <row r="741" spans="1:18" ht="16.5" customHeight="1" x14ac:dyDescent="0.25">
      <c r="A741" s="230">
        <v>45332</v>
      </c>
      <c r="B741" s="128" t="s">
        <v>12</v>
      </c>
      <c r="C741" s="157" t="str">
        <f t="shared" si="23"/>
        <v>10.02.2024_SAL2</v>
      </c>
      <c r="D741" s="190">
        <f t="shared" si="24"/>
        <v>0</v>
      </c>
      <c r="E741" s="231">
        <v>2.1675337001014864E-5</v>
      </c>
      <c r="F741" s="231">
        <v>1.4271550693835391E-3</v>
      </c>
      <c r="G741" s="231">
        <v>1.7492175928465293E-2</v>
      </c>
      <c r="H741" s="231">
        <v>1.684899984126994E-3</v>
      </c>
      <c r="I741" s="231">
        <v>1.466741426596587E-5</v>
      </c>
      <c r="J741" s="231">
        <v>1.6135126504150795E-3</v>
      </c>
      <c r="K741" s="229">
        <v>9.1366815706322395</v>
      </c>
      <c r="L741" s="229">
        <v>5.2681992178416097</v>
      </c>
      <c r="M741" s="229">
        <v>5.1001987762285497</v>
      </c>
      <c r="N741" s="229">
        <v>1.2663165702880601</v>
      </c>
      <c r="O741" s="205">
        <v>1.2629716084220944E-4</v>
      </c>
      <c r="P741" s="232">
        <v>31.720000000000002</v>
      </c>
      <c r="Q741" s="213"/>
      <c r="R741" s="235"/>
    </row>
    <row r="742" spans="1:18" ht="16.5" customHeight="1" x14ac:dyDescent="0.25">
      <c r="A742" s="230">
        <v>45332</v>
      </c>
      <c r="B742" s="128" t="s">
        <v>7</v>
      </c>
      <c r="C742" s="157" t="str">
        <f t="shared" si="23"/>
        <v>10.02.2024_STE1</v>
      </c>
      <c r="D742" s="190">
        <f t="shared" si="24"/>
        <v>0</v>
      </c>
      <c r="E742" s="231">
        <v>2.2950357386362765E-5</v>
      </c>
      <c r="F742" s="231">
        <v>1.4632546969216883E-3</v>
      </c>
      <c r="G742" s="231">
        <v>9.2343177194889395E-3</v>
      </c>
      <c r="H742" s="231">
        <v>1.8442264867616263E-3</v>
      </c>
      <c r="I742" s="231">
        <v>9.9763560551526085E-6</v>
      </c>
      <c r="J742" s="231">
        <v>8.0049587132814508E-4</v>
      </c>
      <c r="K742" s="229">
        <v>17.4781285279178</v>
      </c>
      <c r="L742" s="229">
        <v>6.9175309380670598</v>
      </c>
      <c r="M742" s="229">
        <v>5.8161511322877599</v>
      </c>
      <c r="N742" s="229">
        <v>1.06708066698597</v>
      </c>
      <c r="O742" s="205">
        <v>1.1119081359987683E-4</v>
      </c>
      <c r="P742" s="232">
        <v>60.024000000000001</v>
      </c>
      <c r="Q742" s="213"/>
      <c r="R742" s="235"/>
    </row>
    <row r="743" spans="1:18" ht="16.5" customHeight="1" x14ac:dyDescent="0.25">
      <c r="A743" s="230">
        <v>45332</v>
      </c>
      <c r="B743" s="128" t="s">
        <v>9</v>
      </c>
      <c r="C743" s="157" t="str">
        <f t="shared" si="23"/>
        <v>10.02.2024_STE2</v>
      </c>
      <c r="D743" s="190">
        <f t="shared" si="24"/>
        <v>0</v>
      </c>
      <c r="E743" s="231">
        <v>1.5300234003256516E-5</v>
      </c>
      <c r="F743" s="231">
        <v>1.3344677127322053E-3</v>
      </c>
      <c r="G743" s="231">
        <v>8.9064223513679094E-3</v>
      </c>
      <c r="H743" s="231">
        <v>1.717030774764938E-3</v>
      </c>
      <c r="I743" s="231">
        <v>1.3507173915150635E-5</v>
      </c>
      <c r="J743" s="231">
        <v>7.5365221268847973E-4</v>
      </c>
      <c r="K743" s="229">
        <v>17.412090561537699</v>
      </c>
      <c r="L743" s="229">
        <v>6.8582012131764696</v>
      </c>
      <c r="M743" s="229">
        <v>6.2945070795791702</v>
      </c>
      <c r="N743" s="229">
        <v>1.18011120553167</v>
      </c>
      <c r="O743" s="205">
        <v>1.0291523545225135E-4</v>
      </c>
      <c r="P743" s="232">
        <v>59.78</v>
      </c>
      <c r="Q743" s="213"/>
      <c r="R743" s="235"/>
    </row>
    <row r="744" spans="1:18" ht="16.5" customHeight="1" x14ac:dyDescent="0.25">
      <c r="A744" s="230">
        <v>45359</v>
      </c>
      <c r="B744" s="128" t="s">
        <v>22</v>
      </c>
      <c r="C744" s="157" t="str">
        <f t="shared" si="23"/>
        <v>08.03.2024_BIE1</v>
      </c>
      <c r="D744" s="190">
        <f t="shared" si="24"/>
        <v>0</v>
      </c>
      <c r="E744" s="231">
        <v>5.8012181684996793E-5</v>
      </c>
      <c r="F744" s="231">
        <v>1.3900718904533117E-3</v>
      </c>
      <c r="G744" s="231">
        <v>5.3555678584076222E-3</v>
      </c>
      <c r="H744" s="231">
        <v>9.6166098100305822E-4</v>
      </c>
      <c r="I744" s="231">
        <v>3.7674264580961353E-5</v>
      </c>
      <c r="J744" s="231">
        <v>3.4056051953859868E-3</v>
      </c>
      <c r="K744" s="229">
        <v>9.68496579828936</v>
      </c>
      <c r="L744" s="229">
        <v>3.9423131309379702</v>
      </c>
      <c r="M744" s="229">
        <v>3.5974697278175798</v>
      </c>
      <c r="N744" s="229">
        <v>2.3091163693282599</v>
      </c>
      <c r="O744" s="205">
        <v>1.5460973889948123E-4</v>
      </c>
      <c r="P744" s="232">
        <v>30.988</v>
      </c>
      <c r="Q744" s="213"/>
      <c r="R744" s="235"/>
    </row>
    <row r="745" spans="1:18" ht="16.5" customHeight="1" x14ac:dyDescent="0.25">
      <c r="A745" s="230">
        <v>45359</v>
      </c>
      <c r="B745" s="128" t="s">
        <v>25</v>
      </c>
      <c r="C745" s="157" t="str">
        <f t="shared" si="23"/>
        <v>08.03.2024_BIE2</v>
      </c>
      <c r="D745" s="190">
        <f t="shared" si="24"/>
        <v>0</v>
      </c>
      <c r="E745" s="231">
        <v>2.7339046269581272E-5</v>
      </c>
      <c r="F745" s="231">
        <v>9.3426966441242693E-4</v>
      </c>
      <c r="G745" s="231">
        <v>4.9589356154506213E-3</v>
      </c>
      <c r="H745" s="231">
        <v>6.0941682123200037E-4</v>
      </c>
      <c r="I745" s="231">
        <v>1.7445996561191872E-5</v>
      </c>
      <c r="J745" s="231">
        <v>1.8678186900132978E-3</v>
      </c>
      <c r="K745" s="229">
        <v>7.38641344917328</v>
      </c>
      <c r="L745" s="229">
        <v>1.8991284594275399</v>
      </c>
      <c r="M745" s="229">
        <v>1.8443016108133601</v>
      </c>
      <c r="N745" s="229">
        <v>1.0889030860100199</v>
      </c>
      <c r="O745" s="205">
        <v>8.5397237898204387E-5</v>
      </c>
      <c r="P745" s="232">
        <v>24.156000000000002</v>
      </c>
      <c r="Q745" s="213"/>
      <c r="R745" s="235"/>
    </row>
    <row r="746" spans="1:18" ht="16.5" customHeight="1" x14ac:dyDescent="0.25">
      <c r="A746" s="230">
        <v>45359</v>
      </c>
      <c r="B746" s="128" t="s">
        <v>14</v>
      </c>
      <c r="C746" s="157" t="str">
        <f t="shared" si="23"/>
        <v>08.03.2024_BRA1</v>
      </c>
      <c r="D746" s="190">
        <f t="shared" si="24"/>
        <v>0</v>
      </c>
      <c r="E746" s="231">
        <v>1.266930727601336E-5</v>
      </c>
      <c r="F746" s="231">
        <v>6.7486808903899614E-4</v>
      </c>
      <c r="G746" s="231">
        <v>4.2965705488658681E-3</v>
      </c>
      <c r="H746" s="231">
        <v>7.7482964090806424E-4</v>
      </c>
      <c r="I746" s="231">
        <v>7.3321618431276229E-6</v>
      </c>
      <c r="J746" s="231">
        <v>4.442791998685436E-4</v>
      </c>
      <c r="K746" s="229">
        <v>11.8974427977895</v>
      </c>
      <c r="L746" s="229">
        <v>9.0853521265560904</v>
      </c>
      <c r="M746" s="229">
        <v>5.26456537269548</v>
      </c>
      <c r="N746" s="229">
        <v>1.04835162219162</v>
      </c>
      <c r="O746" s="205">
        <v>2.4830530900842859E-4</v>
      </c>
      <c r="P746" s="232">
        <v>54.655999999999999</v>
      </c>
      <c r="Q746" s="213"/>
      <c r="R746" s="235"/>
    </row>
    <row r="747" spans="1:18" ht="16.5" customHeight="1" x14ac:dyDescent="0.25">
      <c r="A747" s="230">
        <v>45359</v>
      </c>
      <c r="B747" s="128" t="s">
        <v>17</v>
      </c>
      <c r="C747" s="157" t="str">
        <f t="shared" si="23"/>
        <v>08.03.2024_BRA2</v>
      </c>
      <c r="D747" s="190">
        <f t="shared" si="24"/>
        <v>0</v>
      </c>
      <c r="E747" s="231">
        <v>1.2002502740314934E-5</v>
      </c>
      <c r="F747" s="231">
        <v>1.9557587793657006E-3</v>
      </c>
      <c r="G747" s="231">
        <v>4.4976104261805257E-3</v>
      </c>
      <c r="H747" s="231">
        <v>6.8917837033328621E-4</v>
      </c>
      <c r="I747" s="231">
        <v>9.7107144564126278E-6</v>
      </c>
      <c r="J747" s="231">
        <v>4.9128155867374441E-4</v>
      </c>
      <c r="K747" s="229">
        <v>16.002115097315102</v>
      </c>
      <c r="L747" s="229">
        <v>10.228071004076201</v>
      </c>
      <c r="M747" s="229">
        <v>5.9527436246162102</v>
      </c>
      <c r="N747" s="229">
        <v>1.2201306668735299</v>
      </c>
      <c r="O747" s="205">
        <v>1.1652296496303035E-4</v>
      </c>
      <c r="P747" s="232">
        <v>61</v>
      </c>
      <c r="Q747" s="213"/>
      <c r="R747" s="235"/>
    </row>
    <row r="748" spans="1:18" ht="16.5" customHeight="1" x14ac:dyDescent="0.25">
      <c r="A748" s="230">
        <v>45359</v>
      </c>
      <c r="B748" s="128" t="s">
        <v>30</v>
      </c>
      <c r="C748" s="157" t="str">
        <f t="shared" si="23"/>
        <v>08.03.2024_FAL1</v>
      </c>
      <c r="D748" s="190">
        <f t="shared" si="24"/>
        <v>0</v>
      </c>
      <c r="E748" s="231">
        <v>8.668472313536791E-6</v>
      </c>
      <c r="F748" s="231">
        <v>5.7474742111068898E-4</v>
      </c>
      <c r="G748" s="231">
        <v>3.4413095412708095E-3</v>
      </c>
      <c r="H748" s="231">
        <v>5.2483862811460093E-4</v>
      </c>
      <c r="I748" s="231">
        <v>9.5731128862683445E-6</v>
      </c>
      <c r="J748" s="231">
        <v>1.2187099587561462E-3</v>
      </c>
      <c r="K748" s="229">
        <v>71.116262675491896</v>
      </c>
      <c r="L748" s="229">
        <v>27.0241472671769</v>
      </c>
      <c r="M748" s="229">
        <v>19.0854316235718</v>
      </c>
      <c r="N748" s="229">
        <v>3.5588206001588998</v>
      </c>
      <c r="O748" s="205">
        <v>8.0861379802106415E-5</v>
      </c>
      <c r="P748" s="232">
        <v>247.416</v>
      </c>
      <c r="Q748" s="213"/>
      <c r="R748" s="235"/>
    </row>
    <row r="749" spans="1:18" ht="16.5" customHeight="1" x14ac:dyDescent="0.25">
      <c r="A749" s="230">
        <v>45359</v>
      </c>
      <c r="B749" s="128" t="s">
        <v>32</v>
      </c>
      <c r="C749" s="157" t="str">
        <f t="shared" si="23"/>
        <v>08.03.2024_FAL2</v>
      </c>
      <c r="D749" s="190">
        <f t="shared" si="24"/>
        <v>0</v>
      </c>
      <c r="E749" s="231">
        <v>1.2669307369366272E-5</v>
      </c>
      <c r="F749" s="231">
        <v>5.8153520956408722E-4</v>
      </c>
      <c r="G749" s="231">
        <v>2.6020227157781402E-3</v>
      </c>
      <c r="H749" s="231">
        <v>4.2554115550622133E-4</v>
      </c>
      <c r="I749" s="231">
        <v>8.8457798164567487E-6</v>
      </c>
      <c r="J749" s="231">
        <v>1.8499120188223452E-3</v>
      </c>
      <c r="K749" s="229">
        <v>57.0187007597399</v>
      </c>
      <c r="L749" s="229">
        <v>22.331529739042001</v>
      </c>
      <c r="M749" s="229">
        <v>14.9053769133273</v>
      </c>
      <c r="N749" s="229">
        <v>2.6873711031697298</v>
      </c>
      <c r="O749" s="205">
        <v>7.2180719497291055E-5</v>
      </c>
      <c r="P749" s="232">
        <v>170.55599999999998</v>
      </c>
      <c r="Q749" s="213"/>
      <c r="R749" s="235"/>
    </row>
    <row r="750" spans="1:18" ht="16.5" customHeight="1" x14ac:dyDescent="0.25">
      <c r="A750" s="230">
        <v>45359</v>
      </c>
      <c r="B750" s="128" t="s">
        <v>26</v>
      </c>
      <c r="C750" s="157" t="str">
        <f t="shared" si="23"/>
        <v>08.03.2024_GRU1</v>
      </c>
      <c r="D750" s="190">
        <f t="shared" si="24"/>
        <v>0</v>
      </c>
      <c r="E750" s="231">
        <v>1.6003338076203492E-5</v>
      </c>
      <c r="F750" s="231">
        <v>1.404619500125449E-3</v>
      </c>
      <c r="G750" s="231">
        <v>8.6060589313734347E-3</v>
      </c>
      <c r="H750" s="231">
        <v>1.8707432944426998E-3</v>
      </c>
      <c r="I750" s="231">
        <v>4.8407840591421684E-5</v>
      </c>
      <c r="J750" s="231">
        <v>6.5690945227219421E-4</v>
      </c>
      <c r="K750" s="229">
        <v>13.421972354783501</v>
      </c>
      <c r="L750" s="229">
        <v>4.9168671876905101</v>
      </c>
      <c r="M750" s="229">
        <v>3.94636794878042</v>
      </c>
      <c r="N750" s="229">
        <v>1.3252953948488799</v>
      </c>
      <c r="O750" s="205">
        <v>9.3374122319946602E-5</v>
      </c>
      <c r="P750" s="232">
        <v>36.844000000000001</v>
      </c>
      <c r="Q750" s="213"/>
      <c r="R750" s="235"/>
    </row>
    <row r="751" spans="1:18" ht="16.5" customHeight="1" x14ac:dyDescent="0.25">
      <c r="A751" s="230">
        <v>45359</v>
      </c>
      <c r="B751" s="128" t="s">
        <v>28</v>
      </c>
      <c r="C751" s="157" t="str">
        <f t="shared" si="23"/>
        <v>08.03.2024_GRU2</v>
      </c>
      <c r="D751" s="190">
        <f t="shared" si="24"/>
        <v>0</v>
      </c>
      <c r="E751" s="231">
        <v>2.4671820565204938E-5</v>
      </c>
      <c r="F751" s="231">
        <v>7.9535485681265215E-4</v>
      </c>
      <c r="G751" s="231">
        <v>8.7398449436906535E-3</v>
      </c>
      <c r="H751" s="231">
        <v>1.7896266656602983E-3</v>
      </c>
      <c r="I751" s="231">
        <v>7.833424790121023E-6</v>
      </c>
      <c r="J751" s="231">
        <v>1.2724286806039501E-3</v>
      </c>
      <c r="K751" s="229">
        <v>16.715620586603599</v>
      </c>
      <c r="L751" s="229">
        <v>6.9161649299632604</v>
      </c>
      <c r="M751" s="229">
        <v>5.4437723688067399</v>
      </c>
      <c r="N751" s="229">
        <v>1.8113883799174799</v>
      </c>
      <c r="O751" s="205">
        <v>1.1753963103110569E-4</v>
      </c>
      <c r="P751" s="232">
        <v>43.92</v>
      </c>
      <c r="Q751" s="213"/>
      <c r="R751" s="235"/>
    </row>
    <row r="752" spans="1:18" ht="16.5" customHeight="1" x14ac:dyDescent="0.25">
      <c r="A752" s="230">
        <v>45359</v>
      </c>
      <c r="B752" s="128" t="s">
        <v>0</v>
      </c>
      <c r="C752" s="157" t="str">
        <f t="shared" si="23"/>
        <v>08.03.2024_KIN1</v>
      </c>
      <c r="D752" s="190">
        <f t="shared" si="24"/>
        <v>0</v>
      </c>
      <c r="E752" s="231">
        <v>9.3352780628222196E-6</v>
      </c>
      <c r="F752" s="231">
        <v>1.984372061969148E-3</v>
      </c>
      <c r="G752" s="231">
        <v>3.1942638500903537E-3</v>
      </c>
      <c r="H752" s="231">
        <v>4.1055300818248374E-4</v>
      </c>
      <c r="I752" s="231">
        <v>8.8752762609567638E-6</v>
      </c>
      <c r="J752" s="231">
        <v>7.0279305765977664E-4</v>
      </c>
      <c r="K752" s="229">
        <v>34.785679126699797</v>
      </c>
      <c r="L752" s="229">
        <v>17.892181302718001</v>
      </c>
      <c r="M752" s="229">
        <v>5.42392657819315</v>
      </c>
      <c r="N752" s="229">
        <v>1.56451417852371</v>
      </c>
      <c r="O752" s="205">
        <v>5.028374868647592E-5</v>
      </c>
      <c r="P752" s="232">
        <v>149.328</v>
      </c>
      <c r="Q752" s="213"/>
      <c r="R752" s="235"/>
    </row>
    <row r="753" spans="1:18" ht="16.5" customHeight="1" x14ac:dyDescent="0.25">
      <c r="A753" s="230">
        <v>45359</v>
      </c>
      <c r="B753" s="128" t="s">
        <v>2</v>
      </c>
      <c r="C753" s="157" t="str">
        <f t="shared" si="23"/>
        <v>08.03.2024_KIN2</v>
      </c>
      <c r="D753" s="190">
        <f t="shared" si="24"/>
        <v>0</v>
      </c>
      <c r="E753" s="231">
        <v>1.8670564807461372E-5</v>
      </c>
      <c r="F753" s="231">
        <v>2.5409084065258739E-3</v>
      </c>
      <c r="G753" s="231">
        <v>2.6720520576790094E-3</v>
      </c>
      <c r="H753" s="231">
        <v>3.8566209477316755E-4</v>
      </c>
      <c r="I753" s="231">
        <v>1.1676460445222931E-5</v>
      </c>
      <c r="J753" s="231">
        <v>1.1985654915314776E-3</v>
      </c>
      <c r="K753" s="229">
        <v>39.145299596240399</v>
      </c>
      <c r="L753" s="229">
        <v>19.802681446761699</v>
      </c>
      <c r="M753" s="229">
        <v>5.2002095549495504</v>
      </c>
      <c r="N753" s="229">
        <v>1.70189155425274</v>
      </c>
      <c r="O753" s="205">
        <v>4.5669774353863026E-5</v>
      </c>
      <c r="P753" s="232">
        <v>146.4</v>
      </c>
      <c r="Q753" s="213"/>
      <c r="R753" s="235"/>
    </row>
    <row r="754" spans="1:18" ht="16.5" customHeight="1" x14ac:dyDescent="0.25">
      <c r="A754" s="230">
        <v>45359</v>
      </c>
      <c r="B754" s="128" t="s">
        <v>4</v>
      </c>
      <c r="C754" s="157" t="str">
        <f t="shared" si="23"/>
        <v>08.03.2024_KIN3</v>
      </c>
      <c r="D754" s="190">
        <f t="shared" si="24"/>
        <v>0</v>
      </c>
      <c r="E754" s="231">
        <v>1.0002083812107631E-5</v>
      </c>
      <c r="F754" s="231">
        <v>2.0481463363561064E-3</v>
      </c>
      <c r="G754" s="231">
        <v>2.6977421188540849E-3</v>
      </c>
      <c r="H754" s="231">
        <v>6.118257120327396E-4</v>
      </c>
      <c r="I754" s="231">
        <v>5.6907700931547652E-6</v>
      </c>
      <c r="J754" s="231">
        <v>6.3340810671365529E-4</v>
      </c>
      <c r="K754" s="229">
        <v>43.321962556316699</v>
      </c>
      <c r="L754" s="229">
        <v>19.719184650454501</v>
      </c>
      <c r="M754" s="229">
        <v>5.9744677092031004</v>
      </c>
      <c r="N754" s="229">
        <v>1.5396972279832299</v>
      </c>
      <c r="O754" s="205">
        <v>5.5601550570123853E-5</v>
      </c>
      <c r="P754" s="232">
        <v>158.35599999999999</v>
      </c>
      <c r="Q754" s="213"/>
      <c r="R754" s="235"/>
    </row>
    <row r="755" spans="1:18" ht="16.5" customHeight="1" x14ac:dyDescent="0.25">
      <c r="A755" s="230">
        <v>45359</v>
      </c>
      <c r="B755" s="128" t="s">
        <v>6</v>
      </c>
      <c r="C755" s="157" t="str">
        <f t="shared" si="23"/>
        <v>08.03.2024_KIN4</v>
      </c>
      <c r="D755" s="190">
        <f t="shared" si="24"/>
        <v>0</v>
      </c>
      <c r="E755" s="231">
        <v>9.3352780628222196E-6</v>
      </c>
      <c r="F755" s="231">
        <v>1.5411258257764259E-3</v>
      </c>
      <c r="G755" s="231">
        <v>3.6383099363227595E-3</v>
      </c>
      <c r="H755" s="231">
        <v>7.2076213996065494E-4</v>
      </c>
      <c r="I755" s="231">
        <v>1.1165370786339087E-5</v>
      </c>
      <c r="J755" s="231">
        <v>8.6282682397719715E-4</v>
      </c>
      <c r="K755" s="229">
        <v>44.206957635715497</v>
      </c>
      <c r="L755" s="229">
        <v>20.124492960190398</v>
      </c>
      <c r="M755" s="229">
        <v>9.4353982138960006</v>
      </c>
      <c r="N755" s="229">
        <v>1.71080356523363</v>
      </c>
      <c r="O755" s="205">
        <v>7.3353770860726041E-5</v>
      </c>
      <c r="P755" s="232">
        <v>169.57999999999998</v>
      </c>
      <c r="Q755" s="213"/>
      <c r="R755" s="235"/>
    </row>
    <row r="756" spans="1:18" ht="16.5" customHeight="1" x14ac:dyDescent="0.25">
      <c r="A756" s="230">
        <v>45359</v>
      </c>
      <c r="B756" s="128" t="s">
        <v>34</v>
      </c>
      <c r="C756" s="157" t="str">
        <f t="shared" si="23"/>
        <v>08.03.2024_KRE1</v>
      </c>
      <c r="D756" s="190">
        <f t="shared" si="24"/>
        <v>0</v>
      </c>
      <c r="E756" s="231">
        <v>1.4669725364045348E-5</v>
      </c>
      <c r="F756" s="231">
        <v>1.6415075787536235E-3</v>
      </c>
      <c r="G756" s="231">
        <v>2.5966948128077231E-3</v>
      </c>
      <c r="H756" s="231">
        <v>6.0593730561064039E-4</v>
      </c>
      <c r="I756" s="231">
        <v>8.8064671866757388E-6</v>
      </c>
      <c r="J756" s="231">
        <v>1.0228616952004945E-3</v>
      </c>
      <c r="K756" s="229">
        <v>68.302990433571296</v>
      </c>
      <c r="L756" s="229">
        <v>29.1726543156399</v>
      </c>
      <c r="M756" s="229">
        <v>17.5121443347515</v>
      </c>
      <c r="N756" s="229">
        <v>3.0780145641194898</v>
      </c>
      <c r="O756" s="205">
        <v>1.1003186621942818E-4</v>
      </c>
      <c r="P756" s="232">
        <v>239.608</v>
      </c>
      <c r="Q756" s="213"/>
      <c r="R756" s="235"/>
    </row>
    <row r="757" spans="1:18" ht="16.5" customHeight="1" x14ac:dyDescent="0.25">
      <c r="A757" s="230">
        <v>45359</v>
      </c>
      <c r="B757" s="128" t="s">
        <v>37</v>
      </c>
      <c r="C757" s="157" t="str">
        <f t="shared" si="23"/>
        <v>08.03.2024_KRE2</v>
      </c>
      <c r="D757" s="190">
        <f t="shared" si="24"/>
        <v>0</v>
      </c>
      <c r="E757" s="231">
        <v>1.4669725177339522E-5</v>
      </c>
      <c r="F757" s="231">
        <v>2.0593008921180496E-3</v>
      </c>
      <c r="G757" s="231">
        <v>2.7641575627392443E-3</v>
      </c>
      <c r="H757" s="231">
        <v>8.7199193170743204E-4</v>
      </c>
      <c r="I757" s="231">
        <v>1.1381604994342145E-5</v>
      </c>
      <c r="J757" s="231">
        <v>1.0564355541997981E-3</v>
      </c>
      <c r="K757" s="229">
        <v>90.632878916767197</v>
      </c>
      <c r="L757" s="229">
        <v>31.256771324552599</v>
      </c>
      <c r="M757" s="229">
        <v>19.1826367935207</v>
      </c>
      <c r="N757" s="229">
        <v>3.3307974369330799</v>
      </c>
      <c r="O757" s="205">
        <v>1.7392717341758852E-4</v>
      </c>
      <c r="P757" s="232">
        <v>257.66399999999999</v>
      </c>
      <c r="Q757" s="213"/>
      <c r="R757" s="235"/>
    </row>
    <row r="758" spans="1:18" ht="16.5" customHeight="1" x14ac:dyDescent="0.25">
      <c r="A758" s="230">
        <v>45359</v>
      </c>
      <c r="B758" s="128" t="s">
        <v>18</v>
      </c>
      <c r="C758" s="157" t="str">
        <f t="shared" si="23"/>
        <v>08.03.2024_ORB1</v>
      </c>
      <c r="D758" s="190">
        <f t="shared" si="24"/>
        <v>0</v>
      </c>
      <c r="E758" s="231">
        <v>2.0670980374964312E-5</v>
      </c>
      <c r="F758" s="231">
        <v>1.2904223278651778E-3</v>
      </c>
      <c r="G758" s="231">
        <v>2.9660731037410831E-3</v>
      </c>
      <c r="H758" s="231">
        <v>1.0957656241758278E-3</v>
      </c>
      <c r="I758" s="231">
        <v>5.4647118716254059E-6</v>
      </c>
      <c r="J758" s="231">
        <v>1.5622877305325751E-3</v>
      </c>
      <c r="K758" s="229">
        <v>12.286420698898599</v>
      </c>
      <c r="L758" s="229">
        <v>3.1361954212356702</v>
      </c>
      <c r="M758" s="229">
        <v>5.6612097231037799</v>
      </c>
      <c r="N758" s="229">
        <v>3.0284701856172198</v>
      </c>
      <c r="O758" s="205">
        <v>6.9756392491626644E-5</v>
      </c>
      <c r="P758" s="232">
        <v>15.372</v>
      </c>
      <c r="Q758" s="213"/>
      <c r="R758" s="235"/>
    </row>
    <row r="759" spans="1:18" ht="16.5" customHeight="1" x14ac:dyDescent="0.25">
      <c r="A759" s="230">
        <v>45359</v>
      </c>
      <c r="B759" s="128" t="s">
        <v>21</v>
      </c>
      <c r="C759" s="157" t="str">
        <f t="shared" si="23"/>
        <v>08.03.2024_ORB2</v>
      </c>
      <c r="D759" s="190">
        <f t="shared" si="24"/>
        <v>0</v>
      </c>
      <c r="E759" s="231">
        <v>4.0675188421008816E-5</v>
      </c>
      <c r="F759" s="231">
        <v>1.7375267799225982E-3</v>
      </c>
      <c r="G759" s="231">
        <v>3.6497308884340051E-3</v>
      </c>
      <c r="H759" s="231">
        <v>1.105402008216579E-3</v>
      </c>
      <c r="I759" s="231">
        <v>6.8702131482629619E-6</v>
      </c>
      <c r="J759" s="231">
        <v>1.9304922016681941E-3</v>
      </c>
      <c r="K759" s="229">
        <v>13.5379571045417</v>
      </c>
      <c r="L759" s="229">
        <v>3.4953769343990002</v>
      </c>
      <c r="M759" s="229">
        <v>7.1503012912572501</v>
      </c>
      <c r="N759" s="229">
        <v>3.0110729571741199</v>
      </c>
      <c r="O759" s="205">
        <v>7.5699910846434472E-5</v>
      </c>
      <c r="P759" s="232">
        <v>168.35999999999999</v>
      </c>
      <c r="Q759" s="213"/>
      <c r="R759" s="235"/>
    </row>
    <row r="760" spans="1:18" ht="16.5" customHeight="1" x14ac:dyDescent="0.25">
      <c r="A760" s="230">
        <v>45359</v>
      </c>
      <c r="B760" s="128" t="s">
        <v>10</v>
      </c>
      <c r="C760" s="157" t="str">
        <f t="shared" si="23"/>
        <v>08.03.2024_SAL1</v>
      </c>
      <c r="D760" s="190">
        <f t="shared" si="24"/>
        <v>0</v>
      </c>
      <c r="E760" s="231">
        <v>7.3348609083189011E-6</v>
      </c>
      <c r="F760" s="231">
        <v>6.9765612810085106E-4</v>
      </c>
      <c r="G760" s="231">
        <v>5.4368801338744799E-3</v>
      </c>
      <c r="H760" s="231">
        <v>9.054503956331054E-4</v>
      </c>
      <c r="I760" s="231">
        <v>6.034774806964533E-6</v>
      </c>
      <c r="J760" s="231">
        <v>4.2077807616421921E-4</v>
      </c>
      <c r="K760" s="229">
        <v>18.523862974154</v>
      </c>
      <c r="L760" s="229">
        <v>12.6242565574297</v>
      </c>
      <c r="M760" s="229">
        <v>6.0179047864414299</v>
      </c>
      <c r="N760" s="229">
        <v>1.03419759205351</v>
      </c>
      <c r="O760" s="205">
        <v>7.5152464167494982E-5</v>
      </c>
      <c r="P760" s="232">
        <v>61.731999999999999</v>
      </c>
      <c r="Q760" s="213"/>
      <c r="R760" s="235"/>
    </row>
    <row r="761" spans="1:18" ht="16.5" customHeight="1" x14ac:dyDescent="0.25">
      <c r="A761" s="230">
        <v>45359</v>
      </c>
      <c r="B761" s="128" t="s">
        <v>12</v>
      </c>
      <c r="C761" s="157" t="str">
        <f t="shared" si="23"/>
        <v>08.03.2024_SAL2</v>
      </c>
      <c r="D761" s="190">
        <f t="shared" si="24"/>
        <v>0</v>
      </c>
      <c r="E761" s="231">
        <v>1.2002501059963705E-5</v>
      </c>
      <c r="F761" s="231">
        <v>7.3523238278283022E-4</v>
      </c>
      <c r="G761" s="231">
        <v>4.9657899591946204E-3</v>
      </c>
      <c r="H761" s="231">
        <v>8.9768789350970751E-4</v>
      </c>
      <c r="I761" s="231">
        <v>6.7817552529596315E-6</v>
      </c>
      <c r="J761" s="231">
        <v>6.3564633818027146E-4</v>
      </c>
      <c r="K761" s="229">
        <v>19.031519246982501</v>
      </c>
      <c r="L761" s="229">
        <v>13.6798694456155</v>
      </c>
      <c r="M761" s="229">
        <v>6.2908911588564402</v>
      </c>
      <c r="N761" s="229">
        <v>1.0963154361987799</v>
      </c>
      <c r="O761" s="205">
        <v>6.4829554153679079E-5</v>
      </c>
      <c r="P761" s="232">
        <v>68.564000000000007</v>
      </c>
      <c r="Q761" s="213"/>
      <c r="R761" s="235"/>
    </row>
    <row r="762" spans="1:18" ht="16.5" customHeight="1" x14ac:dyDescent="0.25">
      <c r="A762" s="230">
        <v>45359</v>
      </c>
      <c r="B762" s="128" t="s">
        <v>7</v>
      </c>
      <c r="C762" s="157" t="str">
        <f t="shared" si="23"/>
        <v>08.03.2024_STE1</v>
      </c>
      <c r="D762" s="190">
        <f t="shared" si="24"/>
        <v>0</v>
      </c>
      <c r="E762" s="231">
        <v>1.0668890868333102E-5</v>
      </c>
      <c r="F762" s="231">
        <v>6.3583784322929346E-4</v>
      </c>
      <c r="G762" s="231">
        <v>2.518103373326747E-3</v>
      </c>
      <c r="H762" s="231">
        <v>8.6208833483534337E-4</v>
      </c>
      <c r="I762" s="231">
        <v>6.830898706249587E-6</v>
      </c>
      <c r="J762" s="231">
        <v>7.6770171582506868E-4</v>
      </c>
      <c r="K762" s="229">
        <v>30.338075735387498</v>
      </c>
      <c r="L762" s="229">
        <v>15.009306721326301</v>
      </c>
      <c r="M762" s="229">
        <v>6.5514799618995898</v>
      </c>
      <c r="N762" s="229">
        <v>1.1009777421635101</v>
      </c>
      <c r="O762" s="205">
        <v>5.6539998819119382E-5</v>
      </c>
      <c r="P762" s="232">
        <v>93.695999999999998</v>
      </c>
      <c r="Q762" s="213"/>
      <c r="R762" s="235"/>
    </row>
    <row r="763" spans="1:18" ht="16.5" customHeight="1" x14ac:dyDescent="0.25">
      <c r="A763" s="230">
        <v>45359</v>
      </c>
      <c r="B763" s="128" t="s">
        <v>9</v>
      </c>
      <c r="C763" s="157" t="str">
        <f t="shared" si="23"/>
        <v>08.03.2024_STE2</v>
      </c>
      <c r="D763" s="190">
        <f t="shared" si="24"/>
        <v>0</v>
      </c>
      <c r="E763" s="231">
        <v>7.3348606282604226E-6</v>
      </c>
      <c r="F763" s="231">
        <v>1.2460536600454432E-3</v>
      </c>
      <c r="G763" s="231">
        <v>2.7281900769245472E-3</v>
      </c>
      <c r="H763" s="231">
        <v>8.0694925546615772E-4</v>
      </c>
      <c r="I763" s="231">
        <v>8.4722918377711575E-6</v>
      </c>
      <c r="J763" s="231">
        <v>6.4683744960679769E-4</v>
      </c>
      <c r="K763" s="229">
        <v>37.999045627566701</v>
      </c>
      <c r="L763" s="229">
        <v>15.7598963222575</v>
      </c>
      <c r="M763" s="229">
        <v>6.6718730378480897</v>
      </c>
      <c r="N763" s="229">
        <v>1.1675051539067101</v>
      </c>
      <c r="O763" s="205">
        <v>6.0215549351015489E-5</v>
      </c>
      <c r="P763" s="232">
        <v>109.068</v>
      </c>
      <c r="Q763" s="213"/>
      <c r="R763" s="235"/>
    </row>
    <row r="764" spans="1:18" ht="16.5" customHeight="1" x14ac:dyDescent="0.25">
      <c r="A764" s="230">
        <v>45387</v>
      </c>
      <c r="B764" s="128" t="s">
        <v>22</v>
      </c>
      <c r="C764" s="157" t="str">
        <f t="shared" si="23"/>
        <v>05.04.2024_BIE1</v>
      </c>
      <c r="D764" s="190">
        <f t="shared" si="24"/>
        <v>0</v>
      </c>
      <c r="E764" s="231">
        <v>1.0407700098671622E-4</v>
      </c>
      <c r="F764" s="231">
        <v>3.0813566734524357E-3</v>
      </c>
      <c r="G764" s="231">
        <v>7.4766891951306711E-3</v>
      </c>
      <c r="H764" s="231">
        <v>1.0579576310426619E-3</v>
      </c>
      <c r="I764" s="231">
        <v>4.862828194983068E-5</v>
      </c>
      <c r="J764" s="231">
        <v>3.4638407770665367E-3</v>
      </c>
      <c r="K764" s="229">
        <v>20.703742448203901</v>
      </c>
      <c r="L764" s="229">
        <v>10.319922381083201</v>
      </c>
      <c r="M764" s="229">
        <v>5.8066168031301304</v>
      </c>
      <c r="N764" s="229">
        <v>2.90318427996956</v>
      </c>
      <c r="O764" s="205">
        <v>2.306987730280144E-4</v>
      </c>
      <c r="P764" s="232">
        <v>56.608000000000004</v>
      </c>
      <c r="Q764" s="213"/>
      <c r="R764" s="235"/>
    </row>
    <row r="765" spans="1:18" ht="16.5" customHeight="1" x14ac:dyDescent="0.25">
      <c r="A765" s="230">
        <v>45387</v>
      </c>
      <c r="B765" s="128" t="s">
        <v>25</v>
      </c>
      <c r="C765" s="157" t="str">
        <f t="shared" si="23"/>
        <v>05.04.2024_BIE2</v>
      </c>
      <c r="D765" s="190">
        <f t="shared" si="24"/>
        <v>0</v>
      </c>
      <c r="E765" s="231">
        <v>3.2064026224163828E-5</v>
      </c>
      <c r="F765" s="231">
        <v>1.8928637686531026E-3</v>
      </c>
      <c r="G765" s="231">
        <v>6.420176418083446E-3</v>
      </c>
      <c r="H765" s="231">
        <v>9.4407255410659547E-4</v>
      </c>
      <c r="I765" s="231">
        <v>2.9181942748345166E-5</v>
      </c>
      <c r="J765" s="231">
        <v>2.7648283396131744E-3</v>
      </c>
      <c r="K765" s="229">
        <v>16.3498853809709</v>
      </c>
      <c r="L765" s="229">
        <v>11.579319964732999</v>
      </c>
      <c r="M765" s="229">
        <v>6.4571409260336701</v>
      </c>
      <c r="N765" s="229">
        <v>2.9474820823988499</v>
      </c>
      <c r="O765" s="205">
        <v>1.6915002700850347E-4</v>
      </c>
      <c r="P765" s="232">
        <v>46.603999999999999</v>
      </c>
      <c r="Q765" s="213"/>
      <c r="R765" s="235"/>
    </row>
    <row r="766" spans="1:18" ht="16.5" customHeight="1" x14ac:dyDescent="0.25">
      <c r="A766" s="230">
        <v>45387</v>
      </c>
      <c r="B766" s="128" t="s">
        <v>14</v>
      </c>
      <c r="C766" s="157" t="str">
        <f t="shared" si="23"/>
        <v>05.04.2024_BRA1</v>
      </c>
      <c r="D766" s="190">
        <f t="shared" si="24"/>
        <v>0</v>
      </c>
      <c r="E766" s="231">
        <v>1.5769182466434385E-5</v>
      </c>
      <c r="F766" s="231">
        <v>8.5965177741952937E-4</v>
      </c>
      <c r="G766" s="231">
        <v>1.0890099426846392E-2</v>
      </c>
      <c r="H766" s="231">
        <v>9.9959932224276144E-4</v>
      </c>
      <c r="I766" s="231">
        <v>1.3135344395223747E-5</v>
      </c>
      <c r="J766" s="231">
        <v>2.0782287711298042E-3</v>
      </c>
      <c r="K766" s="229">
        <v>14.436343592007001</v>
      </c>
      <c r="L766" s="229">
        <v>10.550909157008199</v>
      </c>
      <c r="M766" s="229">
        <v>6.0099600983436501</v>
      </c>
      <c r="N766" s="229">
        <v>1.16368213787139</v>
      </c>
      <c r="O766" s="205">
        <v>1.6443012948292107E-4</v>
      </c>
      <c r="P766" s="232">
        <v>51.239999999999995</v>
      </c>
      <c r="Q766" s="213"/>
      <c r="R766" s="235"/>
    </row>
    <row r="767" spans="1:18" ht="16.5" customHeight="1" x14ac:dyDescent="0.25">
      <c r="A767" s="230">
        <v>45387</v>
      </c>
      <c r="B767" s="128" t="s">
        <v>17</v>
      </c>
      <c r="C767" s="157" t="str">
        <f t="shared" si="23"/>
        <v>05.04.2024_BRA2</v>
      </c>
      <c r="D767" s="190">
        <f t="shared" si="24"/>
        <v>0</v>
      </c>
      <c r="E767" s="231">
        <v>1.2615343574126426E-5</v>
      </c>
      <c r="F767" s="231">
        <v>9.6869445749445072E-4</v>
      </c>
      <c r="G767" s="231">
        <v>1.3590879452618217E-2</v>
      </c>
      <c r="H767" s="231">
        <v>1.0790800772151549E-3</v>
      </c>
      <c r="I767" s="231">
        <v>1.2812951599016447E-5</v>
      </c>
      <c r="J767" s="231">
        <v>2.3330464297491062E-3</v>
      </c>
      <c r="K767" s="229">
        <v>20.314425268748501</v>
      </c>
      <c r="L767" s="229">
        <v>13.5433164023364</v>
      </c>
      <c r="M767" s="229">
        <v>7.1013614029011398</v>
      </c>
      <c r="N767" s="229">
        <v>1.3571091604090999</v>
      </c>
      <c r="O767" s="205">
        <v>1.4164910115661879E-4</v>
      </c>
      <c r="P767" s="232">
        <v>52.46</v>
      </c>
      <c r="Q767" s="213"/>
      <c r="R767" s="235"/>
    </row>
    <row r="768" spans="1:18" ht="16.5" customHeight="1" x14ac:dyDescent="0.25">
      <c r="A768" s="230">
        <v>45387</v>
      </c>
      <c r="B768" s="128" t="s">
        <v>30</v>
      </c>
      <c r="C768" s="157" t="str">
        <f t="shared" si="23"/>
        <v>05.04.2024_FAL1</v>
      </c>
      <c r="D768" s="190">
        <f t="shared" si="24"/>
        <v>0</v>
      </c>
      <c r="E768" s="231">
        <v>7.8845877745074691E-6</v>
      </c>
      <c r="F768" s="231">
        <v>1.5927913029345191E-3</v>
      </c>
      <c r="G768" s="231">
        <v>7.2266262104098396E-3</v>
      </c>
      <c r="H768" s="231">
        <v>1.3515022819644883E-3</v>
      </c>
      <c r="I768" s="231">
        <v>1.456312855268142E-5</v>
      </c>
      <c r="J768" s="231">
        <v>2.4843457190584077E-3</v>
      </c>
      <c r="K768" s="229">
        <v>77.2820884857328</v>
      </c>
      <c r="L768" s="229">
        <v>31.945705140135601</v>
      </c>
      <c r="M768" s="229">
        <v>16.102878125714501</v>
      </c>
      <c r="N768" s="229">
        <v>2.9498859264457802</v>
      </c>
      <c r="O768" s="205">
        <v>7.418929748525971E-5</v>
      </c>
      <c r="P768" s="232">
        <v>172.50799999999998</v>
      </c>
      <c r="Q768" s="213"/>
      <c r="R768" s="235"/>
    </row>
    <row r="769" spans="1:18" ht="16.5" customHeight="1" x14ac:dyDescent="0.25">
      <c r="A769" s="230">
        <v>45387</v>
      </c>
      <c r="B769" s="128" t="s">
        <v>32</v>
      </c>
      <c r="C769" s="157" t="str">
        <f t="shared" si="23"/>
        <v>05.04.2024_FAL2</v>
      </c>
      <c r="D769" s="190">
        <f t="shared" si="24"/>
        <v>0</v>
      </c>
      <c r="E769" s="231">
        <v>1.2089703182290564E-5</v>
      </c>
      <c r="F769" s="231">
        <v>1.0165350407798717E-3</v>
      </c>
      <c r="G769" s="231">
        <v>5.8450348707428119E-3</v>
      </c>
      <c r="H769" s="231">
        <v>3.9863831947043322E-4</v>
      </c>
      <c r="I769" s="231">
        <v>1.0500875706210446E-5</v>
      </c>
      <c r="J769" s="231">
        <v>2.2834981231003803E-3</v>
      </c>
      <c r="K769" s="229">
        <v>68.577423798149198</v>
      </c>
      <c r="L769" s="229">
        <v>26.712271984811998</v>
      </c>
      <c r="M769" s="229">
        <v>13.6492720223613</v>
      </c>
      <c r="N769" s="229">
        <v>2.5417516361643502</v>
      </c>
      <c r="O769" s="205">
        <v>6.4750229338223815E-5</v>
      </c>
      <c r="P769" s="232">
        <v>284.01599999999996</v>
      </c>
      <c r="Q769" s="213"/>
      <c r="R769" s="235"/>
    </row>
    <row r="770" spans="1:18" ht="16.5" customHeight="1" x14ac:dyDescent="0.25">
      <c r="A770" s="230">
        <v>45387</v>
      </c>
      <c r="B770" s="128" t="s">
        <v>26</v>
      </c>
      <c r="C770" s="157" t="str">
        <f t="shared" si="23"/>
        <v>05.04.2024_GRU1</v>
      </c>
      <c r="D770" s="190">
        <f t="shared" si="24"/>
        <v>0</v>
      </c>
      <c r="E770" s="231">
        <v>2.417942019942381E-5</v>
      </c>
      <c r="F770" s="231">
        <v>2.2814988167237401E-3</v>
      </c>
      <c r="G770" s="231">
        <v>1.6666836336166273E-2</v>
      </c>
      <c r="H770" s="231">
        <v>2.5169347886569941E-3</v>
      </c>
      <c r="I770" s="231">
        <v>1.2426069210086009E-5</v>
      </c>
      <c r="J770" s="231">
        <v>2.4162167348572602E-3</v>
      </c>
      <c r="K770" s="229">
        <v>17.695498875736401</v>
      </c>
      <c r="L770" s="229">
        <v>9.6077265216070291</v>
      </c>
      <c r="M770" s="229">
        <v>6.6853310844593503</v>
      </c>
      <c r="N770" s="229">
        <v>1.71814103325616</v>
      </c>
      <c r="O770" s="205">
        <v>1.3617417447090748E-4</v>
      </c>
      <c r="P770" s="232">
        <v>40.015999999999998</v>
      </c>
      <c r="Q770" s="213"/>
      <c r="R770" s="235"/>
    </row>
    <row r="771" spans="1:18" ht="16.5" customHeight="1" x14ac:dyDescent="0.25">
      <c r="A771" s="230">
        <v>45387</v>
      </c>
      <c r="B771" s="128" t="s">
        <v>28</v>
      </c>
      <c r="C771" s="157" t="str">
        <f t="shared" si="23"/>
        <v>05.04.2024_GRU2</v>
      </c>
      <c r="D771" s="190">
        <f t="shared" si="24"/>
        <v>0</v>
      </c>
      <c r="E771" s="231">
        <v>6.3076693218138688E-6</v>
      </c>
      <c r="F771" s="231">
        <v>1.1614147243764986E-3</v>
      </c>
      <c r="G771" s="231">
        <v>1.7054461119316879E-2</v>
      </c>
      <c r="H771" s="231">
        <v>2.2520680165447741E-3</v>
      </c>
      <c r="I771" s="231">
        <v>9.4599928731595928E-6</v>
      </c>
      <c r="J771" s="231">
        <v>1.8490727728733825E-3</v>
      </c>
      <c r="K771" s="229">
        <v>19.114966805140099</v>
      </c>
      <c r="L771" s="229">
        <v>9.3694096594571707</v>
      </c>
      <c r="M771" s="229">
        <v>6.4538676973908897</v>
      </c>
      <c r="N771" s="229">
        <v>1.7028209309561799</v>
      </c>
      <c r="O771" s="205">
        <v>1.3000700757180998E-4</v>
      </c>
      <c r="P771" s="232">
        <v>46.36</v>
      </c>
      <c r="Q771" s="213"/>
      <c r="R771" s="235"/>
    </row>
    <row r="772" spans="1:18" ht="16.5" customHeight="1" x14ac:dyDescent="0.25">
      <c r="A772" s="230">
        <v>45387</v>
      </c>
      <c r="B772" s="128" t="s">
        <v>0</v>
      </c>
      <c r="C772" s="157" t="str">
        <f t="shared" si="23"/>
        <v>05.04.2024_KIN1</v>
      </c>
      <c r="D772" s="190">
        <f t="shared" si="24"/>
        <v>0</v>
      </c>
      <c r="E772" s="231">
        <v>1.1564063673529336E-5</v>
      </c>
      <c r="F772" s="231">
        <v>9.7179339985679317E-4</v>
      </c>
      <c r="G772" s="231">
        <v>8.8395411451001622E-3</v>
      </c>
      <c r="H772" s="231">
        <v>8.545778078991545E-4</v>
      </c>
      <c r="I772" s="231">
        <v>1.3531433337116671E-5</v>
      </c>
      <c r="J772" s="231">
        <v>3.5302046621586299E-3</v>
      </c>
      <c r="K772" s="229">
        <v>39.930560513185597</v>
      </c>
      <c r="L772" s="229">
        <v>17.877096752947399</v>
      </c>
      <c r="M772" s="229">
        <v>6.8180519209701798</v>
      </c>
      <c r="N772" s="229">
        <v>1.77051431738669</v>
      </c>
      <c r="O772" s="205">
        <v>7.1294642154067631E-5</v>
      </c>
      <c r="P772" s="232">
        <v>123.708</v>
      </c>
      <c r="Q772" s="213"/>
      <c r="R772" s="235"/>
    </row>
    <row r="773" spans="1:18" ht="16.5" customHeight="1" x14ac:dyDescent="0.25">
      <c r="A773" s="230">
        <v>45387</v>
      </c>
      <c r="B773" s="128" t="s">
        <v>2</v>
      </c>
      <c r="C773" s="157" t="str">
        <f t="shared" ref="C773:C836" si="25">CONCATENATE(TEXT(A773,"TT.MM.JJJJ"),"_",B773)</f>
        <v>05.04.2024_KIN2</v>
      </c>
      <c r="D773" s="190">
        <f t="shared" ref="D773:D836" si="26">COUNTBLANK(E773:P773)</f>
        <v>0</v>
      </c>
      <c r="E773" s="231">
        <v>9.9871455151938084E-6</v>
      </c>
      <c r="F773" s="231">
        <v>7.010317383658811E-4</v>
      </c>
      <c r="G773" s="231">
        <v>6.93280156763497E-3</v>
      </c>
      <c r="H773" s="231">
        <v>5.4516987350107071E-4</v>
      </c>
      <c r="I773" s="231">
        <v>6.8716041140550528E-6</v>
      </c>
      <c r="J773" s="231">
        <v>3.3611995103484016E-3</v>
      </c>
      <c r="K773" s="229">
        <v>45.012996124071996</v>
      </c>
      <c r="L773" s="229">
        <v>19.212885646162398</v>
      </c>
      <c r="M773" s="229">
        <v>6.7186886129836898</v>
      </c>
      <c r="N773" s="229">
        <v>1.8711788903926301</v>
      </c>
      <c r="O773" s="205">
        <v>5.3612213667134883E-5</v>
      </c>
      <c r="P773" s="232">
        <v>145.91200000000001</v>
      </c>
      <c r="Q773" s="213"/>
      <c r="R773" s="235"/>
    </row>
    <row r="774" spans="1:18" ht="16.5" customHeight="1" x14ac:dyDescent="0.25">
      <c r="A774" s="230">
        <v>45387</v>
      </c>
      <c r="B774" s="128" t="s">
        <v>4</v>
      </c>
      <c r="C774" s="157" t="str">
        <f t="shared" si="25"/>
        <v>05.04.2024_KIN3</v>
      </c>
      <c r="D774" s="190">
        <f t="shared" si="26"/>
        <v>0</v>
      </c>
      <c r="E774" s="231">
        <v>8.410226473783653E-6</v>
      </c>
      <c r="F774" s="231">
        <v>1.0194401942439596E-3</v>
      </c>
      <c r="G774" s="231">
        <v>8.5144564907777744E-3</v>
      </c>
      <c r="H774" s="231">
        <v>1.1561667064576755E-3</v>
      </c>
      <c r="I774" s="231">
        <v>7.4334945444277692E-6</v>
      </c>
      <c r="J774" s="231">
        <v>3.1789238580721118E-3</v>
      </c>
      <c r="K774" s="229">
        <v>51.169495329178801</v>
      </c>
      <c r="L774" s="229">
        <v>23.060372472442701</v>
      </c>
      <c r="M774" s="229">
        <v>8.2552363464643896</v>
      </c>
      <c r="N774" s="229">
        <v>1.7409531871805799</v>
      </c>
      <c r="O774" s="205">
        <v>7.8027871010236962E-5</v>
      </c>
      <c r="P774" s="232">
        <v>127.61200000000001</v>
      </c>
      <c r="Q774" s="213"/>
      <c r="R774" s="235"/>
    </row>
    <row r="775" spans="1:18" ht="16.5" customHeight="1" x14ac:dyDescent="0.25">
      <c r="A775" s="230">
        <v>45387</v>
      </c>
      <c r="B775" s="128" t="s">
        <v>6</v>
      </c>
      <c r="C775" s="157" t="str">
        <f t="shared" si="25"/>
        <v>05.04.2024_KIN4</v>
      </c>
      <c r="D775" s="190">
        <f t="shared" si="26"/>
        <v>0</v>
      </c>
      <c r="E775" s="231">
        <v>1.0512785244723637E-5</v>
      </c>
      <c r="F775" s="231">
        <v>1.1120230642251998E-3</v>
      </c>
      <c r="G775" s="231">
        <v>9.2959123875977212E-3</v>
      </c>
      <c r="H775" s="231">
        <v>1.1666194474479672E-3</v>
      </c>
      <c r="I775" s="231">
        <v>1.3992002569693455E-5</v>
      </c>
      <c r="J775" s="231">
        <v>3.9009597584370248E-3</v>
      </c>
      <c r="K775" s="229">
        <v>42.736536354108303</v>
      </c>
      <c r="L775" s="229">
        <v>20.787748039301398</v>
      </c>
      <c r="M775" s="229">
        <v>11.5916966580963</v>
      </c>
      <c r="N775" s="229">
        <v>1.90723623247339</v>
      </c>
      <c r="O775" s="205">
        <v>8.708947251219214E-5</v>
      </c>
      <c r="P775" s="232">
        <v>129.80799999999999</v>
      </c>
      <c r="Q775" s="213"/>
      <c r="R775" s="235"/>
    </row>
    <row r="776" spans="1:18" ht="16.5" customHeight="1" x14ac:dyDescent="0.25">
      <c r="A776" s="230">
        <v>45387</v>
      </c>
      <c r="B776" s="128" t="s">
        <v>34</v>
      </c>
      <c r="C776" s="157" t="str">
        <f t="shared" si="25"/>
        <v>05.04.2024_KRE1</v>
      </c>
      <c r="D776" s="190">
        <f t="shared" si="26"/>
        <v>0</v>
      </c>
      <c r="E776" s="231">
        <v>9.461505712074474E-6</v>
      </c>
      <c r="F776" s="231">
        <v>2.4188666587872136E-3</v>
      </c>
      <c r="G776" s="231">
        <v>6.7952674589753445E-3</v>
      </c>
      <c r="H776" s="231">
        <v>5.8936972174113817E-4</v>
      </c>
      <c r="I776" s="231">
        <v>1.0049524593127291E-5</v>
      </c>
      <c r="J776" s="231">
        <v>2.6356466371343212E-3</v>
      </c>
      <c r="K776" s="229">
        <v>86.213964879613499</v>
      </c>
      <c r="L776" s="229">
        <v>26.713375170513501</v>
      </c>
      <c r="M776" s="229">
        <v>14.2290178732281</v>
      </c>
      <c r="N776" s="229">
        <v>2.72335242209869</v>
      </c>
      <c r="O776" s="205">
        <v>9.9612187115203236E-5</v>
      </c>
      <c r="P776" s="232">
        <v>280.59999999999997</v>
      </c>
      <c r="Q776" s="213"/>
      <c r="R776" s="235"/>
    </row>
    <row r="777" spans="1:18" ht="16.5" customHeight="1" x14ac:dyDescent="0.25">
      <c r="A777" s="230">
        <v>45387</v>
      </c>
      <c r="B777" s="128" t="s">
        <v>37</v>
      </c>
      <c r="C777" s="157" t="str">
        <f t="shared" si="25"/>
        <v>05.04.2024_KRE2</v>
      </c>
      <c r="D777" s="190">
        <f t="shared" si="26"/>
        <v>0</v>
      </c>
      <c r="E777" s="231">
        <v>9.9871447057086865E-6</v>
      </c>
      <c r="F777" s="231">
        <v>1.9703555304697758E-3</v>
      </c>
      <c r="G777" s="231">
        <v>7.3704138218926045E-3</v>
      </c>
      <c r="H777" s="231">
        <v>7.5855254388793123E-4</v>
      </c>
      <c r="I777" s="231">
        <v>1.5309245069151569E-5</v>
      </c>
      <c r="J777" s="231">
        <v>3.1090224247244638E-3</v>
      </c>
      <c r="K777" s="229">
        <v>88.818185694622997</v>
      </c>
      <c r="L777" s="229">
        <v>30.5697227953866</v>
      </c>
      <c r="M777" s="229">
        <v>19.583505802725298</v>
      </c>
      <c r="N777" s="229">
        <v>3.5672495886627398</v>
      </c>
      <c r="O777" s="205">
        <v>1.2560192432063558E-4</v>
      </c>
      <c r="P777" s="232">
        <v>263.76400000000001</v>
      </c>
      <c r="Q777" s="213"/>
      <c r="R777" s="235"/>
    </row>
    <row r="778" spans="1:18" ht="16.5" customHeight="1" x14ac:dyDescent="0.25">
      <c r="A778" s="230">
        <v>45387</v>
      </c>
      <c r="B778" s="128" t="s">
        <v>18</v>
      </c>
      <c r="C778" s="157" t="str">
        <f t="shared" si="25"/>
        <v>05.04.2024_ORB1</v>
      </c>
      <c r="D778" s="190">
        <f t="shared" si="26"/>
        <v>0</v>
      </c>
      <c r="E778" s="231">
        <v>8.9358668656193546E-6</v>
      </c>
      <c r="F778" s="231">
        <v>5.4764669885844057E-4</v>
      </c>
      <c r="G778" s="231">
        <v>6.9515563371325573E-3</v>
      </c>
      <c r="H778" s="231">
        <v>9.4363702892571674E-4</v>
      </c>
      <c r="I778" s="231">
        <v>7.3782288448525573E-6</v>
      </c>
      <c r="J778" s="231">
        <v>2.4312582317920191E-3</v>
      </c>
      <c r="K778" s="229">
        <v>18.929775001522199</v>
      </c>
      <c r="L778" s="229">
        <v>4.9268920241558298</v>
      </c>
      <c r="M778" s="229">
        <v>8.2102160237717605</v>
      </c>
      <c r="N778" s="229">
        <v>3.3081505754924101</v>
      </c>
      <c r="O778" s="205">
        <v>6.4813165284206411E-5</v>
      </c>
      <c r="P778" s="232">
        <v>24.156000000000002</v>
      </c>
      <c r="Q778" s="213"/>
      <c r="R778" s="235"/>
    </row>
    <row r="779" spans="1:18" ht="16.5" customHeight="1" x14ac:dyDescent="0.25">
      <c r="A779" s="230">
        <v>45387</v>
      </c>
      <c r="B779" s="128" t="s">
        <v>21</v>
      </c>
      <c r="C779" s="157" t="str">
        <f t="shared" si="25"/>
        <v>05.04.2024_ORB2</v>
      </c>
      <c r="D779" s="190">
        <f t="shared" si="26"/>
        <v>0</v>
      </c>
      <c r="E779" s="231">
        <v>2.0499939369897357E-5</v>
      </c>
      <c r="F779" s="231">
        <v>6.1601079924505084E-4</v>
      </c>
      <c r="G779" s="231">
        <v>4.801037371119885E-3</v>
      </c>
      <c r="H779" s="231">
        <v>8.8615110006145257E-4</v>
      </c>
      <c r="I779" s="231">
        <v>5.9781065529078173E-6</v>
      </c>
      <c r="J779" s="231">
        <v>3.2160864879252652E-3</v>
      </c>
      <c r="K779" s="229">
        <v>17.7596766855882</v>
      </c>
      <c r="L779" s="229">
        <v>4.7201152885389099</v>
      </c>
      <c r="M779" s="229">
        <v>10.599356986269701</v>
      </c>
      <c r="N779" s="229">
        <v>3.1802667675703402</v>
      </c>
      <c r="O779" s="205">
        <v>6.4624374907613455E-5</v>
      </c>
      <c r="P779" s="232">
        <v>28.548000000000002</v>
      </c>
      <c r="Q779" s="213"/>
      <c r="R779" s="235"/>
    </row>
    <row r="780" spans="1:18" ht="16.5" customHeight="1" x14ac:dyDescent="0.25">
      <c r="A780" s="230">
        <v>45387</v>
      </c>
      <c r="B780" s="128" t="s">
        <v>10</v>
      </c>
      <c r="C780" s="157" t="str">
        <f t="shared" si="25"/>
        <v>05.04.2024_SAL1</v>
      </c>
      <c r="D780" s="190">
        <f t="shared" si="26"/>
        <v>0</v>
      </c>
      <c r="E780" s="231">
        <v>9.9871447057086865E-6</v>
      </c>
      <c r="F780" s="231">
        <v>8.8211855366629238E-4</v>
      </c>
      <c r="G780" s="231">
        <v>1.4672457958669394E-2</v>
      </c>
      <c r="H780" s="231">
        <v>1.1968881759615922E-3</v>
      </c>
      <c r="I780" s="231">
        <v>1.1744421729782696E-5</v>
      </c>
      <c r="J780" s="231">
        <v>2.3286224346539034E-3</v>
      </c>
      <c r="K780" s="229">
        <v>17.892562935189002</v>
      </c>
      <c r="L780" s="229">
        <v>12.3727393129459</v>
      </c>
      <c r="M780" s="229">
        <v>6.32703811970626</v>
      </c>
      <c r="N780" s="229">
        <v>1.13145707634343</v>
      </c>
      <c r="O780" s="205">
        <v>1.0269568566674263E-4</v>
      </c>
      <c r="P780" s="232">
        <v>50.995999999999995</v>
      </c>
      <c r="Q780" s="213"/>
      <c r="R780" s="235"/>
    </row>
    <row r="781" spans="1:18" ht="16.5" customHeight="1" x14ac:dyDescent="0.25">
      <c r="A781" s="230">
        <v>45387</v>
      </c>
      <c r="B781" s="128" t="s">
        <v>12</v>
      </c>
      <c r="C781" s="157" t="str">
        <f t="shared" si="25"/>
        <v>05.04.2024_SAL2</v>
      </c>
      <c r="D781" s="190">
        <f t="shared" si="26"/>
        <v>0</v>
      </c>
      <c r="E781" s="231">
        <v>1.0512784435238435E-5</v>
      </c>
      <c r="F781" s="231">
        <v>9.541682081931187E-4</v>
      </c>
      <c r="G781" s="231">
        <v>1.2703117619629707E-2</v>
      </c>
      <c r="H781" s="231">
        <v>1.2981489917336822E-3</v>
      </c>
      <c r="I781" s="231">
        <v>7.7743186159544906E-6</v>
      </c>
      <c r="J781" s="231">
        <v>1.6269976566684304E-3</v>
      </c>
      <c r="K781" s="229">
        <v>20.116053760906698</v>
      </c>
      <c r="L781" s="229">
        <v>12.8118592428452</v>
      </c>
      <c r="M781" s="229">
        <v>6.3544225472595999</v>
      </c>
      <c r="N781" s="229">
        <v>1.16926358114347</v>
      </c>
      <c r="O781" s="205">
        <v>9.0110008431224322E-5</v>
      </c>
      <c r="P781" s="232">
        <v>52.948</v>
      </c>
      <c r="Q781" s="213"/>
      <c r="R781" s="235"/>
    </row>
    <row r="782" spans="1:18" ht="16.5" customHeight="1" x14ac:dyDescent="0.25">
      <c r="A782" s="230">
        <v>45387</v>
      </c>
      <c r="B782" s="128" t="s">
        <v>7</v>
      </c>
      <c r="C782" s="157" t="str">
        <f t="shared" si="25"/>
        <v>05.04.2024_STE1</v>
      </c>
      <c r="D782" s="190">
        <f t="shared" si="26"/>
        <v>0</v>
      </c>
      <c r="E782" s="231">
        <v>7.358948560104423E-6</v>
      </c>
      <c r="F782" s="231">
        <v>1.3862982612700965E-3</v>
      </c>
      <c r="G782" s="231">
        <v>5.3011541068593944E-3</v>
      </c>
      <c r="H782" s="231">
        <v>1.1783784794794419E-3</v>
      </c>
      <c r="I782" s="231">
        <v>7.0005626423596224E-6</v>
      </c>
      <c r="J782" s="231">
        <v>1.6464623861229459E-3</v>
      </c>
      <c r="K782" s="229">
        <v>30.5641814423388</v>
      </c>
      <c r="L782" s="229">
        <v>15.523945045731701</v>
      </c>
      <c r="M782" s="229">
        <v>6.9854244415861704</v>
      </c>
      <c r="N782" s="229">
        <v>1.1196344462846499</v>
      </c>
      <c r="O782" s="205">
        <v>7.5510772812634728E-5</v>
      </c>
      <c r="P782" s="232">
        <v>80.031999999999996</v>
      </c>
      <c r="Q782" s="213"/>
      <c r="R782" s="235"/>
    </row>
    <row r="783" spans="1:18" ht="16.5" customHeight="1" x14ac:dyDescent="0.25">
      <c r="A783" s="230">
        <v>45387</v>
      </c>
      <c r="B783" s="128" t="s">
        <v>9</v>
      </c>
      <c r="C783" s="157" t="str">
        <f t="shared" si="25"/>
        <v>05.04.2024_STE2</v>
      </c>
      <c r="D783" s="190">
        <f t="shared" si="26"/>
        <v>0</v>
      </c>
      <c r="E783" s="231">
        <v>9.9871458095521504E-6</v>
      </c>
      <c r="F783" s="231">
        <v>8.1878568660624694E-4</v>
      </c>
      <c r="G783" s="231">
        <v>6.2701408265514163E-3</v>
      </c>
      <c r="H783" s="231">
        <v>1.0577398677048648E-3</v>
      </c>
      <c r="I783" s="231">
        <v>9.8376574636730297E-6</v>
      </c>
      <c r="J783" s="231">
        <v>2.7294358731556247E-3</v>
      </c>
      <c r="K783" s="229">
        <v>25.1490298676006</v>
      </c>
      <c r="L783" s="229">
        <v>13.8369042654362</v>
      </c>
      <c r="M783" s="229">
        <v>16.125589524861201</v>
      </c>
      <c r="N783" s="229">
        <v>1.2298788637645199</v>
      </c>
      <c r="O783" s="205">
        <v>7.8783001778699483E-5</v>
      </c>
      <c r="P783" s="232">
        <v>76.616</v>
      </c>
      <c r="Q783" s="213"/>
      <c r="R783" s="235"/>
    </row>
    <row r="784" spans="1:18" ht="16.5" customHeight="1" x14ac:dyDescent="0.25">
      <c r="A784" s="230">
        <v>45425</v>
      </c>
      <c r="B784" s="128" t="s">
        <v>22</v>
      </c>
      <c r="C784" s="157" t="str">
        <f t="shared" si="25"/>
        <v>13.05.2024_BIE1</v>
      </c>
      <c r="D784" s="190">
        <f t="shared" si="26"/>
        <v>0</v>
      </c>
      <c r="E784" s="231">
        <v>7.5300995337999305E-5</v>
      </c>
      <c r="F784" s="231">
        <v>2.5117272983704027E-3</v>
      </c>
      <c r="G784" s="231">
        <v>4.9846650282678552E-3</v>
      </c>
      <c r="H784" s="231">
        <v>2.0341248766328198E-2</v>
      </c>
      <c r="I784" s="231">
        <v>4.9692787899962732E-5</v>
      </c>
      <c r="J784" s="231">
        <v>2.6620010275501451E-3</v>
      </c>
      <c r="K784" s="229">
        <v>16.055778799122301</v>
      </c>
      <c r="L784" s="229">
        <v>7.44507678434727</v>
      </c>
      <c r="M784" s="229">
        <v>5.2818584829935</v>
      </c>
      <c r="N784" s="229">
        <v>2.8016858109678799</v>
      </c>
      <c r="O784" s="205">
        <v>7.2558295762553953E-4</v>
      </c>
      <c r="P784" s="232">
        <v>56.364000000000004</v>
      </c>
      <c r="Q784" s="213"/>
      <c r="R784" s="235"/>
    </row>
    <row r="785" spans="1:18" ht="16.5" customHeight="1" x14ac:dyDescent="0.25">
      <c r="A785" s="230">
        <v>45425</v>
      </c>
      <c r="B785" s="128" t="s">
        <v>25</v>
      </c>
      <c r="C785" s="157" t="str">
        <f t="shared" si="25"/>
        <v>13.05.2024_BIE2</v>
      </c>
      <c r="D785" s="190">
        <f t="shared" si="26"/>
        <v>0</v>
      </c>
      <c r="E785" s="231">
        <v>2.9422198670129807E-5</v>
      </c>
      <c r="F785" s="231">
        <v>2.4897491853593588E-3</v>
      </c>
      <c r="G785" s="231">
        <v>5.4831336319859023E-3</v>
      </c>
      <c r="H785" s="231">
        <v>1.9056952381711158E-2</v>
      </c>
      <c r="I785" s="231">
        <v>1.6946163298386813E-5</v>
      </c>
      <c r="J785" s="231">
        <v>1.1370328955645945E-3</v>
      </c>
      <c r="K785" s="229">
        <v>13.975861520613901</v>
      </c>
      <c r="L785" s="229">
        <v>6.9941769155469702</v>
      </c>
      <c r="M785" s="229">
        <v>5.9287578778987102</v>
      </c>
      <c r="N785" s="229">
        <v>2.7721078585775398</v>
      </c>
      <c r="O785" s="205">
        <v>6.4799639266803683E-4</v>
      </c>
      <c r="P785" s="232">
        <v>58.071999999999996</v>
      </c>
      <c r="Q785" s="213"/>
      <c r="R785" s="235"/>
    </row>
    <row r="786" spans="1:18" ht="16.5" customHeight="1" x14ac:dyDescent="0.25">
      <c r="A786" s="230">
        <v>45425</v>
      </c>
      <c r="B786" s="128" t="s">
        <v>14</v>
      </c>
      <c r="C786" s="157" t="str">
        <f t="shared" si="25"/>
        <v>13.05.2024_BRA1</v>
      </c>
      <c r="D786" s="190">
        <f t="shared" si="26"/>
        <v>0</v>
      </c>
      <c r="E786" s="231">
        <v>1.6955160015946202E-5</v>
      </c>
      <c r="F786" s="231">
        <v>6.9464042816102113E-4</v>
      </c>
      <c r="G786" s="231">
        <v>3.3784898493376134E-3</v>
      </c>
      <c r="H786" s="231">
        <v>1.8503771737191442E-2</v>
      </c>
      <c r="I786" s="231">
        <v>5.8532136481423656E-6</v>
      </c>
      <c r="J786" s="231">
        <v>5.0748105665496409E-4</v>
      </c>
      <c r="K786" s="229">
        <v>14.323312003247199</v>
      </c>
      <c r="L786" s="229">
        <v>9.0415022938922203</v>
      </c>
      <c r="M786" s="229">
        <v>6.1898094089692997</v>
      </c>
      <c r="N786" s="229">
        <v>0.81871703449642597</v>
      </c>
      <c r="O786" s="205">
        <v>6.519156893238392E-4</v>
      </c>
      <c r="P786" s="232">
        <v>70.027999999999992</v>
      </c>
      <c r="Q786" s="213"/>
      <c r="R786" s="235"/>
    </row>
    <row r="787" spans="1:18" ht="16.5" customHeight="1" x14ac:dyDescent="0.25">
      <c r="A787" s="230">
        <v>45425</v>
      </c>
      <c r="B787" s="128" t="s">
        <v>17</v>
      </c>
      <c r="C787" s="157" t="str">
        <f t="shared" si="25"/>
        <v>13.05.2024_BRA2</v>
      </c>
      <c r="D787" s="190">
        <f t="shared" si="26"/>
        <v>0</v>
      </c>
      <c r="E787" s="231">
        <v>6.981533728344437E-6</v>
      </c>
      <c r="F787" s="231">
        <v>6.8138627741521653E-4</v>
      </c>
      <c r="G787" s="231">
        <v>3.9323432230982539E-3</v>
      </c>
      <c r="H787" s="231">
        <v>1.9068540876406911E-2</v>
      </c>
      <c r="I787" s="231">
        <v>5.0348966284410262E-6</v>
      </c>
      <c r="J787" s="231">
        <v>6.4034536424164678E-4</v>
      </c>
      <c r="K787" s="229">
        <v>14.284589230537099</v>
      </c>
      <c r="L787" s="229">
        <v>9.5837908875347999</v>
      </c>
      <c r="M787" s="229">
        <v>6.7070818733024398</v>
      </c>
      <c r="N787" s="229">
        <v>1.01569118333974</v>
      </c>
      <c r="O787" s="205">
        <v>6.2209756992428404E-4</v>
      </c>
      <c r="P787" s="232">
        <v>68.076000000000008</v>
      </c>
      <c r="Q787" s="213"/>
      <c r="R787" s="235"/>
    </row>
    <row r="788" spans="1:18" ht="16.5" customHeight="1" x14ac:dyDescent="0.25">
      <c r="A788" s="230">
        <v>45425</v>
      </c>
      <c r="B788" s="128" t="s">
        <v>30</v>
      </c>
      <c r="C788" s="157" t="str">
        <f t="shared" si="25"/>
        <v>13.05.2024_FAL1</v>
      </c>
      <c r="D788" s="190">
        <f t="shared" si="26"/>
        <v>0</v>
      </c>
      <c r="E788" s="231">
        <v>1.2965707909113743E-5</v>
      </c>
      <c r="F788" s="231">
        <v>1.130920004293287E-3</v>
      </c>
      <c r="G788" s="231">
        <v>3.8769577896590971E-3</v>
      </c>
      <c r="H788" s="231">
        <v>7.5286393480803918E-2</v>
      </c>
      <c r="I788" s="231">
        <v>1.705976555564311E-5</v>
      </c>
      <c r="J788" s="231">
        <v>1.5434484251445376E-3</v>
      </c>
      <c r="K788" s="229">
        <v>55.392583486551203</v>
      </c>
      <c r="L788" s="229">
        <v>20.2205476336235</v>
      </c>
      <c r="M788" s="229">
        <v>25.4860851266609</v>
      </c>
      <c r="N788" s="229">
        <v>4.4914107358368502</v>
      </c>
      <c r="O788" s="205">
        <v>2.3125709488920924E-3</v>
      </c>
      <c r="P788" s="232">
        <v>209.352</v>
      </c>
      <c r="Q788" s="213"/>
      <c r="R788" s="235"/>
    </row>
    <row r="789" spans="1:18" ht="16.5" customHeight="1" x14ac:dyDescent="0.25">
      <c r="A789" s="230">
        <v>45425</v>
      </c>
      <c r="B789" s="128" t="s">
        <v>32</v>
      </c>
      <c r="C789" s="157" t="str">
        <f t="shared" si="25"/>
        <v>13.05.2024_FAL2</v>
      </c>
      <c r="D789" s="190">
        <f t="shared" si="26"/>
        <v>0</v>
      </c>
      <c r="E789" s="231">
        <v>1.6456477402998914E-5</v>
      </c>
      <c r="F789" s="231">
        <v>1.6937869187087791E-3</v>
      </c>
      <c r="G789" s="231">
        <v>2.8523301615421275E-3</v>
      </c>
      <c r="H789" s="231">
        <v>8.658017095125202E-2</v>
      </c>
      <c r="I789" s="231">
        <v>1.6673364444781233E-5</v>
      </c>
      <c r="J789" s="231">
        <v>1.9243325592470451E-3</v>
      </c>
      <c r="K789" s="229">
        <v>60.950774711896898</v>
      </c>
      <c r="L789" s="229">
        <v>20.895819204907198</v>
      </c>
      <c r="M789" s="229">
        <v>21.5717958285516</v>
      </c>
      <c r="N789" s="229">
        <v>4.0602332165035797</v>
      </c>
      <c r="O789" s="205">
        <v>2.704211390633995E-3</v>
      </c>
      <c r="P789" s="232">
        <v>227.16400000000002</v>
      </c>
      <c r="Q789" s="213"/>
      <c r="R789" s="235"/>
    </row>
    <row r="790" spans="1:18" ht="16.5" customHeight="1" x14ac:dyDescent="0.25">
      <c r="A790" s="230">
        <v>45425</v>
      </c>
      <c r="B790" s="128" t="s">
        <v>26</v>
      </c>
      <c r="C790" s="157" t="str">
        <f t="shared" si="25"/>
        <v>13.05.2024_GRU1</v>
      </c>
      <c r="D790" s="190">
        <f t="shared" si="26"/>
        <v>0</v>
      </c>
      <c r="E790" s="231">
        <v>1.4960433985801534E-5</v>
      </c>
      <c r="F790" s="231">
        <v>1.1098072243422628E-3</v>
      </c>
      <c r="G790" s="231">
        <v>1.1354025994716464E-2</v>
      </c>
      <c r="H790" s="231">
        <v>1.9061583713022717E-2</v>
      </c>
      <c r="I790" s="231">
        <v>1.6502882574177907E-5</v>
      </c>
      <c r="J790" s="231">
        <v>8.9636497293709989E-4</v>
      </c>
      <c r="K790" s="229">
        <v>12.985184797475499</v>
      </c>
      <c r="L790" s="229">
        <v>5.8448826256349404</v>
      </c>
      <c r="M790" s="229">
        <v>6.30551668837695</v>
      </c>
      <c r="N790" s="229">
        <v>1.83902917565045</v>
      </c>
      <c r="O790" s="205">
        <v>6.0433233476527926E-4</v>
      </c>
      <c r="P790" s="232">
        <v>50.995999999999995</v>
      </c>
      <c r="Q790" s="213"/>
      <c r="R790" s="235"/>
    </row>
    <row r="791" spans="1:18" ht="16.5" customHeight="1" x14ac:dyDescent="0.25">
      <c r="A791" s="230">
        <v>45425</v>
      </c>
      <c r="B791" s="128" t="s">
        <v>28</v>
      </c>
      <c r="C791" s="157" t="str">
        <f t="shared" si="25"/>
        <v>13.05.2024_GRU2</v>
      </c>
      <c r="D791" s="190">
        <f t="shared" si="26"/>
        <v>0</v>
      </c>
      <c r="E791" s="231">
        <v>1.2467026599388161E-5</v>
      </c>
      <c r="F791" s="231">
        <v>1.0787065270237443E-3</v>
      </c>
      <c r="G791" s="231">
        <v>6.1477598412794567E-3</v>
      </c>
      <c r="H791" s="231">
        <v>2.2561836061542974E-2</v>
      </c>
      <c r="I791" s="231">
        <v>8.7287155340350873E-6</v>
      </c>
      <c r="J791" s="231">
        <v>5.9012994044008735E-4</v>
      </c>
      <c r="K791" s="229">
        <v>15.9136273682329</v>
      </c>
      <c r="L791" s="229">
        <v>5.70657806910868</v>
      </c>
      <c r="M791" s="229">
        <v>6.3372052552003204</v>
      </c>
      <c r="N791" s="229">
        <v>1.80826687424205</v>
      </c>
      <c r="O791" s="205">
        <v>7.1197411135689157E-4</v>
      </c>
      <c r="P791" s="232">
        <v>59.292000000000002</v>
      </c>
      <c r="Q791" s="213"/>
      <c r="R791" s="235"/>
    </row>
    <row r="792" spans="1:18" ht="16.5" customHeight="1" x14ac:dyDescent="0.25">
      <c r="A792" s="230">
        <v>45425</v>
      </c>
      <c r="B792" s="128" t="s">
        <v>0</v>
      </c>
      <c r="C792" s="157" t="str">
        <f t="shared" si="25"/>
        <v>13.05.2024_KIN1</v>
      </c>
      <c r="D792" s="190">
        <f t="shared" si="26"/>
        <v>0</v>
      </c>
      <c r="E792" s="231">
        <v>1.3963070482021561E-5</v>
      </c>
      <c r="F792" s="231">
        <v>7.6270159050813031E-4</v>
      </c>
      <c r="G792" s="231">
        <v>2.7415599752891257E-3</v>
      </c>
      <c r="H792" s="231">
        <v>3.7114022101924903E-2</v>
      </c>
      <c r="I792" s="231">
        <v>7.0579673961299348E-6</v>
      </c>
      <c r="J792" s="231">
        <v>1.3040603977726095E-3</v>
      </c>
      <c r="K792" s="229">
        <v>26.942810420342401</v>
      </c>
      <c r="L792" s="229">
        <v>14.006034969568301</v>
      </c>
      <c r="M792" s="229">
        <v>6.1104171694349096</v>
      </c>
      <c r="N792" s="229">
        <v>1.5613136062536199</v>
      </c>
      <c r="O792" s="205">
        <v>1.0954609026411176E-3</v>
      </c>
      <c r="P792" s="232">
        <v>154.696</v>
      </c>
      <c r="Q792" s="213"/>
      <c r="R792" s="235"/>
    </row>
    <row r="793" spans="1:18" ht="16.5" customHeight="1" x14ac:dyDescent="0.25">
      <c r="A793" s="230">
        <v>45425</v>
      </c>
      <c r="B793" s="128" t="s">
        <v>2</v>
      </c>
      <c r="C793" s="157" t="str">
        <f t="shared" si="25"/>
        <v>13.05.2024_KIN2</v>
      </c>
      <c r="D793" s="190">
        <f t="shared" si="26"/>
        <v>0</v>
      </c>
      <c r="E793" s="231">
        <v>8.9762582690931779E-6</v>
      </c>
      <c r="F793" s="231">
        <v>5.6603252262982207E-4</v>
      </c>
      <c r="G793" s="231">
        <v>1.7723200551029495E-3</v>
      </c>
      <c r="H793" s="231">
        <v>4.0453321610206774E-2</v>
      </c>
      <c r="I793" s="231">
        <v>5.0007992348918071E-6</v>
      </c>
      <c r="J793" s="231">
        <v>7.5063091075089697E-4</v>
      </c>
      <c r="K793" s="229">
        <v>27.755903990016701</v>
      </c>
      <c r="L793" s="229">
        <v>15.346690481849899</v>
      </c>
      <c r="M793" s="229">
        <v>5.8847396516075801</v>
      </c>
      <c r="N793" s="229">
        <v>1.8104845302253401</v>
      </c>
      <c r="O793" s="205">
        <v>1.2036940646358431E-3</v>
      </c>
      <c r="P793" s="232">
        <v>195.93200000000002</v>
      </c>
      <c r="Q793" s="213"/>
      <c r="R793" s="235"/>
    </row>
    <row r="794" spans="1:18" ht="16.5" customHeight="1" x14ac:dyDescent="0.25">
      <c r="A794" s="230">
        <v>45425</v>
      </c>
      <c r="B794" s="128" t="s">
        <v>4</v>
      </c>
      <c r="C794" s="157" t="str">
        <f t="shared" si="25"/>
        <v>13.05.2024_KIN3</v>
      </c>
      <c r="D794" s="190">
        <f t="shared" si="26"/>
        <v>0</v>
      </c>
      <c r="E794" s="231">
        <v>1.1968345708554809E-5</v>
      </c>
      <c r="F794" s="231">
        <v>7.9924171541581883E-4</v>
      </c>
      <c r="G794" s="231">
        <v>2.6030968224675871E-3</v>
      </c>
      <c r="H794" s="231">
        <v>5.1945964875175478E-2</v>
      </c>
      <c r="I794" s="231">
        <v>6.2851051150512262E-6</v>
      </c>
      <c r="J794" s="231">
        <v>9.2291783961819288E-4</v>
      </c>
      <c r="K794" s="229">
        <v>36.243095158522401</v>
      </c>
      <c r="L794" s="229">
        <v>15.188246014200301</v>
      </c>
      <c r="M794" s="229">
        <v>6.7635260095678502</v>
      </c>
      <c r="N794" s="229">
        <v>1.6260805468280199</v>
      </c>
      <c r="O794" s="205">
        <v>1.5677840398204497E-3</v>
      </c>
      <c r="P794" s="232">
        <v>173.97199999999998</v>
      </c>
      <c r="Q794" s="213"/>
      <c r="R794" s="235"/>
    </row>
    <row r="795" spans="1:18" ht="16.5" customHeight="1" x14ac:dyDescent="0.25">
      <c r="A795" s="230">
        <v>45425</v>
      </c>
      <c r="B795" s="128" t="s">
        <v>6</v>
      </c>
      <c r="C795" s="157" t="str">
        <f t="shared" si="25"/>
        <v>13.05.2024_KIN4</v>
      </c>
      <c r="D795" s="190">
        <f t="shared" si="26"/>
        <v>0</v>
      </c>
      <c r="E795" s="231">
        <v>1.7453839975906505E-5</v>
      </c>
      <c r="F795" s="231">
        <v>7.4408352092827218E-4</v>
      </c>
      <c r="G795" s="231">
        <v>2.2707859190888051E-3</v>
      </c>
      <c r="H795" s="231">
        <v>4.3182362006483045E-2</v>
      </c>
      <c r="I795" s="231">
        <v>8.7287137015126976E-6</v>
      </c>
      <c r="J795" s="231">
        <v>9.6364838011757262E-4</v>
      </c>
      <c r="K795" s="229">
        <v>30.316517732130102</v>
      </c>
      <c r="L795" s="229">
        <v>15.540152944134499</v>
      </c>
      <c r="M795" s="229">
        <v>10.082446925321801</v>
      </c>
      <c r="N795" s="229">
        <v>1.7506710087533499</v>
      </c>
      <c r="O795" s="205">
        <v>1.3109945811502052E-3</v>
      </c>
      <c r="P795" s="232">
        <v>156.16</v>
      </c>
      <c r="Q795" s="213"/>
      <c r="R795" s="235"/>
    </row>
    <row r="796" spans="1:18" ht="16.5" customHeight="1" x14ac:dyDescent="0.25">
      <c r="A796" s="230">
        <v>45425</v>
      </c>
      <c r="B796" s="128" t="s">
        <v>34</v>
      </c>
      <c r="C796" s="157" t="str">
        <f t="shared" si="25"/>
        <v>13.05.2024_KRE1</v>
      </c>
      <c r="D796" s="190">
        <f t="shared" si="26"/>
        <v>0</v>
      </c>
      <c r="E796" s="231">
        <v>9.4749392995572944E-6</v>
      </c>
      <c r="F796" s="231">
        <v>1.5056714440128834E-3</v>
      </c>
      <c r="G796" s="231">
        <v>5.3723627651072149E-3</v>
      </c>
      <c r="H796" s="231">
        <v>6.4883398536957293E-2</v>
      </c>
      <c r="I796" s="231">
        <v>1.5593590030812475E-5</v>
      </c>
      <c r="J796" s="231">
        <v>1.4974197076240948E-3</v>
      </c>
      <c r="K796" s="229">
        <v>43.321623687814103</v>
      </c>
      <c r="L796" s="229">
        <v>20.271344412908501</v>
      </c>
      <c r="M796" s="229">
        <v>26.9518188053001</v>
      </c>
      <c r="N796" s="229">
        <v>7.7306715542586604</v>
      </c>
      <c r="O796" s="205">
        <v>2.1247775117939523E-3</v>
      </c>
      <c r="P796" s="232">
        <v>187.88</v>
      </c>
      <c r="Q796" s="213"/>
      <c r="R796" s="235"/>
    </row>
    <row r="797" spans="1:18" ht="16.5" customHeight="1" x14ac:dyDescent="0.25">
      <c r="A797" s="230">
        <v>45425</v>
      </c>
      <c r="B797" s="128" t="s">
        <v>37</v>
      </c>
      <c r="C797" s="157" t="str">
        <f t="shared" si="25"/>
        <v>13.05.2024_KRE2</v>
      </c>
      <c r="D797" s="190">
        <f t="shared" si="26"/>
        <v>0</v>
      </c>
      <c r="E797" s="231">
        <v>1.0970983321821499E-5</v>
      </c>
      <c r="F797" s="231">
        <v>1.7462128940678853E-3</v>
      </c>
      <c r="G797" s="231">
        <v>3.3784898493376134E-3</v>
      </c>
      <c r="H797" s="231">
        <v>9.1239142248417379E-2</v>
      </c>
      <c r="I797" s="231">
        <v>1.3149942032416634E-5</v>
      </c>
      <c r="J797" s="231">
        <v>1.6239711962042491E-3</v>
      </c>
      <c r="K797" s="229">
        <v>60.4308800804165</v>
      </c>
      <c r="L797" s="229">
        <v>21.132404252306799</v>
      </c>
      <c r="M797" s="229">
        <v>28.843589046384199</v>
      </c>
      <c r="N797" s="229">
        <v>5.4743702970217099</v>
      </c>
      <c r="O797" s="205">
        <v>3.0156346671771938E-3</v>
      </c>
      <c r="P797" s="232">
        <v>214.72</v>
      </c>
      <c r="Q797" s="213"/>
      <c r="R797" s="235"/>
    </row>
    <row r="798" spans="1:18" ht="16.5" customHeight="1" x14ac:dyDescent="0.25">
      <c r="A798" s="230">
        <v>45425</v>
      </c>
      <c r="B798" s="128" t="s">
        <v>18</v>
      </c>
      <c r="C798" s="157" t="str">
        <f t="shared" si="25"/>
        <v>13.05.2024_ORB1</v>
      </c>
      <c r="D798" s="190">
        <f t="shared" si="26"/>
        <v>0</v>
      </c>
      <c r="E798" s="231">
        <v>1.4461752489901341E-5</v>
      </c>
      <c r="F798" s="231">
        <v>5.3660799059643076E-4</v>
      </c>
      <c r="G798" s="231">
        <v>1.9938603199159107E-3</v>
      </c>
      <c r="H798" s="231">
        <v>1.2887904335703491E-2</v>
      </c>
      <c r="I798" s="231">
        <v>9.6038666251199966E-6</v>
      </c>
      <c r="J798" s="231">
        <v>9.4262201436723164E-4</v>
      </c>
      <c r="K798" s="229">
        <v>8.5837903355148395</v>
      </c>
      <c r="L798" s="229">
        <v>2.0092734597500299</v>
      </c>
      <c r="M798" s="229">
        <v>5.8884380092170296</v>
      </c>
      <c r="N798" s="229">
        <v>2.7250163568426502</v>
      </c>
      <c r="O798" s="205">
        <v>3.6648377351447504E-4</v>
      </c>
      <c r="P798" s="232">
        <v>18.055999999999997</v>
      </c>
      <c r="Q798" s="213"/>
      <c r="R798" s="235"/>
    </row>
    <row r="799" spans="1:18" ht="16.5" customHeight="1" x14ac:dyDescent="0.25">
      <c r="A799" s="230">
        <v>45425</v>
      </c>
      <c r="B799" s="128" t="s">
        <v>21</v>
      </c>
      <c r="C799" s="157" t="str">
        <f t="shared" si="25"/>
        <v>13.05.2024_ORB2</v>
      </c>
      <c r="D799" s="190">
        <f t="shared" si="26"/>
        <v>0</v>
      </c>
      <c r="E799" s="231">
        <v>1.4461754770538886E-5</v>
      </c>
      <c r="F799" s="231">
        <v>4.515662981377187E-4</v>
      </c>
      <c r="G799" s="231">
        <v>3.406182501440755E-3</v>
      </c>
      <c r="H799" s="231">
        <v>1.3336916388786596E-2</v>
      </c>
      <c r="I799" s="231">
        <v>1.02744407088679E-5</v>
      </c>
      <c r="J799" s="231">
        <v>5.3571112332837206E-4</v>
      </c>
      <c r="K799" s="229">
        <v>8.9717774670143093</v>
      </c>
      <c r="L799" s="229">
        <v>2.1023664242367501</v>
      </c>
      <c r="M799" s="229">
        <v>7.8755199870922299</v>
      </c>
      <c r="N799" s="229">
        <v>2.8692042979249299</v>
      </c>
      <c r="O799" s="205">
        <v>3.9860805067034385E-4</v>
      </c>
      <c r="P799" s="232">
        <v>19.763999999999999</v>
      </c>
      <c r="Q799" s="213"/>
      <c r="R799" s="235"/>
    </row>
    <row r="800" spans="1:18" ht="16.5" customHeight="1" x14ac:dyDescent="0.25">
      <c r="A800" s="230">
        <v>45425</v>
      </c>
      <c r="B800" s="128" t="s">
        <v>10</v>
      </c>
      <c r="C800" s="157" t="str">
        <f t="shared" si="25"/>
        <v>13.05.2024_SAL1</v>
      </c>
      <c r="D800" s="190">
        <f t="shared" si="26"/>
        <v>0</v>
      </c>
      <c r="E800" s="231">
        <v>1.3464389265383116E-5</v>
      </c>
      <c r="F800" s="231">
        <v>5.8913710496463312E-4</v>
      </c>
      <c r="G800" s="231">
        <v>6.8677728926604042E-3</v>
      </c>
      <c r="H800" s="231">
        <v>1.8145000706667587E-2</v>
      </c>
      <c r="I800" s="231">
        <v>6.876115169728929E-6</v>
      </c>
      <c r="J800" s="231">
        <v>4.9342626512324014E-4</v>
      </c>
      <c r="K800" s="229">
        <v>11.664083509927799</v>
      </c>
      <c r="L800" s="229">
        <v>8.6376010878078695</v>
      </c>
      <c r="M800" s="229">
        <v>6.3131040986445504</v>
      </c>
      <c r="N800" s="229">
        <v>0.94920945610441598</v>
      </c>
      <c r="O800" s="205">
        <v>5.945437696749877E-4</v>
      </c>
      <c r="P800" s="232">
        <v>84.179999999999993</v>
      </c>
      <c r="Q800" s="213"/>
      <c r="R800" s="235"/>
    </row>
    <row r="801" spans="1:18" ht="16.5" customHeight="1" x14ac:dyDescent="0.25">
      <c r="A801" s="230">
        <v>45425</v>
      </c>
      <c r="B801" s="128" t="s">
        <v>12</v>
      </c>
      <c r="C801" s="157" t="str">
        <f t="shared" si="25"/>
        <v>13.05.2024_SAL2</v>
      </c>
      <c r="D801" s="190">
        <f t="shared" si="26"/>
        <v>0</v>
      </c>
      <c r="E801" s="231">
        <v>1.1469664817721456E-5</v>
      </c>
      <c r="F801" s="231">
        <v>8.2091343667502312E-4</v>
      </c>
      <c r="G801" s="231">
        <v>5.2062063355556914E-3</v>
      </c>
      <c r="H801" s="231">
        <v>2.111386026190553E-2</v>
      </c>
      <c r="I801" s="231">
        <v>5.239475107664721E-6</v>
      </c>
      <c r="J801" s="231">
        <v>4.2483520365233543E-4</v>
      </c>
      <c r="K801" s="229">
        <v>13.1956761450933</v>
      </c>
      <c r="L801" s="229">
        <v>8.7137334359482193</v>
      </c>
      <c r="M801" s="229">
        <v>6.3625326857854798</v>
      </c>
      <c r="N801" s="229">
        <v>1.00937062291633</v>
      </c>
      <c r="O801" s="205">
        <v>6.6236220117390446E-4</v>
      </c>
      <c r="P801" s="232">
        <v>85.399999999999991</v>
      </c>
      <c r="Q801" s="213"/>
      <c r="R801" s="235"/>
    </row>
    <row r="802" spans="1:18" ht="16.5" customHeight="1" x14ac:dyDescent="0.25">
      <c r="A802" s="230">
        <v>45425</v>
      </c>
      <c r="B802" s="128" t="s">
        <v>7</v>
      </c>
      <c r="C802" s="157" t="str">
        <f t="shared" si="25"/>
        <v>13.05.2024_STE1</v>
      </c>
      <c r="D802" s="190">
        <f t="shared" si="26"/>
        <v>0</v>
      </c>
      <c r="E802" s="231">
        <v>7.9788958823598476E-6</v>
      </c>
      <c r="F802" s="231">
        <v>2.0173919272717332E-3</v>
      </c>
      <c r="G802" s="231">
        <v>2.3261712620644194E-3</v>
      </c>
      <c r="H802" s="231">
        <v>3.116003422663198E-2</v>
      </c>
      <c r="I802" s="231">
        <v>5.0576262731719007E-6</v>
      </c>
      <c r="J802" s="231">
        <v>8.7353710200399485E-4</v>
      </c>
      <c r="K802" s="229">
        <v>19.444802971676499</v>
      </c>
      <c r="L802" s="229">
        <v>9.2519089120774094</v>
      </c>
      <c r="M802" s="229">
        <v>6.5032797581288504</v>
      </c>
      <c r="N802" s="229">
        <v>1.05662569279751</v>
      </c>
      <c r="O802" s="205">
        <v>9.4334741978629815E-4</v>
      </c>
      <c r="P802" s="232">
        <v>110.532</v>
      </c>
      <c r="Q802" s="213"/>
      <c r="R802" s="235"/>
    </row>
    <row r="803" spans="1:18" ht="16.5" customHeight="1" x14ac:dyDescent="0.25">
      <c r="A803" s="230">
        <v>45425</v>
      </c>
      <c r="B803" s="128" t="s">
        <v>9</v>
      </c>
      <c r="C803" s="157" t="str">
        <f t="shared" si="25"/>
        <v>13.05.2024_STE2</v>
      </c>
      <c r="D803" s="190">
        <f t="shared" si="26"/>
        <v>0</v>
      </c>
      <c r="E803" s="231">
        <v>1.0472301639747045E-5</v>
      </c>
      <c r="F803" s="231">
        <v>7.1552474507373778E-4</v>
      </c>
      <c r="G803" s="231">
        <v>2.3538636126254264E-3</v>
      </c>
      <c r="H803" s="231">
        <v>3.0657852642036725E-2</v>
      </c>
      <c r="I803" s="231">
        <v>4.6371007146254363E-6</v>
      </c>
      <c r="J803" s="231">
        <v>7.2912616001348431E-4</v>
      </c>
      <c r="K803" s="229">
        <v>19.099953174687499</v>
      </c>
      <c r="L803" s="229">
        <v>9.4822632840187602</v>
      </c>
      <c r="M803" s="229">
        <v>6.7437088562793299</v>
      </c>
      <c r="N803" s="229">
        <v>1.14182630548829</v>
      </c>
      <c r="O803" s="205">
        <v>9.3303045403164892E-4</v>
      </c>
      <c r="P803" s="232">
        <v>113.94800000000001</v>
      </c>
      <c r="Q803" s="213"/>
      <c r="R803" s="235"/>
    </row>
    <row r="804" spans="1:18" ht="16.5" customHeight="1" x14ac:dyDescent="0.25">
      <c r="A804" s="230">
        <v>45453</v>
      </c>
      <c r="B804" s="128" t="s">
        <v>22</v>
      </c>
      <c r="C804" s="157" t="str">
        <f t="shared" si="25"/>
        <v>10.06.2024_BIE1</v>
      </c>
      <c r="D804" s="190">
        <f t="shared" si="26"/>
        <v>0</v>
      </c>
      <c r="E804" s="231">
        <v>7.1311526242687294E-5</v>
      </c>
      <c r="F804" s="231">
        <v>1.6493501642869195E-3</v>
      </c>
      <c r="G804" s="231">
        <v>4.2646549578737045E-3</v>
      </c>
      <c r="H804" s="231">
        <v>1.788985336638332E-2</v>
      </c>
      <c r="I804" s="231">
        <v>4.7862790285372472E-5</v>
      </c>
      <c r="J804" s="231">
        <v>1.1576997148863557E-3</v>
      </c>
      <c r="K804" s="229">
        <v>11.1273577079678</v>
      </c>
      <c r="L804" s="229">
        <v>6.4628162496219197</v>
      </c>
      <c r="M804" s="229">
        <v>4.9122055943879603</v>
      </c>
      <c r="N804" s="229">
        <v>2.8393802573157298</v>
      </c>
      <c r="O804" s="205">
        <v>6.0386630656652607E-4</v>
      </c>
      <c r="P804" s="232">
        <v>58.559999999999995</v>
      </c>
      <c r="Q804" s="213"/>
      <c r="R804" s="235"/>
    </row>
    <row r="805" spans="1:18" ht="16.5" customHeight="1" x14ac:dyDescent="0.25">
      <c r="A805" s="230">
        <v>45453</v>
      </c>
      <c r="B805" s="128" t="s">
        <v>25</v>
      </c>
      <c r="C805" s="157" t="str">
        <f t="shared" si="25"/>
        <v>10.06.2024_BIE2</v>
      </c>
      <c r="D805" s="190">
        <f t="shared" si="26"/>
        <v>0</v>
      </c>
      <c r="E805" s="231">
        <v>2.1443293339417109E-5</v>
      </c>
      <c r="F805" s="231">
        <v>1.5867195011929102E-3</v>
      </c>
      <c r="G805" s="231">
        <v>4.0431133059641283E-3</v>
      </c>
      <c r="H805" s="231">
        <v>1.9868428464205914E-2</v>
      </c>
      <c r="I805" s="231">
        <v>1.4013776368278457E-5</v>
      </c>
      <c r="J805" s="231">
        <v>1.3496047661852621E-3</v>
      </c>
      <c r="K805" s="229">
        <v>12.2575201499176</v>
      </c>
      <c r="L805" s="229">
        <v>6.1532898948998103</v>
      </c>
      <c r="M805" s="229">
        <v>5.0060375688967698</v>
      </c>
      <c r="N805" s="229">
        <v>2.7356156171636301</v>
      </c>
      <c r="O805" s="205">
        <v>6.219767322422061E-4</v>
      </c>
      <c r="P805" s="232">
        <v>57.096000000000004</v>
      </c>
      <c r="Q805" s="213"/>
      <c r="R805" s="235"/>
    </row>
    <row r="806" spans="1:18" ht="16.5" customHeight="1" x14ac:dyDescent="0.25">
      <c r="A806" s="230">
        <v>45453</v>
      </c>
      <c r="B806" s="128" t="s">
        <v>14</v>
      </c>
      <c r="C806" s="157" t="str">
        <f t="shared" si="25"/>
        <v>10.06.2024_BRA1</v>
      </c>
      <c r="D806" s="190">
        <f t="shared" si="26"/>
        <v>0</v>
      </c>
      <c r="E806" s="231">
        <v>1.4960433148016514E-5</v>
      </c>
      <c r="F806" s="231">
        <v>8.5087087126469742E-4</v>
      </c>
      <c r="G806" s="231">
        <v>2.0492454604276525E-3</v>
      </c>
      <c r="H806" s="231">
        <v>1.6324128510461621E-2</v>
      </c>
      <c r="I806" s="231">
        <v>6.1032639129770034E-6</v>
      </c>
      <c r="J806" s="231">
        <v>1.1617854686113136E-3</v>
      </c>
      <c r="K806" s="229">
        <v>10.695206451716301</v>
      </c>
      <c r="L806" s="229">
        <v>7.8929345061446003</v>
      </c>
      <c r="M806" s="229">
        <v>5.4695927393381796</v>
      </c>
      <c r="N806" s="229">
        <v>0.85905897122943398</v>
      </c>
      <c r="O806" s="205">
        <v>5.5860289834043357E-4</v>
      </c>
      <c r="P806" s="232">
        <v>70.759999999999991</v>
      </c>
      <c r="Q806" s="213"/>
      <c r="R806" s="235"/>
    </row>
    <row r="807" spans="1:18" ht="16.5" customHeight="1" x14ac:dyDescent="0.25">
      <c r="A807" s="230">
        <v>45453</v>
      </c>
      <c r="B807" s="128" t="s">
        <v>17</v>
      </c>
      <c r="C807" s="157" t="str">
        <f t="shared" si="25"/>
        <v>10.06.2024_BRA2</v>
      </c>
      <c r="D807" s="190">
        <f t="shared" si="26"/>
        <v>0</v>
      </c>
      <c r="E807" s="231">
        <v>1.5957796372534964E-5</v>
      </c>
      <c r="F807" s="231">
        <v>7.2476771819612092E-4</v>
      </c>
      <c r="G807" s="231">
        <v>2.2707860526287598E-3</v>
      </c>
      <c r="H807" s="231">
        <v>1.8663698406506189E-2</v>
      </c>
      <c r="I807" s="231">
        <v>6.2737374219138951E-6</v>
      </c>
      <c r="J807" s="231">
        <v>8.001289227841915E-4</v>
      </c>
      <c r="K807" s="229">
        <v>11.4087241149987</v>
      </c>
      <c r="L807" s="229">
        <v>8.8993070608693596</v>
      </c>
      <c r="M807" s="229">
        <v>6.6868870173962298</v>
      </c>
      <c r="N807" s="229">
        <v>1.26351478113947</v>
      </c>
      <c r="O807" s="205">
        <v>5.8684440789000887E-4</v>
      </c>
      <c r="P807" s="232">
        <v>71.73599999999999</v>
      </c>
      <c r="Q807" s="213"/>
      <c r="R807" s="235"/>
    </row>
    <row r="808" spans="1:18" ht="16.5" customHeight="1" x14ac:dyDescent="0.25">
      <c r="A808" s="230">
        <v>45453</v>
      </c>
      <c r="B808" s="128" t="s">
        <v>30</v>
      </c>
      <c r="C808" s="157" t="str">
        <f t="shared" si="25"/>
        <v>10.06.2024_FAL1</v>
      </c>
      <c r="D808" s="190">
        <f t="shared" si="26"/>
        <v>0</v>
      </c>
      <c r="E808" s="231">
        <v>1.6456478240784041E-5</v>
      </c>
      <c r="F808" s="231">
        <v>1.0990329848350989E-3</v>
      </c>
      <c r="G808" s="231">
        <v>2.1877081781670124E-3</v>
      </c>
      <c r="H808" s="231">
        <v>8.4610325723045401E-2</v>
      </c>
      <c r="I808" s="231">
        <v>1.1217793447887838E-5</v>
      </c>
      <c r="J808" s="231">
        <v>1.3946691573466135E-3</v>
      </c>
      <c r="K808" s="229">
        <v>53.985082459972702</v>
      </c>
      <c r="L808" s="229">
        <v>19.726383530923499</v>
      </c>
      <c r="M808" s="229">
        <v>25.8590447084487</v>
      </c>
      <c r="N808" s="229">
        <v>5.0252488587911701</v>
      </c>
      <c r="O808" s="205">
        <v>2.6149762234940251E-3</v>
      </c>
      <c r="P808" s="232">
        <v>230.57999999999998</v>
      </c>
      <c r="Q808" s="213"/>
      <c r="R808" s="235"/>
    </row>
    <row r="809" spans="1:18" ht="16.5" customHeight="1" x14ac:dyDescent="0.25">
      <c r="A809" s="230">
        <v>45453</v>
      </c>
      <c r="B809" s="128" t="s">
        <v>32</v>
      </c>
      <c r="C809" s="157" t="str">
        <f t="shared" si="25"/>
        <v>10.06.2024_FAL2</v>
      </c>
      <c r="D809" s="190">
        <f t="shared" si="26"/>
        <v>0</v>
      </c>
      <c r="E809" s="231">
        <v>1.5459114737003846E-5</v>
      </c>
      <c r="F809" s="231">
        <v>1.1813924353563814E-3</v>
      </c>
      <c r="G809" s="231">
        <v>2.3261712792953288E-3</v>
      </c>
      <c r="H809" s="231">
        <v>8.5580316114380425E-2</v>
      </c>
      <c r="I809" s="231">
        <v>9.910736690956405E-6</v>
      </c>
      <c r="J809" s="231">
        <v>2.2898924757745976E-3</v>
      </c>
      <c r="K809" s="229">
        <v>53.405952893350303</v>
      </c>
      <c r="L809" s="229">
        <v>19.784331646668502</v>
      </c>
      <c r="M809" s="229">
        <v>24.6102440500771</v>
      </c>
      <c r="N809" s="229">
        <v>4.7816816072750798</v>
      </c>
      <c r="O809" s="205">
        <v>2.6620311170657981E-3</v>
      </c>
      <c r="P809" s="232">
        <v>211.792</v>
      </c>
      <c r="Q809" s="213"/>
      <c r="R809" s="235"/>
    </row>
    <row r="810" spans="1:18" ht="16.5" customHeight="1" x14ac:dyDescent="0.25">
      <c r="A810" s="230">
        <v>45453</v>
      </c>
      <c r="B810" s="128" t="s">
        <v>26</v>
      </c>
      <c r="C810" s="157" t="str">
        <f t="shared" si="25"/>
        <v>10.06.2024_GRU1</v>
      </c>
      <c r="D810" s="190">
        <f t="shared" si="26"/>
        <v>0</v>
      </c>
      <c r="E810" s="231">
        <v>1.1968346034360013E-5</v>
      </c>
      <c r="F810" s="231">
        <v>6.603284807718497E-4</v>
      </c>
      <c r="G810" s="231">
        <v>3.8769577078116733E-3</v>
      </c>
      <c r="H810" s="231">
        <v>1.9928783506038227E-2</v>
      </c>
      <c r="I810" s="231">
        <v>8.205890485879735E-6</v>
      </c>
      <c r="J810" s="231">
        <v>6.9512717203393248E-4</v>
      </c>
      <c r="K810" s="229">
        <v>12.308392416511399</v>
      </c>
      <c r="L810" s="229">
        <v>4.9504445772997903</v>
      </c>
      <c r="M810" s="229">
        <v>5.3293857553731296</v>
      </c>
      <c r="N810" s="229">
        <v>1.5555127657361401</v>
      </c>
      <c r="O810" s="205">
        <v>6.1612404236991119E-4</v>
      </c>
      <c r="P810" s="232">
        <v>58.315999999999995</v>
      </c>
      <c r="Q810" s="213"/>
      <c r="R810" s="235"/>
    </row>
    <row r="811" spans="1:18" ht="16.5" customHeight="1" x14ac:dyDescent="0.25">
      <c r="A811" s="230">
        <v>45453</v>
      </c>
      <c r="B811" s="128" t="s">
        <v>28</v>
      </c>
      <c r="C811" s="157" t="str">
        <f t="shared" si="25"/>
        <v>10.06.2024_GRU2</v>
      </c>
      <c r="D811" s="190">
        <f t="shared" si="26"/>
        <v>0</v>
      </c>
      <c r="E811" s="231">
        <v>1.3464389498101071E-5</v>
      </c>
      <c r="F811" s="231">
        <v>5.431035089193591E-4</v>
      </c>
      <c r="G811" s="231">
        <v>4.2369622928471306E-3</v>
      </c>
      <c r="H811" s="231">
        <v>2.505986002318453E-2</v>
      </c>
      <c r="I811" s="231">
        <v>7.4443967890035774E-6</v>
      </c>
      <c r="J811" s="231">
        <v>4.3913251421513E-3</v>
      </c>
      <c r="K811" s="229">
        <v>16.081965611315599</v>
      </c>
      <c r="L811" s="229">
        <v>4.8344289904123698</v>
      </c>
      <c r="M811" s="229">
        <v>5.6150269936200701</v>
      </c>
      <c r="N811" s="229">
        <v>1.7782046824951601</v>
      </c>
      <c r="O811" s="205">
        <v>7.6703434588328674E-4</v>
      </c>
      <c r="P811" s="232">
        <v>65.39200000000001</v>
      </c>
      <c r="Q811" s="213"/>
      <c r="R811" s="235"/>
    </row>
    <row r="812" spans="1:18" ht="16.5" customHeight="1" x14ac:dyDescent="0.25">
      <c r="A812" s="230">
        <v>45453</v>
      </c>
      <c r="B812" s="128" t="s">
        <v>0</v>
      </c>
      <c r="C812" s="157" t="str">
        <f t="shared" si="25"/>
        <v>10.06.2024_KIN1</v>
      </c>
      <c r="D812" s="190">
        <f t="shared" si="26"/>
        <v>0</v>
      </c>
      <c r="E812" s="231">
        <v>1.3464391080583518E-5</v>
      </c>
      <c r="F812" s="231">
        <v>6.8605135475629283E-4</v>
      </c>
      <c r="G812" s="231">
        <v>2.326171033754073E-3</v>
      </c>
      <c r="H812" s="231">
        <v>3.2186181044014377E-2</v>
      </c>
      <c r="I812" s="231">
        <v>5.1712864466279844E-6</v>
      </c>
      <c r="J812" s="231">
        <v>9.6941544347728815E-4</v>
      </c>
      <c r="K812" s="229">
        <v>20.290549081165501</v>
      </c>
      <c r="L812" s="229">
        <v>12.8443759146286</v>
      </c>
      <c r="M812" s="229">
        <v>5.3933361337281802</v>
      </c>
      <c r="N812" s="229">
        <v>1.53884758510088</v>
      </c>
      <c r="O812" s="205">
        <v>9.5922995051411785E-4</v>
      </c>
      <c r="P812" s="232">
        <v>141.27599999999998</v>
      </c>
      <c r="Q812" s="213"/>
      <c r="R812" s="235"/>
    </row>
    <row r="813" spans="1:18" ht="16.5" customHeight="1" x14ac:dyDescent="0.25">
      <c r="A813" s="230">
        <v>45453</v>
      </c>
      <c r="B813" s="128" t="s">
        <v>2</v>
      </c>
      <c r="C813" s="157" t="str">
        <f t="shared" si="25"/>
        <v>10.06.2024_KIN2</v>
      </c>
      <c r="D813" s="190">
        <f t="shared" si="26"/>
        <v>0</v>
      </c>
      <c r="E813" s="231">
        <v>1.3464389405013934E-5</v>
      </c>
      <c r="F813" s="231">
        <v>1.3614059887690681E-3</v>
      </c>
      <c r="G813" s="231">
        <v>1.8000124444338254E-3</v>
      </c>
      <c r="H813" s="231">
        <v>5.1014364229060152E-2</v>
      </c>
      <c r="I813" s="231">
        <v>8.5582255721201377E-6</v>
      </c>
      <c r="J813" s="231">
        <v>2.5028107017454541E-3</v>
      </c>
      <c r="K813" s="229">
        <v>32.0140657057458</v>
      </c>
      <c r="L813" s="229">
        <v>14.366814399092499</v>
      </c>
      <c r="M813" s="229">
        <v>5.4315035708434998</v>
      </c>
      <c r="N813" s="229">
        <v>1.9350918760637099</v>
      </c>
      <c r="O813" s="205">
        <v>1.5274447955940505E-3</v>
      </c>
      <c r="P813" s="232">
        <v>179.584</v>
      </c>
      <c r="Q813" s="213"/>
      <c r="R813" s="235"/>
    </row>
    <row r="814" spans="1:18" ht="16.5" customHeight="1" x14ac:dyDescent="0.25">
      <c r="A814" s="230">
        <v>45453</v>
      </c>
      <c r="B814" s="128" t="s">
        <v>4</v>
      </c>
      <c r="C814" s="157" t="str">
        <f t="shared" si="25"/>
        <v>10.06.2024_KIN3</v>
      </c>
      <c r="D814" s="190">
        <f t="shared" si="26"/>
        <v>0</v>
      </c>
      <c r="E814" s="231">
        <v>1.2965708607267829E-5</v>
      </c>
      <c r="F814" s="231">
        <v>1.0889570673788382E-3</v>
      </c>
      <c r="G814" s="231">
        <v>2.3261710466773063E-3</v>
      </c>
      <c r="H814" s="231">
        <v>4.1248361794039436E-2</v>
      </c>
      <c r="I814" s="231">
        <v>7.228451722532912E-6</v>
      </c>
      <c r="J814" s="231">
        <v>1.4805948621907828E-3</v>
      </c>
      <c r="K814" s="229">
        <v>25.804498205254699</v>
      </c>
      <c r="L814" s="229">
        <v>13.6987421136597</v>
      </c>
      <c r="M814" s="229">
        <v>5.9930474500823401</v>
      </c>
      <c r="N814" s="229">
        <v>1.76709691628178</v>
      </c>
      <c r="O814" s="205">
        <v>1.2311079688438293E-3</v>
      </c>
      <c r="P814" s="232">
        <v>168.60399999999998</v>
      </c>
      <c r="Q814" s="213"/>
      <c r="R814" s="235"/>
    </row>
    <row r="815" spans="1:18" ht="16.5" customHeight="1" x14ac:dyDescent="0.25">
      <c r="A815" s="230">
        <v>45453</v>
      </c>
      <c r="B815" s="128" t="s">
        <v>6</v>
      </c>
      <c r="C815" s="157" t="str">
        <f t="shared" si="25"/>
        <v>10.06.2024_KIN4</v>
      </c>
      <c r="D815" s="190">
        <f t="shared" si="26"/>
        <v>0</v>
      </c>
      <c r="E815" s="231">
        <v>1.6456477496086046E-5</v>
      </c>
      <c r="F815" s="231">
        <v>8.5427214703088128E-4</v>
      </c>
      <c r="G815" s="231">
        <v>3.6000313203204178E-3</v>
      </c>
      <c r="H815" s="231">
        <v>4.2758616365627673E-2</v>
      </c>
      <c r="I815" s="231">
        <v>1.272943670110837E-5</v>
      </c>
      <c r="J815" s="231">
        <v>1.1546041310606285E-2</v>
      </c>
      <c r="K815" s="229">
        <v>26.4019625620239</v>
      </c>
      <c r="L815" s="229">
        <v>13.8529434330227</v>
      </c>
      <c r="M815" s="229">
        <v>13.988833960612901</v>
      </c>
      <c r="N815" s="229">
        <v>1.9977338116596599</v>
      </c>
      <c r="O815" s="205">
        <v>1.3035889239201397E-3</v>
      </c>
      <c r="P815" s="232">
        <v>165.92000000000002</v>
      </c>
      <c r="Q815" s="213"/>
      <c r="R815" s="235"/>
    </row>
    <row r="816" spans="1:18" ht="16.5" customHeight="1" x14ac:dyDescent="0.25">
      <c r="A816" s="230">
        <v>45453</v>
      </c>
      <c r="B816" s="128" t="s">
        <v>34</v>
      </c>
      <c r="C816" s="157" t="str">
        <f t="shared" si="25"/>
        <v>10.06.2024_KRE1</v>
      </c>
      <c r="D816" s="190">
        <f t="shared" si="26"/>
        <v>0</v>
      </c>
      <c r="E816" s="231">
        <v>1.1968345475836855E-5</v>
      </c>
      <c r="F816" s="231">
        <v>1.1280848901076368E-3</v>
      </c>
      <c r="G816" s="231">
        <v>2.6584823377532748E-3</v>
      </c>
      <c r="H816" s="231">
        <v>7.3676124379970481E-2</v>
      </c>
      <c r="I816" s="231">
        <v>1.3354534909544481E-5</v>
      </c>
      <c r="J816" s="231">
        <v>1.0129108887314423E-3</v>
      </c>
      <c r="K816" s="229">
        <v>44.7198232545406</v>
      </c>
      <c r="L816" s="229">
        <v>18.1973524762364</v>
      </c>
      <c r="M816" s="229">
        <v>26.110975612333199</v>
      </c>
      <c r="N816" s="229">
        <v>5.1749074960727297</v>
      </c>
      <c r="O816" s="205">
        <v>2.3496559100363791E-3</v>
      </c>
      <c r="P816" s="232">
        <v>239.852</v>
      </c>
      <c r="Q816" s="213"/>
      <c r="R816" s="235"/>
    </row>
    <row r="817" spans="1:18" ht="16.5" customHeight="1" x14ac:dyDescent="0.25">
      <c r="A817" s="230">
        <v>45453</v>
      </c>
      <c r="B817" s="128" t="s">
        <v>37</v>
      </c>
      <c r="C817" s="157" t="str">
        <f t="shared" si="25"/>
        <v>10.06.2024_KRE2</v>
      </c>
      <c r="D817" s="190">
        <f t="shared" si="26"/>
        <v>0</v>
      </c>
      <c r="E817" s="231">
        <v>1.0472301965552182E-5</v>
      </c>
      <c r="F817" s="231">
        <v>7.5559418452155012E-4</v>
      </c>
      <c r="G817" s="231">
        <v>2.4923265672906229E-3</v>
      </c>
      <c r="H817" s="231">
        <v>6.6136913932948474E-2</v>
      </c>
      <c r="I817" s="231">
        <v>1.0160781543103044E-5</v>
      </c>
      <c r="J817" s="231">
        <v>1.010507923586297E-3</v>
      </c>
      <c r="K817" s="229">
        <v>38.520259830408897</v>
      </c>
      <c r="L817" s="229">
        <v>18.7512913648305</v>
      </c>
      <c r="M817" s="229">
        <v>24.912421861509799</v>
      </c>
      <c r="N817" s="229">
        <v>4.8260413257298698</v>
      </c>
      <c r="O817" s="205">
        <v>2.165414663861694E-3</v>
      </c>
      <c r="P817" s="232">
        <v>174.21599999999998</v>
      </c>
      <c r="Q817" s="213"/>
      <c r="R817" s="235"/>
    </row>
    <row r="818" spans="1:18" ht="16.5" customHeight="1" x14ac:dyDescent="0.25">
      <c r="A818" s="230">
        <v>45453</v>
      </c>
      <c r="B818" s="128" t="s">
        <v>18</v>
      </c>
      <c r="C818" s="157" t="str">
        <f t="shared" si="25"/>
        <v>10.06.2024_ORB1</v>
      </c>
      <c r="D818" s="190">
        <f t="shared" si="26"/>
        <v>0</v>
      </c>
      <c r="E818" s="231">
        <v>8.4775772386290411E-6</v>
      </c>
      <c r="F818" s="231">
        <v>5.2915409196354539E-4</v>
      </c>
      <c r="G818" s="231">
        <v>2.5477117810340411E-3</v>
      </c>
      <c r="H818" s="231">
        <v>6.5907118344760941E-3</v>
      </c>
      <c r="I818" s="231">
        <v>1.7048469582978066E-5</v>
      </c>
      <c r="J818" s="231">
        <v>1.1060311168692234E-3</v>
      </c>
      <c r="K818" s="229">
        <v>4.0033119595786903</v>
      </c>
      <c r="L818" s="229">
        <v>0.67339220448018</v>
      </c>
      <c r="M818" s="229">
        <v>2.7109970647957602</v>
      </c>
      <c r="N818" s="229">
        <v>1.1006444883403499</v>
      </c>
      <c r="O818" s="205">
        <v>1.838207168758464E-4</v>
      </c>
      <c r="P818" s="232">
        <v>12.687999999999999</v>
      </c>
      <c r="Q818" s="213"/>
      <c r="R818" s="235"/>
    </row>
    <row r="819" spans="1:18" ht="16.5" customHeight="1" x14ac:dyDescent="0.25">
      <c r="A819" s="230">
        <v>45453</v>
      </c>
      <c r="B819" s="128" t="s">
        <v>21</v>
      </c>
      <c r="C819" s="157" t="str">
        <f t="shared" si="25"/>
        <v>10.06.2024_ORB2</v>
      </c>
      <c r="D819" s="190">
        <f t="shared" si="26"/>
        <v>0</v>
      </c>
      <c r="E819" s="231">
        <v>1.6955159643596871E-5</v>
      </c>
      <c r="F819" s="231">
        <v>6.4480817976500222E-4</v>
      </c>
      <c r="G819" s="231">
        <v>2.7415598159025024E-3</v>
      </c>
      <c r="H819" s="231">
        <v>1.487050069063639E-2</v>
      </c>
      <c r="I819" s="231">
        <v>6.4669576782499595E-6</v>
      </c>
      <c r="J819" s="231">
        <v>2.9421760438539078E-3</v>
      </c>
      <c r="K819" s="229">
        <v>8.8948384223858508</v>
      </c>
      <c r="L819" s="229">
        <v>1.77307994988338</v>
      </c>
      <c r="M819" s="229">
        <v>7.5874128758955104</v>
      </c>
      <c r="N819" s="229">
        <v>2.80656825238301</v>
      </c>
      <c r="O819" s="205">
        <v>4.3242657492800784E-4</v>
      </c>
      <c r="P819" s="232">
        <v>21.96</v>
      </c>
      <c r="Q819" s="213"/>
      <c r="R819" s="235"/>
    </row>
    <row r="820" spans="1:18" ht="16.5" customHeight="1" x14ac:dyDescent="0.25">
      <c r="A820" s="230">
        <v>45453</v>
      </c>
      <c r="B820" s="128" t="s">
        <v>10</v>
      </c>
      <c r="C820" s="157" t="str">
        <f t="shared" si="25"/>
        <v>10.06.2024_SAL1</v>
      </c>
      <c r="D820" s="190">
        <f t="shared" si="26"/>
        <v>0</v>
      </c>
      <c r="E820" s="231">
        <v>1.3464389963537204E-5</v>
      </c>
      <c r="F820" s="231">
        <v>8.2309364520108874E-4</v>
      </c>
      <c r="G820" s="231">
        <v>4.4861961402367211E-3</v>
      </c>
      <c r="H820" s="231">
        <v>2.2880992268545994E-2</v>
      </c>
      <c r="I820" s="231">
        <v>4.3643302328715235E-6</v>
      </c>
      <c r="J820" s="231">
        <v>8.2559919794115586E-4</v>
      </c>
      <c r="K820" s="229">
        <v>13.2416824270943</v>
      </c>
      <c r="L820" s="229">
        <v>8.6322156901066993</v>
      </c>
      <c r="M820" s="229">
        <v>5.7015306451444703</v>
      </c>
      <c r="N820" s="229">
        <v>1.0725303475976</v>
      </c>
      <c r="O820" s="205">
        <v>7.2148977969801282E-4</v>
      </c>
      <c r="P820" s="232">
        <v>95.403999999999996</v>
      </c>
      <c r="Q820" s="213"/>
      <c r="R820" s="235"/>
    </row>
    <row r="821" spans="1:18" ht="16.5" customHeight="1" x14ac:dyDescent="0.25">
      <c r="A821" s="230">
        <v>45453</v>
      </c>
      <c r="B821" s="128" t="s">
        <v>12</v>
      </c>
      <c r="C821" s="157" t="str">
        <f t="shared" si="25"/>
        <v>10.06.2024_SAL2</v>
      </c>
      <c r="D821" s="190">
        <f t="shared" si="26"/>
        <v>0</v>
      </c>
      <c r="E821" s="231">
        <v>7.9788961616213604E-6</v>
      </c>
      <c r="F821" s="231">
        <v>8.1511381846962987E-4</v>
      </c>
      <c r="G821" s="231">
        <v>3.2123341391832884E-3</v>
      </c>
      <c r="H821" s="231">
        <v>2.5265701412359721E-2</v>
      </c>
      <c r="I821" s="231">
        <v>4.4779836252276091E-6</v>
      </c>
      <c r="J821" s="231">
        <v>8.8182707444326835E-4</v>
      </c>
      <c r="K821" s="229">
        <v>14.520408321950701</v>
      </c>
      <c r="L821" s="229">
        <v>8.7436149902349296</v>
      </c>
      <c r="M821" s="229">
        <v>5.7959739196389899</v>
      </c>
      <c r="N821" s="229">
        <v>1.1082518624748401</v>
      </c>
      <c r="O821" s="205">
        <v>7.7297613259193427E-4</v>
      </c>
      <c r="P821" s="232">
        <v>99.795999999999992</v>
      </c>
      <c r="Q821" s="213"/>
      <c r="R821" s="235"/>
    </row>
    <row r="822" spans="1:18" ht="16.5" customHeight="1" x14ac:dyDescent="0.25">
      <c r="A822" s="230">
        <v>45453</v>
      </c>
      <c r="B822" s="128" t="s">
        <v>7</v>
      </c>
      <c r="C822" s="157" t="str">
        <f t="shared" si="25"/>
        <v>10.06.2024_STE1</v>
      </c>
      <c r="D822" s="190">
        <f t="shared" si="26"/>
        <v>0</v>
      </c>
      <c r="E822" s="231">
        <v>8.4775776575213806E-6</v>
      </c>
      <c r="F822" s="231">
        <v>7.6505624427660672E-4</v>
      </c>
      <c r="G822" s="231">
        <v>1.8277050276129072E-3</v>
      </c>
      <c r="H822" s="231">
        <v>3.8921358291970506E-2</v>
      </c>
      <c r="I822" s="231">
        <v>4.9667017909557667E-6</v>
      </c>
      <c r="J822" s="231">
        <v>1.244578661513156E-3</v>
      </c>
      <c r="K822" s="229">
        <v>21.428266637320899</v>
      </c>
      <c r="L822" s="229">
        <v>8.8319343230037095</v>
      </c>
      <c r="M822" s="229">
        <v>5.7462009075141101</v>
      </c>
      <c r="N822" s="229">
        <v>1.2130206021931</v>
      </c>
      <c r="O822" s="205">
        <v>1.1640398255124142E-3</v>
      </c>
      <c r="P822" s="232">
        <v>133.95600000000002</v>
      </c>
      <c r="Q822" s="213"/>
      <c r="R822" s="235"/>
    </row>
    <row r="823" spans="1:18" ht="16.5" customHeight="1" x14ac:dyDescent="0.25">
      <c r="A823" s="230">
        <v>45453</v>
      </c>
      <c r="B823" s="128" t="s">
        <v>9</v>
      </c>
      <c r="C823" s="157" t="str">
        <f t="shared" si="25"/>
        <v>10.06.2024_STE2</v>
      </c>
      <c r="D823" s="190">
        <f t="shared" si="26"/>
        <v>0</v>
      </c>
      <c r="E823" s="231">
        <v>1.2965708234919059E-5</v>
      </c>
      <c r="F823" s="231">
        <v>9.0429145059386104E-4</v>
      </c>
      <c r="G823" s="231">
        <v>2.575404265134969E-3</v>
      </c>
      <c r="H823" s="231">
        <v>3.2087415670578628E-2</v>
      </c>
      <c r="I823" s="231">
        <v>1.4934399640290039E-5</v>
      </c>
      <c r="J823" s="231">
        <v>2.0392470664565947E-3</v>
      </c>
      <c r="K823" s="229">
        <v>17.843127979032801</v>
      </c>
      <c r="L823" s="229">
        <v>8.9729643674386406</v>
      </c>
      <c r="M823" s="229">
        <v>5.9293463724802997</v>
      </c>
      <c r="N823" s="229">
        <v>1.21866261853669</v>
      </c>
      <c r="O823" s="205">
        <v>9.6429335909221003E-4</v>
      </c>
      <c r="P823" s="232">
        <v>117.11999999999999</v>
      </c>
      <c r="Q823" s="213"/>
      <c r="R823" s="235"/>
    </row>
    <row r="824" spans="1:18" ht="16.5" customHeight="1" x14ac:dyDescent="0.25">
      <c r="A824" s="230">
        <v>45481</v>
      </c>
      <c r="B824" s="128" t="s">
        <v>22</v>
      </c>
      <c r="C824" s="157" t="str">
        <f t="shared" si="25"/>
        <v>08.07.2024_BIE1</v>
      </c>
      <c r="D824" s="190">
        <f t="shared" si="26"/>
        <v>0</v>
      </c>
      <c r="E824" s="231">
        <v>3.2479172036975159E-4</v>
      </c>
      <c r="F824" s="231">
        <v>1.8667606255064245E-3</v>
      </c>
      <c r="G824" s="231">
        <v>1.0507829162041446E-2</v>
      </c>
      <c r="H824" s="231">
        <v>2.0353561941567368E-2</v>
      </c>
      <c r="I824" s="231">
        <v>9.0281591039706907E-5</v>
      </c>
      <c r="J824" s="231">
        <v>4.4863356573046041E-3</v>
      </c>
      <c r="K824" s="229">
        <v>24.472158128399101</v>
      </c>
      <c r="L824" s="229">
        <v>9.6602852405614996</v>
      </c>
      <c r="M824" s="229">
        <v>6.98400774871617</v>
      </c>
      <c r="N824" s="229">
        <v>3.3581318327723202</v>
      </c>
      <c r="O824" s="205">
        <v>5.3282557288084748E-4</v>
      </c>
      <c r="P824" s="232">
        <v>71.73599999999999</v>
      </c>
      <c r="Q824" s="213"/>
      <c r="R824" s="235"/>
    </row>
    <row r="825" spans="1:18" ht="16.5" customHeight="1" x14ac:dyDescent="0.25">
      <c r="A825" s="230">
        <v>45481</v>
      </c>
      <c r="B825" s="128" t="s">
        <v>25</v>
      </c>
      <c r="C825" s="157" t="str">
        <f t="shared" si="25"/>
        <v>08.07.2024_BIE2</v>
      </c>
      <c r="D825" s="190">
        <f t="shared" si="26"/>
        <v>0</v>
      </c>
      <c r="E825" s="231">
        <v>7.8413148637688227E-5</v>
      </c>
      <c r="F825" s="231">
        <v>1.8199671587137188E-3</v>
      </c>
      <c r="G825" s="231">
        <v>1.00301966788618E-2</v>
      </c>
      <c r="H825" s="231">
        <v>1.8490334785745671E-2</v>
      </c>
      <c r="I825" s="231">
        <v>7.8432043892811217E-5</v>
      </c>
      <c r="J825" s="231">
        <v>1.7320861690090315E-3</v>
      </c>
      <c r="K825" s="229">
        <v>20.8477855005466</v>
      </c>
      <c r="L825" s="229">
        <v>9.1245537104344194</v>
      </c>
      <c r="M825" s="229">
        <v>8.1725366172088396</v>
      </c>
      <c r="N825" s="229">
        <v>3.4313494119544599</v>
      </c>
      <c r="O825" s="205">
        <v>4.5734074128023433E-4</v>
      </c>
      <c r="P825" s="232">
        <v>70.271999999999991</v>
      </c>
      <c r="Q825" s="213"/>
      <c r="R825" s="235"/>
    </row>
    <row r="826" spans="1:18" ht="16.5" customHeight="1" x14ac:dyDescent="0.25">
      <c r="A826" s="230">
        <v>45481</v>
      </c>
      <c r="B826" s="128" t="s">
        <v>14</v>
      </c>
      <c r="C826" s="157" t="str">
        <f t="shared" si="25"/>
        <v>08.07.2024_BRA1</v>
      </c>
      <c r="D826" s="190">
        <f t="shared" si="26"/>
        <v>0</v>
      </c>
      <c r="E826" s="231">
        <v>2.5983010607878384E-5</v>
      </c>
      <c r="F826" s="231">
        <v>5.0244039883297147E-4</v>
      </c>
      <c r="G826" s="231">
        <v>3.1204884251384356E-3</v>
      </c>
      <c r="H826" s="231">
        <v>1.7328679226871726E-2</v>
      </c>
      <c r="I826" s="231">
        <v>1.8826614507547585E-5</v>
      </c>
      <c r="J826" s="231">
        <v>8.4628594639726221E-4</v>
      </c>
      <c r="K826" s="229">
        <v>21.007251103468299</v>
      </c>
      <c r="L826" s="229">
        <v>13.409206680699199</v>
      </c>
      <c r="M826" s="229">
        <v>7.3239148610067799</v>
      </c>
      <c r="N826" s="229">
        <v>1.5903424489273701</v>
      </c>
      <c r="O826" s="205">
        <v>4.5328318896351082E-4</v>
      </c>
      <c r="P826" s="232">
        <v>86.61999999999999</v>
      </c>
      <c r="Q826" s="213"/>
      <c r="R826" s="235"/>
    </row>
    <row r="827" spans="1:18" ht="16.5" customHeight="1" x14ac:dyDescent="0.25">
      <c r="A827" s="230">
        <v>45481</v>
      </c>
      <c r="B827" s="128" t="s">
        <v>17</v>
      </c>
      <c r="C827" s="157" t="str">
        <f t="shared" si="25"/>
        <v>08.07.2024_BRA2</v>
      </c>
      <c r="D827" s="190">
        <f t="shared" si="26"/>
        <v>0</v>
      </c>
      <c r="E827" s="231">
        <v>5.335803457075684E-5</v>
      </c>
      <c r="F827" s="231">
        <v>4.6255728850083872E-4</v>
      </c>
      <c r="G827" s="231">
        <v>2.8975957062807563E-3</v>
      </c>
      <c r="H827" s="231">
        <v>2.1315002543086714E-2</v>
      </c>
      <c r="I827" s="231">
        <v>4.2616387214802373E-6</v>
      </c>
      <c r="J827" s="231">
        <v>5.5732711283213473E-4</v>
      </c>
      <c r="K827" s="229">
        <v>25.4512228519418</v>
      </c>
      <c r="L827" s="229">
        <v>14.137927440939199</v>
      </c>
      <c r="M827" s="229">
        <v>8.4701885512771202</v>
      </c>
      <c r="N827" s="229">
        <v>1.95461215158317</v>
      </c>
      <c r="O827" s="205">
        <v>4.7833266753631517E-4</v>
      </c>
      <c r="P827" s="232">
        <v>90.524000000000001</v>
      </c>
      <c r="Q827" s="213"/>
      <c r="R827" s="235"/>
    </row>
    <row r="828" spans="1:18" ht="16.5" customHeight="1" x14ac:dyDescent="0.25">
      <c r="A828" s="230">
        <v>45481</v>
      </c>
      <c r="B828" s="128" t="s">
        <v>30</v>
      </c>
      <c r="C828" s="157" t="str">
        <f t="shared" si="25"/>
        <v>08.07.2024_FAL1</v>
      </c>
      <c r="D828" s="190">
        <f t="shared" si="26"/>
        <v>0</v>
      </c>
      <c r="E828" s="231">
        <v>2.0879199976544053E-5</v>
      </c>
      <c r="F828" s="231">
        <v>1.7225578531699156E-3</v>
      </c>
      <c r="G828" s="231">
        <v>8.8201966438534295E-3</v>
      </c>
      <c r="H828" s="231">
        <v>7.1877782979352323E-2</v>
      </c>
      <c r="I828" s="231">
        <v>2.2790568635307983E-5</v>
      </c>
      <c r="J828" s="231">
        <v>2.2179334150330327E-3</v>
      </c>
      <c r="K828" s="229">
        <v>81.835961118711595</v>
      </c>
      <c r="L828" s="229">
        <v>20.490470109153701</v>
      </c>
      <c r="M828" s="229">
        <v>28.317887034280901</v>
      </c>
      <c r="N828" s="229">
        <v>8.3696565632527307</v>
      </c>
      <c r="O828" s="205">
        <v>1.7745094140538223E-3</v>
      </c>
      <c r="P828" s="232">
        <v>219.6</v>
      </c>
      <c r="Q828" s="213"/>
      <c r="R828" s="235"/>
    </row>
    <row r="829" spans="1:18" ht="16.5" customHeight="1" x14ac:dyDescent="0.25">
      <c r="A829" s="230">
        <v>45481</v>
      </c>
      <c r="B829" s="128" t="s">
        <v>32</v>
      </c>
      <c r="C829" s="157" t="str">
        <f t="shared" si="25"/>
        <v>08.07.2024_FAL2</v>
      </c>
      <c r="D829" s="190">
        <f t="shared" si="26"/>
        <v>0</v>
      </c>
      <c r="E829" s="231">
        <v>3.1550804153795434E-5</v>
      </c>
      <c r="F829" s="231">
        <v>2.0288593963893129E-3</v>
      </c>
      <c r="G829" s="231">
        <v>7.068884532850192E-3</v>
      </c>
      <c r="H829" s="231">
        <v>3.9472212014058115E-2</v>
      </c>
      <c r="I829" s="231">
        <v>2.8435186092319283E-5</v>
      </c>
      <c r="J829" s="231">
        <v>3.2031940907652832E-3</v>
      </c>
      <c r="K829" s="229">
        <v>46.0728960187949</v>
      </c>
      <c r="L829" s="229">
        <v>8.6951320788108308</v>
      </c>
      <c r="M829" s="229">
        <v>10.992276187125601</v>
      </c>
      <c r="N829" s="229">
        <v>3.8017878637578502</v>
      </c>
      <c r="O829" s="205">
        <v>8.8720833599120459E-4</v>
      </c>
      <c r="P829" s="232">
        <v>118.584</v>
      </c>
      <c r="Q829" s="213"/>
      <c r="R829" s="235"/>
    </row>
    <row r="830" spans="1:18" ht="16.5" customHeight="1" x14ac:dyDescent="0.25">
      <c r="A830" s="230">
        <v>45481</v>
      </c>
      <c r="B830" s="128" t="s">
        <v>26</v>
      </c>
      <c r="C830" s="157" t="str">
        <f t="shared" si="25"/>
        <v>08.07.2024_GRU1</v>
      </c>
      <c r="D830" s="190">
        <f t="shared" si="26"/>
        <v>0</v>
      </c>
      <c r="E830" s="231">
        <v>3.1550802594811081E-5</v>
      </c>
      <c r="F830" s="231">
        <v>9.5237741019245294E-4</v>
      </c>
      <c r="G830" s="231">
        <v>4.1363678111262757E-2</v>
      </c>
      <c r="H830" s="231">
        <v>1.4739701874527415E-2</v>
      </c>
      <c r="I830" s="231">
        <v>2.609783340543046E-5</v>
      </c>
      <c r="J830" s="231">
        <v>1.8025990219506752E-3</v>
      </c>
      <c r="K830" s="229">
        <v>15.300369437910399</v>
      </c>
      <c r="L830" s="229">
        <v>6.6037391325650896</v>
      </c>
      <c r="M830" s="229">
        <v>6.8746956189870296</v>
      </c>
      <c r="N830" s="229">
        <v>2.2751854066348902</v>
      </c>
      <c r="O830" s="205">
        <v>5.210565808103731E-4</v>
      </c>
      <c r="P830" s="232">
        <v>51.484000000000002</v>
      </c>
      <c r="Q830" s="213"/>
      <c r="R830" s="235"/>
    </row>
    <row r="831" spans="1:18" ht="16.5" customHeight="1" x14ac:dyDescent="0.25">
      <c r="A831" s="230">
        <v>45481</v>
      </c>
      <c r="B831" s="128" t="s">
        <v>28</v>
      </c>
      <c r="C831" s="157" t="str">
        <f t="shared" si="25"/>
        <v>08.07.2024_GRU2</v>
      </c>
      <c r="D831" s="190">
        <f t="shared" si="26"/>
        <v>0</v>
      </c>
      <c r="E831" s="231">
        <v>2.5983010997623976E-5</v>
      </c>
      <c r="F831" s="231">
        <v>6.9986520556318695E-4</v>
      </c>
      <c r="G831" s="231">
        <v>2.579226765359631E-2</v>
      </c>
      <c r="H831" s="231">
        <v>1.312698731727613E-2</v>
      </c>
      <c r="I831" s="231">
        <v>2.1301221613732727E-5</v>
      </c>
      <c r="J831" s="231">
        <v>7.6996516284614873E-4</v>
      </c>
      <c r="K831" s="229">
        <v>14.542765080869099</v>
      </c>
      <c r="L831" s="229">
        <v>5.3665774864737603</v>
      </c>
      <c r="M831" s="229">
        <v>7.0494955194037896</v>
      </c>
      <c r="N831" s="229">
        <v>2.3528257534650501</v>
      </c>
      <c r="O831" s="205">
        <v>3.7979492617536148E-4</v>
      </c>
      <c r="P831" s="232">
        <v>46.603999999999999</v>
      </c>
      <c r="Q831" s="213"/>
      <c r="R831" s="235"/>
    </row>
    <row r="832" spans="1:18" ht="16.5" customHeight="1" x14ac:dyDescent="0.25">
      <c r="A832" s="230">
        <v>45481</v>
      </c>
      <c r="B832" s="128" t="s">
        <v>0</v>
      </c>
      <c r="C832" s="157" t="str">
        <f t="shared" si="25"/>
        <v>08.07.2024_KIN1</v>
      </c>
      <c r="D832" s="190">
        <f t="shared" si="26"/>
        <v>0</v>
      </c>
      <c r="E832" s="231">
        <v>1.1599552164732636E-5</v>
      </c>
      <c r="F832" s="231">
        <v>7.9294123714968706E-4</v>
      </c>
      <c r="G832" s="231">
        <v>4.9354739919507474E-3</v>
      </c>
      <c r="H832" s="231">
        <v>4.524789101322306E-2</v>
      </c>
      <c r="I832" s="231">
        <v>7.5839348235636845E-6</v>
      </c>
      <c r="J832" s="231">
        <v>6.6650442978855658E-4</v>
      </c>
      <c r="K832" s="229">
        <v>54.570451010877001</v>
      </c>
      <c r="L832" s="229">
        <v>21.167308267147</v>
      </c>
      <c r="M832" s="229">
        <v>7.9572199730701998</v>
      </c>
      <c r="N832" s="229">
        <v>2.5249058886593301</v>
      </c>
      <c r="O832" s="205">
        <v>9.8528262356154537E-4</v>
      </c>
      <c r="P832" s="232">
        <v>187.636</v>
      </c>
      <c r="Q832" s="213"/>
      <c r="R832" s="235"/>
    </row>
    <row r="833" spans="1:18" ht="16.5" customHeight="1" x14ac:dyDescent="0.25">
      <c r="A833" s="230">
        <v>45481</v>
      </c>
      <c r="B833" s="128" t="s">
        <v>2</v>
      </c>
      <c r="C833" s="157" t="str">
        <f t="shared" si="25"/>
        <v>08.07.2024_KIN2</v>
      </c>
      <c r="D833" s="190">
        <f t="shared" si="26"/>
        <v>0</v>
      </c>
      <c r="E833" s="231">
        <v>1.9951237525175844E-5</v>
      </c>
      <c r="F833" s="231">
        <v>7.3391311963646175E-4</v>
      </c>
      <c r="G833" s="231">
        <v>2.8020703607736664E-3</v>
      </c>
      <c r="H833" s="231">
        <v>4.9121330204454236E-2</v>
      </c>
      <c r="I833" s="231">
        <v>7.1333256863388277E-6</v>
      </c>
      <c r="J833" s="231">
        <v>6.8475767928383993E-4</v>
      </c>
      <c r="K833" s="229">
        <v>61.121070707858003</v>
      </c>
      <c r="L833" s="229">
        <v>22.898523060154901</v>
      </c>
      <c r="M833" s="229">
        <v>7.8852072114811502</v>
      </c>
      <c r="N833" s="229">
        <v>2.9362027065386802</v>
      </c>
      <c r="O833" s="205">
        <v>1.0621544925476733E-3</v>
      </c>
      <c r="P833" s="232">
        <v>212.524</v>
      </c>
      <c r="Q833" s="213"/>
      <c r="R833" s="235"/>
    </row>
    <row r="834" spans="1:18" ht="16.5" customHeight="1" x14ac:dyDescent="0.25">
      <c r="A834" s="230">
        <v>45481</v>
      </c>
      <c r="B834" s="128" t="s">
        <v>4</v>
      </c>
      <c r="C834" s="157" t="str">
        <f t="shared" si="25"/>
        <v>08.07.2024_KIN3</v>
      </c>
      <c r="D834" s="190">
        <f t="shared" si="26"/>
        <v>0</v>
      </c>
      <c r="E834" s="231">
        <v>1.9951237092124944E-5</v>
      </c>
      <c r="F834" s="231">
        <v>8.2265048550392576E-4</v>
      </c>
      <c r="G834" s="231">
        <v>2.8657537725475728E-3</v>
      </c>
      <c r="H834" s="231">
        <v>4.3748398419574321E-2</v>
      </c>
      <c r="I834" s="231">
        <v>1.5465967217903637E-5</v>
      </c>
      <c r="J834" s="231">
        <v>6.3168254400580704E-4</v>
      </c>
      <c r="K834" s="229">
        <v>51.080612419332297</v>
      </c>
      <c r="L834" s="229">
        <v>21.910798332595</v>
      </c>
      <c r="M834" s="229">
        <v>8.6720234737628594</v>
      </c>
      <c r="N834" s="229">
        <v>2.7428339738516199</v>
      </c>
      <c r="O834" s="205">
        <v>9.3828675555397635E-4</v>
      </c>
      <c r="P834" s="232">
        <v>178.364</v>
      </c>
      <c r="Q834" s="213"/>
      <c r="R834" s="235"/>
    </row>
    <row r="835" spans="1:18" ht="16.5" customHeight="1" x14ac:dyDescent="0.25">
      <c r="A835" s="230">
        <v>45481</v>
      </c>
      <c r="B835" s="128" t="s">
        <v>6</v>
      </c>
      <c r="C835" s="157" t="str">
        <f t="shared" si="25"/>
        <v>08.07.2024_KIN4</v>
      </c>
      <c r="D835" s="190">
        <f t="shared" si="26"/>
        <v>0</v>
      </c>
      <c r="E835" s="231">
        <v>2.2271147724273031E-5</v>
      </c>
      <c r="F835" s="231">
        <v>9.3638144437458229E-4</v>
      </c>
      <c r="G835" s="231">
        <v>3.4707480220290275E-3</v>
      </c>
      <c r="H835" s="231">
        <v>4.7335972441982808E-2</v>
      </c>
      <c r="I835" s="231">
        <v>1.9193220449533578E-5</v>
      </c>
      <c r="J835" s="231">
        <v>1.1797811362250458E-3</v>
      </c>
      <c r="K835" s="229">
        <v>56.308996308582302</v>
      </c>
      <c r="L835" s="229">
        <v>21.593995152461801</v>
      </c>
      <c r="M835" s="229">
        <v>20.532203596373801</v>
      </c>
      <c r="N835" s="229">
        <v>2.91928575964597</v>
      </c>
      <c r="O835" s="205">
        <v>1.0552841854827215E-3</v>
      </c>
      <c r="P835" s="232">
        <v>207.4</v>
      </c>
      <c r="Q835" s="213"/>
      <c r="R835" s="235"/>
    </row>
    <row r="836" spans="1:18" ht="16.5" customHeight="1" x14ac:dyDescent="0.25">
      <c r="A836" s="230">
        <v>45481</v>
      </c>
      <c r="B836" s="128" t="s">
        <v>34</v>
      </c>
      <c r="C836" s="157" t="str">
        <f t="shared" si="25"/>
        <v>08.07.2024_KRE1</v>
      </c>
      <c r="D836" s="190">
        <f t="shared" si="26"/>
        <v>0</v>
      </c>
      <c r="E836" s="231">
        <v>1.3919465005438465E-5</v>
      </c>
      <c r="F836" s="231">
        <v>1.3628043602995851E-3</v>
      </c>
      <c r="G836" s="231">
        <v>3.59811526164389E-3</v>
      </c>
      <c r="H836" s="231">
        <v>6.8926730074541379E-2</v>
      </c>
      <c r="I836" s="231">
        <v>1.2113002327516058E-5</v>
      </c>
      <c r="J836" s="231">
        <v>1.5223909911211665E-3</v>
      </c>
      <c r="K836" s="229">
        <v>78.036167492406904</v>
      </c>
      <c r="L836" s="229">
        <v>20.1996234499026</v>
      </c>
      <c r="M836" s="229">
        <v>22.622955402678599</v>
      </c>
      <c r="N836" s="229">
        <v>4.7579166363864704</v>
      </c>
      <c r="O836" s="205">
        <v>1.5920833028995566E-3</v>
      </c>
      <c r="P836" s="232">
        <v>208.62</v>
      </c>
      <c r="Q836" s="213"/>
      <c r="R836" s="235"/>
    </row>
    <row r="837" spans="1:18" ht="16.5" customHeight="1" x14ac:dyDescent="0.25">
      <c r="A837" s="230">
        <v>45481</v>
      </c>
      <c r="B837" s="128" t="s">
        <v>37</v>
      </c>
      <c r="C837" s="157" t="str">
        <f t="shared" ref="C837:C900" si="27">CONCATENATE(TEXT(A837,"TT.MM.JJJJ"),"_",B837)</f>
        <v>08.07.2024_KRE2</v>
      </c>
      <c r="D837" s="190">
        <f t="shared" ref="D837:D900" si="28">COUNTBLANK(E837:P837)</f>
        <v>0</v>
      </c>
      <c r="E837" s="231">
        <v>5.5677839321957341E-6</v>
      </c>
      <c r="F837" s="231">
        <v>1.6811105000190793E-3</v>
      </c>
      <c r="G837" s="231">
        <v>5.9862564925622797E-3</v>
      </c>
      <c r="H837" s="231">
        <v>8.8655811204671392E-2</v>
      </c>
      <c r="I837" s="231">
        <v>1.4946576303527038E-5</v>
      </c>
      <c r="J837" s="231">
        <v>1.6121024457162365E-3</v>
      </c>
      <c r="K837" s="229">
        <v>99.742675545431396</v>
      </c>
      <c r="L837" s="229">
        <v>21.795887574541101</v>
      </c>
      <c r="M837" s="229">
        <v>24.109645741670299</v>
      </c>
      <c r="N837" s="229">
        <v>5.5256796314409602</v>
      </c>
      <c r="O837" s="205">
        <v>2.0938383304430121E-3</v>
      </c>
      <c r="P837" s="232">
        <v>231.79999999999998</v>
      </c>
      <c r="Q837" s="213"/>
      <c r="R837" s="235"/>
    </row>
    <row r="838" spans="1:18" ht="16.5" customHeight="1" x14ac:dyDescent="0.25">
      <c r="A838" s="230">
        <v>45481</v>
      </c>
      <c r="B838" s="128" t="s">
        <v>18</v>
      </c>
      <c r="C838" s="157" t="str">
        <f t="shared" si="27"/>
        <v>08.07.2024_ORB1</v>
      </c>
      <c r="D838" s="190">
        <f t="shared" si="28"/>
        <v>0</v>
      </c>
      <c r="E838" s="231">
        <v>1.2991499392800714E-5</v>
      </c>
      <c r="F838" s="231">
        <v>3.10004256433768E-4</v>
      </c>
      <c r="G838" s="231">
        <v>2.8339119725502354E-3</v>
      </c>
      <c r="H838" s="231">
        <v>1.1185161714563673E-2</v>
      </c>
      <c r="I838" s="231">
        <v>8.5691824598370414E-6</v>
      </c>
      <c r="J838" s="231">
        <v>7.2725945497568556E-4</v>
      </c>
      <c r="K838" s="229">
        <v>13.0352439186361</v>
      </c>
      <c r="L838" s="229">
        <v>2.6633835619845301</v>
      </c>
      <c r="M838" s="229">
        <v>7.9691103659388798</v>
      </c>
      <c r="N838" s="229">
        <v>3.5130106527057698</v>
      </c>
      <c r="O838" s="205">
        <v>2.2638657809539075E-4</v>
      </c>
      <c r="P838" s="232">
        <v>23.18</v>
      </c>
      <c r="Q838" s="213"/>
      <c r="R838" s="235"/>
    </row>
    <row r="839" spans="1:18" ht="16.5" customHeight="1" x14ac:dyDescent="0.25">
      <c r="A839" s="230">
        <v>45481</v>
      </c>
      <c r="B839" s="128" t="s">
        <v>21</v>
      </c>
      <c r="C839" s="157" t="str">
        <f t="shared" si="27"/>
        <v>08.07.2024_ORB2</v>
      </c>
      <c r="D839" s="190">
        <f t="shared" si="28"/>
        <v>0</v>
      </c>
      <c r="E839" s="231">
        <v>1.8095306819559148E-5</v>
      </c>
      <c r="F839" s="231">
        <v>8.3520517377135451E-4</v>
      </c>
      <c r="G839" s="231">
        <v>5.0628409888577412E-3</v>
      </c>
      <c r="H839" s="231">
        <v>1.3313551541704004E-2</v>
      </c>
      <c r="I839" s="231">
        <v>2.1958147639019187E-5</v>
      </c>
      <c r="J839" s="231">
        <v>2.6521533106257018E-3</v>
      </c>
      <c r="K839" s="229">
        <v>14.907875472466699</v>
      </c>
      <c r="L839" s="229">
        <v>2.9512867851891902</v>
      </c>
      <c r="M839" s="229">
        <v>13.0565069014337</v>
      </c>
      <c r="N839" s="229">
        <v>3.8554130914540798</v>
      </c>
      <c r="O839" s="205">
        <v>2.7409329306865658E-4</v>
      </c>
      <c r="P839" s="232">
        <v>26.352</v>
      </c>
      <c r="Q839" s="213"/>
      <c r="R839" s="235"/>
    </row>
    <row r="840" spans="1:18" ht="16.5" customHeight="1" x14ac:dyDescent="0.25">
      <c r="A840" s="230">
        <v>45481</v>
      </c>
      <c r="B840" s="128" t="s">
        <v>10</v>
      </c>
      <c r="C840" s="157" t="str">
        <f t="shared" si="27"/>
        <v>08.07.2024_SAL1</v>
      </c>
      <c r="D840" s="190">
        <f t="shared" si="28"/>
        <v>0</v>
      </c>
      <c r="E840" s="231">
        <v>1.1135571025657373E-5</v>
      </c>
      <c r="F840" s="231">
        <v>4.8258445982018745E-4</v>
      </c>
      <c r="G840" s="231">
        <v>6.3365179716678181E-3</v>
      </c>
      <c r="H840" s="231">
        <v>2.2148684557851739E-2</v>
      </c>
      <c r="I840" s="231">
        <v>4.8344472986682184E-6</v>
      </c>
      <c r="J840" s="231">
        <v>4.9348192099825578E-4</v>
      </c>
      <c r="K840" s="229">
        <v>25.748509991497102</v>
      </c>
      <c r="L840" s="229">
        <v>15.375663283752701</v>
      </c>
      <c r="M840" s="229">
        <v>9.3631688949320999</v>
      </c>
      <c r="N840" s="229">
        <v>2.1826825569953998</v>
      </c>
      <c r="O840" s="205">
        <v>5.0178265663997155E-4</v>
      </c>
      <c r="P840" s="232">
        <v>106.14</v>
      </c>
      <c r="Q840" s="213"/>
      <c r="R840" s="235"/>
    </row>
    <row r="841" spans="1:18" ht="16.5" customHeight="1" x14ac:dyDescent="0.25">
      <c r="A841" s="230">
        <v>45481</v>
      </c>
      <c r="B841" s="128" t="s">
        <v>12</v>
      </c>
      <c r="C841" s="157" t="str">
        <f t="shared" si="27"/>
        <v>08.07.2024_SAL2</v>
      </c>
      <c r="D841" s="190">
        <f t="shared" si="28"/>
        <v>0</v>
      </c>
      <c r="E841" s="231">
        <v>9.2796410995329533E-6</v>
      </c>
      <c r="F841" s="231">
        <v>5.4503335704379156E-4</v>
      </c>
      <c r="G841" s="231">
        <v>5.540469385618238E-3</v>
      </c>
      <c r="H841" s="231">
        <v>2.5079943331736878E-2</v>
      </c>
      <c r="I841" s="231">
        <v>5.9113251950624997E-6</v>
      </c>
      <c r="J841" s="231">
        <v>4.2654215561546531E-4</v>
      </c>
      <c r="K841" s="229">
        <v>29.2976441165228</v>
      </c>
      <c r="L841" s="229">
        <v>15.621269078386399</v>
      </c>
      <c r="M841" s="229">
        <v>9.1715409694553198</v>
      </c>
      <c r="N841" s="229">
        <v>2.1697600488409901</v>
      </c>
      <c r="O841" s="205">
        <v>5.6530117994433129E-4</v>
      </c>
      <c r="P841" s="232">
        <v>112.97200000000001</v>
      </c>
      <c r="Q841" s="213"/>
      <c r="R841" s="235"/>
    </row>
    <row r="842" spans="1:18" ht="16.5" customHeight="1" x14ac:dyDescent="0.25">
      <c r="A842" s="230">
        <v>45481</v>
      </c>
      <c r="B842" s="128" t="s">
        <v>7</v>
      </c>
      <c r="C842" s="157" t="str">
        <f t="shared" si="27"/>
        <v>08.07.2024_STE1</v>
      </c>
      <c r="D842" s="190">
        <f t="shared" si="28"/>
        <v>0</v>
      </c>
      <c r="E842" s="231">
        <v>8.8156590943571364E-6</v>
      </c>
      <c r="F842" s="231">
        <v>6.6220767616454216E-4</v>
      </c>
      <c r="G842" s="231">
        <v>3.6936407854655817E-3</v>
      </c>
      <c r="H842" s="231">
        <v>3.5971525588040759E-2</v>
      </c>
      <c r="I842" s="231">
        <v>5.4378015960845315E-6</v>
      </c>
      <c r="J842" s="231">
        <v>6.8118759092930428E-4</v>
      </c>
      <c r="K842" s="229">
        <v>43.123795413145103</v>
      </c>
      <c r="L842" s="229">
        <v>16.3305572777153</v>
      </c>
      <c r="M842" s="229">
        <v>10.3450368972545</v>
      </c>
      <c r="N842" s="229">
        <v>2.1469297778668301</v>
      </c>
      <c r="O842" s="205">
        <v>7.7499733095985613E-4</v>
      </c>
      <c r="P842" s="232">
        <v>141.76399999999998</v>
      </c>
      <c r="Q842" s="213"/>
      <c r="R842" s="235"/>
    </row>
    <row r="843" spans="1:18" ht="16.5" customHeight="1" x14ac:dyDescent="0.25">
      <c r="A843" s="230">
        <v>45481</v>
      </c>
      <c r="B843" s="128" t="s">
        <v>9</v>
      </c>
      <c r="C843" s="157" t="str">
        <f t="shared" si="27"/>
        <v>08.07.2024_STE2</v>
      </c>
      <c r="D843" s="190">
        <f t="shared" si="28"/>
        <v>0</v>
      </c>
      <c r="E843" s="231">
        <v>8.3516765262160533E-6</v>
      </c>
      <c r="F843" s="231">
        <v>6.9143925936754216E-4</v>
      </c>
      <c r="G843" s="231">
        <v>5.1583669980931205E-3</v>
      </c>
      <c r="H843" s="231">
        <v>3.7279006363784277E-2</v>
      </c>
      <c r="I843" s="231">
        <v>6.6979879603604028E-6</v>
      </c>
      <c r="J843" s="231">
        <v>5.3341855254607836E-4</v>
      </c>
      <c r="K843" s="229">
        <v>44.057793260186699</v>
      </c>
      <c r="L843" s="229">
        <v>15.9291840857236</v>
      </c>
      <c r="M843" s="229">
        <v>10.220756034749201</v>
      </c>
      <c r="N843" s="229">
        <v>2.2423420732678099</v>
      </c>
      <c r="O843" s="205">
        <v>8.0238406335304238E-4</v>
      </c>
      <c r="P843" s="232">
        <v>146.15600000000001</v>
      </c>
      <c r="Q843" s="213"/>
      <c r="R843" s="235"/>
    </row>
    <row r="844" spans="1:18" ht="16.5" customHeight="1" x14ac:dyDescent="0.25">
      <c r="A844" s="230">
        <v>45509</v>
      </c>
      <c r="B844" s="128" t="s">
        <v>22</v>
      </c>
      <c r="C844" s="157" t="str">
        <f t="shared" si="27"/>
        <v>05.08.2024_BIE1</v>
      </c>
      <c r="D844" s="190">
        <f t="shared" si="28"/>
        <v>0</v>
      </c>
      <c r="E844" s="231">
        <v>2.5519026350838264E-5</v>
      </c>
      <c r="F844" s="231">
        <v>1.4689069405345943E-3</v>
      </c>
      <c r="G844" s="231">
        <v>6.11362421759052E-3</v>
      </c>
      <c r="H844" s="231">
        <v>1.9635047497868329E-2</v>
      </c>
      <c r="I844" s="231">
        <v>4.4590398053454244E-5</v>
      </c>
      <c r="J844" s="231">
        <v>1.9927188449511369E-3</v>
      </c>
      <c r="K844" s="229">
        <v>23.3451548658897</v>
      </c>
      <c r="L844" s="229">
        <v>10.5080594361736</v>
      </c>
      <c r="M844" s="229">
        <v>6.6945611865061503</v>
      </c>
      <c r="N844" s="229">
        <v>3.73973218644969</v>
      </c>
      <c r="O844" s="205">
        <v>4.5284787725799784E-4</v>
      </c>
      <c r="P844" s="232">
        <v>74.176000000000002</v>
      </c>
      <c r="Q844" s="213"/>
      <c r="R844" s="235"/>
    </row>
    <row r="845" spans="1:18" ht="16.5" customHeight="1" x14ac:dyDescent="0.25">
      <c r="A845" s="230">
        <v>45509</v>
      </c>
      <c r="B845" s="128" t="s">
        <v>25</v>
      </c>
      <c r="C845" s="157" t="str">
        <f t="shared" si="27"/>
        <v>05.08.2024_BIE2</v>
      </c>
      <c r="D845" s="190">
        <f t="shared" si="28"/>
        <v>0</v>
      </c>
      <c r="E845" s="231">
        <v>1.8559287612193294E-5</v>
      </c>
      <c r="F845" s="231">
        <v>8.9647695998286696E-4</v>
      </c>
      <c r="G845" s="231">
        <v>5.3175759733127877E-3</v>
      </c>
      <c r="H845" s="231">
        <v>1.9134982401638485E-2</v>
      </c>
      <c r="I845" s="231">
        <v>2.2744865032845041E-5</v>
      </c>
      <c r="J845" s="231">
        <v>1.3394836481497563E-3</v>
      </c>
      <c r="K845" s="229">
        <v>23.421095412729802</v>
      </c>
      <c r="L845" s="229">
        <v>10.411345010517699</v>
      </c>
      <c r="M845" s="229">
        <v>7.6748618602459304</v>
      </c>
      <c r="N845" s="229">
        <v>3.6379222503000102</v>
      </c>
      <c r="O845" s="205">
        <v>4.3376708485613579E-4</v>
      </c>
      <c r="P845" s="232">
        <v>76.616</v>
      </c>
      <c r="Q845" s="213"/>
      <c r="R845" s="235"/>
    </row>
    <row r="846" spans="1:18" ht="16.5" customHeight="1" x14ac:dyDescent="0.25">
      <c r="A846" s="230">
        <v>45509</v>
      </c>
      <c r="B846" s="128" t="s">
        <v>14</v>
      </c>
      <c r="C846" s="157" t="str">
        <f t="shared" si="27"/>
        <v>05.08.2024_BRA1</v>
      </c>
      <c r="D846" s="190">
        <f t="shared" si="28"/>
        <v>0</v>
      </c>
      <c r="E846" s="231">
        <v>1.2991498959750437E-5</v>
      </c>
      <c r="F846" s="231">
        <v>2.9878942826841264E-4</v>
      </c>
      <c r="G846" s="231">
        <v>3.1204884251384356E-3</v>
      </c>
      <c r="H846" s="231">
        <v>1.4953931454835581E-2</v>
      </c>
      <c r="I846" s="231">
        <v>5.3843406210675739E-6</v>
      </c>
      <c r="J846" s="231">
        <v>5.0250634923953671E-4</v>
      </c>
      <c r="K846" s="229">
        <v>18.881253023399299</v>
      </c>
      <c r="L846" s="229">
        <v>13.001629560180801</v>
      </c>
      <c r="M846" s="229">
        <v>6.9440254309183604</v>
      </c>
      <c r="N846" s="229">
        <v>1.45885745825727</v>
      </c>
      <c r="O846" s="205">
        <v>3.4037282819861079E-4</v>
      </c>
      <c r="P846" s="232">
        <v>85.399999999999991</v>
      </c>
      <c r="Q846" s="213"/>
      <c r="R846" s="235"/>
    </row>
    <row r="847" spans="1:18" ht="16.5" customHeight="1" x14ac:dyDescent="0.25">
      <c r="A847" s="230">
        <v>45509</v>
      </c>
      <c r="B847" s="128" t="s">
        <v>17</v>
      </c>
      <c r="C847" s="157" t="str">
        <f t="shared" si="27"/>
        <v>05.08.2024_BRA2</v>
      </c>
      <c r="D847" s="190">
        <f t="shared" si="28"/>
        <v>0</v>
      </c>
      <c r="E847" s="231">
        <v>1.4847428192994435E-5</v>
      </c>
      <c r="F847" s="231">
        <v>1.1025572958558362E-3</v>
      </c>
      <c r="G847" s="231">
        <v>3.3752231272619641E-3</v>
      </c>
      <c r="H847" s="231">
        <v>2.0706358393750242E-2</v>
      </c>
      <c r="I847" s="231">
        <v>1.5160518675456215E-5</v>
      </c>
      <c r="J847" s="231">
        <v>7.4551390469451478E-4</v>
      </c>
      <c r="K847" s="229">
        <v>23.781121558761999</v>
      </c>
      <c r="L847" s="229">
        <v>14.3899958896529</v>
      </c>
      <c r="M847" s="229">
        <v>8.4849292271813095</v>
      </c>
      <c r="N847" s="229">
        <v>1.98582526642086</v>
      </c>
      <c r="O847" s="205">
        <v>4.6121587555033184E-4</v>
      </c>
      <c r="P847" s="232">
        <v>91.988</v>
      </c>
      <c r="Q847" s="213"/>
      <c r="R847" s="235"/>
    </row>
    <row r="848" spans="1:18" ht="16.5" customHeight="1" x14ac:dyDescent="0.25">
      <c r="A848" s="230">
        <v>45509</v>
      </c>
      <c r="B848" s="128" t="s">
        <v>30</v>
      </c>
      <c r="C848" s="157" t="str">
        <f t="shared" si="27"/>
        <v>05.08.2024_FAL1</v>
      </c>
      <c r="D848" s="190">
        <f t="shared" si="28"/>
        <v>0</v>
      </c>
      <c r="E848" s="231">
        <v>1.1135570592607098E-5</v>
      </c>
      <c r="F848" s="231">
        <v>3.7813551742239162E-3</v>
      </c>
      <c r="G848" s="231">
        <v>6.3046761221388506E-3</v>
      </c>
      <c r="H848" s="231">
        <v>9.3933988393016171E-2</v>
      </c>
      <c r="I848" s="231">
        <v>2.9825248102431906E-5</v>
      </c>
      <c r="J848" s="231">
        <v>2.2554948750798951E-3</v>
      </c>
      <c r="K848" s="229">
        <v>86.075914677609205</v>
      </c>
      <c r="L848" s="229">
        <v>28.745957192950701</v>
      </c>
      <c r="M848" s="229">
        <v>31.743009386224099</v>
      </c>
      <c r="N848" s="229">
        <v>5.8621236666519598</v>
      </c>
      <c r="O848" s="205">
        <v>1.6119880966992146E-3</v>
      </c>
      <c r="P848" s="232">
        <v>242.78</v>
      </c>
      <c r="Q848" s="213"/>
      <c r="R848" s="235"/>
    </row>
    <row r="849" spans="1:18" ht="16.5" customHeight="1" x14ac:dyDescent="0.25">
      <c r="A849" s="230">
        <v>45509</v>
      </c>
      <c r="B849" s="128" t="s">
        <v>32</v>
      </c>
      <c r="C849" s="157" t="str">
        <f t="shared" si="27"/>
        <v>05.08.2024_FAL2</v>
      </c>
      <c r="D849" s="190">
        <f t="shared" si="28"/>
        <v>0</v>
      </c>
      <c r="E849" s="231">
        <v>1.8095305087356998E-5</v>
      </c>
      <c r="F849" s="231">
        <v>1.2789572266288893E-3</v>
      </c>
      <c r="G849" s="231">
        <v>2.7383867162003627E-3</v>
      </c>
      <c r="H849" s="231">
        <v>8.737118916628496E-2</v>
      </c>
      <c r="I849" s="231">
        <v>1.4037670144784743E-5</v>
      </c>
      <c r="J849" s="231">
        <v>9.5535317210754245E-4</v>
      </c>
      <c r="K849" s="229">
        <v>97.721591797866907</v>
      </c>
      <c r="L849" s="229">
        <v>25.600003471710099</v>
      </c>
      <c r="M849" s="229">
        <v>25.7752078640234</v>
      </c>
      <c r="N849" s="229">
        <v>4.8773867304578999</v>
      </c>
      <c r="O849" s="205">
        <v>1.929225079068074E-3</v>
      </c>
      <c r="P849" s="232">
        <v>264.98400000000004</v>
      </c>
      <c r="Q849" s="213"/>
      <c r="R849" s="235"/>
    </row>
    <row r="850" spans="1:18" ht="16.5" customHeight="1" x14ac:dyDescent="0.25">
      <c r="A850" s="230">
        <v>45509</v>
      </c>
      <c r="B850" s="128" t="s">
        <v>26</v>
      </c>
      <c r="C850" s="157" t="str">
        <f t="shared" si="27"/>
        <v>05.08.2024_GRU1</v>
      </c>
      <c r="D850" s="190">
        <f t="shared" si="28"/>
        <v>0</v>
      </c>
      <c r="E850" s="231">
        <v>1.5311411020965913E-5</v>
      </c>
      <c r="F850" s="231">
        <v>4.1266276549512692E-4</v>
      </c>
      <c r="G850" s="231">
        <v>7.7057242922788198E-3</v>
      </c>
      <c r="H850" s="231">
        <v>1.674565021123494E-2</v>
      </c>
      <c r="I850" s="231">
        <v>9.0579811608136655E-6</v>
      </c>
      <c r="J850" s="231">
        <v>5.2015114125183732E-4</v>
      </c>
      <c r="K850" s="229">
        <v>19.9252997361219</v>
      </c>
      <c r="L850" s="229">
        <v>8.2516948286915799</v>
      </c>
      <c r="M850" s="229">
        <v>8.1025260180686303</v>
      </c>
      <c r="N850" s="229">
        <v>2.29464945676553</v>
      </c>
      <c r="O850" s="205">
        <v>3.7727640298737617E-4</v>
      </c>
      <c r="P850" s="232">
        <v>62.707999999999998</v>
      </c>
      <c r="Q850" s="213"/>
      <c r="R850" s="235"/>
    </row>
    <row r="851" spans="1:18" ht="16.5" customHeight="1" x14ac:dyDescent="0.25">
      <c r="A851" s="230">
        <v>45509</v>
      </c>
      <c r="B851" s="128" t="s">
        <v>28</v>
      </c>
      <c r="C851" s="157" t="str">
        <f t="shared" si="27"/>
        <v>05.08.2024_GRU2</v>
      </c>
      <c r="D851" s="190">
        <f t="shared" si="28"/>
        <v>0</v>
      </c>
      <c r="E851" s="231">
        <v>1.2527517387625106E-5</v>
      </c>
      <c r="F851" s="231">
        <v>5.4365807686204009E-4</v>
      </c>
      <c r="G851" s="231">
        <v>5.5086285911227651E-3</v>
      </c>
      <c r="H851" s="231">
        <v>2.0118630430548175E-2</v>
      </c>
      <c r="I851" s="231">
        <v>6.6063388330194075E-6</v>
      </c>
      <c r="J851" s="231">
        <v>1.0454963038994385E-3</v>
      </c>
      <c r="K851" s="229">
        <v>23.743659150652199</v>
      </c>
      <c r="L851" s="229">
        <v>7.2964794910642699</v>
      </c>
      <c r="M851" s="229">
        <v>7.7130673491420101</v>
      </c>
      <c r="N851" s="229">
        <v>2.4698064448677601</v>
      </c>
      <c r="O851" s="205">
        <v>4.7293158835699691E-4</v>
      </c>
      <c r="P851" s="232">
        <v>74.664000000000001</v>
      </c>
      <c r="Q851" s="213"/>
      <c r="R851" s="235"/>
    </row>
    <row r="852" spans="1:18" ht="16.5" customHeight="1" x14ac:dyDescent="0.25">
      <c r="A852" s="230">
        <v>45509</v>
      </c>
      <c r="B852" s="128" t="s">
        <v>0</v>
      </c>
      <c r="C852" s="157" t="str">
        <f t="shared" si="27"/>
        <v>05.08.2024_KIN1</v>
      </c>
      <c r="D852" s="190">
        <f t="shared" si="28"/>
        <v>0</v>
      </c>
      <c r="E852" s="231">
        <v>7.4237132520496208E-6</v>
      </c>
      <c r="F852" s="231">
        <v>6.5683439704010481E-4</v>
      </c>
      <c r="G852" s="231">
        <v>4.1712682609316163E-3</v>
      </c>
      <c r="H852" s="231">
        <v>4.2635322400235459E-2</v>
      </c>
      <c r="I852" s="231">
        <v>8.3629622833765399E-6</v>
      </c>
      <c r="J852" s="231">
        <v>6.4407541657465284E-4</v>
      </c>
      <c r="K852" s="229">
        <v>51.103635960472097</v>
      </c>
      <c r="L852" s="229">
        <v>19.747953718545698</v>
      </c>
      <c r="M852" s="229">
        <v>7.5853427143935299</v>
      </c>
      <c r="N852" s="229">
        <v>2.4049815477601402</v>
      </c>
      <c r="O852" s="205">
        <v>9.0096075180773165E-4</v>
      </c>
      <c r="P852" s="232">
        <v>196.90800000000002</v>
      </c>
      <c r="Q852" s="213"/>
      <c r="R852" s="235"/>
    </row>
    <row r="853" spans="1:18" ht="16.5" customHeight="1" x14ac:dyDescent="0.25">
      <c r="A853" s="230">
        <v>45509</v>
      </c>
      <c r="B853" s="128" t="s">
        <v>2</v>
      </c>
      <c r="C853" s="157" t="str">
        <f t="shared" si="27"/>
        <v>05.08.2024_KIN2</v>
      </c>
      <c r="D853" s="190">
        <f t="shared" si="28"/>
        <v>0</v>
      </c>
      <c r="E853" s="231">
        <v>8.3516764829110467E-6</v>
      </c>
      <c r="F853" s="231">
        <v>7.2673426814795993E-4</v>
      </c>
      <c r="G853" s="231">
        <v>2.8339127452458755E-3</v>
      </c>
      <c r="H853" s="231">
        <v>4.9531314376322903E-2</v>
      </c>
      <c r="I853" s="231">
        <v>8.5310008086637356E-6</v>
      </c>
      <c r="J853" s="231">
        <v>7.3540987956691531E-4</v>
      </c>
      <c r="K853" s="229">
        <v>55.079639213933099</v>
      </c>
      <c r="L853" s="229">
        <v>22.358431964529601</v>
      </c>
      <c r="M853" s="229">
        <v>7.5203233264948697</v>
      </c>
      <c r="N853" s="229">
        <v>3.1857245835943799</v>
      </c>
      <c r="O853" s="205">
        <v>1.0569916443035033E-3</v>
      </c>
      <c r="P853" s="232">
        <v>218.136</v>
      </c>
      <c r="Q853" s="213"/>
      <c r="R853" s="235"/>
    </row>
    <row r="854" spans="1:18" ht="16.5" customHeight="1" x14ac:dyDescent="0.25">
      <c r="A854" s="230">
        <v>45509</v>
      </c>
      <c r="B854" s="128" t="s">
        <v>4</v>
      </c>
      <c r="C854" s="157" t="str">
        <f t="shared" si="27"/>
        <v>05.08.2024_KIN3</v>
      </c>
      <c r="D854" s="190">
        <f t="shared" si="28"/>
        <v>0</v>
      </c>
      <c r="E854" s="231">
        <v>8.8156587479169764E-6</v>
      </c>
      <c r="F854" s="231">
        <v>1.5653831497256907E-3</v>
      </c>
      <c r="G854" s="231">
        <v>2.165234965114345E-3</v>
      </c>
      <c r="H854" s="231">
        <v>4.9608357523940626E-2</v>
      </c>
      <c r="I854" s="231">
        <v>5.6440159503046567E-6</v>
      </c>
      <c r="J854" s="231">
        <v>1.1350399283472422E-3</v>
      </c>
      <c r="K854" s="229">
        <v>57.968645271422602</v>
      </c>
      <c r="L854" s="229">
        <v>22.293609645094399</v>
      </c>
      <c r="M854" s="229">
        <v>8.0600377771199607</v>
      </c>
      <c r="N854" s="229">
        <v>2.6569365960459002</v>
      </c>
      <c r="O854" s="205">
        <v>1.0428313620523299E-3</v>
      </c>
      <c r="P854" s="232">
        <v>210.328</v>
      </c>
      <c r="Q854" s="213"/>
      <c r="R854" s="235"/>
    </row>
    <row r="855" spans="1:18" ht="16.5" customHeight="1" x14ac:dyDescent="0.25">
      <c r="A855" s="230">
        <v>45509</v>
      </c>
      <c r="B855" s="128" t="s">
        <v>6</v>
      </c>
      <c r="C855" s="157" t="str">
        <f t="shared" si="27"/>
        <v>05.08.2024_KIN4</v>
      </c>
      <c r="D855" s="190">
        <f t="shared" si="28"/>
        <v>0</v>
      </c>
      <c r="E855" s="231">
        <v>8.3516765262160533E-6</v>
      </c>
      <c r="F855" s="231">
        <v>7.3124788286560612E-4</v>
      </c>
      <c r="G855" s="231">
        <v>3.3752227062410615E-3</v>
      </c>
      <c r="H855" s="231">
        <v>4.72768898202005E-2</v>
      </c>
      <c r="I855" s="231">
        <v>1.2013723820391643E-5</v>
      </c>
      <c r="J855" s="231">
        <v>1.4520291205118742E-3</v>
      </c>
      <c r="K855" s="229">
        <v>53.433078475772497</v>
      </c>
      <c r="L855" s="229">
        <v>21.317684160739201</v>
      </c>
      <c r="M855" s="229">
        <v>18.340246930854299</v>
      </c>
      <c r="N855" s="229">
        <v>2.9164642060460402</v>
      </c>
      <c r="O855" s="205">
        <v>1.0116718832132829E-3</v>
      </c>
      <c r="P855" s="232">
        <v>212.036</v>
      </c>
      <c r="Q855" s="213"/>
      <c r="R855" s="235"/>
    </row>
    <row r="856" spans="1:18" ht="16.5" customHeight="1" x14ac:dyDescent="0.25">
      <c r="A856" s="230">
        <v>45509</v>
      </c>
      <c r="B856" s="128" t="s">
        <v>34</v>
      </c>
      <c r="C856" s="157" t="str">
        <f t="shared" si="27"/>
        <v>05.08.2024_KRE1</v>
      </c>
      <c r="D856" s="190">
        <f t="shared" si="28"/>
        <v>0</v>
      </c>
      <c r="E856" s="231">
        <v>8.3516767860461577E-6</v>
      </c>
      <c r="F856" s="231">
        <v>1.0905545625376229E-3</v>
      </c>
      <c r="G856" s="231">
        <v>3.5981163315325321E-3</v>
      </c>
      <c r="H856" s="231">
        <v>7.4274044848701704E-2</v>
      </c>
      <c r="I856" s="231">
        <v>1.8521023909668341E-5</v>
      </c>
      <c r="J856" s="231">
        <v>1.1028332674191776E-3</v>
      </c>
      <c r="K856" s="229">
        <v>84.007356619780793</v>
      </c>
      <c r="L856" s="229">
        <v>27.6586038906146</v>
      </c>
      <c r="M856" s="229">
        <v>36.277619476215698</v>
      </c>
      <c r="N856" s="229">
        <v>6.87772323515577</v>
      </c>
      <c r="O856" s="205">
        <v>1.6948553025910517E-3</v>
      </c>
      <c r="P856" s="232">
        <v>270.596</v>
      </c>
      <c r="Q856" s="213"/>
      <c r="R856" s="235"/>
    </row>
    <row r="857" spans="1:18" ht="16.5" customHeight="1" x14ac:dyDescent="0.25">
      <c r="A857" s="230">
        <v>45509</v>
      </c>
      <c r="B857" s="128" t="s">
        <v>37</v>
      </c>
      <c r="C857" s="157" t="str">
        <f t="shared" si="27"/>
        <v>05.08.2024_KRE2</v>
      </c>
      <c r="D857" s="190">
        <f t="shared" si="28"/>
        <v>0</v>
      </c>
      <c r="E857" s="231">
        <v>4.6398197053189628E-6</v>
      </c>
      <c r="F857" s="231">
        <v>1.1244035935577678E-3</v>
      </c>
      <c r="G857" s="231">
        <v>3.088646491405376E-3</v>
      </c>
      <c r="H857" s="231">
        <v>6.5393731420012632E-2</v>
      </c>
      <c r="I857" s="231">
        <v>1.1188837386391052E-5</v>
      </c>
      <c r="J857" s="231">
        <v>9.8189725578184408E-4</v>
      </c>
      <c r="K857" s="229">
        <v>73.415713003833801</v>
      </c>
      <c r="L857" s="229">
        <v>28.2939531440656</v>
      </c>
      <c r="M857" s="229">
        <v>38.096554124075297</v>
      </c>
      <c r="N857" s="229">
        <v>7.1790602134889898</v>
      </c>
      <c r="O857" s="205">
        <v>1.5293171965547849E-3</v>
      </c>
      <c r="P857" s="232">
        <v>274.988</v>
      </c>
      <c r="Q857" s="213"/>
      <c r="R857" s="235"/>
    </row>
    <row r="858" spans="1:18" ht="16.5" customHeight="1" x14ac:dyDescent="0.25">
      <c r="A858" s="230">
        <v>45509</v>
      </c>
      <c r="B858" s="128" t="s">
        <v>18</v>
      </c>
      <c r="C858" s="157" t="str">
        <f t="shared" si="27"/>
        <v>05.08.2024_ORB1</v>
      </c>
      <c r="D858" s="190">
        <f t="shared" si="28"/>
        <v>0</v>
      </c>
      <c r="E858" s="231">
        <v>7.8876944344301706E-6</v>
      </c>
      <c r="F858" s="231">
        <v>2.2123564172079138E-4</v>
      </c>
      <c r="G858" s="231">
        <v>2.5154945223794362E-3</v>
      </c>
      <c r="H858" s="231">
        <v>1.0331804350553824E-2</v>
      </c>
      <c r="I858" s="231">
        <v>4.9031835556452355E-6</v>
      </c>
      <c r="J858" s="231">
        <v>5.0573902250653521E-4</v>
      </c>
      <c r="K858" s="229">
        <v>11.765255086731401</v>
      </c>
      <c r="L858" s="229">
        <v>2.2867138091057</v>
      </c>
      <c r="M858" s="229">
        <v>7.2135213180388797</v>
      </c>
      <c r="N858" s="229">
        <v>3.43411355144735</v>
      </c>
      <c r="O858" s="205">
        <v>2.0554432221576185E-4</v>
      </c>
      <c r="P858" s="232">
        <v>22.448</v>
      </c>
      <c r="Q858" s="213"/>
      <c r="R858" s="235"/>
    </row>
    <row r="859" spans="1:18" ht="16.5" customHeight="1" x14ac:dyDescent="0.25">
      <c r="A859" s="230">
        <v>45509</v>
      </c>
      <c r="B859" s="128" t="s">
        <v>21</v>
      </c>
      <c r="C859" s="157" t="str">
        <f t="shared" si="27"/>
        <v>05.08.2024_ORB2</v>
      </c>
      <c r="D859" s="190">
        <f t="shared" si="28"/>
        <v>0</v>
      </c>
      <c r="E859" s="231">
        <v>1.8559287482278092E-5</v>
      </c>
      <c r="F859" s="231">
        <v>6.161697863720705E-4</v>
      </c>
      <c r="G859" s="231">
        <v>3.6617989953745787E-3</v>
      </c>
      <c r="H859" s="231">
        <v>1.4117349825187624E-2</v>
      </c>
      <c r="I859" s="231">
        <v>1.8116300751106562E-5</v>
      </c>
      <c r="J859" s="231">
        <v>2.6190312035043132E-3</v>
      </c>
      <c r="K859" s="229">
        <v>16.006737391925402</v>
      </c>
      <c r="L859" s="229">
        <v>3.0219502958635802</v>
      </c>
      <c r="M859" s="229">
        <v>14.1702621833797</v>
      </c>
      <c r="N859" s="229">
        <v>4.3001880458314199</v>
      </c>
      <c r="O859" s="205">
        <v>2.8937209806098108E-4</v>
      </c>
      <c r="P859" s="232">
        <v>29.279999999999998</v>
      </c>
      <c r="Q859" s="213"/>
      <c r="R859" s="235"/>
    </row>
    <row r="860" spans="1:18" ht="16.5" customHeight="1" x14ac:dyDescent="0.25">
      <c r="A860" s="230">
        <v>45509</v>
      </c>
      <c r="B860" s="128" t="s">
        <v>10</v>
      </c>
      <c r="C860" s="157" t="str">
        <f t="shared" si="27"/>
        <v>05.08.2024_SAL1</v>
      </c>
      <c r="D860" s="190">
        <f t="shared" si="28"/>
        <v>0</v>
      </c>
      <c r="E860" s="231">
        <v>1.2063534646263725E-5</v>
      </c>
      <c r="F860" s="231">
        <v>4.1867919069332938E-4</v>
      </c>
      <c r="G860" s="231">
        <v>7.7057241189157103E-3</v>
      </c>
      <c r="H860" s="231">
        <v>2.1373778929649926E-2</v>
      </c>
      <c r="I860" s="231">
        <v>5.1399426125080907E-6</v>
      </c>
      <c r="J860" s="231">
        <v>4.4620622741441395E-4</v>
      </c>
      <c r="K860" s="229">
        <v>24.278034171766901</v>
      </c>
      <c r="L860" s="229">
        <v>14.755779028809</v>
      </c>
      <c r="M860" s="229">
        <v>8.0584080004703793</v>
      </c>
      <c r="N860" s="229">
        <v>1.82157246271451</v>
      </c>
      <c r="O860" s="205">
        <v>4.6591882913065618E-4</v>
      </c>
      <c r="P860" s="232">
        <v>110.532</v>
      </c>
      <c r="Q860" s="213"/>
      <c r="R860" s="235"/>
    </row>
    <row r="861" spans="1:18" ht="16.5" customHeight="1" x14ac:dyDescent="0.25">
      <c r="A861" s="230">
        <v>45509</v>
      </c>
      <c r="B861" s="128" t="s">
        <v>12</v>
      </c>
      <c r="C861" s="157" t="str">
        <f t="shared" si="27"/>
        <v>05.08.2024_SAL2</v>
      </c>
      <c r="D861" s="190">
        <f t="shared" si="28"/>
        <v>0</v>
      </c>
      <c r="E861" s="231">
        <v>1.0671587851245821E-5</v>
      </c>
      <c r="F861" s="231">
        <v>4.6380345063274183E-4</v>
      </c>
      <c r="G861" s="231">
        <v>5.5086275261827132E-3</v>
      </c>
      <c r="H861" s="231">
        <v>2.4471648519618062E-2</v>
      </c>
      <c r="I861" s="231">
        <v>5.7280266160093487E-6</v>
      </c>
      <c r="J861" s="231">
        <v>5.4284723992717009E-4</v>
      </c>
      <c r="K861" s="229">
        <v>27.383743462209502</v>
      </c>
      <c r="L861" s="229">
        <v>14.867864311246199</v>
      </c>
      <c r="M861" s="229">
        <v>8.1962957888274097</v>
      </c>
      <c r="N861" s="229">
        <v>1.90561210861192</v>
      </c>
      <c r="O861" s="205">
        <v>5.3579120219279515E-4</v>
      </c>
      <c r="P861" s="232">
        <v>117.60799999999999</v>
      </c>
      <c r="Q861" s="213"/>
      <c r="R861" s="235"/>
    </row>
    <row r="862" spans="1:18" ht="16.5" customHeight="1" x14ac:dyDescent="0.25">
      <c r="A862" s="230">
        <v>45509</v>
      </c>
      <c r="B862" s="128" t="s">
        <v>7</v>
      </c>
      <c r="C862" s="157" t="str">
        <f t="shared" si="27"/>
        <v>05.08.2024_STE1</v>
      </c>
      <c r="D862" s="190">
        <f t="shared" si="28"/>
        <v>0</v>
      </c>
      <c r="E862" s="231">
        <v>1.0671587461500645E-5</v>
      </c>
      <c r="F862" s="231">
        <v>6.6938642013582891E-4</v>
      </c>
      <c r="G862" s="231">
        <v>3.0568050133644095E-3</v>
      </c>
      <c r="H862" s="231">
        <v>4.0563469068791755E-2</v>
      </c>
      <c r="I862" s="231">
        <v>6.5986976768404359E-6</v>
      </c>
      <c r="J862" s="231">
        <v>6.6003821389407872E-4</v>
      </c>
      <c r="K862" s="229">
        <v>45.400234338445301</v>
      </c>
      <c r="L862" s="229">
        <v>15.4966215607311</v>
      </c>
      <c r="M862" s="229">
        <v>8.8328828945714903</v>
      </c>
      <c r="N862" s="229">
        <v>2.09663578656706</v>
      </c>
      <c r="O862" s="205">
        <v>8.5776629868961486E-4</v>
      </c>
      <c r="P862" s="232">
        <v>162.99200000000002</v>
      </c>
      <c r="Q862" s="213"/>
      <c r="R862" s="235"/>
    </row>
    <row r="863" spans="1:18" ht="16.5" customHeight="1" x14ac:dyDescent="0.25">
      <c r="A863" s="230">
        <v>45509</v>
      </c>
      <c r="B863" s="128" t="s">
        <v>9</v>
      </c>
      <c r="C863" s="157" t="str">
        <f t="shared" si="27"/>
        <v>05.08.2024_STE2</v>
      </c>
      <c r="D863" s="190">
        <f t="shared" si="28"/>
        <v>0</v>
      </c>
      <c r="E863" s="231">
        <v>9.7436233212339085E-6</v>
      </c>
      <c r="F863" s="231">
        <v>5.8805842148064251E-4</v>
      </c>
      <c r="G863" s="231">
        <v>2.7383866468558876E-3</v>
      </c>
      <c r="H863" s="231">
        <v>3.8079048435667305E-2</v>
      </c>
      <c r="I863" s="231">
        <v>4.3991142863582266E-6</v>
      </c>
      <c r="J863" s="231">
        <v>4.9556963252703602E-4</v>
      </c>
      <c r="K863" s="229">
        <v>42.0549212161377</v>
      </c>
      <c r="L863" s="229">
        <v>15.258725111378901</v>
      </c>
      <c r="M863" s="229">
        <v>8.88390777876592</v>
      </c>
      <c r="N863" s="229">
        <v>2.0914320258296502</v>
      </c>
      <c r="O863" s="205">
        <v>7.9867143834994145E-4</v>
      </c>
      <c r="P863" s="232">
        <v>152.256</v>
      </c>
      <c r="Q863" s="213"/>
      <c r="R863" s="235"/>
    </row>
    <row r="864" spans="1:18" ht="16.5" customHeight="1" x14ac:dyDescent="0.25">
      <c r="A864" s="230">
        <v>45537</v>
      </c>
      <c r="B864" s="128" t="s">
        <v>22</v>
      </c>
      <c r="C864" s="157" t="str">
        <f t="shared" si="27"/>
        <v>02.09.2024_BIE1</v>
      </c>
      <c r="D864" s="190">
        <f t="shared" si="28"/>
        <v>0</v>
      </c>
      <c r="E864" s="231">
        <v>3.6411269489485978E-5</v>
      </c>
      <c r="F864" s="231">
        <v>1.8648691117140385E-3</v>
      </c>
      <c r="G864" s="231">
        <v>7.657393770583136E-2</v>
      </c>
      <c r="H864" s="231">
        <v>1.1229882581921995E-3</v>
      </c>
      <c r="I864" s="231">
        <v>2.8325377452569875E-5</v>
      </c>
      <c r="J864" s="231">
        <v>3.24806448651237E-3</v>
      </c>
      <c r="K864" s="229">
        <v>18.018624620507101</v>
      </c>
      <c r="L864" s="229">
        <v>9.2334391716520994</v>
      </c>
      <c r="M864" s="229">
        <v>3.6484500106662501</v>
      </c>
      <c r="N864" s="229">
        <v>1.35926235355872</v>
      </c>
      <c r="O864" s="205">
        <v>1.3162053826479525E-4</v>
      </c>
      <c r="P864" s="232">
        <v>76.372</v>
      </c>
      <c r="Q864" s="213"/>
      <c r="R864" s="235"/>
    </row>
    <row r="865" spans="1:18" ht="16.5" customHeight="1" x14ac:dyDescent="0.25">
      <c r="A865" s="230">
        <v>45537</v>
      </c>
      <c r="B865" s="128" t="s">
        <v>25</v>
      </c>
      <c r="C865" s="157" t="str">
        <f t="shared" si="27"/>
        <v>02.09.2024_BIE2</v>
      </c>
      <c r="D865" s="190">
        <f t="shared" si="28"/>
        <v>0</v>
      </c>
      <c r="E865" s="231">
        <v>3.4421546216019966E-5</v>
      </c>
      <c r="F865" s="231">
        <v>1.7346309643264442E-3</v>
      </c>
      <c r="G865" s="231">
        <v>7.4307795567937832E-2</v>
      </c>
      <c r="H865" s="231">
        <v>9.9760668391577541E-4</v>
      </c>
      <c r="I865" s="231">
        <v>4.7663452357467871E-5</v>
      </c>
      <c r="J865" s="231">
        <v>3.9579989069013256E-3</v>
      </c>
      <c r="K865" s="229">
        <v>19.111022075800399</v>
      </c>
      <c r="L865" s="229">
        <v>9.40442170012183</v>
      </c>
      <c r="M865" s="229">
        <v>4.6102265989424103</v>
      </c>
      <c r="N865" s="229">
        <v>1.1975262024408699</v>
      </c>
      <c r="O865" s="205">
        <v>1.4341062554141005E-4</v>
      </c>
      <c r="P865" s="232">
        <v>78.08</v>
      </c>
      <c r="Q865" s="213"/>
      <c r="R865" s="235"/>
    </row>
    <row r="866" spans="1:18" ht="16.5" customHeight="1" x14ac:dyDescent="0.25">
      <c r="A866" s="230">
        <v>45537</v>
      </c>
      <c r="B866" s="128" t="s">
        <v>14</v>
      </c>
      <c r="C866" s="157" t="str">
        <f t="shared" si="27"/>
        <v>02.09.2024_BRA1</v>
      </c>
      <c r="D866" s="190">
        <f t="shared" si="28"/>
        <v>0</v>
      </c>
      <c r="E866" s="231">
        <v>7.262287681191717E-6</v>
      </c>
      <c r="F866" s="231">
        <v>5.5240178418090294E-4</v>
      </c>
      <c r="G866" s="231">
        <v>6.4756843750192403E-2</v>
      </c>
      <c r="H866" s="231">
        <v>7.9385543960634665E-4</v>
      </c>
      <c r="I866" s="231">
        <v>6.9468856018563157E-6</v>
      </c>
      <c r="J866" s="231">
        <v>3.2352961195019459E-4</v>
      </c>
      <c r="K866" s="229">
        <v>15.916240146961201</v>
      </c>
      <c r="L866" s="229">
        <v>10.6899745076971</v>
      </c>
      <c r="M866" s="229">
        <v>3.63111405478167</v>
      </c>
      <c r="N866" s="229">
        <v>0</v>
      </c>
      <c r="O866" s="205">
        <v>1.4485951583070324E-4</v>
      </c>
      <c r="P866" s="232">
        <v>90.768000000000001</v>
      </c>
      <c r="Q866" s="213"/>
      <c r="R866" s="235"/>
    </row>
    <row r="867" spans="1:18" ht="16.5" customHeight="1" x14ac:dyDescent="0.25">
      <c r="A867" s="230">
        <v>45537</v>
      </c>
      <c r="B867" s="128" t="s">
        <v>17</v>
      </c>
      <c r="C867" s="157" t="str">
        <f t="shared" si="27"/>
        <v>02.09.2024_BRA2</v>
      </c>
      <c r="D867" s="190">
        <f t="shared" si="28"/>
        <v>0</v>
      </c>
      <c r="E867" s="231">
        <v>9.9980900806162534E-6</v>
      </c>
      <c r="F867" s="231">
        <v>5.3191909471414858E-4</v>
      </c>
      <c r="G867" s="231">
        <v>7.1855351894583613E-2</v>
      </c>
      <c r="H867" s="231">
        <v>8.5803328868657369E-4</v>
      </c>
      <c r="I867" s="231">
        <v>5.6935770168843681E-6</v>
      </c>
      <c r="J867" s="231">
        <v>3.9629861574162409E-4</v>
      </c>
      <c r="K867" s="229">
        <v>20.847190761198799</v>
      </c>
      <c r="L867" s="229">
        <v>12.6514935164015</v>
      </c>
      <c r="M867" s="229">
        <v>5.4509033914942204</v>
      </c>
      <c r="N867" s="229">
        <v>0</v>
      </c>
      <c r="O867" s="205">
        <v>1.0557855065642881E-4</v>
      </c>
      <c r="P867" s="232">
        <v>94.671999999999997</v>
      </c>
      <c r="Q867" s="213"/>
      <c r="R867" s="235"/>
    </row>
    <row r="868" spans="1:18" ht="16.5" customHeight="1" x14ac:dyDescent="0.25">
      <c r="A868" s="230">
        <v>45537</v>
      </c>
      <c r="B868" s="128" t="s">
        <v>30</v>
      </c>
      <c r="C868" s="157" t="str">
        <f t="shared" si="27"/>
        <v>02.09.2024_FAL1</v>
      </c>
      <c r="D868" s="190">
        <f t="shared" si="28"/>
        <v>0</v>
      </c>
      <c r="E868" s="231">
        <v>3.979331738824705E-6</v>
      </c>
      <c r="F868" s="231">
        <v>1.3569482306896483E-3</v>
      </c>
      <c r="G868" s="231">
        <v>0.21473874842964044</v>
      </c>
      <c r="H868" s="231">
        <v>1.7862368603030752E-3</v>
      </c>
      <c r="I868" s="231">
        <v>1.6185684677788964E-5</v>
      </c>
      <c r="J868" s="231">
        <v>1.1671434528462941E-3</v>
      </c>
      <c r="K868" s="229">
        <v>87.326696315919804</v>
      </c>
      <c r="L868" s="229">
        <v>25.635061142527299</v>
      </c>
      <c r="M868" s="229">
        <v>36.961094933784501</v>
      </c>
      <c r="N868" s="229">
        <v>5.2536714265270401</v>
      </c>
      <c r="O868" s="205">
        <v>1.8954269409507876E-4</v>
      </c>
      <c r="P868" s="232">
        <v>329.88800000000003</v>
      </c>
      <c r="Q868" s="213"/>
      <c r="R868" s="235"/>
    </row>
    <row r="869" spans="1:18" ht="16.5" customHeight="1" x14ac:dyDescent="0.25">
      <c r="A869" s="230">
        <v>45537</v>
      </c>
      <c r="B869" s="128" t="s">
        <v>32</v>
      </c>
      <c r="C869" s="157" t="str">
        <f t="shared" si="27"/>
        <v>02.09.2024_FAL2</v>
      </c>
      <c r="D869" s="190">
        <f t="shared" si="28"/>
        <v>0</v>
      </c>
      <c r="E869" s="231">
        <v>5.0736496372789063E-6</v>
      </c>
      <c r="F869" s="231">
        <v>1.3237210988921173E-3</v>
      </c>
      <c r="G869" s="231">
        <v>0.19460784678435333</v>
      </c>
      <c r="H869" s="231">
        <v>1.7944562866377364E-3</v>
      </c>
      <c r="I869" s="231">
        <v>1.5075584905884469E-5</v>
      </c>
      <c r="J869" s="231">
        <v>1.7396409240494886E-3</v>
      </c>
      <c r="K869" s="229">
        <v>78.455278516406906</v>
      </c>
      <c r="L869" s="229">
        <v>25.816727352932201</v>
      </c>
      <c r="M869" s="229">
        <v>31.873721874922801</v>
      </c>
      <c r="N869" s="229">
        <v>4.3116875176084699</v>
      </c>
      <c r="O869" s="205">
        <v>1.8659020854154928E-4</v>
      </c>
      <c r="P869" s="232">
        <v>256.44399999999996</v>
      </c>
      <c r="Q869" s="213"/>
      <c r="R869" s="235"/>
    </row>
    <row r="870" spans="1:18" ht="16.5" customHeight="1" x14ac:dyDescent="0.25">
      <c r="A870" s="230">
        <v>45537</v>
      </c>
      <c r="B870" s="128" t="s">
        <v>26</v>
      </c>
      <c r="C870" s="157" t="str">
        <f t="shared" si="27"/>
        <v>02.09.2024_GRU1</v>
      </c>
      <c r="D870" s="190">
        <f t="shared" si="28"/>
        <v>0</v>
      </c>
      <c r="E870" s="231">
        <v>5.7202927018273206E-6</v>
      </c>
      <c r="F870" s="231">
        <v>9.0117729293991361E-4</v>
      </c>
      <c r="G870" s="231">
        <v>6.6548527694638038E-2</v>
      </c>
      <c r="H870" s="231">
        <v>1.5981219932421666E-3</v>
      </c>
      <c r="I870" s="231">
        <v>5.8009982114373896E-6</v>
      </c>
      <c r="J870" s="231">
        <v>7.9663077022406204E-4</v>
      </c>
      <c r="K870" s="229">
        <v>15.5974088693137</v>
      </c>
      <c r="L870" s="229">
        <v>6.9464874914462298</v>
      </c>
      <c r="M870" s="229">
        <v>5.1071013909723098</v>
      </c>
      <c r="N870" s="229">
        <v>0.216040367304488</v>
      </c>
      <c r="O870" s="205">
        <v>1.0988854837074041E-4</v>
      </c>
      <c r="P870" s="232">
        <v>58.071999999999996</v>
      </c>
      <c r="Q870" s="213"/>
      <c r="R870" s="235"/>
    </row>
    <row r="871" spans="1:18" ht="16.5" customHeight="1" x14ac:dyDescent="0.25">
      <c r="A871" s="230">
        <v>45537</v>
      </c>
      <c r="B871" s="128" t="s">
        <v>28</v>
      </c>
      <c r="C871" s="157" t="str">
        <f t="shared" si="27"/>
        <v>02.09.2024_GRU2</v>
      </c>
      <c r="D871" s="190">
        <f t="shared" si="28"/>
        <v>0</v>
      </c>
      <c r="E871" s="231">
        <v>1.059499412723856E-5</v>
      </c>
      <c r="F871" s="231">
        <v>8.8528443796122422E-4</v>
      </c>
      <c r="G871" s="231">
        <v>7.2534817034983753E-2</v>
      </c>
      <c r="H871" s="231">
        <v>1.2516060070213054E-3</v>
      </c>
      <c r="I871" s="231">
        <v>6.4097498334992781E-6</v>
      </c>
      <c r="J871" s="231">
        <v>1.4160436878388309E-3</v>
      </c>
      <c r="K871" s="229">
        <v>18.983556373294402</v>
      </c>
      <c r="L871" s="229">
        <v>5.9398644053279499</v>
      </c>
      <c r="M871" s="229">
        <v>4.6692954785984</v>
      </c>
      <c r="N871" s="229">
        <v>0.25763331046121601</v>
      </c>
      <c r="O871" s="205">
        <v>1.4641709574485888E-4</v>
      </c>
      <c r="P871" s="232">
        <v>66.612000000000009</v>
      </c>
      <c r="Q871" s="213"/>
      <c r="R871" s="235"/>
    </row>
    <row r="872" spans="1:18" ht="16.5" customHeight="1" x14ac:dyDescent="0.25">
      <c r="A872" s="230">
        <v>45537</v>
      </c>
      <c r="B872" s="128" t="s">
        <v>0</v>
      </c>
      <c r="C872" s="157" t="str">
        <f t="shared" si="27"/>
        <v>02.09.2024_KIN1</v>
      </c>
      <c r="D872" s="190">
        <f t="shared" si="28"/>
        <v>0</v>
      </c>
      <c r="E872" s="231">
        <v>4.5264913681881851E-6</v>
      </c>
      <c r="F872" s="231">
        <v>8.1583949569626827E-4</v>
      </c>
      <c r="G872" s="231">
        <v>0.12457070692507573</v>
      </c>
      <c r="H872" s="231">
        <v>1.1052517517051261E-3</v>
      </c>
      <c r="I872" s="231">
        <v>5.8368075461886035E-6</v>
      </c>
      <c r="J872" s="231">
        <v>6.2429003285480579E-4</v>
      </c>
      <c r="K872" s="229">
        <v>43.377677067189097</v>
      </c>
      <c r="L872" s="229">
        <v>17.364938972007501</v>
      </c>
      <c r="M872" s="229">
        <v>4.3965600923018897</v>
      </c>
      <c r="N872" s="229">
        <v>-4.5467278671339498E-2</v>
      </c>
      <c r="O872" s="205">
        <v>1.0724458522066859E-4</v>
      </c>
      <c r="P872" s="232">
        <v>202.76399999999998</v>
      </c>
      <c r="Q872" s="213"/>
      <c r="R872" s="235"/>
    </row>
    <row r="873" spans="1:18" ht="16.5" customHeight="1" x14ac:dyDescent="0.25">
      <c r="A873" s="230">
        <v>45537</v>
      </c>
      <c r="B873" s="128" t="s">
        <v>2</v>
      </c>
      <c r="C873" s="157" t="str">
        <f t="shared" si="27"/>
        <v>02.09.2024_KIN2</v>
      </c>
      <c r="D873" s="190">
        <f t="shared" si="28"/>
        <v>0</v>
      </c>
      <c r="E873" s="231">
        <v>1.3032348412415301E-5</v>
      </c>
      <c r="F873" s="231">
        <v>4.7913249445411481E-4</v>
      </c>
      <c r="G873" s="231">
        <v>0.13078438401742662</v>
      </c>
      <c r="H873" s="231">
        <v>9.9937254505607915E-4</v>
      </c>
      <c r="I873" s="231">
        <v>6.8752652445400265E-6</v>
      </c>
      <c r="J873" s="231">
        <v>6.0234535871156924E-4</v>
      </c>
      <c r="K873" s="229">
        <v>45.760667863407001</v>
      </c>
      <c r="L873" s="229">
        <v>19.855123382656799</v>
      </c>
      <c r="M873" s="229">
        <v>4.7322534014769104</v>
      </c>
      <c r="N873" s="229">
        <v>0.79033896306830398</v>
      </c>
      <c r="O873" s="205">
        <v>8.4264709801350947E-5</v>
      </c>
      <c r="P873" s="232">
        <v>248.63599999999997</v>
      </c>
      <c r="Q873" s="213"/>
      <c r="R873" s="235"/>
    </row>
    <row r="874" spans="1:18" ht="16.5" customHeight="1" x14ac:dyDescent="0.25">
      <c r="A874" s="230">
        <v>45537</v>
      </c>
      <c r="B874" s="128" t="s">
        <v>4</v>
      </c>
      <c r="C874" s="157" t="str">
        <f t="shared" si="27"/>
        <v>02.09.2024_KIN3</v>
      </c>
      <c r="D874" s="190">
        <f t="shared" si="28"/>
        <v>0</v>
      </c>
      <c r="E874" s="231">
        <v>2.2383728417641E-6</v>
      </c>
      <c r="F874" s="231">
        <v>6.5933759765351822E-4</v>
      </c>
      <c r="G874" s="231">
        <v>0.13224096840515598</v>
      </c>
      <c r="H874" s="231">
        <v>1.1642216445794426E-3</v>
      </c>
      <c r="I874" s="231">
        <v>7.5556361711243937E-6</v>
      </c>
      <c r="J874" s="231">
        <v>6.2243020212155895E-4</v>
      </c>
      <c r="K874" s="229">
        <v>47.632448813001901</v>
      </c>
      <c r="L874" s="229">
        <v>20.183497751497299</v>
      </c>
      <c r="M874" s="229">
        <v>5.30252425143828</v>
      </c>
      <c r="N874" s="229">
        <v>0.59278683795926601</v>
      </c>
      <c r="O874" s="205">
        <v>9.0801778335620185E-5</v>
      </c>
      <c r="P874" s="232">
        <v>215.94</v>
      </c>
      <c r="Q874" s="213"/>
      <c r="R874" s="235"/>
    </row>
    <row r="875" spans="1:18" ht="16.5" customHeight="1" x14ac:dyDescent="0.25">
      <c r="A875" s="230">
        <v>45537</v>
      </c>
      <c r="B875" s="128" t="s">
        <v>6</v>
      </c>
      <c r="C875" s="157" t="str">
        <f t="shared" si="27"/>
        <v>02.09.2024_KIN4</v>
      </c>
      <c r="D875" s="190">
        <f t="shared" si="28"/>
        <v>0</v>
      </c>
      <c r="E875" s="231">
        <v>4.6757161008127623E-6</v>
      </c>
      <c r="F875" s="231">
        <v>8.3715458175370662E-4</v>
      </c>
      <c r="G875" s="231">
        <v>0.12486929730524413</v>
      </c>
      <c r="H875" s="231">
        <v>1.388605311729218E-3</v>
      </c>
      <c r="I875" s="231">
        <v>1.435939862856812E-5</v>
      </c>
      <c r="J875" s="231">
        <v>1.3265010492546686E-3</v>
      </c>
      <c r="K875" s="229">
        <v>44.199519096868102</v>
      </c>
      <c r="L875" s="229">
        <v>19.7779091513911</v>
      </c>
      <c r="M875" s="229">
        <v>17.174621763437099</v>
      </c>
      <c r="N875" s="229">
        <v>0.91570737521579404</v>
      </c>
      <c r="O875" s="205">
        <v>1.2381496320126921E-4</v>
      </c>
      <c r="P875" s="232">
        <v>221.55200000000002</v>
      </c>
      <c r="Q875" s="213"/>
      <c r="R875" s="235"/>
    </row>
    <row r="876" spans="1:18" ht="16.5" customHeight="1" x14ac:dyDescent="0.25">
      <c r="A876" s="230">
        <v>45537</v>
      </c>
      <c r="B876" s="128" t="s">
        <v>34</v>
      </c>
      <c r="C876" s="157" t="str">
        <f t="shared" si="27"/>
        <v>02.09.2024_KRE1</v>
      </c>
      <c r="D876" s="190">
        <f t="shared" si="28"/>
        <v>0</v>
      </c>
      <c r="E876" s="231">
        <v>3.3778104147370576E-4</v>
      </c>
      <c r="F876" s="231">
        <v>9.9902401005183506E-4</v>
      </c>
      <c r="G876" s="231">
        <v>0.1963685702503068</v>
      </c>
      <c r="H876" s="231">
        <v>5.3289169953577974E-3</v>
      </c>
      <c r="I876" s="231">
        <v>1.1709496985891499E-5</v>
      </c>
      <c r="J876" s="231">
        <v>8.6829819347213034E-4</v>
      </c>
      <c r="K876" s="229">
        <v>76.214072223381393</v>
      </c>
      <c r="L876" s="229">
        <v>25.9758127274673</v>
      </c>
      <c r="M876" s="229">
        <v>43.482327951661702</v>
      </c>
      <c r="N876" s="229">
        <v>6.7992586237157697</v>
      </c>
      <c r="O876" s="205">
        <v>2.8508644065482891E-4</v>
      </c>
      <c r="P876" s="232">
        <v>329.40000000000003</v>
      </c>
      <c r="Q876" s="213"/>
      <c r="R876" s="235"/>
    </row>
    <row r="877" spans="1:18" ht="16.5" customHeight="1" x14ac:dyDescent="0.25">
      <c r="A877" s="230">
        <v>45537</v>
      </c>
      <c r="B877" s="128" t="s">
        <v>37</v>
      </c>
      <c r="C877" s="157" t="str">
        <f t="shared" si="27"/>
        <v>02.09.2024_KRE2</v>
      </c>
      <c r="D877" s="190">
        <f t="shared" si="28"/>
        <v>0</v>
      </c>
      <c r="E877" s="231">
        <v>4.0788150533027729E-6</v>
      </c>
      <c r="F877" s="231">
        <v>9.6821544067142342E-4</v>
      </c>
      <c r="G877" s="231">
        <v>0.1850179717781453</v>
      </c>
      <c r="H877" s="231">
        <v>2.2913978590552702E-3</v>
      </c>
      <c r="I877" s="231">
        <v>1.1673687868381421E-5</v>
      </c>
      <c r="J877" s="231">
        <v>9.6290773114781822E-4</v>
      </c>
      <c r="K877" s="229">
        <v>72.289218578451298</v>
      </c>
      <c r="L877" s="229">
        <v>26.160615485091501</v>
      </c>
      <c r="M877" s="229">
        <v>41.518605080144198</v>
      </c>
      <c r="N877" s="229">
        <v>6.4551231171759298</v>
      </c>
      <c r="O877" s="205">
        <v>3.3754335589993863E-4</v>
      </c>
      <c r="P877" s="232">
        <v>305.24399999999997</v>
      </c>
      <c r="Q877" s="213"/>
      <c r="R877" s="235"/>
    </row>
    <row r="878" spans="1:18" ht="16.5" customHeight="1" x14ac:dyDescent="0.25">
      <c r="A878" s="230">
        <v>45537</v>
      </c>
      <c r="B878" s="128" t="s">
        <v>18</v>
      </c>
      <c r="C878" s="157" t="str">
        <f t="shared" si="27"/>
        <v>02.09.2024_ORB1</v>
      </c>
      <c r="D878" s="190">
        <f t="shared" si="28"/>
        <v>0</v>
      </c>
      <c r="E878" s="231">
        <v>4.9244244264696392E-6</v>
      </c>
      <c r="F878" s="231">
        <v>5.4426876043115998E-4</v>
      </c>
      <c r="G878" s="231">
        <v>5.1934351940110493E-2</v>
      </c>
      <c r="H878" s="231">
        <v>6.8907345677682405E-4</v>
      </c>
      <c r="I878" s="231">
        <v>7.7346802045555846E-6</v>
      </c>
      <c r="J878" s="231">
        <v>1.2544477042389429E-3</v>
      </c>
      <c r="K878" s="229">
        <v>10.1004924320019</v>
      </c>
      <c r="L878" s="229">
        <v>2.35476987540634</v>
      </c>
      <c r="M878" s="229">
        <v>4.2859746289185097</v>
      </c>
      <c r="N878" s="229">
        <v>1.05187854855326</v>
      </c>
      <c r="O878" s="205">
        <v>3.9106145943388716E-5</v>
      </c>
      <c r="P878" s="232">
        <v>20.983999999999998</v>
      </c>
      <c r="Q878" s="213"/>
      <c r="R878" s="235"/>
    </row>
    <row r="879" spans="1:18" ht="16.5" customHeight="1" x14ac:dyDescent="0.25">
      <c r="A879" s="230">
        <v>45537</v>
      </c>
      <c r="B879" s="128" t="s">
        <v>21</v>
      </c>
      <c r="C879" s="157" t="str">
        <f t="shared" si="27"/>
        <v>02.09.2024_ORB2</v>
      </c>
      <c r="D879" s="190">
        <f t="shared" si="28"/>
        <v>0</v>
      </c>
      <c r="E879" s="231">
        <v>8.7545427094648005E-6</v>
      </c>
      <c r="F879" s="231">
        <v>6.7688474043385777E-4</v>
      </c>
      <c r="G879" s="231">
        <v>6.1000392535169978E-2</v>
      </c>
      <c r="H879" s="231">
        <v>8.4828358497555652E-4</v>
      </c>
      <c r="I879" s="231">
        <v>1.0277127614688238E-5</v>
      </c>
      <c r="J879" s="231">
        <v>2.6769428177049323E-3</v>
      </c>
      <c r="K879" s="229">
        <v>13.466001986503899</v>
      </c>
      <c r="L879" s="229">
        <v>2.92483719423225</v>
      </c>
      <c r="M879" s="229">
        <v>10.882656101779901</v>
      </c>
      <c r="N879" s="229">
        <v>1.5424486393780099</v>
      </c>
      <c r="O879" s="205">
        <v>5.3826401278887718E-5</v>
      </c>
      <c r="P879" s="232">
        <v>28.791999999999998</v>
      </c>
      <c r="Q879" s="213"/>
      <c r="R879" s="235"/>
    </row>
    <row r="880" spans="1:18" ht="16.5" customHeight="1" x14ac:dyDescent="0.25">
      <c r="A880" s="230">
        <v>45537</v>
      </c>
      <c r="B880" s="128" t="s">
        <v>10</v>
      </c>
      <c r="C880" s="157" t="str">
        <f t="shared" si="27"/>
        <v>02.09.2024_SAL1</v>
      </c>
      <c r="D880" s="190">
        <f t="shared" si="28"/>
        <v>0</v>
      </c>
      <c r="E880" s="231">
        <v>7.958673733078271E-6</v>
      </c>
      <c r="F880" s="231">
        <v>7.0045721829402731E-4</v>
      </c>
      <c r="G880" s="231">
        <v>7.8175443292674188E-2</v>
      </c>
      <c r="H880" s="231">
        <v>1.1664481309214857E-3</v>
      </c>
      <c r="I880" s="231">
        <v>8.4866708200226209E-6</v>
      </c>
      <c r="J880" s="231">
        <v>5.7792141553997722E-4</v>
      </c>
      <c r="K880" s="229">
        <v>21.251550241418698</v>
      </c>
      <c r="L880" s="229">
        <v>14.7274053735423</v>
      </c>
      <c r="M880" s="229">
        <v>6.0360000463465804</v>
      </c>
      <c r="N880" s="229">
        <v>0</v>
      </c>
      <c r="O880" s="205">
        <v>1.1704184729064625E-4</v>
      </c>
      <c r="P880" s="232">
        <v>110.288</v>
      </c>
      <c r="Q880" s="213"/>
      <c r="R880" s="235"/>
    </row>
    <row r="881" spans="1:18" ht="16.5" customHeight="1" x14ac:dyDescent="0.25">
      <c r="A881" s="230">
        <v>45537</v>
      </c>
      <c r="B881" s="128" t="s">
        <v>12</v>
      </c>
      <c r="C881" s="157" t="str">
        <f t="shared" si="27"/>
        <v>02.09.2024_SAL2</v>
      </c>
      <c r="D881" s="190">
        <f t="shared" si="28"/>
        <v>0</v>
      </c>
      <c r="E881" s="231">
        <v>6.5161606522049366E-6</v>
      </c>
      <c r="F881" s="231">
        <v>7.2636461750928238E-4</v>
      </c>
      <c r="G881" s="231">
        <v>9.0381336609252821E-2</v>
      </c>
      <c r="H881" s="231">
        <v>1.2165132491497044E-3</v>
      </c>
      <c r="I881" s="231">
        <v>4.8341612380280271E-6</v>
      </c>
      <c r="J881" s="231">
        <v>5.5783677303519036E-4</v>
      </c>
      <c r="K881" s="229">
        <v>26.720101917182401</v>
      </c>
      <c r="L881" s="229">
        <v>14.505411147932399</v>
      </c>
      <c r="M881" s="229">
        <v>5.8048801853743397</v>
      </c>
      <c r="N881" s="229">
        <v>0</v>
      </c>
      <c r="O881" s="205">
        <v>1.2073624463626845E-4</v>
      </c>
      <c r="P881" s="232">
        <v>124.928</v>
      </c>
      <c r="Q881" s="213"/>
      <c r="R881" s="235"/>
    </row>
    <row r="882" spans="1:18" ht="16.5" customHeight="1" x14ac:dyDescent="0.25">
      <c r="A882" s="230">
        <v>45537</v>
      </c>
      <c r="B882" s="128" t="s">
        <v>7</v>
      </c>
      <c r="C882" s="157" t="str">
        <f t="shared" si="27"/>
        <v>02.09.2024_STE1</v>
      </c>
      <c r="D882" s="190">
        <f t="shared" si="28"/>
        <v>0</v>
      </c>
      <c r="E882" s="231">
        <v>3.8301066719349746E-6</v>
      </c>
      <c r="F882" s="231">
        <v>6.1347463300480344E-4</v>
      </c>
      <c r="G882" s="231">
        <v>0.11598913488211865</v>
      </c>
      <c r="H882" s="231">
        <v>1.3318534434952985E-3</v>
      </c>
      <c r="I882" s="231">
        <v>4.3686460275198717E-6</v>
      </c>
      <c r="J882" s="231">
        <v>7.0587165204561613E-4</v>
      </c>
      <c r="K882" s="229">
        <v>40.514053602813597</v>
      </c>
      <c r="L882" s="229">
        <v>15.303920465102699</v>
      </c>
      <c r="M882" s="229">
        <v>6.685801160924</v>
      </c>
      <c r="N882" s="229">
        <v>-2.5257007103016399E-2</v>
      </c>
      <c r="O882" s="205">
        <v>9.8045232343980712E-5</v>
      </c>
      <c r="P882" s="232">
        <v>156.16</v>
      </c>
      <c r="Q882" s="213"/>
      <c r="R882" s="235"/>
    </row>
    <row r="883" spans="1:18" ht="16.5" customHeight="1" x14ac:dyDescent="0.25">
      <c r="A883" s="230">
        <v>45537</v>
      </c>
      <c r="B883" s="128" t="s">
        <v>9</v>
      </c>
      <c r="C883" s="157" t="str">
        <f t="shared" si="27"/>
        <v>02.09.2024_STE2</v>
      </c>
      <c r="D883" s="190">
        <f t="shared" si="28"/>
        <v>0</v>
      </c>
      <c r="E883" s="231">
        <v>3.6808814332703857E-6</v>
      </c>
      <c r="F883" s="231">
        <v>6.2010164571977536E-4</v>
      </c>
      <c r="G883" s="231">
        <v>0.11893018188955433</v>
      </c>
      <c r="H883" s="231">
        <v>1.3179535812043264E-3</v>
      </c>
      <c r="I883" s="231">
        <v>5.1206314792937198E-6</v>
      </c>
      <c r="J883" s="231">
        <v>7.4257145641365234E-4</v>
      </c>
      <c r="K883" s="229">
        <v>40.825679978993399</v>
      </c>
      <c r="L883" s="229">
        <v>15.4050880981688</v>
      </c>
      <c r="M883" s="229">
        <v>6.5806067338294003</v>
      </c>
      <c r="N883" s="229">
        <v>0</v>
      </c>
      <c r="O883" s="205">
        <v>1.0887442353559191E-4</v>
      </c>
      <c r="P883" s="232">
        <v>158.35599999999999</v>
      </c>
      <c r="Q883" s="213"/>
      <c r="R883" s="235"/>
    </row>
    <row r="884" spans="1:18" ht="16.5" customHeight="1" x14ac:dyDescent="0.25">
      <c r="A884" s="230">
        <v>45579</v>
      </c>
      <c r="B884" s="128" t="s">
        <v>22</v>
      </c>
      <c r="C884" s="157" t="str">
        <f t="shared" si="27"/>
        <v>14.10.2024_BIE1</v>
      </c>
      <c r="D884" s="190">
        <f t="shared" si="28"/>
        <v>0</v>
      </c>
      <c r="E884" s="231">
        <v>5.0290632049129331E-5</v>
      </c>
      <c r="F884" s="231">
        <v>2.8892971573836047E-3</v>
      </c>
      <c r="G884" s="231">
        <v>8.848288803071136E-2</v>
      </c>
      <c r="H884" s="231">
        <v>1.8828954190929174E-3</v>
      </c>
      <c r="I884" s="231">
        <v>5.9542500152188966E-5</v>
      </c>
      <c r="J884" s="231">
        <v>4.9702263349841571E-3</v>
      </c>
      <c r="K884" s="229">
        <v>16.468040074801699</v>
      </c>
      <c r="L884" s="229">
        <v>6.1867205001985699</v>
      </c>
      <c r="M884" s="229">
        <v>4.5725690220135196</v>
      </c>
      <c r="N884" s="229">
        <v>2.2617702434397899</v>
      </c>
      <c r="O884" s="205">
        <v>3.6046772426397204E-4</v>
      </c>
      <c r="P884" s="232">
        <v>72.712000000000003</v>
      </c>
      <c r="Q884" s="213"/>
      <c r="R884" s="235"/>
    </row>
    <row r="885" spans="1:18" ht="16.5" customHeight="1" x14ac:dyDescent="0.25">
      <c r="A885" s="230">
        <v>45579</v>
      </c>
      <c r="B885" s="128" t="s">
        <v>25</v>
      </c>
      <c r="C885" s="157" t="str">
        <f t="shared" si="27"/>
        <v>14.10.2024_BIE2</v>
      </c>
      <c r="D885" s="190">
        <f t="shared" si="28"/>
        <v>0</v>
      </c>
      <c r="E885" s="231">
        <v>8.3707694426209342E-5</v>
      </c>
      <c r="F885" s="231">
        <v>3.1868961099048919E-3</v>
      </c>
      <c r="G885" s="231">
        <v>8.5135923681822545E-2</v>
      </c>
      <c r="H885" s="231">
        <v>1.7918360309924881E-3</v>
      </c>
      <c r="I885" s="231">
        <v>9.1149809577244846E-5</v>
      </c>
      <c r="J885" s="231">
        <v>5.1690640230713956E-3</v>
      </c>
      <c r="K885" s="229">
        <v>17.2289837979834</v>
      </c>
      <c r="L885" s="229">
        <v>6.3238987210863797</v>
      </c>
      <c r="M885" s="229">
        <v>5.1023273157728601</v>
      </c>
      <c r="N885" s="229">
        <v>2.43749536453881</v>
      </c>
      <c r="O885" s="205">
        <v>3.4779188170101381E-4</v>
      </c>
      <c r="P885" s="232">
        <v>73.444000000000003</v>
      </c>
      <c r="Q885" s="213"/>
      <c r="R885" s="235"/>
    </row>
    <row r="886" spans="1:18" ht="16.5" customHeight="1" x14ac:dyDescent="0.25">
      <c r="A886" s="230">
        <v>45579</v>
      </c>
      <c r="B886" s="128" t="s">
        <v>14</v>
      </c>
      <c r="C886" s="157" t="str">
        <f t="shared" si="27"/>
        <v>14.10.2024_BRA1</v>
      </c>
      <c r="D886" s="190">
        <f t="shared" si="28"/>
        <v>0</v>
      </c>
      <c r="E886" s="231">
        <v>7.8007496452634485E-6</v>
      </c>
      <c r="F886" s="231">
        <v>1.1028997346155106E-3</v>
      </c>
      <c r="G886" s="231">
        <v>6.3167009481658654E-2</v>
      </c>
      <c r="H886" s="231">
        <v>1.4847693352483201E-3</v>
      </c>
      <c r="I886" s="231">
        <v>9.5980431448736756E-6</v>
      </c>
      <c r="J886" s="231">
        <v>1.0746115096631711E-3</v>
      </c>
      <c r="K886" s="229">
        <v>10.9650342242166</v>
      </c>
      <c r="L886" s="229">
        <v>6.5254139478530098</v>
      </c>
      <c r="M886" s="229">
        <v>4.3492719283115697</v>
      </c>
      <c r="N886" s="229">
        <v>0.54436130440302899</v>
      </c>
      <c r="O886" s="205">
        <v>2.2604292433465447E-4</v>
      </c>
      <c r="P886" s="232">
        <v>59.048000000000002</v>
      </c>
      <c r="Q886" s="213"/>
      <c r="R886" s="235"/>
    </row>
    <row r="887" spans="1:18" ht="16.5" customHeight="1" x14ac:dyDescent="0.25">
      <c r="A887" s="230">
        <v>45579</v>
      </c>
      <c r="B887" s="128" t="s">
        <v>17</v>
      </c>
      <c r="C887" s="157" t="str">
        <f t="shared" si="27"/>
        <v>14.10.2024_BRA2</v>
      </c>
      <c r="D887" s="190">
        <f t="shared" si="28"/>
        <v>0</v>
      </c>
      <c r="E887" s="231">
        <v>7.3581519710538786E-6</v>
      </c>
      <c r="F887" s="231">
        <v>1.0757887997837631E-3</v>
      </c>
      <c r="G887" s="231">
        <v>6.7021136207592674E-2</v>
      </c>
      <c r="H887" s="231">
        <v>1.7027713142618631E-3</v>
      </c>
      <c r="I887" s="231">
        <v>1.0651501074202909E-5</v>
      </c>
      <c r="J887" s="231">
        <v>6.8054237539137783E-4</v>
      </c>
      <c r="K887" s="229">
        <v>12.3262531328088</v>
      </c>
      <c r="L887" s="229">
        <v>7.1082090249362198</v>
      </c>
      <c r="M887" s="229">
        <v>4.7167018244822501</v>
      </c>
      <c r="N887" s="229">
        <v>0.74781847597384898</v>
      </c>
      <c r="O887" s="205">
        <v>1.3929009896737916E-4</v>
      </c>
      <c r="P887" s="232">
        <v>60.512</v>
      </c>
      <c r="Q887" s="213"/>
      <c r="R887" s="235"/>
    </row>
    <row r="888" spans="1:18" ht="16.5" customHeight="1" x14ac:dyDescent="0.25">
      <c r="A888" s="230">
        <v>45579</v>
      </c>
      <c r="B888" s="128" t="s">
        <v>30</v>
      </c>
      <c r="C888" s="157" t="str">
        <f t="shared" si="27"/>
        <v>14.10.2024_FAL1</v>
      </c>
      <c r="D888" s="190">
        <f t="shared" si="28"/>
        <v>0</v>
      </c>
      <c r="E888" s="231">
        <v>4.5366014914028873E-6</v>
      </c>
      <c r="F888" s="231">
        <v>1.2216321195946498E-3</v>
      </c>
      <c r="G888" s="231">
        <v>0.15523682241015169</v>
      </c>
      <c r="H888" s="231">
        <v>1.5461596099115439E-3</v>
      </c>
      <c r="I888" s="231">
        <v>9.8321458507303562E-6</v>
      </c>
      <c r="J888" s="231">
        <v>1.3900282766257158E-3</v>
      </c>
      <c r="K888" s="229">
        <v>45.849557287857799</v>
      </c>
      <c r="L888" s="229">
        <v>17.852815675223901</v>
      </c>
      <c r="M888" s="229">
        <v>14.046811694468101</v>
      </c>
      <c r="N888" s="229">
        <v>3.3199195066426102</v>
      </c>
      <c r="O888" s="205">
        <v>1.5743127741847711E-4</v>
      </c>
      <c r="P888" s="232">
        <v>237.65600000000001</v>
      </c>
      <c r="Q888" s="213"/>
      <c r="R888" s="235"/>
    </row>
    <row r="889" spans="1:18" ht="16.5" customHeight="1" x14ac:dyDescent="0.25">
      <c r="A889" s="230">
        <v>45579</v>
      </c>
      <c r="B889" s="128" t="s">
        <v>32</v>
      </c>
      <c r="C889" s="157" t="str">
        <f t="shared" si="27"/>
        <v>14.10.2024_FAL2</v>
      </c>
      <c r="D889" s="190">
        <f t="shared" si="28"/>
        <v>0</v>
      </c>
      <c r="E889" s="231">
        <v>5.3111444599248781E-6</v>
      </c>
      <c r="F889" s="231">
        <v>1.4997014017906483E-3</v>
      </c>
      <c r="G889" s="231">
        <v>0.20180042393993905</v>
      </c>
      <c r="H889" s="231">
        <v>2.5719098324004271E-3</v>
      </c>
      <c r="I889" s="231">
        <v>1.4241067266809742E-5</v>
      </c>
      <c r="J889" s="231">
        <v>1.8148203819599177E-3</v>
      </c>
      <c r="K889" s="229">
        <v>65.494564844572693</v>
      </c>
      <c r="L889" s="229">
        <v>15.9263501876297</v>
      </c>
      <c r="M889" s="229">
        <v>15.4671470231937</v>
      </c>
      <c r="N889" s="229">
        <v>4.5396590210155203</v>
      </c>
      <c r="O889" s="205">
        <v>2.8478294796929629E-4</v>
      </c>
      <c r="P889" s="232">
        <v>250.09999999999997</v>
      </c>
      <c r="Q889" s="213"/>
      <c r="R889" s="235"/>
    </row>
    <row r="890" spans="1:18" ht="16.5" customHeight="1" x14ac:dyDescent="0.25">
      <c r="A890" s="230">
        <v>45579</v>
      </c>
      <c r="B890" s="128" t="s">
        <v>26</v>
      </c>
      <c r="C890" s="157" t="str">
        <f t="shared" si="27"/>
        <v>14.10.2024_GRU1</v>
      </c>
      <c r="D890" s="190">
        <f t="shared" si="28"/>
        <v>0</v>
      </c>
      <c r="E890" s="231">
        <v>9.6817856168374951E-6</v>
      </c>
      <c r="F890" s="231">
        <v>1.4871713653893408E-3</v>
      </c>
      <c r="G890" s="231">
        <v>7.9495631224594729E-2</v>
      </c>
      <c r="H890" s="231">
        <v>3.0902158352707314E-3</v>
      </c>
      <c r="I890" s="231">
        <v>1.0105263375461557E-5</v>
      </c>
      <c r="J890" s="231">
        <v>1.1796441056588802E-3</v>
      </c>
      <c r="K890" s="229">
        <v>11.839090489177799</v>
      </c>
      <c r="L890" s="229">
        <v>5.43316643389677</v>
      </c>
      <c r="M890" s="229">
        <v>4.6034222175106096</v>
      </c>
      <c r="N890" s="229">
        <v>1.28452681075902</v>
      </c>
      <c r="O890" s="205">
        <v>1.6094462504378498E-4</v>
      </c>
      <c r="P890" s="232">
        <v>50.995999999999995</v>
      </c>
      <c r="Q890" s="213"/>
      <c r="R890" s="235"/>
    </row>
    <row r="891" spans="1:18" ht="16.5" customHeight="1" x14ac:dyDescent="0.25">
      <c r="A891" s="230">
        <v>45579</v>
      </c>
      <c r="B891" s="128" t="s">
        <v>28</v>
      </c>
      <c r="C891" s="157" t="str">
        <f t="shared" si="27"/>
        <v>14.10.2024_GRU2</v>
      </c>
      <c r="D891" s="190">
        <f t="shared" si="28"/>
        <v>0</v>
      </c>
      <c r="E891" s="231">
        <v>8.5199683627814014E-6</v>
      </c>
      <c r="F891" s="231">
        <v>1.2173313179549921E-3</v>
      </c>
      <c r="G891" s="231">
        <v>8.6586814297853185E-2</v>
      </c>
      <c r="H891" s="231">
        <v>2.8061602676038785E-3</v>
      </c>
      <c r="I891" s="231">
        <v>1.1822006245992318E-5</v>
      </c>
      <c r="J891" s="231">
        <v>1.0577704806893624E-3</v>
      </c>
      <c r="K891" s="229">
        <v>14.215881991122499</v>
      </c>
      <c r="L891" s="229">
        <v>5.5928198243568596</v>
      </c>
      <c r="M891" s="229">
        <v>4.6688436589673197</v>
      </c>
      <c r="N891" s="229">
        <v>1.3627249998098301</v>
      </c>
      <c r="O891" s="205">
        <v>1.7519000429992834E-4</v>
      </c>
      <c r="P891" s="232">
        <v>55.876000000000005</v>
      </c>
      <c r="Q891" s="213"/>
      <c r="R891" s="235"/>
    </row>
    <row r="892" spans="1:18" ht="16.5" customHeight="1" x14ac:dyDescent="0.25">
      <c r="A892" s="230">
        <v>45579</v>
      </c>
      <c r="B892" s="128" t="s">
        <v>0</v>
      </c>
      <c r="C892" s="157" t="str">
        <f t="shared" si="27"/>
        <v>14.10.2024_KIN1</v>
      </c>
      <c r="D892" s="190">
        <f t="shared" si="28"/>
        <v>0</v>
      </c>
      <c r="E892" s="231">
        <v>3.7620590495705804E-6</v>
      </c>
      <c r="F892" s="231">
        <v>1.5681499958030407E-3</v>
      </c>
      <c r="G892" s="231">
        <v>0.13063860418338702</v>
      </c>
      <c r="H892" s="231">
        <v>1.5140431196875566E-3</v>
      </c>
      <c r="I892" s="231">
        <v>1.108068551272178E-5</v>
      </c>
      <c r="J892" s="231">
        <v>1.3078016756656217E-3</v>
      </c>
      <c r="K892" s="229">
        <v>36.143821825246498</v>
      </c>
      <c r="L892" s="229">
        <v>10.842002479355999</v>
      </c>
      <c r="M892" s="229">
        <v>6.39783007915252</v>
      </c>
      <c r="N892" s="229">
        <v>1.93375963889005</v>
      </c>
      <c r="O892" s="205">
        <v>1.2217163943008524E-4</v>
      </c>
      <c r="P892" s="232">
        <v>144.44799999999998</v>
      </c>
      <c r="Q892" s="213"/>
      <c r="R892" s="235"/>
    </row>
    <row r="893" spans="1:18" ht="16.5" customHeight="1" x14ac:dyDescent="0.25">
      <c r="A893" s="230">
        <v>45579</v>
      </c>
      <c r="B893" s="128" t="s">
        <v>2</v>
      </c>
      <c r="C893" s="157" t="str">
        <f t="shared" si="27"/>
        <v>14.10.2024_KIN2</v>
      </c>
      <c r="D893" s="190">
        <f t="shared" si="28"/>
        <v>0</v>
      </c>
      <c r="E893" s="231">
        <v>3.0981655280000616E-6</v>
      </c>
      <c r="F893" s="231">
        <v>1.4127415292604592E-3</v>
      </c>
      <c r="G893" s="231">
        <v>0.15015854273298757</v>
      </c>
      <c r="H893" s="231">
        <v>1.4307704248454247E-3</v>
      </c>
      <c r="I893" s="231">
        <v>1.3733841837773238E-5</v>
      </c>
      <c r="J893" s="231">
        <v>6.2047645992663186E-3</v>
      </c>
      <c r="K893" s="229">
        <v>42.644998773388203</v>
      </c>
      <c r="L893" s="229">
        <v>12.9512940108145</v>
      </c>
      <c r="M893" s="229">
        <v>6.1025968931631001</v>
      </c>
      <c r="N893" s="229">
        <v>2.1044727518647601</v>
      </c>
      <c r="O893" s="205">
        <v>1.1791348494505138E-4</v>
      </c>
      <c r="P893" s="232">
        <v>182.512</v>
      </c>
      <c r="Q893" s="213"/>
      <c r="R893" s="235"/>
    </row>
    <row r="894" spans="1:18" ht="16.5" customHeight="1" x14ac:dyDescent="0.25">
      <c r="A894" s="230">
        <v>45579</v>
      </c>
      <c r="B894" s="128" t="s">
        <v>4</v>
      </c>
      <c r="C894" s="157" t="str">
        <f t="shared" si="27"/>
        <v>14.10.2024_KIN3</v>
      </c>
      <c r="D894" s="190">
        <f t="shared" si="28"/>
        <v>0</v>
      </c>
      <c r="E894" s="231">
        <v>2.4342724659917131E-6</v>
      </c>
      <c r="F894" s="231">
        <v>1.2221929884139097E-3</v>
      </c>
      <c r="G894" s="231">
        <v>0.14771816546938576</v>
      </c>
      <c r="H894" s="231">
        <v>1.9103751348185484E-3</v>
      </c>
      <c r="I894" s="231">
        <v>9.637060185132085E-6</v>
      </c>
      <c r="J894" s="231">
        <v>1.335056795656738E-3</v>
      </c>
      <c r="K894" s="229">
        <v>44.4130944478107</v>
      </c>
      <c r="L894" s="229">
        <v>13.7304144401256</v>
      </c>
      <c r="M894" s="229">
        <v>6.8091930341684401</v>
      </c>
      <c r="N894" s="229">
        <v>1.71166594585202</v>
      </c>
      <c r="O894" s="205">
        <v>1.2915518824415265E-4</v>
      </c>
      <c r="P894" s="232">
        <v>178.852</v>
      </c>
      <c r="Q894" s="213"/>
      <c r="R894" s="235"/>
    </row>
    <row r="895" spans="1:18" ht="16.5" customHeight="1" x14ac:dyDescent="0.25">
      <c r="A895" s="230">
        <v>45579</v>
      </c>
      <c r="B895" s="128" t="s">
        <v>6</v>
      </c>
      <c r="C895" s="157" t="str">
        <f t="shared" si="27"/>
        <v>14.10.2024_KIN4</v>
      </c>
      <c r="D895" s="190">
        <f t="shared" si="28"/>
        <v>0</v>
      </c>
      <c r="E895" s="231">
        <v>3.5407611315927365E-6</v>
      </c>
      <c r="F895" s="231">
        <v>1.1769428022568825E-3</v>
      </c>
      <c r="G895" s="231">
        <v>0.13011906607226834</v>
      </c>
      <c r="H895" s="231">
        <v>1.7503350642136572E-3</v>
      </c>
      <c r="I895" s="231">
        <v>1.3967944570949947E-5</v>
      </c>
      <c r="J895" s="231">
        <v>1.761832768079332E-3</v>
      </c>
      <c r="K895" s="229">
        <v>37.070440373349399</v>
      </c>
      <c r="L895" s="229">
        <v>13.2794765720228</v>
      </c>
      <c r="M895" s="229">
        <v>9.9758036739958893</v>
      </c>
      <c r="N895" s="229">
        <v>1.7321261310812199</v>
      </c>
      <c r="O895" s="205">
        <v>1.4371882696006917E-4</v>
      </c>
      <c r="P895" s="232">
        <v>169.33599999999998</v>
      </c>
      <c r="Q895" s="213"/>
      <c r="R895" s="235"/>
    </row>
    <row r="896" spans="1:18" ht="16.5" customHeight="1" x14ac:dyDescent="0.25">
      <c r="A896" s="230">
        <v>45579</v>
      </c>
      <c r="B896" s="128" t="s">
        <v>34</v>
      </c>
      <c r="C896" s="157" t="str">
        <f t="shared" si="27"/>
        <v>14.10.2024_KRE1</v>
      </c>
      <c r="D896" s="190">
        <f t="shared" si="28"/>
        <v>0</v>
      </c>
      <c r="E896" s="231">
        <v>6.1410120615593566E-6</v>
      </c>
      <c r="F896" s="231">
        <v>1.257814170276487E-3</v>
      </c>
      <c r="G896" s="231">
        <v>0.1790551493798293</v>
      </c>
      <c r="H896" s="231">
        <v>1.9085747853393321E-3</v>
      </c>
      <c r="I896" s="231">
        <v>1.3421704923932897E-5</v>
      </c>
      <c r="J896" s="231">
        <v>1.663976482974536E-3</v>
      </c>
      <c r="K896" s="229">
        <v>57.3314673411165</v>
      </c>
      <c r="L896" s="229">
        <v>18.417441212738598</v>
      </c>
      <c r="M896" s="229">
        <v>14.1846506476014</v>
      </c>
      <c r="N896" s="229">
        <v>3.2533207138325402</v>
      </c>
      <c r="O896" s="205">
        <v>2.1969661486137871E-4</v>
      </c>
      <c r="P896" s="232">
        <v>256.93199999999996</v>
      </c>
      <c r="Q896" s="213"/>
      <c r="R896" s="235"/>
    </row>
    <row r="897" spans="1:18" ht="16.5" customHeight="1" x14ac:dyDescent="0.25">
      <c r="A897" s="230">
        <v>45579</v>
      </c>
      <c r="B897" s="128" t="s">
        <v>37</v>
      </c>
      <c r="C897" s="157" t="str">
        <f t="shared" si="27"/>
        <v>14.10.2024_KRE2</v>
      </c>
      <c r="D897" s="190">
        <f t="shared" si="28"/>
        <v>0</v>
      </c>
      <c r="E897" s="231">
        <v>3.7067346178396241E-6</v>
      </c>
      <c r="F897" s="231">
        <v>1.3498158100074226E-3</v>
      </c>
      <c r="G897" s="231">
        <v>0.20935316097461251</v>
      </c>
      <c r="H897" s="231">
        <v>2.1790357116548411E-3</v>
      </c>
      <c r="I897" s="231">
        <v>8.8567249516207911E-6</v>
      </c>
      <c r="J897" s="231">
        <v>1.4722558124291298E-3</v>
      </c>
      <c r="K897" s="229">
        <v>67.157036273587096</v>
      </c>
      <c r="L897" s="229">
        <v>17.755694009179301</v>
      </c>
      <c r="M897" s="229">
        <v>14.084771635834301</v>
      </c>
      <c r="N897" s="229">
        <v>3.2733278580778902</v>
      </c>
      <c r="O897" s="205">
        <v>2.4921427495804216E-4</v>
      </c>
      <c r="P897" s="232">
        <v>290.726</v>
      </c>
      <c r="Q897" s="213"/>
      <c r="R897" s="235"/>
    </row>
    <row r="898" spans="1:18" ht="16.5" customHeight="1" x14ac:dyDescent="0.25">
      <c r="A898" s="230">
        <v>45579</v>
      </c>
      <c r="B898" s="128" t="s">
        <v>18</v>
      </c>
      <c r="C898" s="157" t="str">
        <f t="shared" si="27"/>
        <v>14.10.2024_ORB1</v>
      </c>
      <c r="D898" s="190">
        <f t="shared" si="28"/>
        <v>0</v>
      </c>
      <c r="E898" s="231">
        <v>6.6942575819940082E-6</v>
      </c>
      <c r="F898" s="231">
        <v>8.6396349377142071E-4</v>
      </c>
      <c r="G898" s="231">
        <v>6.1569566536307976E-2</v>
      </c>
      <c r="H898" s="231">
        <v>1.0248818422856174E-3</v>
      </c>
      <c r="I898" s="231">
        <v>8.9347578304091043E-6</v>
      </c>
      <c r="J898" s="231">
        <v>2.68527855581419E-3</v>
      </c>
      <c r="K898" s="229">
        <v>9.9827497576084507</v>
      </c>
      <c r="L898" s="229">
        <v>2.1349823858899799</v>
      </c>
      <c r="M898" s="229">
        <v>5.1297951462444296</v>
      </c>
      <c r="N898" s="229">
        <v>2.4227164782313002</v>
      </c>
      <c r="O898" s="205">
        <v>5.5003602855955445E-5</v>
      </c>
      <c r="P898" s="232">
        <v>25.619999999999997</v>
      </c>
      <c r="Q898" s="213"/>
      <c r="R898" s="235"/>
    </row>
    <row r="899" spans="1:18" ht="16.5" customHeight="1" x14ac:dyDescent="0.25">
      <c r="A899" s="230">
        <v>45579</v>
      </c>
      <c r="B899" s="128" t="s">
        <v>21</v>
      </c>
      <c r="C899" s="157" t="str">
        <f t="shared" si="27"/>
        <v>14.10.2024_ORB2</v>
      </c>
      <c r="D899" s="190">
        <f t="shared" si="28"/>
        <v>0</v>
      </c>
      <c r="E899" s="231">
        <v>5.5324422333211644E-6</v>
      </c>
      <c r="F899" s="231">
        <v>7.2656142325245102E-4</v>
      </c>
      <c r="G899" s="231">
        <v>6.5576126192490453E-2</v>
      </c>
      <c r="H899" s="231">
        <v>1.0046132869797894E-3</v>
      </c>
      <c r="I899" s="231">
        <v>8.7006578284449925E-6</v>
      </c>
      <c r="J899" s="231">
        <v>1.7662744753157362E-3</v>
      </c>
      <c r="K899" s="229">
        <v>11.155131401224001</v>
      </c>
      <c r="L899" s="229">
        <v>2.36926178867752</v>
      </c>
      <c r="M899" s="229">
        <v>8.7973988760412105</v>
      </c>
      <c r="N899" s="229">
        <v>2.6602632465255298</v>
      </c>
      <c r="O899" s="205">
        <v>7.0501304877542125E-5</v>
      </c>
      <c r="P899" s="232">
        <v>28.548000000000002</v>
      </c>
      <c r="Q899" s="213"/>
      <c r="R899" s="235"/>
    </row>
    <row r="900" spans="1:18" ht="16.5" customHeight="1" x14ac:dyDescent="0.25">
      <c r="A900" s="230">
        <v>45579</v>
      </c>
      <c r="B900" s="128" t="s">
        <v>10</v>
      </c>
      <c r="C900" s="157" t="str">
        <f t="shared" si="27"/>
        <v>14.10.2024_SAL1</v>
      </c>
      <c r="D900" s="190">
        <f t="shared" si="28"/>
        <v>0</v>
      </c>
      <c r="E900" s="231">
        <v>4.0386811514254967E-6</v>
      </c>
      <c r="F900" s="231">
        <v>1.0271770365741768E-3</v>
      </c>
      <c r="G900" s="231">
        <v>6.9327914323596848E-2</v>
      </c>
      <c r="H900" s="231">
        <v>1.5236117872954133E-3</v>
      </c>
      <c r="I900" s="231">
        <v>7.7252412173157325E-6</v>
      </c>
      <c r="J900" s="231">
        <v>8.8782805038956243E-4</v>
      </c>
      <c r="K900" s="229">
        <v>11.366604520909201</v>
      </c>
      <c r="L900" s="229">
        <v>6.94792761479742</v>
      </c>
      <c r="M900" s="229">
        <v>4.6022327762472504</v>
      </c>
      <c r="N900" s="229">
        <v>0.58300695092383303</v>
      </c>
      <c r="O900" s="205">
        <v>1.1804121154747877E-4</v>
      </c>
      <c r="P900" s="232">
        <v>62.951999999999998</v>
      </c>
      <c r="Q900" s="213"/>
      <c r="R900" s="235"/>
    </row>
    <row r="901" spans="1:18" ht="16.5" customHeight="1" x14ac:dyDescent="0.25">
      <c r="A901" s="230">
        <v>45579</v>
      </c>
      <c r="B901" s="128" t="s">
        <v>12</v>
      </c>
      <c r="C901" s="157" t="str">
        <f t="shared" ref="C901:C963" si="29">CONCATENATE(TEXT(A901,"TT.MM.JJJJ"),"_",B901)</f>
        <v>14.10.2024_SAL2</v>
      </c>
      <c r="D901" s="190">
        <f t="shared" ref="D901:D964" si="30">COUNTBLANK(E901:P901)</f>
        <v>0</v>
      </c>
      <c r="E901" s="231">
        <v>4.4259524575413839E-6</v>
      </c>
      <c r="F901" s="231">
        <v>1.0647578856366707E-3</v>
      </c>
      <c r="G901" s="231">
        <v>7.2009201409597767E-2</v>
      </c>
      <c r="H901" s="231">
        <v>1.4989798819430855E-3</v>
      </c>
      <c r="I901" s="231">
        <v>5.1891632340132235E-6</v>
      </c>
      <c r="J901" s="231">
        <v>7.5126924538000944E-4</v>
      </c>
      <c r="K901" s="229">
        <v>12.6873743793884</v>
      </c>
      <c r="L901" s="229">
        <v>7.30116897383561</v>
      </c>
      <c r="M901" s="229">
        <v>4.7755240119701403</v>
      </c>
      <c r="N901" s="229">
        <v>0.75350436118612096</v>
      </c>
      <c r="O901" s="205">
        <v>1.0852425884593566E-4</v>
      </c>
      <c r="P901" s="232">
        <v>67.344000000000008</v>
      </c>
      <c r="Q901" s="213"/>
      <c r="R901" s="235"/>
    </row>
    <row r="902" spans="1:18" ht="16.5" customHeight="1" x14ac:dyDescent="0.25">
      <c r="A902" s="230">
        <v>45579</v>
      </c>
      <c r="B902" s="128" t="s">
        <v>7</v>
      </c>
      <c r="C902" s="157" t="str">
        <f t="shared" si="29"/>
        <v>14.10.2024_STE1</v>
      </c>
      <c r="D902" s="190">
        <f t="shared" si="30"/>
        <v>0</v>
      </c>
      <c r="E902" s="231">
        <v>2.3236236541659584E-6</v>
      </c>
      <c r="F902" s="231">
        <v>1.1462781827504243E-3</v>
      </c>
      <c r="G902" s="231">
        <v>8.8920435217021365E-2</v>
      </c>
      <c r="H902" s="231">
        <v>1.7667268737627431E-3</v>
      </c>
      <c r="I902" s="231">
        <v>4.4868675524785738E-6</v>
      </c>
      <c r="J902" s="231">
        <v>7.420833291296782E-4</v>
      </c>
      <c r="K902" s="229">
        <v>20.206885585346601</v>
      </c>
      <c r="L902" s="229">
        <v>8.1469663418871896</v>
      </c>
      <c r="M902" s="229">
        <v>5.4556461007501396</v>
      </c>
      <c r="N902" s="229">
        <v>0.73372044370288703</v>
      </c>
      <c r="O902" s="205">
        <v>1.16997926296335E-4</v>
      </c>
      <c r="P902" s="232">
        <v>96.13600000000001</v>
      </c>
      <c r="Q902" s="213"/>
      <c r="R902" s="235"/>
    </row>
    <row r="903" spans="1:18" ht="16.5" customHeight="1" x14ac:dyDescent="0.25">
      <c r="A903" s="230">
        <v>45579</v>
      </c>
      <c r="B903" s="128" t="s">
        <v>9</v>
      </c>
      <c r="C903" s="157" t="str">
        <f t="shared" si="29"/>
        <v>14.10.2024_STE2</v>
      </c>
      <c r="D903" s="190">
        <f t="shared" si="30"/>
        <v>0</v>
      </c>
      <c r="E903" s="231">
        <v>2.7662191803042788E-6</v>
      </c>
      <c r="F903" s="231">
        <v>1.3205500547136403E-3</v>
      </c>
      <c r="G903" s="231">
        <v>8.7989172789108061E-2</v>
      </c>
      <c r="H903" s="231">
        <v>1.8866864403002709E-3</v>
      </c>
      <c r="I903" s="231">
        <v>4.9160481764477487E-6</v>
      </c>
      <c r="J903" s="231">
        <v>5.2883738661692445E-4</v>
      </c>
      <c r="K903" s="229">
        <v>22.1628340961242</v>
      </c>
      <c r="L903" s="229">
        <v>8.49415938702289</v>
      </c>
      <c r="M903" s="229">
        <v>5.5038457882913896</v>
      </c>
      <c r="N903" s="229">
        <v>0.74554505226849899</v>
      </c>
      <c r="O903" s="205">
        <v>1.2500337437185247E-4</v>
      </c>
      <c r="P903" s="232">
        <v>100.77199999999999</v>
      </c>
      <c r="Q903" s="213"/>
      <c r="R903" s="235"/>
    </row>
    <row r="904" spans="1:18" ht="16.5" customHeight="1" x14ac:dyDescent="0.25">
      <c r="A904" s="230">
        <v>45607</v>
      </c>
      <c r="B904" s="128" t="s">
        <v>22</v>
      </c>
      <c r="C904" s="157" t="str">
        <f t="shared" si="29"/>
        <v>11.11.2024_BIE1</v>
      </c>
      <c r="D904" s="190">
        <f t="shared" si="30"/>
        <v>0</v>
      </c>
      <c r="E904" s="231">
        <v>8.9625656290643229E-6</v>
      </c>
      <c r="F904" s="231">
        <v>1.5044702479992038E-3</v>
      </c>
      <c r="G904" s="231">
        <v>8.9924072101431218E-2</v>
      </c>
      <c r="H904" s="231">
        <v>1.3515748471984947E-3</v>
      </c>
      <c r="I904" s="231">
        <v>1.0807566467612999E-5</v>
      </c>
      <c r="J904" s="231">
        <v>3.2959532548757216E-3</v>
      </c>
      <c r="K904" s="229">
        <v>23.881000064447001</v>
      </c>
      <c r="L904" s="229">
        <v>10.6684892944509</v>
      </c>
      <c r="M904" s="229">
        <v>4.7245514821916599</v>
      </c>
      <c r="N904" s="229">
        <v>3.024944718276481</v>
      </c>
      <c r="O904" s="205">
        <v>1.6584208322013359E-4</v>
      </c>
      <c r="P904" s="232">
        <v>80.52000000000001</v>
      </c>
      <c r="Q904" s="213"/>
      <c r="R904" s="235"/>
    </row>
    <row r="905" spans="1:18" ht="16.5" customHeight="1" x14ac:dyDescent="0.25">
      <c r="A905" s="230">
        <v>45607</v>
      </c>
      <c r="B905" s="128" t="s">
        <v>25</v>
      </c>
      <c r="C905" s="157" t="str">
        <f t="shared" si="29"/>
        <v>11.11.2024_BIE2</v>
      </c>
      <c r="D905" s="190">
        <f t="shared" si="30"/>
        <v>0</v>
      </c>
      <c r="E905" s="231">
        <v>1.0401006451448912E-5</v>
      </c>
      <c r="F905" s="231">
        <v>1.7905325588046081E-3</v>
      </c>
      <c r="G905" s="231">
        <v>8.859436654345669E-2</v>
      </c>
      <c r="H905" s="231">
        <v>1.1927201561492756E-3</v>
      </c>
      <c r="I905" s="231">
        <v>1.4748288553471048E-5</v>
      </c>
      <c r="J905" s="231">
        <v>8.1883850086947735E-3</v>
      </c>
      <c r="K905" s="229">
        <v>22.849687281552399</v>
      </c>
      <c r="L905" s="229">
        <v>9.9662222573772894</v>
      </c>
      <c r="M905" s="229">
        <v>5.01038812274221</v>
      </c>
      <c r="N905" s="229">
        <v>2.8220344697966664</v>
      </c>
      <c r="O905" s="205">
        <v>1.688870433337787E-4</v>
      </c>
      <c r="P905" s="232">
        <v>79.055999999999997</v>
      </c>
      <c r="Q905" s="213"/>
      <c r="R905" s="235"/>
    </row>
    <row r="906" spans="1:18" ht="16.5" customHeight="1" x14ac:dyDescent="0.25">
      <c r="A906" s="230">
        <v>45607</v>
      </c>
      <c r="B906" s="128" t="s">
        <v>14</v>
      </c>
      <c r="C906" s="157" t="str">
        <f t="shared" si="29"/>
        <v>11.11.2024_BRA1</v>
      </c>
      <c r="D906" s="190">
        <f t="shared" si="30"/>
        <v>0</v>
      </c>
      <c r="E906" s="231">
        <v>3.7067345816942506E-6</v>
      </c>
      <c r="F906" s="231">
        <v>7.014188406936488E-4</v>
      </c>
      <c r="G906" s="231">
        <v>6.8228288349960906E-2</v>
      </c>
      <c r="H906" s="231">
        <v>9.6426691979892016E-4</v>
      </c>
      <c r="I906" s="231">
        <v>3.5504762297350715E-6</v>
      </c>
      <c r="J906" s="231">
        <v>3.8142691675479006E-4</v>
      </c>
      <c r="K906" s="229">
        <v>16.3156469714251</v>
      </c>
      <c r="L906" s="229">
        <v>11.9718892376846</v>
      </c>
      <c r="M906" s="229">
        <v>5.1632807276182797</v>
      </c>
      <c r="N906" s="229">
        <v>1.1206666941948893</v>
      </c>
      <c r="O906" s="205">
        <v>1.7851184864296868E-4</v>
      </c>
      <c r="P906" s="232">
        <v>78.567999999999998</v>
      </c>
      <c r="Q906" s="213"/>
      <c r="R906" s="235"/>
    </row>
    <row r="907" spans="1:18" ht="16.5" customHeight="1" x14ac:dyDescent="0.25">
      <c r="A907" s="230">
        <v>45607</v>
      </c>
      <c r="B907" s="128" t="s">
        <v>17</v>
      </c>
      <c r="C907" s="157" t="str">
        <f t="shared" si="29"/>
        <v>11.11.2024_BRA2</v>
      </c>
      <c r="D907" s="190">
        <f t="shared" si="30"/>
        <v>0</v>
      </c>
      <c r="E907" s="231">
        <v>3.2088146857882585E-6</v>
      </c>
      <c r="F907" s="231">
        <v>5.3094505946526063E-4</v>
      </c>
      <c r="G907" s="231">
        <v>7.8466576328674403E-2</v>
      </c>
      <c r="H907" s="231">
        <v>9.1852249825484956E-4</v>
      </c>
      <c r="I907" s="231">
        <v>4.8770318554020358E-6</v>
      </c>
      <c r="J907" s="231">
        <v>5.2409198933941852E-4</v>
      </c>
      <c r="K907" s="229">
        <v>20.7732810499949</v>
      </c>
      <c r="L907" s="229">
        <v>13.171081732401699</v>
      </c>
      <c r="M907" s="229">
        <v>5.9028166547506302</v>
      </c>
      <c r="N907" s="229">
        <v>1.2923166495562681</v>
      </c>
      <c r="O907" s="205">
        <v>9.2386418918932563E-5</v>
      </c>
      <c r="P907" s="232">
        <v>82.472000000000008</v>
      </c>
      <c r="Q907" s="213"/>
      <c r="R907" s="235"/>
    </row>
    <row r="908" spans="1:18" ht="16.5" customHeight="1" x14ac:dyDescent="0.25">
      <c r="A908" s="230">
        <v>45607</v>
      </c>
      <c r="B908" s="128" t="s">
        <v>30</v>
      </c>
      <c r="C908" s="157" t="str">
        <f t="shared" si="29"/>
        <v>11.11.2024_FAL1</v>
      </c>
      <c r="D908" s="190">
        <f t="shared" si="30"/>
        <v>0</v>
      </c>
      <c r="E908" s="231">
        <v>2.9875167316651775E-6</v>
      </c>
      <c r="F908" s="231">
        <v>8.1554435952926017E-4</v>
      </c>
      <c r="G908" s="231">
        <v>0.22192428051531435</v>
      </c>
      <c r="H908" s="231">
        <v>1.699455817960072E-3</v>
      </c>
      <c r="I908" s="231">
        <v>9.0518080407829073E-6</v>
      </c>
      <c r="J908" s="231">
        <v>1.6710207743309902E-3</v>
      </c>
      <c r="K908" s="229">
        <v>90.200824088660099</v>
      </c>
      <c r="L908" s="229">
        <v>29.377747896302498</v>
      </c>
      <c r="M908" s="229">
        <v>33.179416518010797</v>
      </c>
      <c r="N908" s="229">
        <v>5.2617395088157197</v>
      </c>
      <c r="O908" s="205">
        <v>1.772980862562249E-4</v>
      </c>
      <c r="P908" s="232">
        <v>268.88800000000003</v>
      </c>
      <c r="Q908" s="213"/>
      <c r="R908" s="235"/>
    </row>
    <row r="909" spans="1:18" ht="16.5" customHeight="1" x14ac:dyDescent="0.25">
      <c r="A909" s="230">
        <v>45607</v>
      </c>
      <c r="B909" s="128" t="s">
        <v>32</v>
      </c>
      <c r="C909" s="157" t="str">
        <f t="shared" si="29"/>
        <v>11.11.2024_FAL2</v>
      </c>
      <c r="D909" s="190">
        <f t="shared" si="30"/>
        <v>0</v>
      </c>
      <c r="E909" s="231">
        <v>2.8768678114034517E-6</v>
      </c>
      <c r="F909" s="231">
        <v>7.9002673403162334E-4</v>
      </c>
      <c r="G909" s="231">
        <v>0.23606228239464772</v>
      </c>
      <c r="H909" s="231">
        <v>1.8365608078644948E-3</v>
      </c>
      <c r="I909" s="231">
        <v>1.5372565713272876E-5</v>
      </c>
      <c r="J909" s="231">
        <v>1.0559322609800803E-3</v>
      </c>
      <c r="K909" s="229">
        <v>90.196429276713502</v>
      </c>
      <c r="L909" s="229">
        <v>29.468010819905501</v>
      </c>
      <c r="M909" s="229">
        <v>29.237032330613602</v>
      </c>
      <c r="N909" s="229">
        <v>5.087356058096594</v>
      </c>
      <c r="O909" s="205">
        <v>1.9556872964006557E-4</v>
      </c>
      <c r="P909" s="232">
        <v>310.12399999999997</v>
      </c>
      <c r="Q909" s="213"/>
      <c r="R909" s="235"/>
    </row>
    <row r="910" spans="1:18" ht="16.5" customHeight="1" x14ac:dyDescent="0.25">
      <c r="A910" s="230">
        <v>45607</v>
      </c>
      <c r="B910" s="128" t="s">
        <v>26</v>
      </c>
      <c r="C910" s="157" t="str">
        <f t="shared" si="29"/>
        <v>11.11.2024_GRU1</v>
      </c>
      <c r="D910" s="190">
        <f t="shared" si="30"/>
        <v>0</v>
      </c>
      <c r="E910" s="231">
        <v>4.4812771939260996E-6</v>
      </c>
      <c r="F910" s="231">
        <v>6.9805405994316776E-4</v>
      </c>
      <c r="G910" s="231">
        <v>8.5251294684404566E-2</v>
      </c>
      <c r="H910" s="231">
        <v>2.0076953705688619E-3</v>
      </c>
      <c r="I910" s="231">
        <v>7.803273395101425E-6</v>
      </c>
      <c r="J910" s="231">
        <v>6.648195393870176E-3</v>
      </c>
      <c r="K910" s="229">
        <v>20.2648108767936</v>
      </c>
      <c r="L910" s="229">
        <v>9.8353871849118502</v>
      </c>
      <c r="M910" s="229">
        <v>6.13493882392026</v>
      </c>
      <c r="N910" s="229">
        <v>1.9953188355447879</v>
      </c>
      <c r="O910" s="205">
        <v>1.186799395546318E-4</v>
      </c>
      <c r="P910" s="232">
        <v>66.856000000000009</v>
      </c>
      <c r="Q910" s="213"/>
      <c r="R910" s="235"/>
    </row>
    <row r="911" spans="1:18" ht="16.5" customHeight="1" x14ac:dyDescent="0.25">
      <c r="A911" s="230">
        <v>45607</v>
      </c>
      <c r="B911" s="128" t="s">
        <v>28</v>
      </c>
      <c r="C911" s="157" t="str">
        <f t="shared" si="29"/>
        <v>11.11.2024_GRU2</v>
      </c>
      <c r="D911" s="190">
        <f t="shared" si="30"/>
        <v>0</v>
      </c>
      <c r="E911" s="231">
        <v>6.0303629244252271E-6</v>
      </c>
      <c r="F911" s="231">
        <v>1.7765044297312427E-3</v>
      </c>
      <c r="G911" s="231">
        <v>8.3494604304342676E-2</v>
      </c>
      <c r="H911" s="231">
        <v>1.5874671327676499E-3</v>
      </c>
      <c r="I911" s="231">
        <v>5.8134274569623046E-6</v>
      </c>
      <c r="J911" s="231">
        <v>1.125596311063266E-3</v>
      </c>
      <c r="K911" s="229">
        <v>21.252818184056</v>
      </c>
      <c r="L911" s="229">
        <v>7.85141670934616</v>
      </c>
      <c r="M911" s="229">
        <v>5.5331538227079697</v>
      </c>
      <c r="N911" s="229">
        <v>1.9403046150016328</v>
      </c>
      <c r="O911" s="205">
        <v>1.2889968791948727E-4</v>
      </c>
      <c r="P911" s="232">
        <v>66.856000000000009</v>
      </c>
      <c r="Q911" s="213"/>
      <c r="R911" s="235"/>
    </row>
    <row r="912" spans="1:18" ht="16.5" customHeight="1" x14ac:dyDescent="0.25">
      <c r="A912" s="230">
        <v>45607</v>
      </c>
      <c r="B912" s="128" t="s">
        <v>0</v>
      </c>
      <c r="C912" s="157" t="str">
        <f t="shared" si="29"/>
        <v>11.11.2024_KIN1</v>
      </c>
      <c r="D912" s="190">
        <f t="shared" si="30"/>
        <v>0</v>
      </c>
      <c r="E912" s="231">
        <v>2.7662189840868515E-6</v>
      </c>
      <c r="F912" s="231">
        <v>1.0520438129947673E-3</v>
      </c>
      <c r="G912" s="231">
        <v>0.14848278606619919</v>
      </c>
      <c r="H912" s="231">
        <v>1.2528694882354276E-3</v>
      </c>
      <c r="I912" s="231">
        <v>7.1790071510799934E-6</v>
      </c>
      <c r="J912" s="231">
        <v>8.7986641618537944E-4</v>
      </c>
      <c r="K912" s="229">
        <v>47.914790002179402</v>
      </c>
      <c r="L912" s="229">
        <v>17.814475678547801</v>
      </c>
      <c r="M912" s="229">
        <v>5.8773379948101798</v>
      </c>
      <c r="N912" s="229">
        <v>2.0663810328839847</v>
      </c>
      <c r="O912" s="205">
        <v>1.0599069099704747E-4</v>
      </c>
      <c r="P912" s="232">
        <v>189.34399999999999</v>
      </c>
      <c r="Q912" s="213"/>
      <c r="R912" s="235"/>
    </row>
    <row r="913" spans="1:18" ht="16.5" customHeight="1" x14ac:dyDescent="0.25">
      <c r="A913" s="230">
        <v>45607</v>
      </c>
      <c r="B913" s="128" t="s">
        <v>2</v>
      </c>
      <c r="C913" s="157" t="str">
        <f t="shared" si="29"/>
        <v>11.11.2024_KIN2</v>
      </c>
      <c r="D913" s="190">
        <f t="shared" si="30"/>
        <v>0</v>
      </c>
      <c r="E913" s="231">
        <v>4.5366013881303858E-6</v>
      </c>
      <c r="F913" s="231">
        <v>6.705753806303846E-4</v>
      </c>
      <c r="G913" s="231">
        <v>0.13549872687130857</v>
      </c>
      <c r="H913" s="231">
        <v>1.0632406798043474E-3</v>
      </c>
      <c r="I913" s="231">
        <v>7.2180247648848197E-6</v>
      </c>
      <c r="J913" s="231">
        <v>8.4358275989959784E-4</v>
      </c>
      <c r="K913" s="229">
        <v>44.070799053983599</v>
      </c>
      <c r="L913" s="229">
        <v>20.485049885770401</v>
      </c>
      <c r="M913" s="229">
        <v>5.8515060857454104</v>
      </c>
      <c r="N913" s="229">
        <v>2.4223408781223266</v>
      </c>
      <c r="O913" s="205">
        <v>8.2827507551094494E-5</v>
      </c>
      <c r="P913" s="232">
        <v>171.77599999999998</v>
      </c>
      <c r="Q913" s="213"/>
      <c r="R913" s="235"/>
    </row>
    <row r="914" spans="1:18" ht="16.5" customHeight="1" x14ac:dyDescent="0.25">
      <c r="A914" s="230">
        <v>45607</v>
      </c>
      <c r="B914" s="128" t="s">
        <v>4</v>
      </c>
      <c r="C914" s="157" t="str">
        <f t="shared" si="29"/>
        <v>11.11.2024_KIN3</v>
      </c>
      <c r="D914" s="190">
        <f t="shared" si="30"/>
        <v>0</v>
      </c>
      <c r="E914" s="231">
        <v>4.2046551488710363E-6</v>
      </c>
      <c r="F914" s="231">
        <v>3.9437692018207873E-3</v>
      </c>
      <c r="G914" s="231">
        <v>0.1450868294818605</v>
      </c>
      <c r="H914" s="231">
        <v>1.3462699820168448E-3</v>
      </c>
      <c r="I914" s="231">
        <v>7.022940983820134E-6</v>
      </c>
      <c r="J914" s="231">
        <v>1.7500415744585384E-3</v>
      </c>
      <c r="K914" s="229">
        <v>53.1712616538858</v>
      </c>
      <c r="L914" s="229">
        <v>20.7692896596308</v>
      </c>
      <c r="M914" s="229">
        <v>6.6317596641888397</v>
      </c>
      <c r="N914" s="229">
        <v>2.207416795427863</v>
      </c>
      <c r="O914" s="205">
        <v>1.0428747662370139E-4</v>
      </c>
      <c r="P914" s="232">
        <v>185.44</v>
      </c>
      <c r="Q914" s="213"/>
      <c r="R914" s="235"/>
    </row>
    <row r="915" spans="1:18" ht="16.5" customHeight="1" x14ac:dyDescent="0.25">
      <c r="A915" s="230">
        <v>45607</v>
      </c>
      <c r="B915" s="128" t="s">
        <v>6</v>
      </c>
      <c r="C915" s="157" t="str">
        <f t="shared" si="29"/>
        <v>11.11.2024_KIN4</v>
      </c>
      <c r="D915" s="190">
        <f t="shared" si="30"/>
        <v>0</v>
      </c>
      <c r="E915" s="231">
        <v>2.6555701567702505E-6</v>
      </c>
      <c r="F915" s="231">
        <v>8.8471483885896481E-4</v>
      </c>
      <c r="G915" s="231">
        <v>0.14372970851786443</v>
      </c>
      <c r="H915" s="231">
        <v>1.3080949200554054E-3</v>
      </c>
      <c r="I915" s="231">
        <v>1.5021409747154596E-5</v>
      </c>
      <c r="J915" s="231">
        <v>2.066754124094666E-3</v>
      </c>
      <c r="K915" s="229">
        <v>44.791245843236901</v>
      </c>
      <c r="L915" s="229">
        <v>21.012702804581899</v>
      </c>
      <c r="M915" s="229">
        <v>11.264722538268799</v>
      </c>
      <c r="N915" s="229">
        <v>2.5149597494387543</v>
      </c>
      <c r="O915" s="205">
        <v>1.2074515734155284E-4</v>
      </c>
      <c r="P915" s="232">
        <v>164.21200000000002</v>
      </c>
      <c r="Q915" s="213"/>
      <c r="R915" s="235"/>
    </row>
    <row r="916" spans="1:18" ht="16.5" customHeight="1" x14ac:dyDescent="0.25">
      <c r="A916" s="230">
        <v>45607</v>
      </c>
      <c r="B916" s="128" t="s">
        <v>34</v>
      </c>
      <c r="C916" s="157" t="str">
        <f t="shared" si="29"/>
        <v>11.11.2024_KRE1</v>
      </c>
      <c r="D916" s="190">
        <f t="shared" si="30"/>
        <v>0</v>
      </c>
      <c r="E916" s="231">
        <v>2.3789481375330715E-6</v>
      </c>
      <c r="F916" s="231">
        <v>1.1789061056865057E-3</v>
      </c>
      <c r="G916" s="231">
        <v>0.26305167150263042</v>
      </c>
      <c r="H916" s="231">
        <v>2.2853737563559885E-3</v>
      </c>
      <c r="I916" s="231">
        <v>1.2875465559143508E-5</v>
      </c>
      <c r="J916" s="231">
        <v>1.0476646347037009E-3</v>
      </c>
      <c r="K916" s="229">
        <v>106.262225431422</v>
      </c>
      <c r="L916" s="229">
        <v>30.535562697808398</v>
      </c>
      <c r="M916" s="229">
        <v>29.9303173529626</v>
      </c>
      <c r="N916" s="229">
        <v>4.6493923792221254</v>
      </c>
      <c r="O916" s="205">
        <v>2.2600033918758418E-4</v>
      </c>
      <c r="P916" s="232">
        <v>362.34000000000003</v>
      </c>
      <c r="Q916" s="213"/>
      <c r="R916" s="235"/>
    </row>
    <row r="917" spans="1:18" ht="16.5" customHeight="1" x14ac:dyDescent="0.25">
      <c r="A917" s="230">
        <v>45607</v>
      </c>
      <c r="B917" s="128" t="s">
        <v>37</v>
      </c>
      <c r="C917" s="157" t="str">
        <f t="shared" si="29"/>
        <v>11.11.2024_KRE2</v>
      </c>
      <c r="D917" s="190">
        <f t="shared" si="30"/>
        <v>0</v>
      </c>
      <c r="E917" s="231">
        <v>3.1534900681670018E-6</v>
      </c>
      <c r="F917" s="231">
        <v>8.5442910091063974E-4</v>
      </c>
      <c r="G917" s="231">
        <v>0.19873078870851554</v>
      </c>
      <c r="H917" s="231">
        <v>1.9060166093152189E-3</v>
      </c>
      <c r="I917" s="231">
        <v>1.5411583418136015E-5</v>
      </c>
      <c r="J917" s="231">
        <v>1.2837619702877794E-3</v>
      </c>
      <c r="K917" s="229">
        <v>76.742592964853202</v>
      </c>
      <c r="L917" s="229">
        <v>29.725842080126299</v>
      </c>
      <c r="M917" s="229">
        <v>28.676192612055299</v>
      </c>
      <c r="N917" s="229">
        <v>4.5474900659015436</v>
      </c>
      <c r="O917" s="205">
        <v>2.3937475951528469E-4</v>
      </c>
      <c r="P917" s="232">
        <v>235.70399999999998</v>
      </c>
      <c r="Q917" s="213"/>
      <c r="R917" s="235"/>
    </row>
    <row r="918" spans="1:18" ht="16.5" customHeight="1" x14ac:dyDescent="0.25">
      <c r="A918" s="230">
        <v>45607</v>
      </c>
      <c r="B918" s="128" t="s">
        <v>18</v>
      </c>
      <c r="C918" s="157" t="str">
        <f t="shared" si="29"/>
        <v>11.11.2024_ORB1</v>
      </c>
      <c r="D918" s="190">
        <f t="shared" si="30"/>
        <v>0</v>
      </c>
      <c r="E918" s="231">
        <v>5.1451707774601393E-6</v>
      </c>
      <c r="F918" s="231">
        <v>5.5010380945557269E-4</v>
      </c>
      <c r="G918" s="231">
        <v>6.1957192032427985E-2</v>
      </c>
      <c r="H918" s="231">
        <v>8.7069614021484496E-4</v>
      </c>
      <c r="I918" s="231">
        <v>6.3596587738081335E-6</v>
      </c>
      <c r="J918" s="231">
        <v>2.1895900093643005E-3</v>
      </c>
      <c r="K918" s="229">
        <v>12.441041142073701</v>
      </c>
      <c r="L918" s="229">
        <v>2.7093845808150401</v>
      </c>
      <c r="M918" s="229">
        <v>5.4639360467902298</v>
      </c>
      <c r="N918" s="229">
        <v>2.7359481179915823</v>
      </c>
      <c r="O918" s="205">
        <v>4.627576525924747E-5</v>
      </c>
      <c r="P918" s="232">
        <v>23.18</v>
      </c>
      <c r="Q918" s="213"/>
      <c r="R918" s="235"/>
    </row>
    <row r="919" spans="1:18" ht="16.5" customHeight="1" x14ac:dyDescent="0.25">
      <c r="A919" s="230">
        <v>45607</v>
      </c>
      <c r="B919" s="128" t="s">
        <v>21</v>
      </c>
      <c r="C919" s="157" t="str">
        <f t="shared" si="29"/>
        <v>11.11.2024_ORB2</v>
      </c>
      <c r="D919" s="190">
        <f t="shared" si="30"/>
        <v>0</v>
      </c>
      <c r="E919" s="231">
        <v>6.0856875678649175E-6</v>
      </c>
      <c r="F919" s="231">
        <v>7.6722005763962689E-4</v>
      </c>
      <c r="G919" s="231">
        <v>7.1674294004234224E-2</v>
      </c>
      <c r="H919" s="231">
        <v>9.8557638330552333E-4</v>
      </c>
      <c r="I919" s="231">
        <v>5.0721142526682206E-6</v>
      </c>
      <c r="J919" s="231">
        <v>4.7362810878852279E-3</v>
      </c>
      <c r="K919" s="229">
        <v>16.773710682773899</v>
      </c>
      <c r="L919" s="229">
        <v>3.4882250407173498</v>
      </c>
      <c r="M919" s="229">
        <v>13.0674758523874</v>
      </c>
      <c r="N919" s="229">
        <v>3.2974097967425067</v>
      </c>
      <c r="O919" s="205">
        <v>6.7584803713850595E-5</v>
      </c>
      <c r="P919" s="232">
        <v>30.988</v>
      </c>
      <c r="Q919" s="213"/>
      <c r="R919" s="235"/>
    </row>
    <row r="920" spans="1:18" ht="16.5" customHeight="1" x14ac:dyDescent="0.25">
      <c r="A920" s="230">
        <v>45607</v>
      </c>
      <c r="B920" s="128" t="s">
        <v>10</v>
      </c>
      <c r="C920" s="157" t="str">
        <f t="shared" si="29"/>
        <v>11.11.2024_SAL1</v>
      </c>
      <c r="D920" s="190">
        <f t="shared" si="30"/>
        <v>0</v>
      </c>
      <c r="E920" s="231">
        <v>3.1534900578397626E-6</v>
      </c>
      <c r="F920" s="231">
        <v>6.1552570739548487E-4</v>
      </c>
      <c r="G920" s="231">
        <v>9.2247468531273122E-2</v>
      </c>
      <c r="H920" s="231">
        <v>1.2283357202063333E-3</v>
      </c>
      <c r="I920" s="231">
        <v>6.6717920551360139E-6</v>
      </c>
      <c r="J920" s="231">
        <v>9.166097733147938E-4</v>
      </c>
      <c r="K920" s="229">
        <v>23.384412613468399</v>
      </c>
      <c r="L920" s="229">
        <v>14.552507238292399</v>
      </c>
      <c r="M920" s="229">
        <v>6.4092794158714499</v>
      </c>
      <c r="N920" s="229">
        <v>1.3892690882461272</v>
      </c>
      <c r="O920" s="205">
        <v>1.0283975713540229E-4</v>
      </c>
      <c r="P920" s="232">
        <v>99.307999999999993</v>
      </c>
      <c r="Q920" s="213"/>
      <c r="R920" s="235"/>
    </row>
    <row r="921" spans="1:18" ht="16.5" customHeight="1" x14ac:dyDescent="0.25">
      <c r="A921" s="230">
        <v>45607</v>
      </c>
      <c r="B921" s="128" t="s">
        <v>12</v>
      </c>
      <c r="C921" s="157" t="str">
        <f t="shared" si="29"/>
        <v>11.11.2024_SAL2</v>
      </c>
      <c r="D921" s="190">
        <f t="shared" si="30"/>
        <v>0</v>
      </c>
      <c r="E921" s="231">
        <v>4.5366018012202675E-6</v>
      </c>
      <c r="F921" s="231">
        <v>6.1561926666237987E-4</v>
      </c>
      <c r="G921" s="231">
        <v>9.0228521749181417E-2</v>
      </c>
      <c r="H921" s="231">
        <v>1.2159271457976373E-3</v>
      </c>
      <c r="I921" s="231">
        <v>5.3452300658577989E-6</v>
      </c>
      <c r="J921" s="231">
        <v>5.3358290325164319E-4</v>
      </c>
      <c r="K921" s="229">
        <v>25.8449720928439</v>
      </c>
      <c r="L921" s="229">
        <v>14.7420652077935</v>
      </c>
      <c r="M921" s="229">
        <v>6.7074368977084502</v>
      </c>
      <c r="N921" s="229">
        <v>1.4307849928497343</v>
      </c>
      <c r="O921" s="205">
        <v>9.7283057487571002E-5</v>
      </c>
      <c r="P921" s="232">
        <v>105.408</v>
      </c>
      <c r="Q921" s="213"/>
      <c r="R921" s="235"/>
    </row>
    <row r="922" spans="1:18" ht="16.5" customHeight="1" x14ac:dyDescent="0.25">
      <c r="A922" s="230">
        <v>45607</v>
      </c>
      <c r="B922" s="128" t="s">
        <v>7</v>
      </c>
      <c r="C922" s="157" t="str">
        <f t="shared" si="29"/>
        <v>11.11.2024_STE1</v>
      </c>
      <c r="D922" s="190">
        <f t="shared" si="30"/>
        <v>0</v>
      </c>
      <c r="E922" s="231">
        <v>4.3153034804797941E-6</v>
      </c>
      <c r="F922" s="231">
        <v>8.0918832607234411E-4</v>
      </c>
      <c r="G922" s="231">
        <v>0.11542979655916101</v>
      </c>
      <c r="H922" s="231">
        <v>1.4225287490075261E-3</v>
      </c>
      <c r="I922" s="231">
        <v>5.3062126250329247E-6</v>
      </c>
      <c r="J922" s="231">
        <v>5.3128664873747981E-4</v>
      </c>
      <c r="K922" s="229">
        <v>39.456957683528699</v>
      </c>
      <c r="L922" s="229">
        <v>16.196076540754401</v>
      </c>
      <c r="M922" s="229">
        <v>8.4969170326215409</v>
      </c>
      <c r="N922" s="229">
        <v>1.5691123385724719</v>
      </c>
      <c r="O922" s="205">
        <v>9.1577414224009376E-5</v>
      </c>
      <c r="P922" s="232">
        <v>138.83599999999998</v>
      </c>
      <c r="Q922" s="213"/>
      <c r="R922" s="235"/>
    </row>
    <row r="923" spans="1:18" ht="16.5" customHeight="1" x14ac:dyDescent="0.25">
      <c r="A923" s="230">
        <v>45607</v>
      </c>
      <c r="B923" s="128" t="s">
        <v>9</v>
      </c>
      <c r="C923" s="157" t="str">
        <f t="shared" si="29"/>
        <v>11.11.2024_STE2</v>
      </c>
      <c r="D923" s="190">
        <f t="shared" si="30"/>
        <v>0</v>
      </c>
      <c r="E923" s="231">
        <v>1.9916772186886696E-6</v>
      </c>
      <c r="F923" s="231">
        <v>9.5949684433314073E-4</v>
      </c>
      <c r="G923" s="231">
        <v>0.10583487290252014</v>
      </c>
      <c r="H923" s="231">
        <v>3.8319527555006989E-3</v>
      </c>
      <c r="I923" s="231">
        <v>5.3842460045391869E-6</v>
      </c>
      <c r="J923" s="231">
        <v>6.9386033267324911E-4</v>
      </c>
      <c r="K923" s="229">
        <v>31.015975919917999</v>
      </c>
      <c r="L923" s="229">
        <v>15.743629943358901</v>
      </c>
      <c r="M923" s="229">
        <v>8.1727872111482398</v>
      </c>
      <c r="N923" s="229">
        <v>1.6137093759996071</v>
      </c>
      <c r="O923" s="205">
        <v>9.9774000954877708E-5</v>
      </c>
      <c r="P923" s="232">
        <v>117.60799999999999</v>
      </c>
      <c r="Q923" s="213"/>
      <c r="R923" s="235"/>
    </row>
    <row r="924" spans="1:18" ht="16.5" customHeight="1" x14ac:dyDescent="0.25">
      <c r="A924" s="230">
        <v>45635</v>
      </c>
      <c r="B924" s="128" t="s">
        <v>22</v>
      </c>
      <c r="C924" s="157" t="str">
        <f t="shared" si="29"/>
        <v>09.12.2024_BIE1</v>
      </c>
      <c r="D924" s="190">
        <f t="shared" si="30"/>
        <v>0</v>
      </c>
      <c r="E924" s="231">
        <v>1.3871711094944517E-5</v>
      </c>
      <c r="F924" s="231">
        <v>1.5917528061985819E-3</v>
      </c>
      <c r="G924" s="231">
        <v>9.9606279733409853E-2</v>
      </c>
      <c r="H924" s="231">
        <v>1.6485343164299193E-3</v>
      </c>
      <c r="I924" s="231">
        <v>1.7434241818518703E-5</v>
      </c>
      <c r="J924" s="231">
        <v>5.3057785647275509E-3</v>
      </c>
      <c r="K924" s="229">
        <v>15.9228125385903</v>
      </c>
      <c r="L924" s="229">
        <v>7.6766824188128604</v>
      </c>
      <c r="M924" s="229">
        <v>6.1386882298376504</v>
      </c>
      <c r="N924" s="229">
        <v>2.1740074399806799</v>
      </c>
      <c r="O924" s="205">
        <v>1.7403247780287958E-4</v>
      </c>
      <c r="P924" s="232">
        <v>61.244</v>
      </c>
      <c r="Q924" s="213"/>
      <c r="R924" s="235"/>
    </row>
    <row r="925" spans="1:18" ht="16.5" customHeight="1" x14ac:dyDescent="0.25">
      <c r="A925" s="230">
        <v>45635</v>
      </c>
      <c r="B925" s="128" t="s">
        <v>25</v>
      </c>
      <c r="C925" s="157" t="str">
        <f t="shared" si="29"/>
        <v>09.12.2024_BIE2</v>
      </c>
      <c r="D925" s="190">
        <f t="shared" si="30"/>
        <v>0</v>
      </c>
      <c r="E925" s="231">
        <v>1.1565570880262268E-5</v>
      </c>
      <c r="F925" s="231">
        <v>1.3856430051172462E-3</v>
      </c>
      <c r="G925" s="231">
        <v>9.8132215333714537E-2</v>
      </c>
      <c r="H925" s="231">
        <v>1.5719424999379981E-3</v>
      </c>
      <c r="I925" s="231">
        <v>1.5141701427957744E-5</v>
      </c>
      <c r="J925" s="231">
        <v>3.9092555339752281E-3</v>
      </c>
      <c r="K925" s="229">
        <v>16.452968101607599</v>
      </c>
      <c r="L925" s="229">
        <v>6.3125134352140604</v>
      </c>
      <c r="M925" s="229">
        <v>5.1987023308149096</v>
      </c>
      <c r="N925" s="229">
        <v>1.4971358660393399</v>
      </c>
      <c r="O925" s="205">
        <v>1.602452773406348E-4</v>
      </c>
      <c r="P925" s="232">
        <v>58.071999999999996</v>
      </c>
      <c r="Q925" s="213"/>
      <c r="R925" s="235"/>
    </row>
    <row r="926" spans="1:18" ht="16.5" customHeight="1" x14ac:dyDescent="0.25">
      <c r="A926" s="230">
        <v>45635</v>
      </c>
      <c r="B926" s="128" t="s">
        <v>14</v>
      </c>
      <c r="C926" s="157" t="str">
        <f t="shared" si="29"/>
        <v>09.12.2024_BRA1</v>
      </c>
      <c r="D926" s="190">
        <f t="shared" si="30"/>
        <v>0</v>
      </c>
      <c r="E926" s="231">
        <v>3.7736475443089382E-6</v>
      </c>
      <c r="F926" s="231">
        <v>7.6497499533094459E-4</v>
      </c>
      <c r="G926" s="231">
        <v>7.951923887007234E-2</v>
      </c>
      <c r="H926" s="231">
        <v>1.3856373621375371E-3</v>
      </c>
      <c r="I926" s="231">
        <v>6.367928342935216E-6</v>
      </c>
      <c r="J926" s="231">
        <v>1.3553400477397627E-3</v>
      </c>
      <c r="K926" s="229">
        <v>10.871225332464601</v>
      </c>
      <c r="L926" s="229">
        <v>7.7200886642849502</v>
      </c>
      <c r="M926" s="229">
        <v>5.6209050018036697</v>
      </c>
      <c r="N926" s="229">
        <v>0.30976478789698902</v>
      </c>
      <c r="O926" s="205">
        <v>1.2622151691567065E-4</v>
      </c>
      <c r="P926" s="232">
        <v>44.896000000000001</v>
      </c>
      <c r="Q926" s="213"/>
      <c r="R926" s="235"/>
    </row>
    <row r="927" spans="1:18" ht="16.5" customHeight="1" x14ac:dyDescent="0.25">
      <c r="A927" s="230">
        <v>45635</v>
      </c>
      <c r="B927" s="128" t="s">
        <v>17</v>
      </c>
      <c r="C927" s="157" t="str">
        <f t="shared" si="29"/>
        <v>09.12.2024_BRA2</v>
      </c>
      <c r="D927" s="190">
        <f t="shared" si="30"/>
        <v>0</v>
      </c>
      <c r="E927" s="231">
        <v>4.4025903697802945E-6</v>
      </c>
      <c r="F927" s="231">
        <v>1.1319370844707741E-3</v>
      </c>
      <c r="G927" s="231">
        <v>8.2070715519489995E-2</v>
      </c>
      <c r="H927" s="231">
        <v>1.4428465382645154E-3</v>
      </c>
      <c r="I927" s="231">
        <v>1.2452945125059951E-5</v>
      </c>
      <c r="J927" s="231">
        <v>1.5617184582468523E-3</v>
      </c>
      <c r="K927" s="229">
        <v>12.4477599213656</v>
      </c>
      <c r="L927" s="229">
        <v>8.6344680040470596</v>
      </c>
      <c r="M927" s="229">
        <v>6.2231904208275202</v>
      </c>
      <c r="N927" s="229">
        <v>0.40189657906514797</v>
      </c>
      <c r="O927" s="205">
        <v>9.6372357706048909E-5</v>
      </c>
      <c r="P927" s="232">
        <v>47.091999999999999</v>
      </c>
      <c r="Q927" s="213"/>
      <c r="R927" s="235"/>
    </row>
    <row r="928" spans="1:18" ht="16.5" customHeight="1" x14ac:dyDescent="0.25">
      <c r="A928" s="230">
        <v>45635</v>
      </c>
      <c r="B928" s="128" t="s">
        <v>30</v>
      </c>
      <c r="C928" s="157" t="str">
        <f t="shared" si="29"/>
        <v>09.12.2024_FAL1</v>
      </c>
      <c r="D928" s="190">
        <f t="shared" si="30"/>
        <v>0</v>
      </c>
      <c r="E928" s="231">
        <v>3.3194114717868895E-6</v>
      </c>
      <c r="F928" s="231">
        <v>1.2951961400559664E-3</v>
      </c>
      <c r="G928" s="231">
        <v>0.22526010936934432</v>
      </c>
      <c r="H928" s="231">
        <v>2.2788815829264935E-3</v>
      </c>
      <c r="I928" s="231">
        <v>1.1773678929629011E-5</v>
      </c>
      <c r="J928" s="231">
        <v>2.3204640075548573E-3</v>
      </c>
      <c r="K928" s="229">
        <v>60.090754961658199</v>
      </c>
      <c r="L928" s="229">
        <v>24.200749898899701</v>
      </c>
      <c r="M928" s="229">
        <v>20.791941921525002</v>
      </c>
      <c r="N928" s="229">
        <v>3.6423085604982099</v>
      </c>
      <c r="O928" s="205">
        <v>1.3541108398540177E-4</v>
      </c>
      <c r="P928" s="232">
        <v>243.756</v>
      </c>
      <c r="Q928" s="213"/>
      <c r="R928" s="235"/>
    </row>
    <row r="929" spans="1:18" ht="16.5" customHeight="1" x14ac:dyDescent="0.25">
      <c r="A929" s="230">
        <v>45635</v>
      </c>
      <c r="B929" s="128" t="s">
        <v>32</v>
      </c>
      <c r="C929" s="157" t="str">
        <f t="shared" si="29"/>
        <v>09.12.2024_FAL2</v>
      </c>
      <c r="D929" s="190">
        <f t="shared" si="30"/>
        <v>0</v>
      </c>
      <c r="E929" s="231">
        <v>2.9001168548647431E-6</v>
      </c>
      <c r="F929" s="231">
        <v>1.3108585689193021E-3</v>
      </c>
      <c r="G929" s="231">
        <v>0.22180444401505539</v>
      </c>
      <c r="H929" s="231">
        <v>2.4446683317123677E-3</v>
      </c>
      <c r="I929" s="231">
        <v>1.0273646674320522E-5</v>
      </c>
      <c r="J929" s="231">
        <v>1.6791625228644929E-3</v>
      </c>
      <c r="K929" s="229">
        <v>58.282535500711603</v>
      </c>
      <c r="L929" s="229">
        <v>23.9131546792701</v>
      </c>
      <c r="M929" s="229">
        <v>19.916173337222599</v>
      </c>
      <c r="N929" s="229">
        <v>3.6360336163941702</v>
      </c>
      <c r="O929" s="205">
        <v>1.3368913329170562E-4</v>
      </c>
      <c r="P929" s="232">
        <v>208.376</v>
      </c>
      <c r="Q929" s="213"/>
      <c r="R929" s="235"/>
    </row>
    <row r="930" spans="1:18" ht="16.5" customHeight="1" x14ac:dyDescent="0.25">
      <c r="A930" s="230">
        <v>45635</v>
      </c>
      <c r="B930" s="128" t="s">
        <v>26</v>
      </c>
      <c r="C930" s="157" t="str">
        <f t="shared" si="29"/>
        <v>09.12.2024_GRU1</v>
      </c>
      <c r="D930" s="190">
        <f t="shared" si="30"/>
        <v>0</v>
      </c>
      <c r="E930" s="231">
        <v>9.923322890971713E-6</v>
      </c>
      <c r="F930" s="231">
        <v>1.6105085599950701E-3</v>
      </c>
      <c r="G930" s="231">
        <v>9.2796267574874802E-2</v>
      </c>
      <c r="H930" s="231">
        <v>3.1862104157656642E-3</v>
      </c>
      <c r="I930" s="231">
        <v>1.021704155097443E-5</v>
      </c>
      <c r="J930" s="231">
        <v>1.9545670073169369E-3</v>
      </c>
      <c r="K930" s="229">
        <v>14.5048648322165</v>
      </c>
      <c r="L930" s="229">
        <v>6.8740090376301097</v>
      </c>
      <c r="M930" s="229">
        <v>6.2895422203352203</v>
      </c>
      <c r="N930" s="229">
        <v>1.1049090805595301</v>
      </c>
      <c r="O930" s="205">
        <v>1.1974199941322058E-4</v>
      </c>
      <c r="P930" s="232">
        <v>44.164000000000001</v>
      </c>
      <c r="Q930" s="213"/>
      <c r="R930" s="235"/>
    </row>
    <row r="931" spans="1:18" ht="16.5" customHeight="1" x14ac:dyDescent="0.25">
      <c r="A931" s="230">
        <v>45635</v>
      </c>
      <c r="B931" s="128" t="s">
        <v>28</v>
      </c>
      <c r="C931" s="157" t="str">
        <f t="shared" si="29"/>
        <v>09.12.2024_GRU2</v>
      </c>
      <c r="D931" s="190">
        <f t="shared" si="30"/>
        <v>0</v>
      </c>
      <c r="E931" s="231">
        <v>5.380945608651231E-6</v>
      </c>
      <c r="F931" s="231">
        <v>1.0415514828064924E-3</v>
      </c>
      <c r="G931" s="231">
        <v>0.1142739463836952</v>
      </c>
      <c r="H931" s="231">
        <v>2.9796145055674961E-3</v>
      </c>
      <c r="I931" s="231">
        <v>1.236803304174703E-5</v>
      </c>
      <c r="J931" s="231">
        <v>1.2533562520357588E-3</v>
      </c>
      <c r="K931" s="229">
        <v>16.087444474514601</v>
      </c>
      <c r="L931" s="229">
        <v>6.5914049609657903</v>
      </c>
      <c r="M931" s="229">
        <v>6.1081629544157501</v>
      </c>
      <c r="N931" s="229">
        <v>1.0488023432852001</v>
      </c>
      <c r="O931" s="205">
        <v>1.1865455356421525E-4</v>
      </c>
      <c r="P931" s="232">
        <v>48.068000000000005</v>
      </c>
      <c r="Q931" s="213"/>
      <c r="R931" s="235"/>
    </row>
    <row r="932" spans="1:18" ht="16.5" customHeight="1" x14ac:dyDescent="0.25">
      <c r="A932" s="230">
        <v>45635</v>
      </c>
      <c r="B932" s="128" t="s">
        <v>0</v>
      </c>
      <c r="C932" s="157" t="str">
        <f t="shared" si="29"/>
        <v>09.12.2024_KIN1</v>
      </c>
      <c r="D932" s="190">
        <f t="shared" si="30"/>
        <v>0</v>
      </c>
      <c r="E932" s="231">
        <v>4.0182361746612702E-6</v>
      </c>
      <c r="F932" s="231">
        <v>1.43082719238149E-3</v>
      </c>
      <c r="G932" s="231">
        <v>0.1463295770272646</v>
      </c>
      <c r="H932" s="231">
        <v>1.8018999721973335E-3</v>
      </c>
      <c r="I932" s="231">
        <v>9.7075976928368742E-6</v>
      </c>
      <c r="J932" s="231">
        <v>2.2029942582023972E-3</v>
      </c>
      <c r="K932" s="229">
        <v>28.524970911798</v>
      </c>
      <c r="L932" s="229">
        <v>11.1022745147857</v>
      </c>
      <c r="M932" s="229">
        <v>7.9501807214985396</v>
      </c>
      <c r="N932" s="229">
        <v>1.35872685879074</v>
      </c>
      <c r="O932" s="205">
        <v>9.092682734041058E-5</v>
      </c>
      <c r="P932" s="232">
        <v>94.183999999999997</v>
      </c>
      <c r="Q932" s="213"/>
      <c r="R932" s="235"/>
    </row>
    <row r="933" spans="1:18" ht="16.5" customHeight="1" x14ac:dyDescent="0.25">
      <c r="A933" s="230">
        <v>45635</v>
      </c>
      <c r="B933" s="128" t="s">
        <v>2</v>
      </c>
      <c r="C933" s="157" t="str">
        <f t="shared" si="29"/>
        <v>09.12.2024_KIN2</v>
      </c>
      <c r="D933" s="190">
        <f t="shared" si="30"/>
        <v>0</v>
      </c>
      <c r="E933" s="231">
        <v>2.8651757253834087E-6</v>
      </c>
      <c r="F933" s="231">
        <v>1.2230886717290144E-3</v>
      </c>
      <c r="G933" s="231">
        <v>0.11708174623953589</v>
      </c>
      <c r="H933" s="231">
        <v>1.3903391748755543E-3</v>
      </c>
      <c r="I933" s="231">
        <v>1.0443460716949605E-5</v>
      </c>
      <c r="J933" s="231">
        <v>1.4358798329374316E-3</v>
      </c>
      <c r="K933" s="229">
        <v>22.301303837287598</v>
      </c>
      <c r="L933" s="229">
        <v>12.9770862580721</v>
      </c>
      <c r="M933" s="229">
        <v>7.6401683996587701</v>
      </c>
      <c r="N933" s="229">
        <v>1.4475651512147201</v>
      </c>
      <c r="O933" s="205">
        <v>7.6122406008376252E-5</v>
      </c>
      <c r="P933" s="232">
        <v>91.744</v>
      </c>
      <c r="Q933" s="213"/>
      <c r="R933" s="235"/>
    </row>
    <row r="934" spans="1:18" ht="16.5" customHeight="1" x14ac:dyDescent="0.25">
      <c r="A934" s="230">
        <v>45635</v>
      </c>
      <c r="B934" s="128" t="s">
        <v>4</v>
      </c>
      <c r="C934" s="157" t="str">
        <f t="shared" si="29"/>
        <v>09.12.2024_KIN3</v>
      </c>
      <c r="D934" s="190">
        <f t="shared" si="30"/>
        <v>0</v>
      </c>
      <c r="E934" s="231">
        <v>2.2012928401003656E-6</v>
      </c>
      <c r="F934" s="231">
        <v>1.0202643971300215E-3</v>
      </c>
      <c r="G934" s="231">
        <v>0.12401907373758256</v>
      </c>
      <c r="H934" s="231">
        <v>1.8248030855352521E-3</v>
      </c>
      <c r="I934" s="231">
        <v>6.9339714997357829E-6</v>
      </c>
      <c r="J934" s="231">
        <v>1.4357297454424571E-3</v>
      </c>
      <c r="K934" s="229">
        <v>25.0239165564447</v>
      </c>
      <c r="L934" s="229">
        <v>13.2079256157245</v>
      </c>
      <c r="M934" s="229">
        <v>7.59375972719599</v>
      </c>
      <c r="N934" s="229">
        <v>0.97335199992339805</v>
      </c>
      <c r="O934" s="205">
        <v>8.001818503658884E-5</v>
      </c>
      <c r="P934" s="232">
        <v>99.795999999999992</v>
      </c>
      <c r="Q934" s="213"/>
      <c r="R934" s="235"/>
    </row>
    <row r="935" spans="1:18" ht="16.5" customHeight="1" x14ac:dyDescent="0.25">
      <c r="A935" s="230">
        <v>45635</v>
      </c>
      <c r="B935" s="128" t="s">
        <v>6</v>
      </c>
      <c r="C935" s="157" t="str">
        <f t="shared" si="29"/>
        <v>09.12.2024_KIN4</v>
      </c>
      <c r="D935" s="190">
        <f t="shared" si="30"/>
        <v>0</v>
      </c>
      <c r="E935" s="231">
        <v>4.2628249387223325E-6</v>
      </c>
      <c r="F935" s="231">
        <v>1.1945250277836342E-3</v>
      </c>
      <c r="G935" s="231">
        <v>0.13809648355696091</v>
      </c>
      <c r="H935" s="231">
        <v>1.9769631063928021E-3</v>
      </c>
      <c r="I935" s="231">
        <v>1.324541558391851E-5</v>
      </c>
      <c r="J935" s="231">
        <v>2.1153820015175828E-3</v>
      </c>
      <c r="K935" s="229">
        <v>28.223806922186601</v>
      </c>
      <c r="L935" s="229">
        <v>12.971646325342601</v>
      </c>
      <c r="M935" s="229">
        <v>9.3347312966648399</v>
      </c>
      <c r="N935" s="229">
        <v>0.97811960465982095</v>
      </c>
      <c r="O935" s="205">
        <v>9.7631841287382993E-5</v>
      </c>
      <c r="P935" s="232">
        <v>109.556</v>
      </c>
      <c r="Q935" s="213"/>
      <c r="R935" s="235"/>
    </row>
    <row r="936" spans="1:18" ht="16.5" customHeight="1" x14ac:dyDescent="0.25">
      <c r="A936" s="230">
        <v>45635</v>
      </c>
      <c r="B936" s="128" t="s">
        <v>34</v>
      </c>
      <c r="C936" s="157" t="str">
        <f t="shared" si="29"/>
        <v>09.12.2024_KRE1</v>
      </c>
      <c r="D936" s="190">
        <f t="shared" si="30"/>
        <v>0</v>
      </c>
      <c r="E936" s="231">
        <v>3.3892940927411052E-6</v>
      </c>
      <c r="F936" s="231">
        <v>1.1153061392645536E-3</v>
      </c>
      <c r="G936" s="231">
        <v>0.22928240268671737</v>
      </c>
      <c r="H936" s="231">
        <v>2.3396687925475836E-3</v>
      </c>
      <c r="I936" s="231">
        <v>9.7075972503697934E-6</v>
      </c>
      <c r="J936" s="231">
        <v>1.7900111670767799E-3</v>
      </c>
      <c r="K936" s="229">
        <v>59.821004296085498</v>
      </c>
      <c r="L936" s="229">
        <v>25.849929551284699</v>
      </c>
      <c r="M936" s="229">
        <v>19.197179321701501</v>
      </c>
      <c r="N936" s="229">
        <v>2.77145239920022</v>
      </c>
      <c r="O936" s="205">
        <v>1.4791837913827248E-4</v>
      </c>
      <c r="P936" s="232">
        <v>202.27599999999998</v>
      </c>
      <c r="Q936" s="213"/>
      <c r="R936" s="235"/>
    </row>
    <row r="937" spans="1:18" ht="16.5" customHeight="1" x14ac:dyDescent="0.25">
      <c r="A937" s="230">
        <v>45635</v>
      </c>
      <c r="B937" s="128" t="s">
        <v>37</v>
      </c>
      <c r="C937" s="157" t="str">
        <f t="shared" si="29"/>
        <v>09.12.2024_KRE2</v>
      </c>
      <c r="D937" s="190">
        <f t="shared" si="30"/>
        <v>0</v>
      </c>
      <c r="E937" s="231">
        <v>2.8651757906071076E-6</v>
      </c>
      <c r="F937" s="231">
        <v>1.1062651113604848E-3</v>
      </c>
      <c r="G937" s="231">
        <v>0.25472808774477934</v>
      </c>
      <c r="H937" s="231">
        <v>2.657101712921515E-3</v>
      </c>
      <c r="I937" s="231">
        <v>1.5198306214487776E-5</v>
      </c>
      <c r="J937" s="231">
        <v>1.6337141616238049E-3</v>
      </c>
      <c r="K937" s="229">
        <v>68.852213181696897</v>
      </c>
      <c r="L937" s="229">
        <v>26.388425175570902</v>
      </c>
      <c r="M937" s="229">
        <v>19.738313143960401</v>
      </c>
      <c r="N937" s="229">
        <v>2.8736785625432901</v>
      </c>
      <c r="O937" s="205">
        <v>1.6417015934649937E-4</v>
      </c>
      <c r="P937" s="232">
        <v>207.15600000000001</v>
      </c>
      <c r="Q937" s="213"/>
      <c r="R937" s="235"/>
    </row>
    <row r="938" spans="1:18" ht="16.5" customHeight="1" x14ac:dyDescent="0.25">
      <c r="A938" s="230">
        <v>45635</v>
      </c>
      <c r="B938" s="128" t="s">
        <v>18</v>
      </c>
      <c r="C938" s="157" t="str">
        <f t="shared" si="29"/>
        <v>09.12.2024_ORB1</v>
      </c>
      <c r="D938" s="190">
        <f t="shared" si="30"/>
        <v>0</v>
      </c>
      <c r="E938" s="231">
        <v>5.8351831911058361E-6</v>
      </c>
      <c r="F938" s="231">
        <v>8.9022858022511379E-4</v>
      </c>
      <c r="G938" s="231">
        <v>7.7009445053136949E-2</v>
      </c>
      <c r="H938" s="231">
        <v>1.1656736714170373E-3</v>
      </c>
      <c r="I938" s="231">
        <v>1.1122721913120631E-5</v>
      </c>
      <c r="J938" s="231">
        <v>3.0312381359563216E-3</v>
      </c>
      <c r="K938" s="229">
        <v>13.072136832447301</v>
      </c>
      <c r="L938" s="229">
        <v>2.84923695989536</v>
      </c>
      <c r="M938" s="229">
        <v>7.9035947216262601</v>
      </c>
      <c r="N938" s="229">
        <v>2.1636604388268599</v>
      </c>
      <c r="O938" s="205">
        <v>4.7549969963676911E-5</v>
      </c>
      <c r="P938" s="232">
        <v>25.375999999999998</v>
      </c>
      <c r="Q938" s="213"/>
      <c r="R938" s="235"/>
    </row>
    <row r="939" spans="1:18" ht="16.5" customHeight="1" x14ac:dyDescent="0.25">
      <c r="A939" s="230">
        <v>45635</v>
      </c>
      <c r="B939" s="128" t="s">
        <v>21</v>
      </c>
      <c r="C939" s="157" t="str">
        <f t="shared" si="29"/>
        <v>09.12.2024_ORB2</v>
      </c>
      <c r="D939" s="190">
        <f t="shared" si="30"/>
        <v>0</v>
      </c>
      <c r="E939" s="231">
        <v>5.8351825258220206E-6</v>
      </c>
      <c r="F939" s="231">
        <v>1.2156120861537278E-3</v>
      </c>
      <c r="G939" s="231">
        <v>8.7918338922558154E-2</v>
      </c>
      <c r="H939" s="231">
        <v>1.2816386205551453E-3</v>
      </c>
      <c r="I939" s="231">
        <v>1.1943493883609833E-5</v>
      </c>
      <c r="J939" s="231">
        <v>4.4370941285034327E-3</v>
      </c>
      <c r="K939" s="229">
        <v>14.623251102448</v>
      </c>
      <c r="L939" s="229">
        <v>3.00729885901481</v>
      </c>
      <c r="M939" s="229">
        <v>11.9911655939159</v>
      </c>
      <c r="N939" s="229">
        <v>2.13815164627123</v>
      </c>
      <c r="O939" s="205">
        <v>5.9362482311819977E-5</v>
      </c>
      <c r="P939" s="232">
        <v>26.108000000000001</v>
      </c>
      <c r="Q939" s="213"/>
      <c r="R939" s="235"/>
    </row>
    <row r="940" spans="1:18" ht="16.5" customHeight="1" x14ac:dyDescent="0.25">
      <c r="A940" s="230">
        <v>45635</v>
      </c>
      <c r="B940" s="128" t="s">
        <v>10</v>
      </c>
      <c r="C940" s="157" t="str">
        <f t="shared" si="29"/>
        <v>09.12.2024_SAL1</v>
      </c>
      <c r="D940" s="190">
        <f t="shared" si="30"/>
        <v>0</v>
      </c>
      <c r="E940" s="231">
        <v>3.9832949766951032E-6</v>
      </c>
      <c r="F940" s="231">
        <v>8.3708879849191326E-4</v>
      </c>
      <c r="G940" s="231">
        <v>7.7224838851116515E-2</v>
      </c>
      <c r="H940" s="231">
        <v>1.4921649073681908E-3</v>
      </c>
      <c r="I940" s="231">
        <v>6.5943457654693931E-6</v>
      </c>
      <c r="J940" s="231">
        <v>7.4379141039114516E-4</v>
      </c>
      <c r="K940" s="229">
        <v>11.6600849567676</v>
      </c>
      <c r="L940" s="229">
        <v>8.3549429588780502</v>
      </c>
      <c r="M940" s="229">
        <v>5.5371508101101101</v>
      </c>
      <c r="N940" s="229">
        <v>0.24661055279747299</v>
      </c>
      <c r="O940" s="205">
        <v>7.6783774976320164E-5</v>
      </c>
      <c r="P940" s="232">
        <v>45.384</v>
      </c>
      <c r="Q940" s="213"/>
      <c r="R940" s="235"/>
    </row>
    <row r="941" spans="1:18" ht="16.5" customHeight="1" x14ac:dyDescent="0.25">
      <c r="A941" s="230">
        <v>45635</v>
      </c>
      <c r="B941" s="128" t="s">
        <v>12</v>
      </c>
      <c r="C941" s="157" t="str">
        <f t="shared" si="29"/>
        <v>09.12.2024_SAL2</v>
      </c>
      <c r="D941" s="190">
        <f t="shared" si="30"/>
        <v>0</v>
      </c>
      <c r="E941" s="231">
        <v>3.8435302043975808E-6</v>
      </c>
      <c r="F941" s="231">
        <v>1.476245439034808E-3</v>
      </c>
      <c r="G941" s="231">
        <v>9.1009610086739814E-2</v>
      </c>
      <c r="H941" s="231">
        <v>1.6462940400823207E-3</v>
      </c>
      <c r="I941" s="231">
        <v>1.4745466726896767E-5</v>
      </c>
      <c r="J941" s="231">
        <v>1.5800167687184785E-3</v>
      </c>
      <c r="K941" s="229">
        <v>13.899839259993101</v>
      </c>
      <c r="L941" s="229">
        <v>8.4861899600920001</v>
      </c>
      <c r="M941" s="229">
        <v>5.6852465665976197</v>
      </c>
      <c r="N941" s="229">
        <v>0.26063698794623302</v>
      </c>
      <c r="O941" s="205">
        <v>8.3143929382280973E-5</v>
      </c>
      <c r="P941" s="232">
        <v>52.216000000000001</v>
      </c>
      <c r="Q941" s="213"/>
      <c r="R941" s="235"/>
    </row>
    <row r="942" spans="1:18" ht="16.5" customHeight="1" x14ac:dyDescent="0.25">
      <c r="A942" s="230">
        <v>45635</v>
      </c>
      <c r="B942" s="128" t="s">
        <v>7</v>
      </c>
      <c r="C942" s="157" t="str">
        <f t="shared" si="29"/>
        <v>09.12.2024_STE1</v>
      </c>
      <c r="D942" s="190">
        <f t="shared" si="30"/>
        <v>0</v>
      </c>
      <c r="E942" s="231">
        <v>2.0964692396793684E-6</v>
      </c>
      <c r="F942" s="231">
        <v>8.2683224486453284E-4</v>
      </c>
      <c r="G942" s="231">
        <v>8.5327020296262157E-2</v>
      </c>
      <c r="H942" s="231">
        <v>1.7811819426600912E-3</v>
      </c>
      <c r="I942" s="231">
        <v>4.6698029537314017E-6</v>
      </c>
      <c r="J942" s="231">
        <v>5.5156581112437953E-4</v>
      </c>
      <c r="K942" s="229">
        <v>17.299086115268999</v>
      </c>
      <c r="L942" s="229">
        <v>9.5999294401593591</v>
      </c>
      <c r="M942" s="229">
        <v>6.2998172921813298</v>
      </c>
      <c r="N942" s="229">
        <v>0.139978907835767</v>
      </c>
      <c r="O942" s="205">
        <v>8.0199398268972552E-5</v>
      </c>
      <c r="P942" s="232">
        <v>69.295999999999992</v>
      </c>
      <c r="Q942" s="213"/>
      <c r="R942" s="235"/>
    </row>
    <row r="943" spans="1:18" ht="16.5" customHeight="1" x14ac:dyDescent="0.25">
      <c r="A943" s="230">
        <v>45635</v>
      </c>
      <c r="B943" s="128" t="s">
        <v>9</v>
      </c>
      <c r="C943" s="157" t="str">
        <f t="shared" si="29"/>
        <v>09.12.2024_STE2</v>
      </c>
      <c r="D943" s="190">
        <f t="shared" si="30"/>
        <v>0</v>
      </c>
      <c r="E943" s="231">
        <v>3.2844702738206903E-6</v>
      </c>
      <c r="F943" s="231">
        <v>9.5042537309508366E-4</v>
      </c>
      <c r="G943" s="231">
        <v>8.9711829445752123E-2</v>
      </c>
      <c r="H943" s="231">
        <v>1.8923399349288336E-3</v>
      </c>
      <c r="I943" s="231">
        <v>4.5565953354030185E-6</v>
      </c>
      <c r="J943" s="231">
        <v>1.5648677858860131E-3</v>
      </c>
      <c r="K943" s="229">
        <v>17.91800080138</v>
      </c>
      <c r="L943" s="229">
        <v>9.7249796780755897</v>
      </c>
      <c r="M943" s="229">
        <v>6.4983764295930904</v>
      </c>
      <c r="N943" s="229">
        <v>0.20645873273000301</v>
      </c>
      <c r="O943" s="205">
        <v>8.5744240796870898E-5</v>
      </c>
      <c r="P943" s="232">
        <v>70.515999999999991</v>
      </c>
      <c r="Q943" s="213"/>
      <c r="R943" s="235"/>
    </row>
    <row r="944" spans="1:18" x14ac:dyDescent="0.25">
      <c r="A944" s="230">
        <v>45670</v>
      </c>
      <c r="B944" s="128" t="s">
        <v>22</v>
      </c>
      <c r="C944" s="157" t="str">
        <f t="shared" si="29"/>
        <v>13.01.2025_BIE1</v>
      </c>
      <c r="D944" s="190">
        <f t="shared" si="30"/>
        <v>0</v>
      </c>
      <c r="E944" s="252">
        <v>8.9135871425480149E-6</v>
      </c>
      <c r="F944" s="252">
        <v>1.0788536734003785E-3</v>
      </c>
      <c r="G944" s="252">
        <v>6.6643859445712439E-2</v>
      </c>
      <c r="H944" s="252">
        <v>1.068419297672831E-3</v>
      </c>
      <c r="I944" s="252">
        <v>6.4114558604184486E-6</v>
      </c>
      <c r="J944" s="252">
        <v>1.339845750786133E-3</v>
      </c>
      <c r="K944" s="253">
        <v>10.2418160909547</v>
      </c>
      <c r="L944" s="253">
        <v>5.4388819936894803</v>
      </c>
      <c r="M944" s="253">
        <v>4.7064477172175696</v>
      </c>
      <c r="N944" s="253">
        <v>2.1883759993182501</v>
      </c>
      <c r="O944" s="249">
        <v>1.6859868490736043E-4</v>
      </c>
      <c r="P944" s="254">
        <v>44.896000000000001</v>
      </c>
      <c r="Q944" s="213"/>
      <c r="R944" s="235" t="s">
        <v>449</v>
      </c>
    </row>
    <row r="945" spans="1:18" x14ac:dyDescent="0.25">
      <c r="A945" s="230">
        <v>45670</v>
      </c>
      <c r="B945" s="128" t="s">
        <v>25</v>
      </c>
      <c r="C945" s="157" t="str">
        <f t="shared" si="29"/>
        <v>13.01.2025_BIE2</v>
      </c>
      <c r="D945" s="190">
        <f t="shared" si="30"/>
        <v>0</v>
      </c>
      <c r="E945" s="252">
        <v>9.4171811161672872E-6</v>
      </c>
      <c r="F945" s="252">
        <v>1.1031854475598867E-3</v>
      </c>
      <c r="G945" s="252">
        <v>7.1015821411498259E-2</v>
      </c>
      <c r="H945" s="252">
        <v>1.1060035498702584E-3</v>
      </c>
      <c r="I945" s="252">
        <v>7.3596347265860847E-6</v>
      </c>
      <c r="J945" s="252">
        <v>1.6426061102378915E-3</v>
      </c>
      <c r="K945" s="253">
        <v>12.4042421682592</v>
      </c>
      <c r="L945" s="253">
        <v>5.4466742777403203</v>
      </c>
      <c r="M945" s="253">
        <v>5.0350348143586698</v>
      </c>
      <c r="N945" s="253">
        <v>2.1161091591834418</v>
      </c>
      <c r="O945" s="249">
        <v>1.5432259760514652E-4</v>
      </c>
      <c r="P945" s="254">
        <v>44.896000000000001</v>
      </c>
      <c r="Q945" s="213"/>
      <c r="R945" s="235" t="s">
        <v>449</v>
      </c>
    </row>
    <row r="946" spans="1:18" x14ac:dyDescent="0.25">
      <c r="A946" s="230">
        <v>45670</v>
      </c>
      <c r="B946" s="128" t="s">
        <v>14</v>
      </c>
      <c r="C946" s="157" t="str">
        <f t="shared" si="29"/>
        <v>13.01.2025_BRA1</v>
      </c>
      <c r="D946" s="190">
        <f t="shared" si="30"/>
        <v>0</v>
      </c>
      <c r="E946" s="252">
        <v>3.8272969751254552E-6</v>
      </c>
      <c r="F946" s="252">
        <v>5.6154064277321293E-4</v>
      </c>
      <c r="G946" s="252">
        <v>6.1354661063195259E-2</v>
      </c>
      <c r="H946" s="252">
        <v>1.0405096476327189E-3</v>
      </c>
      <c r="I946" s="252">
        <v>3.2960215332323529E-6</v>
      </c>
      <c r="J946" s="252">
        <v>3.9512818033215705E-4</v>
      </c>
      <c r="K946" s="253">
        <v>10.7901164636363</v>
      </c>
      <c r="L946" s="253">
        <v>7.0825347263007403</v>
      </c>
      <c r="M946" s="253">
        <v>5.7284394547601902</v>
      </c>
      <c r="N946" s="253">
        <v>0.60292424364057196</v>
      </c>
      <c r="O946" s="249">
        <v>1.5843302903778835E-4</v>
      </c>
      <c r="P946" s="254">
        <v>43.92</v>
      </c>
      <c r="Q946" s="213"/>
      <c r="R946" s="235" t="s">
        <v>449</v>
      </c>
    </row>
    <row r="947" spans="1:18" x14ac:dyDescent="0.25">
      <c r="A947" s="230">
        <v>45670</v>
      </c>
      <c r="B947" s="128" t="s">
        <v>17</v>
      </c>
      <c r="C947" s="157" t="str">
        <f t="shared" si="29"/>
        <v>13.01.2025_BRA2</v>
      </c>
      <c r="D947" s="190">
        <f t="shared" si="30"/>
        <v>0</v>
      </c>
      <c r="E947" s="252">
        <v>3.0719086844166313E-6</v>
      </c>
      <c r="F947" s="252">
        <v>5.8224133369140225E-4</v>
      </c>
      <c r="G947" s="252">
        <v>5.8482676255161847E-2</v>
      </c>
      <c r="H947" s="252">
        <v>8.4349112297554428E-4</v>
      </c>
      <c r="I947" s="252">
        <v>4.1538934797513588E-6</v>
      </c>
      <c r="J947" s="252">
        <v>2.957705725403805E-4</v>
      </c>
      <c r="K947" s="253">
        <v>10.471659803269</v>
      </c>
      <c r="L947" s="253">
        <v>7.7275256826938499</v>
      </c>
      <c r="M947" s="253">
        <v>6.5251066902201504</v>
      </c>
      <c r="N947" s="253">
        <v>0.72533056903669024</v>
      </c>
      <c r="O947" s="249">
        <v>1.0233035439316949E-4</v>
      </c>
      <c r="P947" s="254">
        <v>42.455999999999996</v>
      </c>
      <c r="Q947" s="213"/>
      <c r="R947" s="235" t="s">
        <v>449</v>
      </c>
    </row>
    <row r="948" spans="1:18" x14ac:dyDescent="0.25">
      <c r="A948" s="230">
        <v>45670</v>
      </c>
      <c r="B948" s="128" t="s">
        <v>30</v>
      </c>
      <c r="C948" s="157" t="str">
        <f t="shared" si="29"/>
        <v>13.01.2025_FAL1</v>
      </c>
      <c r="D948" s="190">
        <f t="shared" si="30"/>
        <v>12</v>
      </c>
      <c r="E948" s="252"/>
      <c r="F948" s="252"/>
      <c r="G948" s="252"/>
      <c r="H948" s="252"/>
      <c r="I948" s="252"/>
      <c r="J948" s="252"/>
      <c r="K948" s="253"/>
      <c r="L948" s="253"/>
      <c r="M948" s="253"/>
      <c r="N948" s="253"/>
      <c r="O948" s="249"/>
      <c r="P948" s="254"/>
      <c r="Q948" s="213"/>
      <c r="R948" s="226" t="s">
        <v>447</v>
      </c>
    </row>
    <row r="949" spans="1:18" x14ac:dyDescent="0.25">
      <c r="A949" s="230">
        <v>45670</v>
      </c>
      <c r="B949" s="128" t="s">
        <v>32</v>
      </c>
      <c r="C949" s="157" t="str">
        <f t="shared" si="29"/>
        <v>13.01.2025_FAL2</v>
      </c>
      <c r="D949" s="190">
        <f t="shared" si="30"/>
        <v>0</v>
      </c>
      <c r="E949" s="252">
        <v>2.7193942386829853E-6</v>
      </c>
      <c r="F949" s="252">
        <v>7.4290397645872903E-4</v>
      </c>
      <c r="G949" s="252">
        <v>0.15494330984050919</v>
      </c>
      <c r="H949" s="252">
        <v>1.5846008525844603E-3</v>
      </c>
      <c r="I949" s="252">
        <v>6.9984247895091073E-6</v>
      </c>
      <c r="J949" s="252">
        <v>7.3927225745482376E-4</v>
      </c>
      <c r="K949" s="253">
        <v>47.547328932348996</v>
      </c>
      <c r="L949" s="253">
        <v>23.082069820569799</v>
      </c>
      <c r="M949" s="253">
        <v>23.742986271954901</v>
      </c>
      <c r="N949" s="253">
        <v>3.134410288979665</v>
      </c>
      <c r="O949" s="249">
        <v>1.4158059075233351E-4</v>
      </c>
      <c r="P949" s="254">
        <v>243.024</v>
      </c>
      <c r="Q949" s="213"/>
      <c r="R949" s="235" t="s">
        <v>449</v>
      </c>
    </row>
    <row r="950" spans="1:18" x14ac:dyDescent="0.25">
      <c r="A950" s="230">
        <v>45670</v>
      </c>
      <c r="B950" s="128" t="s">
        <v>26</v>
      </c>
      <c r="C950" s="157" t="str">
        <f t="shared" si="29"/>
        <v>13.01.2025_GRU1</v>
      </c>
      <c r="D950" s="190">
        <f t="shared" si="30"/>
        <v>0</v>
      </c>
      <c r="E950" s="252">
        <v>5.5395117692362873E-6</v>
      </c>
      <c r="F950" s="252">
        <v>8.6454074365911065E-4</v>
      </c>
      <c r="G950" s="252">
        <v>6.4215838246358473E-2</v>
      </c>
      <c r="H950" s="252">
        <v>1.8886945686364383E-3</v>
      </c>
      <c r="I950" s="252">
        <v>7.3144833158853304E-6</v>
      </c>
      <c r="J950" s="252">
        <v>3.5378810111085125E-4</v>
      </c>
      <c r="K950" s="253">
        <v>13.2370886365155</v>
      </c>
      <c r="L950" s="253">
        <v>7.0188186527806504</v>
      </c>
      <c r="M950" s="253">
        <v>7.8904287102886599</v>
      </c>
      <c r="N950" s="253">
        <v>1.4376657380204727</v>
      </c>
      <c r="O950" s="249">
        <v>1.0994924691010902E-4</v>
      </c>
      <c r="P950" s="254">
        <v>44.164000000000001</v>
      </c>
      <c r="Q950" s="213"/>
      <c r="R950" s="235" t="s">
        <v>449</v>
      </c>
    </row>
    <row r="951" spans="1:18" x14ac:dyDescent="0.25">
      <c r="A951" s="230">
        <v>45670</v>
      </c>
      <c r="B951" s="128" t="s">
        <v>28</v>
      </c>
      <c r="C951" s="157" t="str">
        <f t="shared" si="29"/>
        <v>13.01.2025_GRU2</v>
      </c>
      <c r="D951" s="190">
        <f t="shared" si="30"/>
        <v>0</v>
      </c>
      <c r="E951" s="252">
        <v>7.4531658993919867E-6</v>
      </c>
      <c r="F951" s="252">
        <v>8.2217010488597122E-4</v>
      </c>
      <c r="G951" s="252">
        <v>7.8340204888913675E-2</v>
      </c>
      <c r="H951" s="252">
        <v>1.9597321576095518E-3</v>
      </c>
      <c r="I951" s="252">
        <v>5.4632794805963781E-6</v>
      </c>
      <c r="J951" s="252">
        <v>6.0369087505962355E-4</v>
      </c>
      <c r="K951" s="253">
        <v>16.686483663075599</v>
      </c>
      <c r="L951" s="253">
        <v>6.7946774595966604</v>
      </c>
      <c r="M951" s="253">
        <v>7.5550005567698797</v>
      </c>
      <c r="N951" s="253">
        <v>1.4851624277689806</v>
      </c>
      <c r="O951" s="249">
        <v>1.246184371878297E-4</v>
      </c>
      <c r="P951" s="254">
        <v>50.019999999999996</v>
      </c>
      <c r="Q951" s="213"/>
      <c r="R951" s="235" t="s">
        <v>449</v>
      </c>
    </row>
    <row r="952" spans="1:18" x14ac:dyDescent="0.25">
      <c r="A952" s="230">
        <v>45670</v>
      </c>
      <c r="B952" s="128" t="s">
        <v>0</v>
      </c>
      <c r="C952" s="157" t="str">
        <f t="shared" si="29"/>
        <v>13.01.2025_KIN1</v>
      </c>
      <c r="D952" s="190">
        <f t="shared" si="30"/>
        <v>0</v>
      </c>
      <c r="E952" s="252">
        <v>2.8704719240858744E-6</v>
      </c>
      <c r="F952" s="252">
        <v>7.4246049321444088E-4</v>
      </c>
      <c r="G952" s="252">
        <v>9.7031773877663818E-2</v>
      </c>
      <c r="H952" s="252">
        <v>1.0293044912694732E-3</v>
      </c>
      <c r="I952" s="252">
        <v>5.9147919967628013E-6</v>
      </c>
      <c r="J952" s="252">
        <v>6.7711223410914906E-4</v>
      </c>
      <c r="K952" s="253">
        <v>25.779573778330899</v>
      </c>
      <c r="L952" s="253">
        <v>11.228717460753399</v>
      </c>
      <c r="M952" s="253">
        <v>7.8785775990660296</v>
      </c>
      <c r="N952" s="253">
        <v>1.3163949650828008</v>
      </c>
      <c r="O952" s="249">
        <v>7.708830714335779E-5</v>
      </c>
      <c r="P952" s="254">
        <v>107.116</v>
      </c>
      <c r="Q952" s="213"/>
      <c r="R952" s="235" t="s">
        <v>449</v>
      </c>
    </row>
    <row r="953" spans="1:18" x14ac:dyDescent="0.25">
      <c r="A953" s="230">
        <v>45670</v>
      </c>
      <c r="B953" s="128" t="s">
        <v>2</v>
      </c>
      <c r="C953" s="157" t="str">
        <f t="shared" si="29"/>
        <v>13.01.2025_KIN2</v>
      </c>
      <c r="D953" s="190">
        <f t="shared" si="30"/>
        <v>0</v>
      </c>
      <c r="E953" s="252">
        <v>2.36687998565735E-6</v>
      </c>
      <c r="F953" s="252">
        <v>6.4634171825795554E-4</v>
      </c>
      <c r="G953" s="252">
        <v>0.10548392364600935</v>
      </c>
      <c r="H953" s="252">
        <v>1.0407184488009067E-3</v>
      </c>
      <c r="I953" s="252">
        <v>6.4566074712913351E-6</v>
      </c>
      <c r="J953" s="252">
        <v>8.6337794130259635E-3</v>
      </c>
      <c r="K953" s="253">
        <v>28.642680976508299</v>
      </c>
      <c r="L953" s="253">
        <v>13.133959952329</v>
      </c>
      <c r="M953" s="253">
        <v>7.5641231286015698</v>
      </c>
      <c r="N953" s="253">
        <v>1.510876994337923</v>
      </c>
      <c r="O953" s="249">
        <v>8.1324142388785532E-5</v>
      </c>
      <c r="P953" s="254">
        <v>144.20399999999998</v>
      </c>
      <c r="Q953" s="213"/>
      <c r="R953" s="235" t="s">
        <v>449</v>
      </c>
    </row>
    <row r="954" spans="1:18" x14ac:dyDescent="0.25">
      <c r="A954" s="230">
        <v>45670</v>
      </c>
      <c r="B954" s="128" t="s">
        <v>4</v>
      </c>
      <c r="C954" s="157" t="str">
        <f t="shared" si="29"/>
        <v>13.01.2025_KIN3</v>
      </c>
      <c r="D954" s="190">
        <f t="shared" si="30"/>
        <v>0</v>
      </c>
      <c r="E954" s="252">
        <v>2.5683167318875383E-6</v>
      </c>
      <c r="F954" s="252">
        <v>8.2705047880686771E-4</v>
      </c>
      <c r="G954" s="252">
        <v>0.11573428122040268</v>
      </c>
      <c r="H954" s="252">
        <v>1.3279123501996675E-3</v>
      </c>
      <c r="I954" s="252">
        <v>6.0502453017535646E-6</v>
      </c>
      <c r="J954" s="252">
        <v>5.5958663552862931E-3</v>
      </c>
      <c r="K954" s="253">
        <v>30.954851075923202</v>
      </c>
      <c r="L954" s="253">
        <v>13.730849086193601</v>
      </c>
      <c r="M954" s="253">
        <v>8.1162349879848907</v>
      </c>
      <c r="N954" s="253">
        <v>1.2029622453861557</v>
      </c>
      <c r="O954" s="249">
        <v>8.2809863755810108E-5</v>
      </c>
      <c r="P954" s="254">
        <v>127.85600000000001</v>
      </c>
      <c r="Q954" s="213"/>
      <c r="R954" s="235" t="s">
        <v>449</v>
      </c>
    </row>
    <row r="955" spans="1:18" x14ac:dyDescent="0.25">
      <c r="A955" s="230">
        <v>45670</v>
      </c>
      <c r="B955" s="128" t="s">
        <v>6</v>
      </c>
      <c r="C955" s="157" t="str">
        <f t="shared" si="29"/>
        <v>13.01.2025_KIN4</v>
      </c>
      <c r="D955" s="190">
        <f t="shared" si="30"/>
        <v>0</v>
      </c>
      <c r="E955" s="252">
        <v>4.129452726647637E-6</v>
      </c>
      <c r="F955" s="252">
        <v>7.502240864876099E-4</v>
      </c>
      <c r="G955" s="252">
        <v>0.11865095099644794</v>
      </c>
      <c r="H955" s="252">
        <v>1.5302934992781759E-3</v>
      </c>
      <c r="I955" s="252">
        <v>9.6623625932318661E-6</v>
      </c>
      <c r="J955" s="252">
        <v>1.1738548019464942E-2</v>
      </c>
      <c r="K955" s="253">
        <v>32.145290925461403</v>
      </c>
      <c r="L955" s="253">
        <v>14.157171254982201</v>
      </c>
      <c r="M955" s="253">
        <v>10.4175348154162</v>
      </c>
      <c r="N955" s="253">
        <v>1.2970097110157957</v>
      </c>
      <c r="O955" s="249">
        <v>9.8931997844387622E-5</v>
      </c>
      <c r="P955" s="254">
        <v>119.072</v>
      </c>
      <c r="Q955" s="213"/>
      <c r="R955" s="235" t="s">
        <v>449</v>
      </c>
    </row>
    <row r="956" spans="1:18" x14ac:dyDescent="0.25">
      <c r="A956" s="230">
        <v>45670</v>
      </c>
      <c r="B956" s="128" t="s">
        <v>34</v>
      </c>
      <c r="C956" s="157" t="str">
        <f t="shared" si="29"/>
        <v>13.01.2025_KRE1</v>
      </c>
      <c r="D956" s="190">
        <f t="shared" si="30"/>
        <v>0</v>
      </c>
      <c r="E956" s="252">
        <v>4.028733829460142E-6</v>
      </c>
      <c r="F956" s="252">
        <v>8.6461465282547021E-4</v>
      </c>
      <c r="G956" s="252">
        <v>0.18170589977953472</v>
      </c>
      <c r="H956" s="252">
        <v>1.7726058275990629E-3</v>
      </c>
      <c r="I956" s="252">
        <v>6.3211530495524501E-6</v>
      </c>
      <c r="J956" s="252">
        <v>8.3479628300693446E-4</v>
      </c>
      <c r="K956" s="253">
        <v>55.580144703346498</v>
      </c>
      <c r="L956" s="253">
        <v>24.894662029116802</v>
      </c>
      <c r="M956" s="253">
        <v>24.085339947863801</v>
      </c>
      <c r="N956" s="253">
        <v>2.7243235758282953</v>
      </c>
      <c r="O956" s="249">
        <v>1.8621162960828563E-4</v>
      </c>
      <c r="P956" s="254">
        <v>316.71199999999999</v>
      </c>
      <c r="Q956" s="213"/>
      <c r="R956" s="235" t="s">
        <v>449</v>
      </c>
    </row>
    <row r="957" spans="1:18" x14ac:dyDescent="0.25">
      <c r="A957" s="230">
        <v>45670</v>
      </c>
      <c r="B957" s="128" t="s">
        <v>37</v>
      </c>
      <c r="C957" s="157" t="str">
        <f t="shared" si="29"/>
        <v>13.01.2025_KRE2</v>
      </c>
      <c r="D957" s="190">
        <f t="shared" si="30"/>
        <v>0</v>
      </c>
      <c r="E957" s="252">
        <v>3.1222678533484396E-6</v>
      </c>
      <c r="F957" s="252">
        <v>8.0841642873363232E-4</v>
      </c>
      <c r="G957" s="252">
        <v>0.20327178631071505</v>
      </c>
      <c r="H957" s="252">
        <v>1.9818104895507438E-3</v>
      </c>
      <c r="I957" s="252">
        <v>7.0887264836249138E-6</v>
      </c>
      <c r="J957" s="252">
        <v>8.288082172958959E-4</v>
      </c>
      <c r="K957" s="253">
        <v>63.254548883187297</v>
      </c>
      <c r="L957" s="253">
        <v>25.056228134244101</v>
      </c>
      <c r="M957" s="253">
        <v>23.8671295240026</v>
      </c>
      <c r="N957" s="253">
        <v>2.6445202384302622</v>
      </c>
      <c r="O957" s="249">
        <v>1.8796656888574195E-4</v>
      </c>
      <c r="P957" s="254">
        <v>268.40000000000003</v>
      </c>
      <c r="Q957" s="213"/>
      <c r="R957" s="235" t="s">
        <v>449</v>
      </c>
    </row>
    <row r="958" spans="1:18" x14ac:dyDescent="0.25">
      <c r="A958" s="230">
        <v>45670</v>
      </c>
      <c r="B958" s="128" t="s">
        <v>18</v>
      </c>
      <c r="C958" s="157" t="str">
        <f t="shared" si="29"/>
        <v>13.01.2025_ORB1</v>
      </c>
      <c r="D958" s="190">
        <f t="shared" si="30"/>
        <v>0</v>
      </c>
      <c r="E958" s="252">
        <v>7.3524468141949217E-6</v>
      </c>
      <c r="F958" s="252">
        <v>5.09050797334196E-4</v>
      </c>
      <c r="G958" s="252">
        <v>6.2965836772814615E-2</v>
      </c>
      <c r="H958" s="252">
        <v>9.3187102940645093E-4</v>
      </c>
      <c r="I958" s="252">
        <v>4.6957071000607921E-6</v>
      </c>
      <c r="J958" s="252">
        <v>8.9382323194413574E-4</v>
      </c>
      <c r="K958" s="253">
        <v>12.1261174009994</v>
      </c>
      <c r="L958" s="253">
        <v>2.8484064022175901</v>
      </c>
      <c r="M958" s="253">
        <v>9.2017518558964806</v>
      </c>
      <c r="N958" s="253">
        <v>2.4298933854281257</v>
      </c>
      <c r="O958" s="249">
        <v>5.8944406549514272E-5</v>
      </c>
      <c r="P958" s="254">
        <v>17.323999999999998</v>
      </c>
      <c r="Q958" s="213"/>
      <c r="R958" s="235" t="s">
        <v>449</v>
      </c>
    </row>
    <row r="959" spans="1:18" x14ac:dyDescent="0.25">
      <c r="A959" s="230">
        <v>45670</v>
      </c>
      <c r="B959" s="128" t="s">
        <v>21</v>
      </c>
      <c r="C959" s="157" t="str">
        <f t="shared" si="29"/>
        <v>13.01.2025_ORB2</v>
      </c>
      <c r="D959" s="190">
        <f t="shared" si="30"/>
        <v>0</v>
      </c>
      <c r="E959" s="252">
        <v>9.0646654154776557E-6</v>
      </c>
      <c r="F959" s="252">
        <v>4.7060873812327595E-4</v>
      </c>
      <c r="G959" s="252">
        <v>6.5610657475366194E-2</v>
      </c>
      <c r="H959" s="252">
        <v>1.0201870673340549E-3</v>
      </c>
      <c r="I959" s="252">
        <v>4.8311616482205413E-6</v>
      </c>
      <c r="J959" s="252">
        <v>1.9461132353545965E-3</v>
      </c>
      <c r="K959" s="253">
        <v>13.0335769581836</v>
      </c>
      <c r="L959" s="253">
        <v>2.8770209509831499</v>
      </c>
      <c r="M959" s="253">
        <v>11.658937813488199</v>
      </c>
      <c r="N959" s="253">
        <v>2.4071320101836946</v>
      </c>
      <c r="O959" s="249">
        <v>6.4175681370442166E-5</v>
      </c>
      <c r="P959" s="254">
        <v>19.276</v>
      </c>
      <c r="Q959" s="213"/>
      <c r="R959" s="235" t="s">
        <v>449</v>
      </c>
    </row>
    <row r="960" spans="1:18" x14ac:dyDescent="0.25">
      <c r="A960" s="230">
        <v>45670</v>
      </c>
      <c r="B960" s="128" t="s">
        <v>10</v>
      </c>
      <c r="C960" s="157" t="str">
        <f t="shared" si="29"/>
        <v>13.01.2025_SAL1</v>
      </c>
      <c r="D960" s="190">
        <f t="shared" si="30"/>
        <v>0</v>
      </c>
      <c r="E960" s="252">
        <v>3.1726272807910964E-6</v>
      </c>
      <c r="F960" s="252">
        <v>5.4534985520516969E-4</v>
      </c>
      <c r="G960" s="252">
        <v>6.5718672174644041E-2</v>
      </c>
      <c r="H960" s="252">
        <v>9.4655513517239397E-4</v>
      </c>
      <c r="I960" s="252">
        <v>4.2441955742140276E-6</v>
      </c>
      <c r="J960" s="252">
        <v>3.2898443135160341E-4</v>
      </c>
      <c r="K960" s="253">
        <v>12.8273144913653</v>
      </c>
      <c r="L960" s="253">
        <v>8.4571075132326392</v>
      </c>
      <c r="M960" s="253">
        <v>6.8563133631219699</v>
      </c>
      <c r="N960" s="253">
        <v>0.65406920509146571</v>
      </c>
      <c r="O960" s="249">
        <v>8.4453662946341404E-5</v>
      </c>
      <c r="P960" s="254">
        <v>47.335999999999999</v>
      </c>
      <c r="Q960" s="213"/>
      <c r="R960" s="235" t="s">
        <v>449</v>
      </c>
    </row>
    <row r="961" spans="1:18" x14ac:dyDescent="0.25">
      <c r="A961" s="230">
        <v>45670</v>
      </c>
      <c r="B961" s="128" t="s">
        <v>12</v>
      </c>
      <c r="C961" s="157" t="str">
        <f t="shared" si="29"/>
        <v>13.01.2025_SAL2</v>
      </c>
      <c r="D961" s="190">
        <f t="shared" si="30"/>
        <v>0</v>
      </c>
      <c r="E961" s="252">
        <v>3.5755010270622035E-6</v>
      </c>
      <c r="F961" s="252">
        <v>5.2050963129041464E-4</v>
      </c>
      <c r="G961" s="252">
        <v>6.2463065518812519E-2</v>
      </c>
      <c r="H961" s="252">
        <v>8.6979569813093623E-4</v>
      </c>
      <c r="I961" s="252">
        <v>3.0251148178950842E-6</v>
      </c>
      <c r="J961" s="252">
        <v>2.7495872454648819E-4</v>
      </c>
      <c r="K961" s="253">
        <v>11.8224562624225</v>
      </c>
      <c r="L961" s="253">
        <v>8.6949514606676104</v>
      </c>
      <c r="M961" s="253">
        <v>7.0134949244735401</v>
      </c>
      <c r="N961" s="253">
        <v>0.68466258894418086</v>
      </c>
      <c r="O961" s="249">
        <v>6.9059346484516009E-5</v>
      </c>
      <c r="P961" s="254">
        <v>46.847999999999999</v>
      </c>
      <c r="Q961" s="213"/>
      <c r="R961" s="235" t="s">
        <v>449</v>
      </c>
    </row>
    <row r="962" spans="1:18" x14ac:dyDescent="0.25">
      <c r="A962" s="230">
        <v>45670</v>
      </c>
      <c r="B962" s="128" t="s">
        <v>7</v>
      </c>
      <c r="C962" s="157" t="str">
        <f t="shared" si="29"/>
        <v>13.01.2025_STE1</v>
      </c>
      <c r="D962" s="190">
        <f t="shared" si="30"/>
        <v>0</v>
      </c>
      <c r="E962" s="252">
        <v>1.9136473289653511E-6</v>
      </c>
      <c r="F962" s="252">
        <v>6.4848567455214686E-4</v>
      </c>
      <c r="G962" s="252">
        <v>7.6752197378005066E-2</v>
      </c>
      <c r="H962" s="252">
        <v>1.1415702831430489E-3</v>
      </c>
      <c r="I962" s="252">
        <v>2.934812660219728E-6</v>
      </c>
      <c r="J962" s="252">
        <v>4.1722392108938054E-4</v>
      </c>
      <c r="K962" s="253">
        <v>16.6878642971893</v>
      </c>
      <c r="L962" s="253">
        <v>8.8430028111989607</v>
      </c>
      <c r="M962" s="253">
        <v>7.0665956288217</v>
      </c>
      <c r="N962" s="253">
        <v>0.65777525890240907</v>
      </c>
      <c r="O962" s="249">
        <v>7.6614155795223411E-5</v>
      </c>
      <c r="P962" s="254">
        <v>69.051999999999992</v>
      </c>
      <c r="Q962" s="213"/>
      <c r="R962" s="235" t="s">
        <v>449</v>
      </c>
    </row>
    <row r="963" spans="1:18" x14ac:dyDescent="0.25">
      <c r="A963" s="230">
        <v>45670</v>
      </c>
      <c r="B963" s="128" t="s">
        <v>9</v>
      </c>
      <c r="C963" s="157" t="str">
        <f t="shared" si="29"/>
        <v>13.01.2025_STE2</v>
      </c>
      <c r="D963" s="190">
        <f t="shared" si="30"/>
        <v>0</v>
      </c>
      <c r="E963" s="252">
        <v>2.1150840281935915E-6</v>
      </c>
      <c r="F963" s="252">
        <v>6.3872630211433685E-4</v>
      </c>
      <c r="G963" s="252">
        <v>8.4236430200138948E-2</v>
      </c>
      <c r="H963" s="252">
        <v>1.2720146699035238E-3</v>
      </c>
      <c r="I963" s="252">
        <v>4.108741689780048E-6</v>
      </c>
      <c r="J963" s="252">
        <v>5.3012900969408381E-4</v>
      </c>
      <c r="K963" s="253">
        <v>20.415699313800701</v>
      </c>
      <c r="L963" s="253">
        <v>9.3085783655054808</v>
      </c>
      <c r="M963" s="253">
        <v>7.5217249911445903</v>
      </c>
      <c r="N963" s="253">
        <v>0.66290065818256039</v>
      </c>
      <c r="O963" s="249">
        <v>8.2715036232426724E-5</v>
      </c>
      <c r="P963" s="254">
        <v>76.616</v>
      </c>
      <c r="Q963" s="213"/>
      <c r="R963" s="235" t="s">
        <v>449</v>
      </c>
    </row>
    <row r="964" spans="1:18" x14ac:dyDescent="0.25">
      <c r="A964" s="230">
        <v>45698</v>
      </c>
      <c r="B964" s="128" t="s">
        <v>22</v>
      </c>
      <c r="C964" s="157" t="str">
        <f t="shared" ref="C964:C1025" si="31">CONCATENATE(TEXT(A964,"TT.MM.JJJJ"),"_",B964)</f>
        <v>10.02.2025_BIE1</v>
      </c>
      <c r="D964" s="190">
        <f t="shared" si="30"/>
        <v>0</v>
      </c>
      <c r="E964" s="252">
        <v>5.7409487598767214E-6</v>
      </c>
      <c r="F964" s="252">
        <v>7.9399792497021658E-4</v>
      </c>
      <c r="G964" s="252">
        <v>6.415678896665733E-2</v>
      </c>
      <c r="H964" s="252">
        <v>8.849672475762791E-4</v>
      </c>
      <c r="I964" s="252">
        <v>4.6054065753599397E-6</v>
      </c>
      <c r="J964" s="252">
        <v>1.0298467655404974E-3</v>
      </c>
      <c r="K964" s="253">
        <v>12.2179393828961</v>
      </c>
      <c r="L964" s="253">
        <v>6.4697920230511601</v>
      </c>
      <c r="M964" s="253">
        <v>5.1831428834309303</v>
      </c>
      <c r="N964" s="253">
        <v>2.1999901747437627</v>
      </c>
      <c r="O964" s="249">
        <v>1.3794468567189459E-4</v>
      </c>
      <c r="P964" s="254">
        <v>41.724000000000004</v>
      </c>
      <c r="Q964" s="213"/>
      <c r="R964" s="235" t="s">
        <v>449</v>
      </c>
    </row>
    <row r="965" spans="1:18" x14ac:dyDescent="0.25">
      <c r="A965" s="230">
        <v>45698</v>
      </c>
      <c r="B965" s="128" t="s">
        <v>25</v>
      </c>
      <c r="C965" s="157" t="str">
        <f t="shared" si="31"/>
        <v>10.02.2025_BIE2</v>
      </c>
      <c r="D965" s="190">
        <f t="shared" ref="D965:D1030" si="32">COUNTBLANK(E965:P965)</f>
        <v>0</v>
      </c>
      <c r="E965" s="252">
        <v>5.1366374448402177E-6</v>
      </c>
      <c r="F965" s="252">
        <v>7.9177948863390834E-4</v>
      </c>
      <c r="G965" s="252">
        <v>6.9776590482893017E-2</v>
      </c>
      <c r="H965" s="252">
        <v>8.8594070409891675E-4</v>
      </c>
      <c r="I965" s="252">
        <v>6.0050940385479897E-6</v>
      </c>
      <c r="J965" s="252">
        <v>1.0607880226972902E-3</v>
      </c>
      <c r="K965" s="253">
        <v>12.214958044915999</v>
      </c>
      <c r="L965" s="253">
        <v>6.2298014583865502</v>
      </c>
      <c r="M965" s="253">
        <v>5.5044365795179502</v>
      </c>
      <c r="N965" s="253">
        <v>2.2773183987608911</v>
      </c>
      <c r="O965" s="249">
        <v>1.4169126675508148E-4</v>
      </c>
      <c r="P965" s="254">
        <v>44.164000000000001</v>
      </c>
      <c r="Q965" s="213"/>
      <c r="R965" s="235" t="s">
        <v>449</v>
      </c>
    </row>
    <row r="966" spans="1:18" x14ac:dyDescent="0.25">
      <c r="A966" s="230">
        <v>45698</v>
      </c>
      <c r="B966" s="128" t="s">
        <v>14</v>
      </c>
      <c r="C966" s="157" t="str">
        <f t="shared" si="31"/>
        <v>10.02.2025_BRA1</v>
      </c>
      <c r="D966" s="190">
        <f t="shared" si="32"/>
        <v>0</v>
      </c>
      <c r="E966" s="252">
        <v>2.2661615490896408E-6</v>
      </c>
      <c r="F966" s="252">
        <v>4.7541402623620587E-4</v>
      </c>
      <c r="G966" s="252">
        <v>6.4610859668924575E-2</v>
      </c>
      <c r="H966" s="252">
        <v>8.05566371086188E-4</v>
      </c>
      <c r="I966" s="252">
        <v>4.3344979531308931E-6</v>
      </c>
      <c r="J966" s="252">
        <v>3.5635411288162313E-4</v>
      </c>
      <c r="K966" s="253">
        <v>10.41353368223</v>
      </c>
      <c r="L966" s="253">
        <v>8.4101513215388408</v>
      </c>
      <c r="M966" s="253">
        <v>5.9640466321850001</v>
      </c>
      <c r="N966" s="253">
        <v>0.68622465434953595</v>
      </c>
      <c r="O966" s="249">
        <v>1.770255461816524E-4</v>
      </c>
      <c r="P966" s="254">
        <v>53.192</v>
      </c>
      <c r="Q966" s="213"/>
      <c r="R966" s="235" t="s">
        <v>449</v>
      </c>
    </row>
    <row r="967" spans="1:18" x14ac:dyDescent="0.25">
      <c r="A967" s="230">
        <v>45698</v>
      </c>
      <c r="B967" s="128" t="s">
        <v>17</v>
      </c>
      <c r="C967" s="157" t="str">
        <f t="shared" si="31"/>
        <v>10.02.2025_BRA2</v>
      </c>
      <c r="D967" s="190">
        <f t="shared" si="32"/>
        <v>0</v>
      </c>
      <c r="E967" s="252">
        <v>2.8704721120937678E-6</v>
      </c>
      <c r="F967" s="252">
        <v>5.3677411548140792E-4</v>
      </c>
      <c r="G967" s="252">
        <v>6.7832828288299271E-2</v>
      </c>
      <c r="H967" s="252">
        <v>8.054269742155158E-4</v>
      </c>
      <c r="I967" s="252">
        <v>3.9281373112181204E-6</v>
      </c>
      <c r="J967" s="252">
        <v>3.7032406920209121E-4</v>
      </c>
      <c r="K967" s="253">
        <v>10.900632863943301</v>
      </c>
      <c r="L967" s="253">
        <v>8.4204295988334508</v>
      </c>
      <c r="M967" s="253">
        <v>12.247900163206699</v>
      </c>
      <c r="N967" s="253">
        <v>0.91820758324373941</v>
      </c>
      <c r="O967" s="249">
        <v>1.1668305285029446E-4</v>
      </c>
      <c r="P967" s="254">
        <v>59.292000000000002</v>
      </c>
      <c r="Q967" s="213"/>
      <c r="R967" s="235" t="s">
        <v>449</v>
      </c>
    </row>
    <row r="968" spans="1:18" x14ac:dyDescent="0.25">
      <c r="A968" s="230">
        <v>45698</v>
      </c>
      <c r="B968" s="128" t="s">
        <v>30</v>
      </c>
      <c r="C968" s="157" t="str">
        <f t="shared" si="31"/>
        <v>10.02.2025_FAL1</v>
      </c>
      <c r="D968" s="190">
        <f t="shared" si="32"/>
        <v>12</v>
      </c>
      <c r="E968" s="252"/>
      <c r="F968" s="252"/>
      <c r="G968" s="252"/>
      <c r="H968" s="252"/>
      <c r="I968" s="252"/>
      <c r="J968" s="252"/>
      <c r="K968" s="253"/>
      <c r="L968" s="253"/>
      <c r="M968" s="253"/>
      <c r="N968" s="253"/>
      <c r="O968" s="249"/>
      <c r="P968" s="254"/>
      <c r="Q968" s="213"/>
      <c r="R968" s="226" t="s">
        <v>447</v>
      </c>
    </row>
    <row r="969" spans="1:18" x14ac:dyDescent="0.25">
      <c r="A969" s="230">
        <v>45698</v>
      </c>
      <c r="B969" s="128" t="s">
        <v>32</v>
      </c>
      <c r="C969" s="157" t="str">
        <f t="shared" si="31"/>
        <v>10.02.2025_FAL2</v>
      </c>
      <c r="D969" s="190">
        <f t="shared" si="32"/>
        <v>0</v>
      </c>
      <c r="E969" s="252">
        <v>2.6690350885519538E-6</v>
      </c>
      <c r="F969" s="252">
        <v>6.2541804990089438E-4</v>
      </c>
      <c r="G969" s="252">
        <v>0.18077427233880511</v>
      </c>
      <c r="H969" s="252">
        <v>1.3755989092127609E-3</v>
      </c>
      <c r="I969" s="252">
        <v>6.6372130087402089E-6</v>
      </c>
      <c r="J969" s="252">
        <v>9.4415401076276438E-4</v>
      </c>
      <c r="K969" s="253">
        <v>43.5615332374433</v>
      </c>
      <c r="L969" s="253">
        <v>23.261165743290899</v>
      </c>
      <c r="M969" s="253">
        <v>23.307169052261901</v>
      </c>
      <c r="N969" s="253">
        <v>2.9864699869005928</v>
      </c>
      <c r="O969" s="249">
        <v>1.2245277334785849E-4</v>
      </c>
      <c r="P969" s="254">
        <v>228.62800000000001</v>
      </c>
      <c r="Q969" s="213"/>
      <c r="R969" s="235" t="s">
        <v>449</v>
      </c>
    </row>
    <row r="970" spans="1:18" x14ac:dyDescent="0.25">
      <c r="A970" s="230">
        <v>45698</v>
      </c>
      <c r="B970" s="128" t="s">
        <v>26</v>
      </c>
      <c r="C970" s="157" t="str">
        <f t="shared" si="31"/>
        <v>10.02.2025_GRU1</v>
      </c>
      <c r="D970" s="190">
        <f t="shared" si="32"/>
        <v>0</v>
      </c>
      <c r="E970" s="252">
        <v>6.6474162494544671E-6</v>
      </c>
      <c r="F970" s="252">
        <v>7.4401320896079991E-4</v>
      </c>
      <c r="G970" s="252">
        <v>7.082290657375892E-2</v>
      </c>
      <c r="H970" s="252">
        <v>1.7662693204223074E-3</v>
      </c>
      <c r="I970" s="252">
        <v>4.6505563425510248E-6</v>
      </c>
      <c r="J970" s="252">
        <v>1.6200726315170901E-3</v>
      </c>
      <c r="K970" s="253">
        <v>11.082710704806299</v>
      </c>
      <c r="L970" s="253">
        <v>5.5436390685425501</v>
      </c>
      <c r="M970" s="253">
        <v>5.8918200238673304</v>
      </c>
      <c r="N970" s="253">
        <v>1.1982320429017466</v>
      </c>
      <c r="O970" s="249">
        <v>1.0497006346854126E-4</v>
      </c>
      <c r="P970" s="254">
        <v>41.480000000000004</v>
      </c>
      <c r="Q970" s="213"/>
      <c r="R970" s="235" t="s">
        <v>449</v>
      </c>
    </row>
    <row r="971" spans="1:18" x14ac:dyDescent="0.25">
      <c r="A971" s="230">
        <v>45698</v>
      </c>
      <c r="B971" s="128" t="s">
        <v>28</v>
      </c>
      <c r="C971" s="157" t="str">
        <f t="shared" si="31"/>
        <v>10.02.2025_GRU2</v>
      </c>
      <c r="D971" s="190">
        <f t="shared" si="32"/>
        <v>0</v>
      </c>
      <c r="E971" s="252">
        <v>5.7409488397802759E-6</v>
      </c>
      <c r="F971" s="252">
        <v>7.0090713827596497E-4</v>
      </c>
      <c r="G971" s="252">
        <v>8.415030149944544E-2</v>
      </c>
      <c r="H971" s="252">
        <v>1.5784049865491779E-3</v>
      </c>
      <c r="I971" s="252">
        <v>3.8829858583772228E-6</v>
      </c>
      <c r="J971" s="252">
        <v>8.8712218613528195E-4</v>
      </c>
      <c r="K971" s="253">
        <v>15.106136707951499</v>
      </c>
      <c r="L971" s="253">
        <v>6.1206819969542501</v>
      </c>
      <c r="M971" s="253">
        <v>6.5262631392313804</v>
      </c>
      <c r="N971" s="253">
        <v>1.4494392732087495</v>
      </c>
      <c r="O971" s="249">
        <v>1.1895934535887928E-4</v>
      </c>
      <c r="P971" s="254">
        <v>47.58</v>
      </c>
      <c r="Q971" s="213"/>
      <c r="R971" s="235" t="s">
        <v>449</v>
      </c>
    </row>
    <row r="972" spans="1:18" x14ac:dyDescent="0.25">
      <c r="A972" s="230">
        <v>45698</v>
      </c>
      <c r="B972" s="128" t="s">
        <v>0</v>
      </c>
      <c r="C972" s="157" t="str">
        <f t="shared" si="31"/>
        <v>10.02.2025_KIN1</v>
      </c>
      <c r="D972" s="190">
        <f t="shared" si="32"/>
        <v>0</v>
      </c>
      <c r="E972" s="252">
        <v>3.1726271820869581E-6</v>
      </c>
      <c r="F972" s="252">
        <v>5.5806588356627771E-4</v>
      </c>
      <c r="G972" s="252">
        <v>0.10207679402116844</v>
      </c>
      <c r="H972" s="252">
        <v>8.5149374952348737E-4</v>
      </c>
      <c r="I972" s="252">
        <v>4.9666148900008737E-6</v>
      </c>
      <c r="J972" s="252">
        <v>9.2790002861546943E-4</v>
      </c>
      <c r="K972" s="253">
        <v>19.3793172536108</v>
      </c>
      <c r="L972" s="253">
        <v>12.356435514452899</v>
      </c>
      <c r="M972" s="253">
        <v>6.0492482807214696</v>
      </c>
      <c r="N972" s="253">
        <v>1.1524465435173654</v>
      </c>
      <c r="O972" s="249">
        <v>6.8537787573199038E-5</v>
      </c>
      <c r="P972" s="254">
        <v>136.15200000000002</v>
      </c>
      <c r="Q972" s="213"/>
      <c r="R972" s="235" t="s">
        <v>449</v>
      </c>
    </row>
    <row r="973" spans="1:18" x14ac:dyDescent="0.25">
      <c r="A973" s="230">
        <v>45698</v>
      </c>
      <c r="B973" s="128" t="s">
        <v>2</v>
      </c>
      <c r="C973" s="157" t="str">
        <f t="shared" si="31"/>
        <v>10.02.2025_KIN2</v>
      </c>
      <c r="D973" s="190">
        <f t="shared" si="32"/>
        <v>0</v>
      </c>
      <c r="E973" s="252">
        <v>2.669035069751177E-6</v>
      </c>
      <c r="F973" s="252">
        <v>4.6949987351929391E-4</v>
      </c>
      <c r="G973" s="252">
        <v>0.12041998842848542</v>
      </c>
      <c r="H973" s="252">
        <v>9.0466089511436409E-4</v>
      </c>
      <c r="I973" s="252">
        <v>3.0702658914650606E-6</v>
      </c>
      <c r="J973" s="252">
        <v>5.4908957316725183E-4</v>
      </c>
      <c r="K973" s="253">
        <v>23.6971725612797</v>
      </c>
      <c r="L973" s="253">
        <v>13.665065228261</v>
      </c>
      <c r="M973" s="253">
        <v>5.6314645512617103</v>
      </c>
      <c r="N973" s="253">
        <v>1.2918389814340143</v>
      </c>
      <c r="O973" s="249">
        <v>6.8237487371911021E-5</v>
      </c>
      <c r="P973" s="254">
        <v>158.11199999999999</v>
      </c>
      <c r="Q973" s="213"/>
      <c r="R973" s="235" t="s">
        <v>449</v>
      </c>
    </row>
    <row r="974" spans="1:18" x14ac:dyDescent="0.25">
      <c r="A974" s="230">
        <v>45698</v>
      </c>
      <c r="B974" s="128" t="s">
        <v>4</v>
      </c>
      <c r="C974" s="157" t="str">
        <f t="shared" si="31"/>
        <v>10.02.2025_KIN3</v>
      </c>
      <c r="D974" s="190">
        <f t="shared" si="32"/>
        <v>0</v>
      </c>
      <c r="E974" s="252">
        <v>3.625859998585577E-6</v>
      </c>
      <c r="F974" s="252">
        <v>6.5018630592127461E-4</v>
      </c>
      <c r="G974" s="252">
        <v>0.12413940062681976</v>
      </c>
      <c r="H974" s="252">
        <v>1.1160958580986782E-3</v>
      </c>
      <c r="I974" s="252">
        <v>1.0836307731419441E-5</v>
      </c>
      <c r="J974" s="252">
        <v>5.5978163126384878E-4</v>
      </c>
      <c r="K974" s="253">
        <v>25.130098490194001</v>
      </c>
      <c r="L974" s="253">
        <v>14.5729052432677</v>
      </c>
      <c r="M974" s="253">
        <v>6.5545045246793796</v>
      </c>
      <c r="N974" s="253">
        <v>1.2362868325483656</v>
      </c>
      <c r="O974" s="249">
        <v>7.593452632752816E-5</v>
      </c>
      <c r="P974" s="254">
        <v>145.91200000000001</v>
      </c>
      <c r="Q974" s="213"/>
      <c r="R974" s="235" t="s">
        <v>449</v>
      </c>
    </row>
    <row r="975" spans="1:18" x14ac:dyDescent="0.25">
      <c r="A975" s="230">
        <v>45698</v>
      </c>
      <c r="B975" s="128" t="s">
        <v>6</v>
      </c>
      <c r="C975" s="157" t="str">
        <f t="shared" si="31"/>
        <v>10.02.2025_KIN4</v>
      </c>
      <c r="D975" s="190">
        <f t="shared" si="32"/>
        <v>0</v>
      </c>
      <c r="E975" s="252">
        <v>3.2733454823489645E-6</v>
      </c>
      <c r="F975" s="252">
        <v>5.5954466168516004E-4</v>
      </c>
      <c r="G975" s="252">
        <v>0.1238763098734891</v>
      </c>
      <c r="H975" s="252">
        <v>1.1536121405135429E-3</v>
      </c>
      <c r="I975" s="252">
        <v>7.359635822268138E-6</v>
      </c>
      <c r="J975" s="252">
        <v>8.5661049845685256E-4</v>
      </c>
      <c r="K975" s="253">
        <v>25.393087717038</v>
      </c>
      <c r="L975" s="253">
        <v>14.4132431285799</v>
      </c>
      <c r="M975" s="253">
        <v>9.2146670526832501</v>
      </c>
      <c r="N975" s="253">
        <v>1.2269391449039122</v>
      </c>
      <c r="O975" s="249">
        <v>8.6540026234080766E-5</v>
      </c>
      <c r="P975" s="254">
        <v>125.904</v>
      </c>
      <c r="Q975" s="213"/>
      <c r="R975" s="235" t="s">
        <v>449</v>
      </c>
    </row>
    <row r="976" spans="1:18" x14ac:dyDescent="0.25">
      <c r="A976" s="230">
        <v>45698</v>
      </c>
      <c r="B976" s="128" t="s">
        <v>34</v>
      </c>
      <c r="C976" s="157" t="str">
        <f t="shared" si="31"/>
        <v>10.02.2025_KRE1</v>
      </c>
      <c r="D976" s="190">
        <f t="shared" si="32"/>
        <v>0</v>
      </c>
      <c r="E976" s="252">
        <v>2.517957586456704E-6</v>
      </c>
      <c r="F976" s="252">
        <v>6.563967516137831E-4</v>
      </c>
      <c r="G976" s="252">
        <v>0.22147958508471768</v>
      </c>
      <c r="H976" s="252">
        <v>1.7576346488923063E-3</v>
      </c>
      <c r="I976" s="252">
        <v>6.7275168836811957E-6</v>
      </c>
      <c r="J976" s="252">
        <v>9.4230058955141764E-4</v>
      </c>
      <c r="K976" s="253">
        <v>54.350605086136902</v>
      </c>
      <c r="L976" s="253">
        <v>22.977650968557601</v>
      </c>
      <c r="M976" s="253">
        <v>21.8689897763932</v>
      </c>
      <c r="N976" s="253">
        <v>2.5782212374067384</v>
      </c>
      <c r="O976" s="249">
        <v>1.6524700233477935E-4</v>
      </c>
      <c r="P976" s="254">
        <v>0</v>
      </c>
      <c r="Q976" s="213"/>
      <c r="R976" s="235" t="s">
        <v>449</v>
      </c>
    </row>
    <row r="977" spans="1:18" x14ac:dyDescent="0.25">
      <c r="A977" s="230">
        <v>45698</v>
      </c>
      <c r="B977" s="128" t="s">
        <v>37</v>
      </c>
      <c r="C977" s="157" t="str">
        <f t="shared" si="31"/>
        <v>10.02.2025_KRE2</v>
      </c>
      <c r="D977" s="190">
        <f t="shared" si="32"/>
        <v>0</v>
      </c>
      <c r="E977" s="252">
        <v>4.6330448906855405E-6</v>
      </c>
      <c r="F977" s="252">
        <v>6.5395685562484758E-4</v>
      </c>
      <c r="G977" s="252">
        <v>0.23387177555361771</v>
      </c>
      <c r="H977" s="252">
        <v>1.956667276512533E-3</v>
      </c>
      <c r="I977" s="252">
        <v>9.6172101605914641E-6</v>
      </c>
      <c r="J977" s="252">
        <v>7.6122827397309234E-4</v>
      </c>
      <c r="K977" s="253">
        <v>54.9920086433265</v>
      </c>
      <c r="L977" s="253">
        <v>22.584169856967101</v>
      </c>
      <c r="M977" s="253">
        <v>21.422738301958699</v>
      </c>
      <c r="N977" s="253">
        <v>2.4572408889452921</v>
      </c>
      <c r="O977" s="249">
        <v>2.0192802050553551E-4</v>
      </c>
      <c r="P977" s="254">
        <v>237.9</v>
      </c>
      <c r="Q977" s="213"/>
      <c r="R977" s="235" t="s">
        <v>449</v>
      </c>
    </row>
    <row r="978" spans="1:18" x14ac:dyDescent="0.25">
      <c r="A978" s="230">
        <v>45698</v>
      </c>
      <c r="B978" s="128" t="s">
        <v>18</v>
      </c>
      <c r="C978" s="157" t="str">
        <f t="shared" si="31"/>
        <v>10.02.2025_ORB1</v>
      </c>
      <c r="D978" s="190">
        <f t="shared" si="32"/>
        <v>0</v>
      </c>
      <c r="E978" s="252">
        <v>9.6186190092495337E-6</v>
      </c>
      <c r="F978" s="252">
        <v>5.0232335639104043E-4</v>
      </c>
      <c r="G978" s="252">
        <v>6.1628588591215595E-2</v>
      </c>
      <c r="H978" s="252">
        <v>1.0359162860009736E-3</v>
      </c>
      <c r="I978" s="252">
        <v>4.2441957533143628E-6</v>
      </c>
      <c r="J978" s="252">
        <v>9.4857430328245621E-4</v>
      </c>
      <c r="K978" s="253">
        <v>8.9956963093334092</v>
      </c>
      <c r="L978" s="253">
        <v>2.2960672680161101</v>
      </c>
      <c r="M978" s="253">
        <v>6.4888921550990704</v>
      </c>
      <c r="N978" s="253">
        <v>2.2866655347231868</v>
      </c>
      <c r="O978" s="249">
        <v>5.3997694278207643E-5</v>
      </c>
      <c r="P978" s="254">
        <v>268.40000000000003</v>
      </c>
      <c r="Q978" s="213"/>
      <c r="R978" s="235" t="s">
        <v>449</v>
      </c>
    </row>
    <row r="979" spans="1:18" x14ac:dyDescent="0.25">
      <c r="A979" s="230">
        <v>45698</v>
      </c>
      <c r="B979" s="128" t="s">
        <v>21</v>
      </c>
      <c r="C979" s="157" t="str">
        <f t="shared" si="31"/>
        <v>10.02.2025_ORB2</v>
      </c>
      <c r="D979" s="190">
        <f t="shared" si="32"/>
        <v>0</v>
      </c>
      <c r="E979" s="252">
        <v>6.3452606154373019E-6</v>
      </c>
      <c r="F979" s="252">
        <v>4.3948626323036123E-4</v>
      </c>
      <c r="G979" s="252">
        <v>6.3284320786775788E-2</v>
      </c>
      <c r="H979" s="252">
        <v>8.3388795457047958E-4</v>
      </c>
      <c r="I979" s="252">
        <v>3.2960212382443949E-6</v>
      </c>
      <c r="J979" s="252">
        <v>9.1492505911736294E-4</v>
      </c>
      <c r="K979" s="253">
        <v>9.4212729829642594</v>
      </c>
      <c r="L979" s="253">
        <v>2.2526979074311302</v>
      </c>
      <c r="M979" s="253">
        <v>8.3105372705529099</v>
      </c>
      <c r="N979" s="253">
        <v>2.1808469574614335</v>
      </c>
      <c r="O979" s="249">
        <v>5.670021252623501E-5</v>
      </c>
      <c r="P979" s="254">
        <v>32.696000000000005</v>
      </c>
      <c r="Q979" s="213"/>
      <c r="R979" s="235" t="s">
        <v>449</v>
      </c>
    </row>
    <row r="980" spans="1:18" x14ac:dyDescent="0.25">
      <c r="A980" s="230">
        <v>45698</v>
      </c>
      <c r="B980" s="128" t="s">
        <v>10</v>
      </c>
      <c r="C980" s="157" t="str">
        <f t="shared" si="31"/>
        <v>10.02.2025_SAL1</v>
      </c>
      <c r="D980" s="190">
        <f t="shared" si="32"/>
        <v>0</v>
      </c>
      <c r="E980" s="252">
        <v>2.4675983094204091E-6</v>
      </c>
      <c r="F980" s="252">
        <v>5.4032262677821102E-4</v>
      </c>
      <c r="G980" s="252">
        <v>6.4324442450924071E-2</v>
      </c>
      <c r="H980" s="252">
        <v>7.6854678131472033E-4</v>
      </c>
      <c r="I980" s="252">
        <v>4.7860097845017412E-6</v>
      </c>
      <c r="J980" s="252">
        <v>3.7445804106113939E-4</v>
      </c>
      <c r="K980" s="253">
        <v>9.0658672910850395</v>
      </c>
      <c r="L980" s="253">
        <v>8.2832915429338296</v>
      </c>
      <c r="M980" s="253">
        <v>5.8246219717660201</v>
      </c>
      <c r="N980" s="253">
        <v>0.74243114893272522</v>
      </c>
      <c r="O980" s="249">
        <v>6.5092355798733107E-5</v>
      </c>
      <c r="P980" s="254">
        <v>18.788</v>
      </c>
      <c r="Q980" s="213"/>
      <c r="R980" s="235" t="s">
        <v>449</v>
      </c>
    </row>
    <row r="981" spans="1:18" x14ac:dyDescent="0.25">
      <c r="A981" s="230">
        <v>45698</v>
      </c>
      <c r="B981" s="128" t="s">
        <v>12</v>
      </c>
      <c r="C981" s="157" t="str">
        <f t="shared" si="31"/>
        <v>10.02.2025_SAL2</v>
      </c>
      <c r="D981" s="190">
        <f t="shared" si="32"/>
        <v>0</v>
      </c>
      <c r="E981" s="252">
        <v>2.6186760559258376E-6</v>
      </c>
      <c r="F981" s="252">
        <v>5.44610645123121E-4</v>
      </c>
      <c r="G981" s="252">
        <v>6.4572743222614998E-2</v>
      </c>
      <c r="H981" s="252">
        <v>7.4433170897026562E-4</v>
      </c>
      <c r="I981" s="252">
        <v>3.5669279746523015E-6</v>
      </c>
      <c r="J981" s="252">
        <v>3.1244870686273789E-4</v>
      </c>
      <c r="K981" s="253">
        <v>8.9323526913065407</v>
      </c>
      <c r="L981" s="253">
        <v>7.3557880675273299</v>
      </c>
      <c r="M981" s="253">
        <v>5.4066231025353702</v>
      </c>
      <c r="N981" s="253">
        <v>0.70201421623893079</v>
      </c>
      <c r="O981" s="249">
        <v>5.7743280948227342E-5</v>
      </c>
      <c r="P981" s="254">
        <v>51.972000000000001</v>
      </c>
      <c r="Q981" s="213"/>
      <c r="R981" s="235" t="s">
        <v>449</v>
      </c>
    </row>
    <row r="982" spans="1:18" x14ac:dyDescent="0.25">
      <c r="A982" s="230">
        <v>45698</v>
      </c>
      <c r="B982" s="128" t="s">
        <v>7</v>
      </c>
      <c r="C982" s="157" t="str">
        <f t="shared" si="31"/>
        <v>10.02.2025_STE1</v>
      </c>
      <c r="D982" s="190">
        <f t="shared" si="32"/>
        <v>0</v>
      </c>
      <c r="E982" s="252">
        <v>3.2733455011497523E-6</v>
      </c>
      <c r="F982" s="252">
        <v>5.1356036598779837E-4</v>
      </c>
      <c r="G982" s="252">
        <v>8.6249307417212609E-2</v>
      </c>
      <c r="H982" s="252">
        <v>1.240411174808722E-3</v>
      </c>
      <c r="I982" s="252">
        <v>3.6120790060810708E-6</v>
      </c>
      <c r="J982" s="252">
        <v>5.2114786467464202E-4</v>
      </c>
      <c r="K982" s="253">
        <v>13.727455461294801</v>
      </c>
      <c r="L982" s="253">
        <v>7.9994022083372904</v>
      </c>
      <c r="M982" s="253">
        <v>5.2134381687011802</v>
      </c>
      <c r="N982" s="253">
        <v>0.68986227483880636</v>
      </c>
      <c r="O982" s="249">
        <v>6.4760452512577536E-5</v>
      </c>
      <c r="P982" s="254">
        <v>53.436</v>
      </c>
      <c r="Q982" s="213"/>
      <c r="R982" s="235" t="s">
        <v>449</v>
      </c>
    </row>
    <row r="983" spans="1:18" x14ac:dyDescent="0.25">
      <c r="A983" s="230">
        <v>45698</v>
      </c>
      <c r="B983" s="128" t="s">
        <v>9</v>
      </c>
      <c r="C983" s="157" t="str">
        <f t="shared" si="31"/>
        <v>10.02.2025_STE2</v>
      </c>
      <c r="D983" s="190">
        <f t="shared" si="32"/>
        <v>0</v>
      </c>
      <c r="E983" s="252">
        <v>2.5179574877526111E-6</v>
      </c>
      <c r="F983" s="252">
        <v>6.2194320180068827E-4</v>
      </c>
      <c r="G983" s="252">
        <v>9.3552460031183934E-2</v>
      </c>
      <c r="H983" s="252">
        <v>1.0306974726182758E-3</v>
      </c>
      <c r="I983" s="252">
        <v>6.1405483549327685E-6</v>
      </c>
      <c r="J983" s="252">
        <v>5.9342633437050988E-4</v>
      </c>
      <c r="K983" s="253">
        <v>15.791954705615201</v>
      </c>
      <c r="L983" s="253">
        <v>9.1005073835471997</v>
      </c>
      <c r="M983" s="253">
        <v>6.2365151541654198</v>
      </c>
      <c r="N983" s="253">
        <v>0.78904045440179837</v>
      </c>
      <c r="O983" s="249">
        <v>7.2030664341153215E-5</v>
      </c>
      <c r="P983" s="254">
        <v>76.372</v>
      </c>
      <c r="Q983" s="213"/>
      <c r="R983" s="235" t="s">
        <v>449</v>
      </c>
    </row>
    <row r="984" spans="1:18" x14ac:dyDescent="0.25">
      <c r="A984" s="230">
        <v>45726</v>
      </c>
      <c r="B984" s="128" t="s">
        <v>22</v>
      </c>
      <c r="C984" s="157" t="str">
        <f t="shared" si="31"/>
        <v>10.03.2025_BIE1</v>
      </c>
      <c r="D984" s="190">
        <f t="shared" si="32"/>
        <v>0</v>
      </c>
      <c r="E984" s="252">
        <v>7.6723800724652593E-6</v>
      </c>
      <c r="F984" s="252">
        <v>2.8366984123438197E-4</v>
      </c>
      <c r="G984" s="252">
        <v>5.2527483687909146E-2</v>
      </c>
      <c r="H984" s="252">
        <v>9.4076866898680197E-4</v>
      </c>
      <c r="I984" s="252">
        <v>7.3238157950937326E-6</v>
      </c>
      <c r="J984" s="252">
        <v>1.7095991369735465E-3</v>
      </c>
      <c r="K984" s="253">
        <v>13.118416271041999</v>
      </c>
      <c r="L984" s="253">
        <v>7.4316290821576798</v>
      </c>
      <c r="M984" s="253">
        <v>4.5532329294062199</v>
      </c>
      <c r="N984" s="253">
        <v>2.1543204604067765</v>
      </c>
      <c r="O984" s="249">
        <v>4.1122429015094646E-5</v>
      </c>
      <c r="P984" s="254">
        <v>82.716000000000008</v>
      </c>
      <c r="Q984" s="213"/>
      <c r="R984" s="235" t="s">
        <v>449</v>
      </c>
    </row>
    <row r="985" spans="1:18" x14ac:dyDescent="0.25">
      <c r="A985" s="230">
        <v>45726</v>
      </c>
      <c r="B985" s="128" t="s">
        <v>25</v>
      </c>
      <c r="C985" s="157" t="str">
        <f t="shared" si="31"/>
        <v>10.03.2025_BIE2</v>
      </c>
      <c r="D985" s="190">
        <f t="shared" si="32"/>
        <v>0</v>
      </c>
      <c r="E985" s="252">
        <v>6.6914337206108449E-6</v>
      </c>
      <c r="F985" s="252">
        <v>2.915730101870283E-4</v>
      </c>
      <c r="G985" s="252">
        <v>5.5518221958930941E-2</v>
      </c>
      <c r="H985" s="252">
        <v>9.5608661215668654E-4</v>
      </c>
      <c r="I985" s="252">
        <v>8.2892366113430281E-6</v>
      </c>
      <c r="J985" s="252">
        <v>1.3635693149188657E-3</v>
      </c>
      <c r="K985" s="253">
        <v>14.158539611588701</v>
      </c>
      <c r="L985" s="253">
        <v>7.2007549922868996</v>
      </c>
      <c r="M985" s="253">
        <v>4.7259485289209398</v>
      </c>
      <c r="N985" s="253">
        <v>2.242546519140491</v>
      </c>
      <c r="O985" s="249">
        <v>4.3378819716562779E-5</v>
      </c>
      <c r="P985" s="254">
        <v>48.068000000000005</v>
      </c>
      <c r="Q985" s="213"/>
      <c r="R985" s="235" t="s">
        <v>449</v>
      </c>
    </row>
    <row r="986" spans="1:18" x14ac:dyDescent="0.25">
      <c r="A986" s="230">
        <v>45726</v>
      </c>
      <c r="B986" s="128" t="s">
        <v>14</v>
      </c>
      <c r="C986" s="157" t="str">
        <f t="shared" si="31"/>
        <v>10.03.2025_BRA1</v>
      </c>
      <c r="D986" s="190">
        <f t="shared" si="32"/>
        <v>0</v>
      </c>
      <c r="E986" s="252">
        <v>3.1179930157234489E-6</v>
      </c>
      <c r="F986" s="252">
        <v>1.5896413948373038E-4</v>
      </c>
      <c r="G986" s="252">
        <v>4.593049044565347E-2</v>
      </c>
      <c r="H986" s="252">
        <v>6.9302747227562261E-4</v>
      </c>
      <c r="I986" s="252">
        <v>3.1958315315375683E-6</v>
      </c>
      <c r="J986" s="252">
        <v>3.0856713031734382E-4</v>
      </c>
      <c r="K986" s="253">
        <v>9.87994741902925</v>
      </c>
      <c r="L986" s="253">
        <v>10.5762525374278</v>
      </c>
      <c r="M986" s="253">
        <v>5.5802645692694499</v>
      </c>
      <c r="N986" s="253">
        <v>0.78055951948561342</v>
      </c>
      <c r="O986" s="249">
        <v>4.6512997284309514E-5</v>
      </c>
      <c r="P986" s="254">
        <v>52.704000000000001</v>
      </c>
      <c r="Q986" s="213"/>
      <c r="R986" s="235" t="s">
        <v>449</v>
      </c>
    </row>
    <row r="987" spans="1:18" x14ac:dyDescent="0.25">
      <c r="A987" s="230">
        <v>45726</v>
      </c>
      <c r="B987" s="128" t="s">
        <v>17</v>
      </c>
      <c r="C987" s="157" t="str">
        <f t="shared" si="31"/>
        <v>10.03.2025_BRA2</v>
      </c>
      <c r="D987" s="190">
        <f t="shared" si="32"/>
        <v>0</v>
      </c>
      <c r="E987" s="252">
        <v>1.6816130741566508E-6</v>
      </c>
      <c r="F987" s="252">
        <v>2.2299243681798899E-4</v>
      </c>
      <c r="G987" s="252">
        <v>4.7832189502545419E-2</v>
      </c>
      <c r="H987" s="252">
        <v>6.3790799146275386E-4</v>
      </c>
      <c r="I987" s="252">
        <v>5.126659018916353E-6</v>
      </c>
      <c r="J987" s="252">
        <v>3.1298874773719637E-4</v>
      </c>
      <c r="K987" s="253">
        <v>10.7192706648966</v>
      </c>
      <c r="L987" s="253">
        <v>11.151034220406</v>
      </c>
      <c r="M987" s="253">
        <v>6.1410079998189904</v>
      </c>
      <c r="N987" s="253">
        <v>0.90571344978717205</v>
      </c>
      <c r="O987" s="249">
        <v>2.3853445949185294E-5</v>
      </c>
      <c r="P987" s="254">
        <v>57.583999999999996</v>
      </c>
      <c r="Q987" s="213"/>
      <c r="R987" s="235" t="s">
        <v>449</v>
      </c>
    </row>
    <row r="988" spans="1:18" x14ac:dyDescent="0.25">
      <c r="A988" s="230">
        <v>45726</v>
      </c>
      <c r="B988" s="128" t="s">
        <v>30</v>
      </c>
      <c r="C988" s="157" t="str">
        <f t="shared" si="31"/>
        <v>10.03.2025_FAL1</v>
      </c>
      <c r="D988" s="190">
        <f t="shared" si="32"/>
        <v>0</v>
      </c>
      <c r="E988" s="252">
        <v>1.7166467861370094E-6</v>
      </c>
      <c r="F988" s="252">
        <v>2.63916647895303E-4</v>
      </c>
      <c r="G988" s="252">
        <v>0.13929386949587128</v>
      </c>
      <c r="H988" s="252">
        <v>1.549709012517345E-3</v>
      </c>
      <c r="I988" s="252">
        <v>8.1560764916768989E-6</v>
      </c>
      <c r="J988" s="252">
        <v>7.8256477614767307E-4</v>
      </c>
      <c r="K988" s="253">
        <v>55.735216037782401</v>
      </c>
      <c r="L988" s="253">
        <v>26.751926883644799</v>
      </c>
      <c r="M988" s="253">
        <v>22.440626495503501</v>
      </c>
      <c r="N988" s="253">
        <v>3.218191621704781</v>
      </c>
      <c r="O988" s="249">
        <v>3.7788835857855096E-5</v>
      </c>
      <c r="P988" s="254">
        <v>170.79999999999998</v>
      </c>
      <c r="Q988" s="213"/>
      <c r="R988" s="235" t="s">
        <v>449</v>
      </c>
    </row>
    <row r="989" spans="1:18" x14ac:dyDescent="0.25">
      <c r="A989" s="230">
        <v>45726</v>
      </c>
      <c r="B989" s="128" t="s">
        <v>32</v>
      </c>
      <c r="C989" s="157" t="str">
        <f t="shared" si="31"/>
        <v>10.03.2025_FAL2</v>
      </c>
      <c r="D989" s="190">
        <f t="shared" si="32"/>
        <v>0</v>
      </c>
      <c r="E989" s="252">
        <v>1.6816131428226157E-6</v>
      </c>
      <c r="F989" s="252">
        <v>2.6961592204225132E-4</v>
      </c>
      <c r="G989" s="252">
        <v>0.13644990473107979</v>
      </c>
      <c r="H989" s="252">
        <v>1.5231314744071876E-3</v>
      </c>
      <c r="I989" s="252">
        <v>9.587565117860039E-6</v>
      </c>
      <c r="J989" s="252">
        <v>9.8951816005899578E-4</v>
      </c>
      <c r="K989" s="253">
        <v>55.101684906466502</v>
      </c>
      <c r="L989" s="253">
        <v>27.589500580492299</v>
      </c>
      <c r="M989" s="253">
        <v>22.856137866461602</v>
      </c>
      <c r="N989" s="253">
        <v>3.1229772530172375</v>
      </c>
      <c r="O989" s="249">
        <v>4.1732661338404836E-5</v>
      </c>
      <c r="P989" s="254">
        <v>224.96800000000002</v>
      </c>
      <c r="Q989" s="213"/>
      <c r="R989" s="235" t="s">
        <v>449</v>
      </c>
    </row>
    <row r="990" spans="1:18" x14ac:dyDescent="0.25">
      <c r="A990" s="230">
        <v>45726</v>
      </c>
      <c r="B990" s="128" t="s">
        <v>26</v>
      </c>
      <c r="C990" s="157" t="str">
        <f t="shared" si="31"/>
        <v>10.03.2025_GRU1</v>
      </c>
      <c r="D990" s="190">
        <f t="shared" si="32"/>
        <v>0</v>
      </c>
      <c r="E990" s="252">
        <v>5.7455230426337651E-6</v>
      </c>
      <c r="F990" s="252">
        <v>2.0074382890605049E-4</v>
      </c>
      <c r="G990" s="252">
        <v>5.4248268888426703E-2</v>
      </c>
      <c r="H990" s="252">
        <v>1.5082687325280837E-3</v>
      </c>
      <c r="I990" s="252">
        <v>8.5888570312401666E-6</v>
      </c>
      <c r="J990" s="252">
        <v>4.3957640340205932E-4</v>
      </c>
      <c r="K990" s="253">
        <v>13.9763978509521</v>
      </c>
      <c r="L990" s="253">
        <v>7.3424460437289198</v>
      </c>
      <c r="M990" s="253">
        <v>6.2088039841945903</v>
      </c>
      <c r="N990" s="253">
        <v>1.278425721018758</v>
      </c>
      <c r="O990" s="249">
        <v>2.8297423612165155E-5</v>
      </c>
      <c r="P990" s="254">
        <v>42.455999999999996</v>
      </c>
      <c r="Q990" s="213"/>
      <c r="R990" s="235" t="s">
        <v>449</v>
      </c>
    </row>
    <row r="991" spans="1:18" x14ac:dyDescent="0.25">
      <c r="A991" s="230">
        <v>45726</v>
      </c>
      <c r="B991" s="128" t="s">
        <v>28</v>
      </c>
      <c r="C991" s="157" t="str">
        <f t="shared" si="31"/>
        <v>10.03.2025_GRU2</v>
      </c>
      <c r="D991" s="190">
        <f t="shared" si="32"/>
        <v>0</v>
      </c>
      <c r="E991" s="252">
        <v>7.4621771727756756E-6</v>
      </c>
      <c r="F991" s="252">
        <v>1.9209178578873614E-4</v>
      </c>
      <c r="G991" s="252">
        <v>6.0554277551794024E-2</v>
      </c>
      <c r="H991" s="252">
        <v>1.4756028048787931E-3</v>
      </c>
      <c r="I991" s="252">
        <v>4.7937558029256538E-6</v>
      </c>
      <c r="J991" s="252">
        <v>5.2729729906979023E-4</v>
      </c>
      <c r="K991" s="253">
        <v>18.072202136127601</v>
      </c>
      <c r="L991" s="253">
        <v>7.1182372170359303</v>
      </c>
      <c r="M991" s="253">
        <v>5.9435412538770001</v>
      </c>
      <c r="N991" s="253">
        <v>1.3825746854771859</v>
      </c>
      <c r="O991" s="249">
        <v>3.3445977564926397E-5</v>
      </c>
      <c r="P991" s="254">
        <v>52.704000000000001</v>
      </c>
      <c r="Q991" s="213"/>
      <c r="R991" s="235" t="s">
        <v>449</v>
      </c>
    </row>
    <row r="992" spans="1:18" x14ac:dyDescent="0.25">
      <c r="A992" s="230">
        <v>45726</v>
      </c>
      <c r="B992" s="128" t="s">
        <v>0</v>
      </c>
      <c r="C992" s="157" t="str">
        <f t="shared" si="31"/>
        <v>10.03.2025_KIN1</v>
      </c>
      <c r="D992" s="190">
        <f t="shared" si="32"/>
        <v>0</v>
      </c>
      <c r="E992" s="252">
        <v>1.9618821781641204E-6</v>
      </c>
      <c r="F992" s="252">
        <v>1.7816918718014036E-4</v>
      </c>
      <c r="G992" s="252">
        <v>7.242115567141677E-2</v>
      </c>
      <c r="H992" s="252">
        <v>7.722833191685126E-4</v>
      </c>
      <c r="I992" s="252">
        <v>4.6605954735168713E-6</v>
      </c>
      <c r="J992" s="252">
        <v>4.0008735728635819E-4</v>
      </c>
      <c r="K992" s="253">
        <v>22.712693343875198</v>
      </c>
      <c r="L992" s="253">
        <v>16.518136225266101</v>
      </c>
      <c r="M992" s="253">
        <v>6.09108575588923</v>
      </c>
      <c r="N992" s="253">
        <v>1.2192053714988831</v>
      </c>
      <c r="O992" s="249">
        <v>1.995201508588978E-5</v>
      </c>
      <c r="P992" s="254">
        <v>109.556</v>
      </c>
      <c r="Q992" s="213"/>
      <c r="R992" s="235" t="s">
        <v>449</v>
      </c>
    </row>
    <row r="993" spans="1:18" x14ac:dyDescent="0.25">
      <c r="A993" s="230">
        <v>45726</v>
      </c>
      <c r="B993" s="128" t="s">
        <v>2</v>
      </c>
      <c r="C993" s="157" t="str">
        <f t="shared" si="31"/>
        <v>10.03.2025_KIN2</v>
      </c>
      <c r="D993" s="190">
        <f t="shared" si="32"/>
        <v>0</v>
      </c>
      <c r="E993" s="252">
        <v>5.220016450644754E-6</v>
      </c>
      <c r="F993" s="252">
        <v>2.5684357817416103E-4</v>
      </c>
      <c r="G993" s="252">
        <v>0.11020947807746378</v>
      </c>
      <c r="H993" s="252">
        <v>1.3362824849981712E-3</v>
      </c>
      <c r="I993" s="252">
        <v>3.4123395815659591E-5</v>
      </c>
      <c r="J993" s="252">
        <v>4.3804088654618503E-3</v>
      </c>
      <c r="K993" s="253">
        <v>36.906206859042101</v>
      </c>
      <c r="L993" s="253">
        <v>18.2954321636869</v>
      </c>
      <c r="M993" s="253">
        <v>5.9627143345320599</v>
      </c>
      <c r="N993" s="253">
        <v>1.5129546357926478</v>
      </c>
      <c r="O993" s="249">
        <v>3.2067467599226981E-5</v>
      </c>
      <c r="P993" s="254">
        <v>128.83199999999999</v>
      </c>
      <c r="Q993" s="213"/>
      <c r="R993" s="235" t="s">
        <v>449</v>
      </c>
    </row>
    <row r="994" spans="1:18" x14ac:dyDescent="0.25">
      <c r="A994" s="230">
        <v>45726</v>
      </c>
      <c r="B994" s="128" t="s">
        <v>4</v>
      </c>
      <c r="C994" s="157" t="str">
        <f t="shared" si="31"/>
        <v>10.03.2025_KIN3</v>
      </c>
      <c r="D994" s="190">
        <f t="shared" si="32"/>
        <v>0</v>
      </c>
      <c r="E994" s="252">
        <v>3.0829594868525736E-6</v>
      </c>
      <c r="F994" s="252">
        <v>1.9482537837310035E-4</v>
      </c>
      <c r="G994" s="252">
        <v>7.8660628160377985E-2</v>
      </c>
      <c r="H994" s="252">
        <v>1.0559965730832681E-3</v>
      </c>
      <c r="I994" s="252">
        <v>6.0587838881336401E-6</v>
      </c>
      <c r="J994" s="252">
        <v>9.4261207834125515E-4</v>
      </c>
      <c r="K994" s="253">
        <v>25.629298725245</v>
      </c>
      <c r="L994" s="253">
        <v>18.079077608196901</v>
      </c>
      <c r="M994" s="253">
        <v>6.4605875095643803</v>
      </c>
      <c r="N994" s="253">
        <v>1.2399303413062699</v>
      </c>
      <c r="O994" s="249">
        <v>2.2090998914308705E-5</v>
      </c>
      <c r="P994" s="254">
        <v>126.88000000000001</v>
      </c>
      <c r="Q994" s="213"/>
      <c r="R994" s="235" t="s">
        <v>449</v>
      </c>
    </row>
    <row r="995" spans="1:18" x14ac:dyDescent="0.25">
      <c r="A995" s="230">
        <v>45726</v>
      </c>
      <c r="B995" s="128" t="s">
        <v>6</v>
      </c>
      <c r="C995" s="157" t="str">
        <f t="shared" si="31"/>
        <v>10.03.2025_KIN4</v>
      </c>
      <c r="D995" s="190">
        <f t="shared" si="32"/>
        <v>0</v>
      </c>
      <c r="E995" s="252">
        <v>3.0128920073048564E-6</v>
      </c>
      <c r="F995" s="252">
        <v>2.015854188943843E-4</v>
      </c>
      <c r="G995" s="252">
        <v>7.0461743596898357E-2</v>
      </c>
      <c r="H995" s="252">
        <v>9.9420270891877201E-4</v>
      </c>
      <c r="I995" s="252">
        <v>4.8603361540558952E-6</v>
      </c>
      <c r="J995" s="252">
        <v>7.2126456997607653E-4</v>
      </c>
      <c r="K995" s="253">
        <v>20.782580504352801</v>
      </c>
      <c r="L995" s="253">
        <v>17.842994593950898</v>
      </c>
      <c r="M995" s="253">
        <v>9.0743914681881392</v>
      </c>
      <c r="N995" s="253">
        <v>1.2848619898187978</v>
      </c>
      <c r="O995" s="249">
        <v>2.439198488239584E-5</v>
      </c>
      <c r="P995" s="254">
        <v>98.576000000000008</v>
      </c>
      <c r="Q995" s="213"/>
      <c r="R995" s="235" t="s">
        <v>449</v>
      </c>
    </row>
    <row r="996" spans="1:18" x14ac:dyDescent="0.25">
      <c r="A996" s="230">
        <v>45726</v>
      </c>
      <c r="B996" s="247" t="s">
        <v>421</v>
      </c>
      <c r="C996" s="157" t="str">
        <f t="shared" si="31"/>
        <v>10.03.2025_KLI</v>
      </c>
      <c r="D996" s="190">
        <f t="shared" si="32"/>
        <v>0</v>
      </c>
      <c r="E996" s="252">
        <v>2.3297572169539345E-5</v>
      </c>
      <c r="F996" s="252">
        <v>9.1368256492961375E-5</v>
      </c>
      <c r="G996" s="252">
        <v>5.028426711947772E-2</v>
      </c>
      <c r="H996" s="252">
        <v>1.2084333008537528E-3</v>
      </c>
      <c r="I996" s="252">
        <v>3.6286020195391717E-6</v>
      </c>
      <c r="J996" s="252">
        <v>1.3793103501525484E-3</v>
      </c>
      <c r="K996" s="253">
        <v>10.093581232480901</v>
      </c>
      <c r="L996" s="253">
        <v>2.41726725295318</v>
      </c>
      <c r="M996" s="253">
        <v>5.1776444810447497</v>
      </c>
      <c r="N996" s="253">
        <v>2.0058320184379341</v>
      </c>
      <c r="O996" s="249">
        <v>1.3987296799032938E-5</v>
      </c>
      <c r="P996" s="254">
        <v>9.2720000000000002</v>
      </c>
      <c r="Q996" s="213"/>
      <c r="R996" s="235" t="s">
        <v>449</v>
      </c>
    </row>
    <row r="997" spans="1:18" x14ac:dyDescent="0.25">
      <c r="A997" s="230">
        <v>45726</v>
      </c>
      <c r="B997" s="128" t="s">
        <v>34</v>
      </c>
      <c r="C997" s="157" t="str">
        <f t="shared" si="31"/>
        <v>10.03.2025_KRE1</v>
      </c>
      <c r="D997" s="190">
        <f t="shared" si="32"/>
        <v>0</v>
      </c>
      <c r="E997" s="252">
        <v>2.3472522971297634E-6</v>
      </c>
      <c r="F997" s="252">
        <v>2.8302281061063722E-4</v>
      </c>
      <c r="G997" s="252">
        <v>0.14728048709528113</v>
      </c>
      <c r="H997" s="252">
        <v>1.6714590199843917E-3</v>
      </c>
      <c r="I997" s="252">
        <v>9.5875654674145495E-6</v>
      </c>
      <c r="J997" s="252">
        <v>8.1671241981974747E-4</v>
      </c>
      <c r="K997" s="253">
        <v>58.854543890431003</v>
      </c>
      <c r="L997" s="253">
        <v>28.655978175492901</v>
      </c>
      <c r="M997" s="253">
        <v>23.4610241579256</v>
      </c>
      <c r="N997" s="253">
        <v>2.9599091066264087</v>
      </c>
      <c r="O997" s="249">
        <v>5.0186086476843546E-5</v>
      </c>
      <c r="P997" s="254">
        <v>253.76000000000002</v>
      </c>
      <c r="Q997" s="213"/>
      <c r="R997" s="235" t="s">
        <v>449</v>
      </c>
    </row>
    <row r="998" spans="1:18" x14ac:dyDescent="0.25">
      <c r="A998" s="230">
        <v>45726</v>
      </c>
      <c r="B998" s="128" t="s">
        <v>37</v>
      </c>
      <c r="C998" s="157" t="str">
        <f t="shared" si="31"/>
        <v>10.03.2025_KRE2</v>
      </c>
      <c r="D998" s="190">
        <f t="shared" si="32"/>
        <v>0</v>
      </c>
      <c r="E998" s="252">
        <v>4.9397493477726057E-6</v>
      </c>
      <c r="F998" s="252">
        <v>2.8072555854328764E-4</v>
      </c>
      <c r="G998" s="252">
        <v>0.1661519575130081</v>
      </c>
      <c r="H998" s="252">
        <v>2.0939584248125648E-3</v>
      </c>
      <c r="I998" s="252">
        <v>1.6412188926526866E-5</v>
      </c>
      <c r="J998" s="252">
        <v>9.5228132802586995E-4</v>
      </c>
      <c r="K998" s="253">
        <v>72.728898241720898</v>
      </c>
      <c r="L998" s="253">
        <v>30.418144865795899</v>
      </c>
      <c r="M998" s="253">
        <v>24.012783163319899</v>
      </c>
      <c r="N998" s="253">
        <v>2.7671038391819107</v>
      </c>
      <c r="O998" s="249">
        <v>6.8953531280178205E-5</v>
      </c>
      <c r="P998" s="254">
        <v>221.79600000000002</v>
      </c>
      <c r="Q998" s="213"/>
      <c r="R998" s="235" t="s">
        <v>449</v>
      </c>
    </row>
    <row r="999" spans="1:18" x14ac:dyDescent="0.25">
      <c r="A999" s="230">
        <v>45726</v>
      </c>
      <c r="B999" s="128" t="s">
        <v>18</v>
      </c>
      <c r="C999" s="157" t="str">
        <f t="shared" si="31"/>
        <v>10.03.2025_ORB1</v>
      </c>
      <c r="D999" s="190">
        <f t="shared" si="32"/>
        <v>0</v>
      </c>
      <c r="E999" s="252">
        <v>9.4591067405866881E-6</v>
      </c>
      <c r="F999" s="252">
        <v>1.6843501940441846E-4</v>
      </c>
      <c r="G999" s="252">
        <v>5.2440422765410978E-2</v>
      </c>
      <c r="H999" s="252">
        <v>7.8367974512601082E-4</v>
      </c>
      <c r="I999" s="252">
        <v>9.4211144730838374E-6</v>
      </c>
      <c r="J999" s="252">
        <v>8.4870126663477068E-4</v>
      </c>
      <c r="K999" s="253">
        <v>12.124645803735399</v>
      </c>
      <c r="L999" s="253">
        <v>2.6843522277292</v>
      </c>
      <c r="M999" s="253">
        <v>7.2319616698859104</v>
      </c>
      <c r="N999" s="253">
        <v>2.522591016096011</v>
      </c>
      <c r="O999" s="249">
        <v>1.667588275132548E-5</v>
      </c>
      <c r="P999" s="254">
        <v>19.276</v>
      </c>
      <c r="Q999" s="213"/>
      <c r="R999" s="235" t="s">
        <v>449</v>
      </c>
    </row>
    <row r="1000" spans="1:18" x14ac:dyDescent="0.25">
      <c r="A1000" s="230">
        <v>45726</v>
      </c>
      <c r="B1000" s="128" t="s">
        <v>21</v>
      </c>
      <c r="C1000" s="157" t="str">
        <f t="shared" si="31"/>
        <v>10.03.2025_ORB2</v>
      </c>
      <c r="D1000" s="190">
        <f t="shared" si="32"/>
        <v>0</v>
      </c>
      <c r="E1000" s="252">
        <v>6.9717040638800712E-6</v>
      </c>
      <c r="F1000" s="252">
        <v>1.7210372113540768E-4</v>
      </c>
      <c r="G1000" s="252">
        <v>5.2611091145363824E-2</v>
      </c>
      <c r="H1000" s="252">
        <v>8.4644000076731336E-4</v>
      </c>
      <c r="I1000" s="252">
        <v>4.2944036199783015E-6</v>
      </c>
      <c r="J1000" s="252">
        <v>1.1143992925538074E-3</v>
      </c>
      <c r="K1000" s="253">
        <v>13.348431797563199</v>
      </c>
      <c r="L1000" s="253">
        <v>3.0108218701405201</v>
      </c>
      <c r="M1000" s="253">
        <v>10.120330616158</v>
      </c>
      <c r="N1000" s="253">
        <v>2.5445001765535409</v>
      </c>
      <c r="O1000" s="249">
        <v>1.7813093981544884E-5</v>
      </c>
      <c r="P1000" s="254">
        <v>24.400000000000002</v>
      </c>
      <c r="Q1000" s="213"/>
      <c r="R1000" s="235" t="s">
        <v>449</v>
      </c>
    </row>
    <row r="1001" spans="1:18" x14ac:dyDescent="0.25">
      <c r="A1001" s="230">
        <v>45726</v>
      </c>
      <c r="B1001" s="128" t="s">
        <v>10</v>
      </c>
      <c r="C1001" s="157" t="str">
        <f t="shared" si="31"/>
        <v>10.03.2025_SAL1</v>
      </c>
      <c r="D1001" s="190">
        <f t="shared" si="32"/>
        <v>0</v>
      </c>
      <c r="E1001" s="252">
        <v>2.2071177271420767E-6</v>
      </c>
      <c r="F1001" s="252">
        <v>1.4194912667651462E-4</v>
      </c>
      <c r="G1001" s="252">
        <v>5.1989714976253779E-2</v>
      </c>
      <c r="H1001" s="252">
        <v>7.7630580818801665E-4</v>
      </c>
      <c r="I1001" s="252">
        <v>5.8923329248634458E-6</v>
      </c>
      <c r="J1001" s="252">
        <v>2.7134318817564516E-4</v>
      </c>
      <c r="K1001" s="253">
        <v>11.984871566714601</v>
      </c>
      <c r="L1001" s="253">
        <v>10.646120337096701</v>
      </c>
      <c r="M1001" s="253">
        <v>5.4156627933232002</v>
      </c>
      <c r="N1001" s="253">
        <v>0.71948585951912492</v>
      </c>
      <c r="O1001" s="249">
        <v>2.0185500592611475E-5</v>
      </c>
      <c r="P1001" s="254">
        <v>57.583999999999996</v>
      </c>
      <c r="Q1001" s="213"/>
      <c r="R1001" s="235" t="s">
        <v>449</v>
      </c>
    </row>
    <row r="1002" spans="1:18" x14ac:dyDescent="0.25">
      <c r="A1002" s="230">
        <v>45726</v>
      </c>
      <c r="B1002" s="128" t="s">
        <v>12</v>
      </c>
      <c r="C1002" s="157" t="str">
        <f t="shared" si="31"/>
        <v>10.03.2025_SAL2</v>
      </c>
      <c r="D1002" s="190">
        <f t="shared" si="32"/>
        <v>0</v>
      </c>
      <c r="E1002" s="252">
        <v>2.3822860646969805E-6</v>
      </c>
      <c r="F1002" s="252">
        <v>1.6847557209988568E-4</v>
      </c>
      <c r="G1002" s="252">
        <v>5.2308961252739899E-2</v>
      </c>
      <c r="H1002" s="252">
        <v>8.6407840899292959E-4</v>
      </c>
      <c r="I1002" s="252">
        <v>4.3942739524800415E-6</v>
      </c>
      <c r="J1002" s="252">
        <v>2.7812980811490237E-4</v>
      </c>
      <c r="K1002" s="253">
        <v>10.980769182985201</v>
      </c>
      <c r="L1002" s="253">
        <v>10.9110327356696</v>
      </c>
      <c r="M1002" s="253">
        <v>5.72843579635573</v>
      </c>
      <c r="N1002" s="253">
        <v>0.73348463406720532</v>
      </c>
      <c r="O1002" s="249">
        <v>2.0505588844455209E-5</v>
      </c>
      <c r="P1002" s="254">
        <v>59.292000000000002</v>
      </c>
      <c r="Q1002" s="213"/>
      <c r="R1002" s="235" t="s">
        <v>449</v>
      </c>
    </row>
    <row r="1003" spans="1:18" x14ac:dyDescent="0.25">
      <c r="A1003" s="230">
        <v>45726</v>
      </c>
      <c r="B1003" s="128" t="s">
        <v>7</v>
      </c>
      <c r="C1003" s="157" t="str">
        <f t="shared" si="31"/>
        <v>10.03.2025_STE1</v>
      </c>
      <c r="D1003" s="190">
        <f t="shared" si="32"/>
        <v>0</v>
      </c>
      <c r="E1003" s="252">
        <v>2.2071178808231276E-6</v>
      </c>
      <c r="F1003" s="252">
        <v>1.7003037139218431E-4</v>
      </c>
      <c r="G1003" s="252">
        <v>5.9479002220178878E-2</v>
      </c>
      <c r="H1003" s="252">
        <v>9.24883019161393E-4</v>
      </c>
      <c r="I1003" s="252">
        <v>4.8603362861075753E-6</v>
      </c>
      <c r="J1003" s="252">
        <v>6.2839233632378747E-4</v>
      </c>
      <c r="K1003" s="253">
        <v>16.783488775044301</v>
      </c>
      <c r="L1003" s="253">
        <v>12.062565067743</v>
      </c>
      <c r="M1003" s="253">
        <v>6.20325252213651</v>
      </c>
      <c r="N1003" s="253">
        <v>0.77703276921004405</v>
      </c>
      <c r="O1003" s="249">
        <v>2.0223146966514871E-5</v>
      </c>
      <c r="P1003" s="254">
        <v>72.956000000000003</v>
      </c>
      <c r="Q1003" s="213"/>
      <c r="R1003" s="235" t="s">
        <v>449</v>
      </c>
    </row>
    <row r="1004" spans="1:18" x14ac:dyDescent="0.25">
      <c r="A1004" s="230">
        <v>45726</v>
      </c>
      <c r="B1004" s="128" t="s">
        <v>9</v>
      </c>
      <c r="C1004" s="157" t="str">
        <f t="shared" si="31"/>
        <v>10.03.2025_STE2</v>
      </c>
      <c r="D1004" s="190">
        <f t="shared" si="32"/>
        <v>0</v>
      </c>
      <c r="E1004" s="252">
        <v>2.1370503881963671E-6</v>
      </c>
      <c r="F1004" s="252">
        <v>1.6853597840560852E-4</v>
      </c>
      <c r="G1004" s="252">
        <v>6.3719835374140027E-2</v>
      </c>
      <c r="H1004" s="252">
        <v>9.3329001307378753E-4</v>
      </c>
      <c r="I1004" s="252">
        <v>2.7297711243059881E-6</v>
      </c>
      <c r="J1004" s="252">
        <v>4.1726083761863285E-4</v>
      </c>
      <c r="K1004" s="253">
        <v>18.062661633158299</v>
      </c>
      <c r="L1004" s="253">
        <v>12.280680046710501</v>
      </c>
      <c r="M1004" s="253">
        <v>6.9220161595603003</v>
      </c>
      <c r="N1004" s="253">
        <v>0.82008914273762301</v>
      </c>
      <c r="O1004" s="249">
        <v>2.1307702535755659E-5</v>
      </c>
      <c r="P1004" s="254">
        <v>80.76400000000001</v>
      </c>
      <c r="Q1004" s="213"/>
      <c r="R1004" s="235" t="s">
        <v>449</v>
      </c>
    </row>
    <row r="1005" spans="1:18" x14ac:dyDescent="0.25">
      <c r="A1005" s="230">
        <v>45740</v>
      </c>
      <c r="B1005" s="128" t="s">
        <v>22</v>
      </c>
      <c r="C1005" s="157" t="str">
        <f t="shared" si="31"/>
        <v>24.03.2025_BIE1</v>
      </c>
      <c r="D1005" s="190">
        <f t="shared" si="32"/>
        <v>0</v>
      </c>
      <c r="E1005" s="252">
        <v>6.3761304599299781E-6</v>
      </c>
      <c r="F1005" s="252">
        <v>3.1860168634364897E-4</v>
      </c>
      <c r="G1005" s="252">
        <v>5.9354739426412478E-2</v>
      </c>
      <c r="H1005" s="252">
        <v>1.0093674951098025E-3</v>
      </c>
      <c r="I1005" s="252">
        <v>1.1884617875951722E-5</v>
      </c>
      <c r="J1005" s="252">
        <v>6.9092380626078445E-4</v>
      </c>
      <c r="K1005" s="253">
        <v>13.8778189171005</v>
      </c>
      <c r="L1005" s="253">
        <v>7.2213380705667696</v>
      </c>
      <c r="M1005" s="253">
        <v>4.8945370739153002</v>
      </c>
      <c r="N1005" s="253">
        <v>2.1543204604067765</v>
      </c>
      <c r="O1005" s="249">
        <v>4.1804233740251731E-5</v>
      </c>
      <c r="P1005" s="255" t="s">
        <v>203</v>
      </c>
      <c r="Q1005" s="213"/>
      <c r="R1005" s="235" t="s">
        <v>450</v>
      </c>
    </row>
    <row r="1006" spans="1:18" x14ac:dyDescent="0.25">
      <c r="A1006" s="230">
        <v>45740</v>
      </c>
      <c r="B1006" s="128" t="s">
        <v>25</v>
      </c>
      <c r="C1006" s="157" t="str">
        <f t="shared" si="31"/>
        <v>24.03.2025_BIE2</v>
      </c>
      <c r="D1006" s="190">
        <f t="shared" si="32"/>
        <v>0</v>
      </c>
      <c r="E1006" s="252">
        <v>8.1628541623111455E-6</v>
      </c>
      <c r="F1006" s="252">
        <v>3.251121002400932E-4</v>
      </c>
      <c r="G1006" s="252">
        <v>5.6831565727723972E-2</v>
      </c>
      <c r="H1006" s="252">
        <v>9.4551396477895024E-4</v>
      </c>
      <c r="I1006" s="252">
        <v>1.6844968611593087E-5</v>
      </c>
      <c r="J1006" s="252">
        <v>1.2613048945363801E-3</v>
      </c>
      <c r="K1006" s="253">
        <v>12.921359506792299</v>
      </c>
      <c r="L1006" s="253">
        <v>7.0572642352608197</v>
      </c>
      <c r="M1006" s="253">
        <v>5.2894934983847097</v>
      </c>
      <c r="N1006" s="253">
        <v>2.242546519140491</v>
      </c>
      <c r="O1006" s="249">
        <v>4.3137746694210285E-5</v>
      </c>
      <c r="P1006" s="255" t="s">
        <v>203</v>
      </c>
      <c r="Q1006" s="213"/>
      <c r="R1006" s="235" t="s">
        <v>450</v>
      </c>
    </row>
    <row r="1007" spans="1:18" x14ac:dyDescent="0.25">
      <c r="A1007" s="230">
        <v>45740</v>
      </c>
      <c r="B1007" s="128" t="s">
        <v>14</v>
      </c>
      <c r="C1007" s="157" t="str">
        <f t="shared" si="31"/>
        <v>24.03.2025_BRA1</v>
      </c>
      <c r="D1007" s="190">
        <f t="shared" si="32"/>
        <v>0</v>
      </c>
      <c r="E1007" s="252">
        <v>5.7455281533772069E-6</v>
      </c>
      <c r="F1007" s="252">
        <v>1.4867979182508277E-4</v>
      </c>
      <c r="G1007" s="252">
        <v>5.0588765679609377E-2</v>
      </c>
      <c r="H1007" s="252">
        <v>7.4500446216378658E-4</v>
      </c>
      <c r="I1007" s="252">
        <v>9.0882249052696433E-6</v>
      </c>
      <c r="J1007" s="252">
        <v>6.7446826355004096E-4</v>
      </c>
      <c r="K1007" s="253">
        <v>11.203106831124799</v>
      </c>
      <c r="L1007" s="253">
        <v>11.5742042027048</v>
      </c>
      <c r="M1007" s="253">
        <v>5.2662821753756699</v>
      </c>
      <c r="N1007" s="253">
        <v>0.78055951948561342</v>
      </c>
      <c r="O1007" s="249">
        <v>5.082275579774589E-5</v>
      </c>
      <c r="P1007" s="255" t="s">
        <v>203</v>
      </c>
      <c r="Q1007" s="213"/>
      <c r="R1007" s="235" t="s">
        <v>450</v>
      </c>
    </row>
    <row r="1008" spans="1:18" x14ac:dyDescent="0.25">
      <c r="A1008" s="230">
        <v>45740</v>
      </c>
      <c r="B1008" s="128" t="s">
        <v>17</v>
      </c>
      <c r="C1008" s="157" t="str">
        <f t="shared" si="31"/>
        <v>24.03.2025_BRA2</v>
      </c>
      <c r="D1008" s="190">
        <f t="shared" si="32"/>
        <v>0</v>
      </c>
      <c r="E1008" s="252">
        <v>4.6945125595312142E-6</v>
      </c>
      <c r="F1008" s="252">
        <v>1.5645372821337372E-4</v>
      </c>
      <c r="G1008" s="252">
        <v>5.4096378700893115E-2</v>
      </c>
      <c r="H1008" s="252">
        <v>6.732277692096261E-4</v>
      </c>
      <c r="I1008" s="252">
        <v>8.1560848265419337E-6</v>
      </c>
      <c r="J1008" s="252">
        <v>5.1783650673926885E-4</v>
      </c>
      <c r="K1008" s="253">
        <v>12.558520564073801</v>
      </c>
      <c r="L1008" s="253">
        <v>9.8003933828174201</v>
      </c>
      <c r="M1008" s="253">
        <v>4.6513866082869004</v>
      </c>
      <c r="N1008" s="253">
        <v>0.90571344978717205</v>
      </c>
      <c r="O1008" s="249">
        <v>2.5017151510539335E-5</v>
      </c>
      <c r="P1008" s="255" t="s">
        <v>203</v>
      </c>
      <c r="Q1008" s="213"/>
      <c r="R1008" s="235" t="s">
        <v>450</v>
      </c>
    </row>
    <row r="1009" spans="1:18" x14ac:dyDescent="0.25">
      <c r="A1009" s="230">
        <v>45740</v>
      </c>
      <c r="B1009" s="128" t="s">
        <v>30</v>
      </c>
      <c r="C1009" s="157" t="str">
        <f t="shared" si="31"/>
        <v>24.03.2025_FAL1</v>
      </c>
      <c r="D1009" s="190">
        <f t="shared" si="32"/>
        <v>0</v>
      </c>
      <c r="E1009" s="252">
        <v>2.6975890409056136E-6</v>
      </c>
      <c r="F1009" s="252">
        <v>2.904611953502909E-4</v>
      </c>
      <c r="G1009" s="252">
        <v>0.14280521490269829</v>
      </c>
      <c r="H1009" s="252">
        <v>1.3580045763558204E-3</v>
      </c>
      <c r="I1009" s="252">
        <v>2.3603108525275051E-5</v>
      </c>
      <c r="J1009" s="252">
        <v>9.5979019473470273E-4</v>
      </c>
      <c r="K1009" s="253">
        <v>50.589051320368903</v>
      </c>
      <c r="L1009" s="253">
        <v>18.3163886542415</v>
      </c>
      <c r="M1009" s="253">
        <v>15.289073635562</v>
      </c>
      <c r="N1009" s="253">
        <v>3.218191621704781</v>
      </c>
      <c r="O1009" s="249">
        <v>3.4756717688856041E-5</v>
      </c>
      <c r="P1009" s="255" t="s">
        <v>203</v>
      </c>
      <c r="Q1009" s="213"/>
      <c r="R1009" s="235" t="s">
        <v>450</v>
      </c>
    </row>
    <row r="1010" spans="1:18" x14ac:dyDescent="0.25">
      <c r="A1010" s="230">
        <v>45740</v>
      </c>
      <c r="B1010" s="128" t="s">
        <v>32</v>
      </c>
      <c r="C1010" s="157" t="str">
        <f t="shared" si="31"/>
        <v>24.03.2025_FAL2</v>
      </c>
      <c r="D1010" s="190">
        <f t="shared" si="32"/>
        <v>0</v>
      </c>
      <c r="E1010" s="252">
        <v>3.2931647735079941E-6</v>
      </c>
      <c r="F1010" s="252">
        <v>2.6560101856265816E-4</v>
      </c>
      <c r="G1010" s="252">
        <v>0.16775480271082779</v>
      </c>
      <c r="H1010" s="252">
        <v>1.8230611396891773E-3</v>
      </c>
      <c r="I1010" s="252">
        <v>1.2084369687909899E-5</v>
      </c>
      <c r="J1010" s="252">
        <v>8.4119249511338014E-4</v>
      </c>
      <c r="K1010" s="253">
        <v>63.552743069497602</v>
      </c>
      <c r="L1010" s="253">
        <v>25.0618689142912</v>
      </c>
      <c r="M1010" s="253">
        <v>20.1408848790735</v>
      </c>
      <c r="N1010" s="253">
        <v>3.1229772530172375</v>
      </c>
      <c r="O1010" s="249">
        <v>4.7518835007270638E-5</v>
      </c>
      <c r="P1010" s="255" t="s">
        <v>203</v>
      </c>
      <c r="Q1010" s="213"/>
      <c r="R1010" s="235" t="s">
        <v>450</v>
      </c>
    </row>
    <row r="1011" spans="1:18" x14ac:dyDescent="0.25">
      <c r="A1011" s="230">
        <v>45740</v>
      </c>
      <c r="B1011" s="128" t="s">
        <v>26</v>
      </c>
      <c r="C1011" s="157" t="str">
        <f t="shared" si="31"/>
        <v>24.03.2025_GRU1</v>
      </c>
      <c r="D1011" s="190">
        <f t="shared" si="32"/>
        <v>0</v>
      </c>
      <c r="E1011" s="252">
        <v>6.3761299040586738E-6</v>
      </c>
      <c r="F1011" s="252">
        <v>1.9904691648184691E-4</v>
      </c>
      <c r="G1011" s="252">
        <v>5.7632707518795984E-2</v>
      </c>
      <c r="H1011" s="252">
        <v>1.4459841956384299E-3</v>
      </c>
      <c r="I1011" s="252">
        <v>5.8590424075155885E-6</v>
      </c>
      <c r="J1011" s="252">
        <v>3.8846728633521854E-4</v>
      </c>
      <c r="K1011" s="253">
        <v>14.301567907104801</v>
      </c>
      <c r="L1011" s="253">
        <v>6.8607400317301099</v>
      </c>
      <c r="M1011" s="253">
        <v>5.5344470223367903</v>
      </c>
      <c r="N1011" s="253">
        <v>1.278425721018758</v>
      </c>
      <c r="O1011" s="249">
        <v>2.9069491500773606E-5</v>
      </c>
      <c r="P1011" s="255" t="s">
        <v>203</v>
      </c>
      <c r="Q1011" s="213"/>
      <c r="R1011" s="235" t="s">
        <v>450</v>
      </c>
    </row>
    <row r="1012" spans="1:18" x14ac:dyDescent="0.25">
      <c r="A1012" s="230">
        <v>45740</v>
      </c>
      <c r="B1012" s="128" t="s">
        <v>28</v>
      </c>
      <c r="C1012" s="157" t="str">
        <f t="shared" si="31"/>
        <v>24.03.2025_GRU2</v>
      </c>
      <c r="D1012" s="190">
        <f t="shared" si="32"/>
        <v>0</v>
      </c>
      <c r="E1012" s="252">
        <v>4.5543753246376073E-6</v>
      </c>
      <c r="F1012" s="252">
        <v>1.8611324302869112E-4</v>
      </c>
      <c r="G1012" s="252">
        <v>6.3600824097374636E-2</v>
      </c>
      <c r="H1012" s="252">
        <v>1.2644618982175645E-3</v>
      </c>
      <c r="I1012" s="252">
        <v>7.8564622083919528E-6</v>
      </c>
      <c r="J1012" s="252">
        <v>7.3052121091966816E-4</v>
      </c>
      <c r="K1012" s="253">
        <v>16.928811991585299</v>
      </c>
      <c r="L1012" s="253">
        <v>6.2821220352708202</v>
      </c>
      <c r="M1012" s="253">
        <v>4.9592179091342903</v>
      </c>
      <c r="N1012" s="253">
        <v>1.3825746854771859</v>
      </c>
      <c r="O1012" s="249">
        <v>3.1502518923110778E-5</v>
      </c>
      <c r="P1012" s="255" t="s">
        <v>203</v>
      </c>
      <c r="Q1012" s="213"/>
      <c r="R1012" s="235" t="s">
        <v>450</v>
      </c>
    </row>
    <row r="1013" spans="1:18" x14ac:dyDescent="0.25">
      <c r="A1013" s="230">
        <v>45740</v>
      </c>
      <c r="B1013" s="128" t="s">
        <v>0</v>
      </c>
      <c r="C1013" s="157" t="str">
        <f t="shared" si="31"/>
        <v>24.03.2025_KIN1</v>
      </c>
      <c r="D1013" s="190">
        <f t="shared" si="32"/>
        <v>0</v>
      </c>
      <c r="E1013" s="252">
        <v>3.3632291728868958E-6</v>
      </c>
      <c r="F1013" s="252">
        <v>2.0479714136738711E-4</v>
      </c>
      <c r="G1013" s="252">
        <v>0.10407548539724899</v>
      </c>
      <c r="H1013" s="252">
        <v>9.6330750359757071E-4</v>
      </c>
      <c r="I1013" s="252">
        <v>6.6580102641702117E-6</v>
      </c>
      <c r="J1013" s="252">
        <v>4.9438856594468837E-4</v>
      </c>
      <c r="K1013" s="253">
        <v>30.498926007064998</v>
      </c>
      <c r="L1013" s="253">
        <v>11.254537367206799</v>
      </c>
      <c r="M1013" s="253">
        <v>4.7232365742461004</v>
      </c>
      <c r="N1013" s="253">
        <v>1.2192053714988831</v>
      </c>
      <c r="O1013" s="249">
        <v>2.452378848146067E-5</v>
      </c>
      <c r="P1013" s="255" t="s">
        <v>203</v>
      </c>
      <c r="Q1013" s="213"/>
      <c r="R1013" s="235" t="s">
        <v>450</v>
      </c>
    </row>
    <row r="1014" spans="1:18" x14ac:dyDescent="0.25">
      <c r="A1014" s="230">
        <v>45740</v>
      </c>
      <c r="B1014" s="128" t="s">
        <v>2</v>
      </c>
      <c r="C1014" s="157" t="str">
        <f t="shared" si="31"/>
        <v>24.03.2025_KIN2</v>
      </c>
      <c r="D1014" s="190">
        <f t="shared" si="32"/>
        <v>0</v>
      </c>
      <c r="E1014" s="252">
        <v>3.7135658839647001E-6</v>
      </c>
      <c r="F1014" s="252">
        <v>1.7740172108960767E-4</v>
      </c>
      <c r="G1014" s="252">
        <v>0.11198603446779719</v>
      </c>
      <c r="H1014" s="252">
        <v>1.0271107003718236E-3</v>
      </c>
      <c r="I1014" s="252">
        <v>8.55556208620096E-6</v>
      </c>
      <c r="J1014" s="252">
        <v>6.1769648395756016E-4</v>
      </c>
      <c r="K1014" s="253">
        <v>34.712539010281702</v>
      </c>
      <c r="L1014" s="253">
        <v>17.282304308408399</v>
      </c>
      <c r="M1014" s="253">
        <v>6.3646627993945302</v>
      </c>
      <c r="N1014" s="253">
        <v>1.5129546357926478</v>
      </c>
      <c r="O1014" s="249">
        <v>2.4493665742478039E-5</v>
      </c>
      <c r="P1014" s="255" t="s">
        <v>203</v>
      </c>
      <c r="Q1014" s="213"/>
      <c r="R1014" s="235" t="s">
        <v>450</v>
      </c>
    </row>
    <row r="1015" spans="1:18" x14ac:dyDescent="0.25">
      <c r="A1015" s="230">
        <v>45740</v>
      </c>
      <c r="B1015" s="128" t="s">
        <v>4</v>
      </c>
      <c r="C1015" s="157" t="str">
        <f t="shared" si="31"/>
        <v>24.03.2025_KIN3</v>
      </c>
      <c r="D1015" s="190">
        <f t="shared" si="32"/>
        <v>0</v>
      </c>
      <c r="E1015" s="252">
        <v>2.9778582004997841E-6</v>
      </c>
      <c r="F1015" s="252">
        <v>2.3078404117689844E-4</v>
      </c>
      <c r="G1015" s="252">
        <v>0.11957375929566547</v>
      </c>
      <c r="H1015" s="252">
        <v>1.2169455807019857E-3</v>
      </c>
      <c r="I1015" s="252">
        <v>8.1893658826883206E-6</v>
      </c>
      <c r="J1015" s="252">
        <v>7.3350382442555217E-4</v>
      </c>
      <c r="K1015" s="253">
        <v>38.219969667928098</v>
      </c>
      <c r="L1015" s="253">
        <v>10.9569329265296</v>
      </c>
      <c r="M1015" s="253">
        <v>4.4172570269573903</v>
      </c>
      <c r="N1015" s="253">
        <v>1.2399303413062699</v>
      </c>
      <c r="O1015" s="249">
        <v>2.3729169091566784E-5</v>
      </c>
      <c r="P1015" s="255" t="s">
        <v>203</v>
      </c>
      <c r="Q1015" s="213"/>
      <c r="R1015" s="235" t="s">
        <v>450</v>
      </c>
    </row>
    <row r="1016" spans="1:18" x14ac:dyDescent="0.25">
      <c r="A1016" s="230">
        <v>45740</v>
      </c>
      <c r="B1016" s="128" t="s">
        <v>6</v>
      </c>
      <c r="C1016" s="157" t="str">
        <f t="shared" si="31"/>
        <v>24.03.2025_KIN4</v>
      </c>
      <c r="D1016" s="190">
        <f t="shared" si="32"/>
        <v>0</v>
      </c>
      <c r="E1016" s="252">
        <v>5.3601505301577733E-6</v>
      </c>
      <c r="F1016" s="252">
        <v>2.0296579257653681E-4</v>
      </c>
      <c r="G1016" s="252">
        <v>0.1200463132478158</v>
      </c>
      <c r="H1016" s="252">
        <v>1.3705427877187713E-3</v>
      </c>
      <c r="I1016" s="252">
        <v>1.0153504681811928E-5</v>
      </c>
      <c r="J1016" s="252">
        <v>8.6556973315747793E-4</v>
      </c>
      <c r="K1016" s="253">
        <v>37.690987580532401</v>
      </c>
      <c r="L1016" s="253">
        <v>13.290591620479701</v>
      </c>
      <c r="M1016" s="253">
        <v>6.5271167092541003</v>
      </c>
      <c r="N1016" s="253">
        <v>1.2848619898187978</v>
      </c>
      <c r="O1016" s="249">
        <v>3.0350015175927059E-5</v>
      </c>
      <c r="P1016" s="255" t="s">
        <v>203</v>
      </c>
      <c r="Q1016" s="213"/>
      <c r="R1016" s="235" t="s">
        <v>450</v>
      </c>
    </row>
    <row r="1017" spans="1:18" x14ac:dyDescent="0.25">
      <c r="A1017" s="230">
        <v>45740</v>
      </c>
      <c r="B1017" s="247" t="s">
        <v>421</v>
      </c>
      <c r="C1017" s="157" t="str">
        <f t="shared" si="31"/>
        <v>24.03.2025_KLI</v>
      </c>
      <c r="D1017" s="190">
        <f t="shared" si="32"/>
        <v>0</v>
      </c>
      <c r="E1017" s="252">
        <v>2.445370408786657E-5</v>
      </c>
      <c r="F1017" s="252">
        <v>1.1377965436794028E-4</v>
      </c>
      <c r="G1017" s="252">
        <v>5.3030880241468299E-2</v>
      </c>
      <c r="H1017" s="252">
        <v>1.2486230811310328E-3</v>
      </c>
      <c r="I1017" s="252">
        <v>1.1751455060837055E-5</v>
      </c>
      <c r="J1017" s="252">
        <v>1.2612018844175088E-3</v>
      </c>
      <c r="K1017" s="253">
        <v>8.6414403782430202</v>
      </c>
      <c r="L1017" s="253">
        <v>1.9083785442676799</v>
      </c>
      <c r="M1017" s="253">
        <v>4.8698881746223304</v>
      </c>
      <c r="N1017" s="253">
        <v>2.0058320184379341</v>
      </c>
      <c r="O1017" s="249">
        <v>1.4947491534737852E-5</v>
      </c>
      <c r="P1017" s="255" t="s">
        <v>203</v>
      </c>
      <c r="Q1017" s="213"/>
      <c r="R1017" s="235" t="s">
        <v>450</v>
      </c>
    </row>
    <row r="1018" spans="1:18" x14ac:dyDescent="0.25">
      <c r="A1018" s="230">
        <v>45740</v>
      </c>
      <c r="B1018" s="128" t="s">
        <v>34</v>
      </c>
      <c r="C1018" s="157" t="str">
        <f t="shared" si="31"/>
        <v>24.03.2025_KRE1</v>
      </c>
      <c r="D1018" s="190">
        <f t="shared" si="32"/>
        <v>0</v>
      </c>
      <c r="E1018" s="252">
        <v>1.8918152217861293E-6</v>
      </c>
      <c r="F1018" s="252">
        <v>2.9194372309298107E-4</v>
      </c>
      <c r="G1018" s="252">
        <v>0.16480569901733205</v>
      </c>
      <c r="H1018" s="252">
        <v>1.8805699579053363E-3</v>
      </c>
      <c r="I1018" s="252">
        <v>1.1684873443545579E-5</v>
      </c>
      <c r="J1018" s="252">
        <v>7.9644982779413735E-4</v>
      </c>
      <c r="K1018" s="253">
        <v>56.207577382836099</v>
      </c>
      <c r="L1018" s="253">
        <v>26.9961310794273</v>
      </c>
      <c r="M1018" s="253">
        <v>22.9190420792916</v>
      </c>
      <c r="N1018" s="253">
        <v>2.9599091066264087</v>
      </c>
      <c r="O1018" s="249">
        <v>5.7449898079277373E-5</v>
      </c>
      <c r="P1018" s="255" t="s">
        <v>203</v>
      </c>
      <c r="Q1018" s="213"/>
      <c r="R1018" s="235" t="s">
        <v>450</v>
      </c>
    </row>
    <row r="1019" spans="1:18" x14ac:dyDescent="0.25">
      <c r="A1019" s="230">
        <v>45740</v>
      </c>
      <c r="B1019" s="128" t="s">
        <v>37</v>
      </c>
      <c r="C1019" s="157" t="str">
        <f t="shared" si="31"/>
        <v>24.03.2025_KRE2</v>
      </c>
      <c r="D1019" s="190">
        <f t="shared" si="32"/>
        <v>0</v>
      </c>
      <c r="E1019" s="252">
        <v>2.3122186930531302E-6</v>
      </c>
      <c r="F1019" s="252">
        <v>2.8966620468342223E-4</v>
      </c>
      <c r="G1019" s="252">
        <v>0.22207037188592274</v>
      </c>
      <c r="H1019" s="252">
        <v>2.5364743928782798E-3</v>
      </c>
      <c r="I1019" s="252">
        <v>1.2017783145733059E-5</v>
      </c>
      <c r="J1019" s="252">
        <v>9.5557254757528017E-4</v>
      </c>
      <c r="K1019" s="253">
        <v>81.804154819476295</v>
      </c>
      <c r="L1019" s="253">
        <v>27.306325368104499</v>
      </c>
      <c r="M1019" s="253">
        <v>22.496325278973899</v>
      </c>
      <c r="N1019" s="253">
        <v>2.7671038391819107</v>
      </c>
      <c r="O1019" s="249">
        <v>7.9170110350973587E-5</v>
      </c>
      <c r="P1019" s="255" t="s">
        <v>203</v>
      </c>
      <c r="Q1019" s="213"/>
      <c r="R1019" s="235" t="s">
        <v>450</v>
      </c>
    </row>
    <row r="1020" spans="1:18" x14ac:dyDescent="0.25">
      <c r="A1020" s="230">
        <v>45740</v>
      </c>
      <c r="B1020" s="128" t="s">
        <v>18</v>
      </c>
      <c r="C1020" s="157" t="str">
        <f t="shared" si="31"/>
        <v>24.03.2025_ORB1</v>
      </c>
      <c r="D1020" s="190">
        <f t="shared" si="32"/>
        <v>0</v>
      </c>
      <c r="E1020" s="252">
        <v>8.7584290545746327E-6</v>
      </c>
      <c r="F1020" s="252">
        <v>2.5676275441264141E-4</v>
      </c>
      <c r="G1020" s="252">
        <v>4.9724533347711729E-2</v>
      </c>
      <c r="H1020" s="252">
        <v>7.8367994820398605E-4</v>
      </c>
      <c r="I1020" s="252">
        <v>1.0120215244201089E-5</v>
      </c>
      <c r="J1020" s="252">
        <v>1.135693859071075E-3</v>
      </c>
      <c r="K1020" s="253">
        <v>10.5592271698583</v>
      </c>
      <c r="L1020" s="253">
        <v>2.3539339922083</v>
      </c>
      <c r="M1020" s="253">
        <v>5.4886934702532297</v>
      </c>
      <c r="N1020" s="253">
        <v>2.522591016096011</v>
      </c>
      <c r="O1020" s="249">
        <v>1.5715657347792743E-5</v>
      </c>
      <c r="P1020" s="255" t="s">
        <v>203</v>
      </c>
      <c r="Q1020" s="213"/>
      <c r="R1020" s="235" t="s">
        <v>450</v>
      </c>
    </row>
    <row r="1021" spans="1:18" x14ac:dyDescent="0.25">
      <c r="A1021" s="230">
        <v>45740</v>
      </c>
      <c r="B1021" s="128" t="s">
        <v>21</v>
      </c>
      <c r="C1021" s="157" t="str">
        <f t="shared" si="31"/>
        <v>24.03.2025_ORB2</v>
      </c>
      <c r="D1021" s="190">
        <f t="shared" si="32"/>
        <v>0</v>
      </c>
      <c r="E1021" s="252">
        <v>5.2200155972205349E-6</v>
      </c>
      <c r="F1021" s="252">
        <v>2.0023868778029218E-4</v>
      </c>
      <c r="G1021" s="252">
        <v>4.6531462304115055E-2</v>
      </c>
      <c r="H1021" s="252">
        <v>6.4925101736233856E-4</v>
      </c>
      <c r="I1021" s="252">
        <v>6.7578797499781039E-6</v>
      </c>
      <c r="J1021" s="252">
        <v>1.9835429644284074E-3</v>
      </c>
      <c r="K1021" s="253">
        <v>7.6702680095864499</v>
      </c>
      <c r="L1021" s="253">
        <v>1.39905347047518</v>
      </c>
      <c r="M1021" s="253">
        <v>4.5062161264174696</v>
      </c>
      <c r="N1021" s="253">
        <v>2.5445001765535409</v>
      </c>
      <c r="O1021" s="249">
        <v>1.3535445162727334E-5</v>
      </c>
      <c r="P1021" s="255" t="s">
        <v>203</v>
      </c>
      <c r="Q1021" s="213"/>
      <c r="R1021" s="235" t="s">
        <v>450</v>
      </c>
    </row>
    <row r="1022" spans="1:18" x14ac:dyDescent="0.25">
      <c r="A1022" s="230">
        <v>45740</v>
      </c>
      <c r="B1022" s="128" t="s">
        <v>10</v>
      </c>
      <c r="C1022" s="157" t="str">
        <f t="shared" si="31"/>
        <v>24.03.2025_SAL1</v>
      </c>
      <c r="D1022" s="190">
        <f t="shared" si="32"/>
        <v>0</v>
      </c>
      <c r="E1022" s="252">
        <v>2.8026900035468336E-6</v>
      </c>
      <c r="F1022" s="252">
        <v>1.4832271625612239E-4</v>
      </c>
      <c r="G1022" s="252">
        <v>5.66826198594578E-2</v>
      </c>
      <c r="H1022" s="252">
        <v>8.4953439688121787E-4</v>
      </c>
      <c r="I1022" s="252">
        <v>5.1599475943223985E-6</v>
      </c>
      <c r="J1022" s="252">
        <v>2.9170311658664857E-4</v>
      </c>
      <c r="K1022" s="253">
        <v>12.013539513112599</v>
      </c>
      <c r="L1022" s="253">
        <v>12.995908576423201</v>
      </c>
      <c r="M1022" s="253">
        <v>6.1023816849574102</v>
      </c>
      <c r="N1022" s="253">
        <v>0.71948585951912492</v>
      </c>
      <c r="O1022" s="249">
        <v>2.9333123419909931E-5</v>
      </c>
      <c r="P1022" s="255" t="s">
        <v>203</v>
      </c>
      <c r="Q1022" s="213"/>
      <c r="R1022" s="235" t="s">
        <v>450</v>
      </c>
    </row>
    <row r="1023" spans="1:18" x14ac:dyDescent="0.25">
      <c r="A1023" s="230">
        <v>45740</v>
      </c>
      <c r="B1023" s="128" t="s">
        <v>12</v>
      </c>
      <c r="C1023" s="157" t="str">
        <f t="shared" si="31"/>
        <v>24.03.2025_SAL2</v>
      </c>
      <c r="D1023" s="190">
        <f t="shared" si="32"/>
        <v>0</v>
      </c>
      <c r="E1023" s="252">
        <v>3.1880603056219677E-6</v>
      </c>
      <c r="F1023" s="252">
        <v>2.054032352145202E-4</v>
      </c>
      <c r="G1023" s="252">
        <v>5.9288108274817855E-2</v>
      </c>
      <c r="H1023" s="252">
        <v>9.8342291348466602E-4</v>
      </c>
      <c r="I1023" s="252">
        <v>4.3276944014269406E-6</v>
      </c>
      <c r="J1023" s="252">
        <v>5.8056952445619057E-4</v>
      </c>
      <c r="K1023" s="253">
        <v>11.0499443504577</v>
      </c>
      <c r="L1023" s="253">
        <v>12.858610887974701</v>
      </c>
      <c r="M1023" s="253">
        <v>6.6208813381712401</v>
      </c>
      <c r="N1023" s="253">
        <v>0.73348463406720532</v>
      </c>
      <c r="O1023" s="249">
        <v>3.1566543668340249E-5</v>
      </c>
      <c r="P1023" s="255" t="s">
        <v>203</v>
      </c>
      <c r="Q1023" s="213"/>
      <c r="R1023" s="235" t="s">
        <v>450</v>
      </c>
    </row>
    <row r="1024" spans="1:18" x14ac:dyDescent="0.25">
      <c r="A1024" s="230">
        <v>45740</v>
      </c>
      <c r="B1024" s="128" t="s">
        <v>7</v>
      </c>
      <c r="C1024" s="157" t="str">
        <f t="shared" si="31"/>
        <v>24.03.2025_STE1</v>
      </c>
      <c r="D1024" s="190">
        <f t="shared" si="32"/>
        <v>0</v>
      </c>
      <c r="E1024" s="252">
        <v>2.5924879769002022E-6</v>
      </c>
      <c r="F1024" s="252">
        <v>1.387724932049793E-4</v>
      </c>
      <c r="G1024" s="252">
        <v>8.3120625609991103E-2</v>
      </c>
      <c r="H1024" s="252">
        <v>9.872915984781021E-4</v>
      </c>
      <c r="I1024" s="252">
        <v>4.7271753352792501E-6</v>
      </c>
      <c r="J1024" s="252">
        <v>5.592811028737383E-4</v>
      </c>
      <c r="K1024" s="253">
        <v>22.7056000738819</v>
      </c>
      <c r="L1024" s="253">
        <v>9.5305368694391195</v>
      </c>
      <c r="M1024" s="253">
        <v>4.3670102056494198</v>
      </c>
      <c r="N1024" s="253">
        <v>0.77703276921004405</v>
      </c>
      <c r="O1024" s="249">
        <v>2.2369674601672984E-5</v>
      </c>
      <c r="P1024" s="255" t="s">
        <v>203</v>
      </c>
      <c r="Q1024" s="213"/>
      <c r="R1024" s="235" t="s">
        <v>450</v>
      </c>
    </row>
    <row r="1025" spans="1:18" x14ac:dyDescent="0.25">
      <c r="A1025" s="230">
        <v>45740</v>
      </c>
      <c r="B1025" s="128" t="s">
        <v>9</v>
      </c>
      <c r="C1025" s="157" t="str">
        <f t="shared" si="31"/>
        <v>24.03.2025_STE2</v>
      </c>
      <c r="D1025" s="190">
        <f t="shared" si="32"/>
        <v>0</v>
      </c>
      <c r="E1025" s="252">
        <v>2.347252362525989E-6</v>
      </c>
      <c r="F1025" s="252">
        <v>2.1285056623156944E-4</v>
      </c>
      <c r="G1025" s="252">
        <v>9.9027691076182964E-2</v>
      </c>
      <c r="H1025" s="252">
        <v>1.2641522091535933E-3</v>
      </c>
      <c r="I1025" s="252">
        <v>5.2931083276538845E-6</v>
      </c>
      <c r="J1025" s="252">
        <v>6.0741198515750123E-4</v>
      </c>
      <c r="K1025" s="253">
        <v>26.458914017446901</v>
      </c>
      <c r="L1025" s="253">
        <v>13.391103213425399</v>
      </c>
      <c r="M1025" s="253">
        <v>8.83652414980976</v>
      </c>
      <c r="N1025" s="253">
        <v>0.82008914273762301</v>
      </c>
      <c r="O1025" s="249">
        <v>2.9084553535671311E-5</v>
      </c>
      <c r="P1025" s="255" t="s">
        <v>203</v>
      </c>
      <c r="Q1025" s="213"/>
      <c r="R1025" s="235" t="s">
        <v>450</v>
      </c>
    </row>
    <row r="1026" spans="1:18" x14ac:dyDescent="0.25">
      <c r="A1026" s="230">
        <v>45761</v>
      </c>
      <c r="B1026" s="128" t="s">
        <v>22</v>
      </c>
      <c r="C1026" s="157" t="str">
        <f t="shared" ref="C1026:C1088" si="33">CONCATENATE(TEXT(A1026,"TT.MM.JJJJ"),"_",B1026)</f>
        <v>14.04.2025_BIE1</v>
      </c>
      <c r="D1026" s="190">
        <f t="shared" si="32"/>
        <v>0</v>
      </c>
      <c r="E1026" s="252">
        <v>7.3493291750412545E-6</v>
      </c>
      <c r="F1026" s="252">
        <v>6.8421308782867232E-4</v>
      </c>
      <c r="G1026" s="252">
        <v>6.1536614679422702E-2</v>
      </c>
      <c r="H1026" s="252">
        <v>8.0437782075517693E-4</v>
      </c>
      <c r="I1026" s="252">
        <v>7.3594628913560899E-6</v>
      </c>
      <c r="J1026" s="252">
        <v>2.7171596274034528E-3</v>
      </c>
      <c r="K1026" s="253">
        <v>12.268484809917799</v>
      </c>
      <c r="L1026" s="253">
        <v>9.8826081089893396</v>
      </c>
      <c r="M1026" s="253">
        <v>5.7281742869084802</v>
      </c>
      <c r="N1026" s="253">
        <v>2.8920269221259902</v>
      </c>
      <c r="O1026" s="249">
        <v>9.4115377407819504E-5</v>
      </c>
      <c r="P1026" s="254">
        <v>47.091999999999999</v>
      </c>
      <c r="Q1026" s="213"/>
      <c r="R1026" s="235" t="s">
        <v>449</v>
      </c>
    </row>
    <row r="1027" spans="1:18" x14ac:dyDescent="0.25">
      <c r="A1027" s="230">
        <v>45761</v>
      </c>
      <c r="B1027" s="128" t="s">
        <v>25</v>
      </c>
      <c r="C1027" s="157" t="str">
        <f t="shared" si="33"/>
        <v>14.04.2025_BIE2</v>
      </c>
      <c r="D1027" s="190">
        <f t="shared" si="32"/>
        <v>0</v>
      </c>
      <c r="E1027" s="252">
        <v>2.0687127072848629E-5</v>
      </c>
      <c r="F1027" s="252">
        <v>8.16000884895794E-4</v>
      </c>
      <c r="G1027" s="252">
        <v>7.3230069924184155E-2</v>
      </c>
      <c r="H1027" s="252">
        <v>9.4158065038422317E-4</v>
      </c>
      <c r="I1027" s="252">
        <v>3.4235736671086288E-5</v>
      </c>
      <c r="J1027" s="252">
        <v>7.6854850842024217E-3</v>
      </c>
      <c r="K1027" s="253">
        <v>17.423241163089202</v>
      </c>
      <c r="L1027" s="253">
        <v>10.424593975486999</v>
      </c>
      <c r="M1027" s="253">
        <v>6.72163645124688</v>
      </c>
      <c r="N1027" s="253">
        <v>3.0306239502871102</v>
      </c>
      <c r="O1027" s="249">
        <v>1.1478561343087078E-4</v>
      </c>
      <c r="P1027" s="254">
        <v>54.167999999999999</v>
      </c>
      <c r="Q1027" s="213"/>
      <c r="R1027" s="235" t="s">
        <v>449</v>
      </c>
    </row>
    <row r="1028" spans="1:18" x14ac:dyDescent="0.25">
      <c r="A1028" s="230">
        <v>45761</v>
      </c>
      <c r="B1028" s="128" t="s">
        <v>14</v>
      </c>
      <c r="C1028" s="157" t="str">
        <f t="shared" si="33"/>
        <v>14.04.2025_BRA1</v>
      </c>
      <c r="D1028" s="190">
        <f t="shared" si="32"/>
        <v>0</v>
      </c>
      <c r="E1028" s="252">
        <v>2.1095244914693324E-6</v>
      </c>
      <c r="F1028" s="252">
        <v>3.8767162564608954E-4</v>
      </c>
      <c r="G1028" s="252">
        <v>6.2008794064326009E-2</v>
      </c>
      <c r="H1028" s="252">
        <v>7.122003339880414E-4</v>
      </c>
      <c r="I1028" s="252">
        <v>5.2567463475884944E-6</v>
      </c>
      <c r="J1028" s="252">
        <v>7.5890838181823098E-4</v>
      </c>
      <c r="K1028" s="253">
        <v>14.003562367073499</v>
      </c>
      <c r="L1028" s="253">
        <v>15.2255758037528</v>
      </c>
      <c r="M1028" s="253">
        <v>6.6292992745228299</v>
      </c>
      <c r="N1028" s="253">
        <v>0.78867800010363598</v>
      </c>
      <c r="O1028" s="249">
        <v>1.3874564922597535E-4</v>
      </c>
      <c r="P1028" s="254">
        <v>73.444000000000003</v>
      </c>
      <c r="Q1028" s="213"/>
      <c r="R1028" s="235"/>
    </row>
    <row r="1029" spans="1:18" x14ac:dyDescent="0.25">
      <c r="A1029" s="230">
        <v>45761</v>
      </c>
      <c r="B1029" s="128" t="s">
        <v>17</v>
      </c>
      <c r="C1029" s="157" t="str">
        <f t="shared" si="33"/>
        <v>14.04.2025_BRA2</v>
      </c>
      <c r="D1029" s="190">
        <f t="shared" si="32"/>
        <v>0</v>
      </c>
      <c r="E1029" s="252">
        <v>2.6879434173088735E-6</v>
      </c>
      <c r="F1029" s="252">
        <v>4.4139610341589817E-4</v>
      </c>
      <c r="G1029" s="252">
        <v>6.9717845792713756E-2</v>
      </c>
      <c r="H1029" s="252">
        <v>7.4225015157727879E-4</v>
      </c>
      <c r="I1029" s="252">
        <v>4.7310683481620512E-6</v>
      </c>
      <c r="J1029" s="252">
        <v>1.0601304103269099E-3</v>
      </c>
      <c r="K1029" s="253">
        <v>16.086081135466902</v>
      </c>
      <c r="L1029" s="253">
        <v>15.4752701712664</v>
      </c>
      <c r="M1029" s="253">
        <v>6.9782388395271999</v>
      </c>
      <c r="N1029" s="253">
        <v>0.87793568862493998</v>
      </c>
      <c r="O1029" s="249">
        <v>9.6285335712785076E-5</v>
      </c>
      <c r="P1029" s="254">
        <v>71.97999999999999</v>
      </c>
      <c r="Q1029" s="213"/>
      <c r="R1029" s="235"/>
    </row>
    <row r="1030" spans="1:18" x14ac:dyDescent="0.25">
      <c r="A1030" s="230">
        <v>45761</v>
      </c>
      <c r="B1030" s="128" t="s">
        <v>30</v>
      </c>
      <c r="C1030" s="157" t="str">
        <f t="shared" si="33"/>
        <v>14.04.2025_FAL1</v>
      </c>
      <c r="D1030" s="190">
        <f t="shared" si="32"/>
        <v>0</v>
      </c>
      <c r="E1030" s="252">
        <v>2.449770779266182E-6</v>
      </c>
      <c r="F1030" s="252">
        <v>6.3021955761548266E-4</v>
      </c>
      <c r="G1030" s="252">
        <v>0.18392281866445542</v>
      </c>
      <c r="H1030" s="252">
        <v>1.4380523806567329E-3</v>
      </c>
      <c r="I1030" s="252">
        <v>6.9323490108561201E-6</v>
      </c>
      <c r="J1030" s="252">
        <v>1.3318316668853429E-3</v>
      </c>
      <c r="K1030" s="253">
        <v>66.265239592058506</v>
      </c>
      <c r="L1030" s="253">
        <v>33.4808908573225</v>
      </c>
      <c r="M1030" s="253">
        <v>29.648679395883999</v>
      </c>
      <c r="N1030" s="253">
        <v>4.8701546083017897</v>
      </c>
      <c r="O1030" s="249">
        <v>9.0503986656249362E-5</v>
      </c>
      <c r="P1030" s="254">
        <v>211.548</v>
      </c>
      <c r="Q1030" s="213"/>
      <c r="R1030" s="235"/>
    </row>
    <row r="1031" spans="1:18" x14ac:dyDescent="0.25">
      <c r="A1031" s="230">
        <v>45761</v>
      </c>
      <c r="B1031" s="128" t="s">
        <v>32</v>
      </c>
      <c r="C1031" s="157" t="str">
        <f t="shared" si="33"/>
        <v>14.04.2025_FAL2</v>
      </c>
      <c r="D1031" s="190">
        <f t="shared" ref="D1031:D1088" si="34">COUNTBLANK(E1031:P1031)</f>
        <v>0</v>
      </c>
      <c r="E1031" s="252">
        <v>2.1435491250124642E-6</v>
      </c>
      <c r="F1031" s="252">
        <v>6.9485465449256741E-4</v>
      </c>
      <c r="G1031" s="252">
        <v>0.19865956421700656</v>
      </c>
      <c r="H1031" s="252">
        <v>1.6395657515501441E-3</v>
      </c>
      <c r="I1031" s="252">
        <v>1.0973532255588711E-5</v>
      </c>
      <c r="J1031" s="252">
        <v>1.6900420513518862E-3</v>
      </c>
      <c r="K1031" s="253">
        <v>66.8521383665732</v>
      </c>
      <c r="L1031" s="253">
        <v>31.648934765262599</v>
      </c>
      <c r="M1031" s="253">
        <v>28.409525948516102</v>
      </c>
      <c r="N1031" s="253">
        <v>4.6429455699843798</v>
      </c>
      <c r="O1031" s="249">
        <v>1.19847039068888E-4</v>
      </c>
      <c r="P1031" s="254">
        <v>231.55599999999998</v>
      </c>
      <c r="Q1031" s="213"/>
      <c r="R1031" s="235"/>
    </row>
    <row r="1032" spans="1:18" x14ac:dyDescent="0.25">
      <c r="A1032" s="230">
        <v>45761</v>
      </c>
      <c r="B1032" s="128" t="s">
        <v>26</v>
      </c>
      <c r="C1032" s="157" t="str">
        <f t="shared" si="33"/>
        <v>14.04.2025_GRU1</v>
      </c>
      <c r="D1032" s="190">
        <f t="shared" si="34"/>
        <v>0</v>
      </c>
      <c r="E1032" s="252">
        <v>6.6007838645551745E-6</v>
      </c>
      <c r="F1032" s="252">
        <v>4.8900035529714106E-4</v>
      </c>
      <c r="G1032" s="252">
        <v>7.1142687127145818E-2</v>
      </c>
      <c r="H1032" s="252">
        <v>1.2888467362123309E-3</v>
      </c>
      <c r="I1032" s="252">
        <v>4.238246289297954E-6</v>
      </c>
      <c r="J1032" s="252">
        <v>1.1623070281035822E-3</v>
      </c>
      <c r="K1032" s="253">
        <v>15.663276503007101</v>
      </c>
      <c r="L1032" s="253">
        <v>8.8851192033044697</v>
      </c>
      <c r="M1032" s="253">
        <v>7.1992135265368997</v>
      </c>
      <c r="N1032" s="253">
        <v>1.2987946115834099</v>
      </c>
      <c r="O1032" s="249">
        <v>7.9360403699756444E-5</v>
      </c>
      <c r="P1032" s="254">
        <v>48.800000000000004</v>
      </c>
      <c r="Q1032" s="213"/>
      <c r="R1032" s="235"/>
    </row>
    <row r="1033" spans="1:18" x14ac:dyDescent="0.25">
      <c r="A1033" s="230">
        <v>45761</v>
      </c>
      <c r="B1033" s="128" t="s">
        <v>28</v>
      </c>
      <c r="C1033" s="157" t="str">
        <f t="shared" si="33"/>
        <v>14.04.2025_GRU2</v>
      </c>
      <c r="D1033" s="190">
        <f t="shared" si="34"/>
        <v>0</v>
      </c>
      <c r="E1033" s="252">
        <v>4.423201191978634E-6</v>
      </c>
      <c r="F1033" s="252">
        <v>4.1193057487343279E-4</v>
      </c>
      <c r="G1033" s="252">
        <v>7.9927459125764683E-2</v>
      </c>
      <c r="H1033" s="252">
        <v>1.1930736236975591E-3</v>
      </c>
      <c r="I1033" s="252">
        <v>6.5052326158310446E-6</v>
      </c>
      <c r="J1033" s="252">
        <v>1.4091318502604403E-3</v>
      </c>
      <c r="K1033" s="253">
        <v>16.826808962231901</v>
      </c>
      <c r="L1033" s="253">
        <v>7.56631321272127</v>
      </c>
      <c r="M1033" s="253">
        <v>6.5309295490256396</v>
      </c>
      <c r="N1033" s="253">
        <v>1.0595209542739299</v>
      </c>
      <c r="O1033" s="249">
        <v>8.1127202686997053E-5</v>
      </c>
      <c r="P1033" s="254">
        <v>57.096000000000004</v>
      </c>
      <c r="Q1033" s="213"/>
      <c r="R1033" s="235"/>
    </row>
    <row r="1034" spans="1:18" x14ac:dyDescent="0.25">
      <c r="A1034" s="230">
        <v>45761</v>
      </c>
      <c r="B1034" s="128" t="s">
        <v>0</v>
      </c>
      <c r="C1034" s="157" t="str">
        <f t="shared" si="33"/>
        <v>14.04.2025_KIN1</v>
      </c>
      <c r="D1034" s="190">
        <f t="shared" si="34"/>
        <v>0</v>
      </c>
      <c r="E1034" s="252">
        <v>2.7219679111240282E-6</v>
      </c>
      <c r="F1034" s="252">
        <v>3.5727265758372245E-4</v>
      </c>
      <c r="G1034" s="252">
        <v>0.12127587222480837</v>
      </c>
      <c r="H1034" s="252">
        <v>9.1322688087804103E-4</v>
      </c>
      <c r="I1034" s="252">
        <v>5.8481344419230769E-6</v>
      </c>
      <c r="J1034" s="252">
        <v>9.1456969741884355E-4</v>
      </c>
      <c r="K1034" s="253">
        <v>33.293661747672097</v>
      </c>
      <c r="L1034" s="253">
        <v>20.003568371632198</v>
      </c>
      <c r="M1034" s="253">
        <v>6.2457355741108902</v>
      </c>
      <c r="N1034" s="253">
        <v>0.913255267839857</v>
      </c>
      <c r="O1034" s="249">
        <v>5.5394449078649632E-5</v>
      </c>
      <c r="P1034" s="254">
        <v>167.38400000000001</v>
      </c>
      <c r="Q1034" s="213"/>
      <c r="R1034" s="235"/>
    </row>
    <row r="1035" spans="1:18" x14ac:dyDescent="0.25">
      <c r="A1035" s="230">
        <v>45761</v>
      </c>
      <c r="B1035" s="128" t="s">
        <v>2</v>
      </c>
      <c r="C1035" s="157" t="str">
        <f t="shared" si="33"/>
        <v>14.04.2025_KIN2</v>
      </c>
      <c r="D1035" s="190">
        <f t="shared" si="34"/>
        <v>0</v>
      </c>
      <c r="E1035" s="252">
        <v>2.313672346713944E-6</v>
      </c>
      <c r="F1035" s="252">
        <v>3.4193254892610024E-4</v>
      </c>
      <c r="G1035" s="252">
        <v>0.13220058451688022</v>
      </c>
      <c r="H1035" s="252">
        <v>9.82179430075772E-4</v>
      </c>
      <c r="I1035" s="252">
        <v>7.0309128997884667E-6</v>
      </c>
      <c r="J1035" s="252">
        <v>2.8461588256650226E-3</v>
      </c>
      <c r="K1035" s="253">
        <v>37.752511141817997</v>
      </c>
      <c r="L1035" s="253">
        <v>21.135832220972301</v>
      </c>
      <c r="M1035" s="253">
        <v>6.0991025005574704</v>
      </c>
      <c r="N1035" s="253">
        <v>1.2476272349948401</v>
      </c>
      <c r="O1035" s="249">
        <v>5.9795283747836702E-5</v>
      </c>
      <c r="P1035" s="254">
        <v>172.50799999999998</v>
      </c>
      <c r="Q1035" s="213"/>
      <c r="R1035" s="235"/>
    </row>
    <row r="1036" spans="1:18" x14ac:dyDescent="0.25">
      <c r="A1036" s="230">
        <v>45761</v>
      </c>
      <c r="B1036" s="128" t="s">
        <v>4</v>
      </c>
      <c r="C1036" s="157" t="str">
        <f t="shared" si="33"/>
        <v>14.04.2025_KIN3</v>
      </c>
      <c r="D1036" s="190">
        <f t="shared" si="34"/>
        <v>0</v>
      </c>
      <c r="E1036" s="252">
        <v>1.5651307930166171E-6</v>
      </c>
      <c r="F1036" s="252">
        <v>4.1688097783632288E-4</v>
      </c>
      <c r="G1036" s="252">
        <v>0.11090401774757626</v>
      </c>
      <c r="H1036" s="252">
        <v>9.9078725900942494E-4</v>
      </c>
      <c r="I1036" s="252">
        <v>5.4867301043608346E-6</v>
      </c>
      <c r="J1036" s="252">
        <v>2.0966797561090527E-3</v>
      </c>
      <c r="K1036" s="253">
        <v>28.042279786887601</v>
      </c>
      <c r="L1036" s="253">
        <v>20.801257278112299</v>
      </c>
      <c r="M1036" s="253">
        <v>6.6742008945131097</v>
      </c>
      <c r="N1036" s="253">
        <v>0.90054204443534303</v>
      </c>
      <c r="O1036" s="249">
        <v>5.5836086750508048E-5</v>
      </c>
      <c r="P1036" s="254">
        <v>166.40800000000002</v>
      </c>
      <c r="Q1036" s="213"/>
      <c r="R1036" s="235"/>
    </row>
    <row r="1037" spans="1:18" x14ac:dyDescent="0.25">
      <c r="A1037" s="230">
        <v>45761</v>
      </c>
      <c r="B1037" s="128" t="s">
        <v>6</v>
      </c>
      <c r="C1037" s="157" t="str">
        <f t="shared" si="33"/>
        <v>14.04.2025_KIN4</v>
      </c>
      <c r="D1037" s="190">
        <f t="shared" si="34"/>
        <v>0</v>
      </c>
      <c r="E1037" s="252">
        <v>2.8580664548234963E-6</v>
      </c>
      <c r="F1037" s="252">
        <v>4.7435432958949065E-4</v>
      </c>
      <c r="G1037" s="252">
        <v>0.13627476629790408</v>
      </c>
      <c r="H1037" s="252">
        <v>1.2662838873625697E-3</v>
      </c>
      <c r="I1037" s="252">
        <v>7.8194345139938985E-6</v>
      </c>
      <c r="J1037" s="252">
        <v>2.0224751556456007E-3</v>
      </c>
      <c r="K1037" s="253">
        <v>37.734389771421</v>
      </c>
      <c r="L1037" s="253">
        <v>19.9567447993789</v>
      </c>
      <c r="M1037" s="253">
        <v>10.619697677462399</v>
      </c>
      <c r="N1037" s="253">
        <v>1.0319040024963599</v>
      </c>
      <c r="O1037" s="249">
        <v>7.5439427576609082E-5</v>
      </c>
      <c r="P1037" s="254">
        <v>183.488</v>
      </c>
      <c r="Q1037" s="213"/>
      <c r="R1037" s="235"/>
    </row>
    <row r="1038" spans="1:18" x14ac:dyDescent="0.25">
      <c r="A1038" s="230">
        <v>45761</v>
      </c>
      <c r="B1038" s="247" t="s">
        <v>421</v>
      </c>
      <c r="C1038" s="157" t="str">
        <f t="shared" si="33"/>
        <v>14.04.2025_KLI</v>
      </c>
      <c r="D1038" s="190">
        <f t="shared" si="34"/>
        <v>0</v>
      </c>
      <c r="E1038" s="252">
        <v>2.119750414997032E-5</v>
      </c>
      <c r="F1038" s="252">
        <v>3.3362932259167164E-4</v>
      </c>
      <c r="G1038" s="252">
        <v>5.8238841354359284E-2</v>
      </c>
      <c r="H1038" s="252">
        <v>9.0544842424240943E-4</v>
      </c>
      <c r="I1038" s="252">
        <v>5.0596168601518997E-6</v>
      </c>
      <c r="J1038" s="252">
        <v>1.6939308938058362E-3</v>
      </c>
      <c r="K1038" s="253">
        <v>8.8817203082311398</v>
      </c>
      <c r="L1038" s="253">
        <v>2.1072750919228702</v>
      </c>
      <c r="M1038" s="253">
        <v>5.9806485918883103</v>
      </c>
      <c r="N1038" s="253">
        <v>1.3174596776816301</v>
      </c>
      <c r="O1038" s="249">
        <v>3.8079057276725293E-5</v>
      </c>
      <c r="P1038" s="254">
        <v>9.0279999999999987</v>
      </c>
      <c r="Q1038" s="213"/>
      <c r="R1038" s="235"/>
    </row>
    <row r="1039" spans="1:18" x14ac:dyDescent="0.25">
      <c r="A1039" s="230">
        <v>45761</v>
      </c>
      <c r="B1039" s="128" t="s">
        <v>34</v>
      </c>
      <c r="C1039" s="157" t="str">
        <f t="shared" si="33"/>
        <v>14.04.2025_KRE1</v>
      </c>
      <c r="D1039" s="190">
        <f t="shared" si="34"/>
        <v>0</v>
      </c>
      <c r="E1039" s="252">
        <v>2.3136723784703251E-6</v>
      </c>
      <c r="F1039" s="252">
        <v>6.9916808664529891E-4</v>
      </c>
      <c r="G1039" s="252">
        <v>0.26063380393570112</v>
      </c>
      <c r="H1039" s="252">
        <v>2.127947862653148E-3</v>
      </c>
      <c r="I1039" s="252">
        <v>1.0907822122352214E-5</v>
      </c>
      <c r="J1039" s="252">
        <v>1.4604588833636088E-3</v>
      </c>
      <c r="K1039" s="253">
        <v>79.119804642799195</v>
      </c>
      <c r="L1039" s="253">
        <v>28.253820158951399</v>
      </c>
      <c r="M1039" s="253">
        <v>29.843182276029701</v>
      </c>
      <c r="N1039" s="253">
        <v>4.0662138992060601</v>
      </c>
      <c r="O1039" s="249">
        <v>1.596546053649185E-4</v>
      </c>
      <c r="P1039" s="254">
        <v>260.10400000000004</v>
      </c>
      <c r="Q1039" s="213"/>
      <c r="R1039" s="235"/>
    </row>
    <row r="1040" spans="1:18" x14ac:dyDescent="0.25">
      <c r="A1040" s="230">
        <v>45761</v>
      </c>
      <c r="B1040" s="128" t="s">
        <v>37</v>
      </c>
      <c r="C1040" s="157" t="str">
        <f t="shared" si="33"/>
        <v>14.04.2025_KRE2</v>
      </c>
      <c r="D1040" s="190">
        <f t="shared" si="34"/>
        <v>0</v>
      </c>
      <c r="E1040" s="252">
        <v>3.3684363993842876E-6</v>
      </c>
      <c r="F1040" s="252">
        <v>7.8267497828188152E-4</v>
      </c>
      <c r="G1040" s="252">
        <v>0.21587957159927909</v>
      </c>
      <c r="H1040" s="252">
        <v>2.0684925717591378E-3</v>
      </c>
      <c r="I1040" s="252">
        <v>1.2287747033145808E-5</v>
      </c>
      <c r="J1040" s="252">
        <v>1.6130457491993252E-3</v>
      </c>
      <c r="K1040" s="253">
        <v>64.056968063011098</v>
      </c>
      <c r="L1040" s="253">
        <v>28.513514459542801</v>
      </c>
      <c r="M1040" s="253">
        <v>29.915716193654902</v>
      </c>
      <c r="N1040" s="253">
        <v>3.9227093257196399</v>
      </c>
      <c r="O1040" s="249">
        <v>1.9166340259812182E-4</v>
      </c>
      <c r="P1040" s="254">
        <v>224.96800000000002</v>
      </c>
      <c r="Q1040" s="213"/>
      <c r="R1040" s="235"/>
    </row>
    <row r="1041" spans="1:18" x14ac:dyDescent="0.25">
      <c r="A1041" s="230">
        <v>45761</v>
      </c>
      <c r="B1041" s="128" t="s">
        <v>18</v>
      </c>
      <c r="C1041" s="157" t="str">
        <f t="shared" si="33"/>
        <v>14.04.2025_ORB1</v>
      </c>
      <c r="D1041" s="190">
        <f t="shared" si="34"/>
        <v>0</v>
      </c>
      <c r="E1041" s="252">
        <v>4.8995472969073043E-6</v>
      </c>
      <c r="F1041" s="252">
        <v>2.7719765705148068E-4</v>
      </c>
      <c r="G1041" s="252">
        <v>5.5851067838889143E-2</v>
      </c>
      <c r="H1041" s="252">
        <v>6.4929695233698135E-4</v>
      </c>
      <c r="I1041" s="252">
        <v>4.9939078691752734E-6</v>
      </c>
      <c r="J1041" s="252">
        <v>8.686944940667872E-4</v>
      </c>
      <c r="K1041" s="253">
        <v>10.0476825594342</v>
      </c>
      <c r="L1041" s="253">
        <v>2.17601643706542</v>
      </c>
      <c r="M1041" s="253">
        <v>5.3541885044676896</v>
      </c>
      <c r="N1041" s="253">
        <v>1.6583384550313101</v>
      </c>
      <c r="O1041" s="249">
        <v>2.903866364183996E-5</v>
      </c>
      <c r="P1041" s="254">
        <v>19.276</v>
      </c>
      <c r="Q1041" s="213"/>
      <c r="R1041" s="235"/>
    </row>
    <row r="1042" spans="1:18" x14ac:dyDescent="0.25">
      <c r="A1042" s="230">
        <v>45761</v>
      </c>
      <c r="B1042" s="128" t="s">
        <v>21</v>
      </c>
      <c r="C1042" s="157" t="str">
        <f t="shared" si="33"/>
        <v>14.04.2025_ORB2</v>
      </c>
      <c r="D1042" s="190">
        <f t="shared" si="34"/>
        <v>0</v>
      </c>
      <c r="E1042" s="252">
        <v>3.776732297236353E-6</v>
      </c>
      <c r="F1042" s="252">
        <v>3.6199846674001902E-4</v>
      </c>
      <c r="G1042" s="252">
        <v>5.5219595475623925E-2</v>
      </c>
      <c r="H1042" s="252">
        <v>6.3687340623831733E-4</v>
      </c>
      <c r="I1042" s="252">
        <v>5.8481341199425924E-6</v>
      </c>
      <c r="J1042" s="252">
        <v>8.2204264093901523E-4</v>
      </c>
      <c r="K1042" s="253">
        <v>9.8737097786178207</v>
      </c>
      <c r="L1042" s="253">
        <v>2.1563529435230202</v>
      </c>
      <c r="M1042" s="253">
        <v>7.4761174675338502</v>
      </c>
      <c r="N1042" s="253">
        <v>1.6049623324215401</v>
      </c>
      <c r="O1042" s="249">
        <v>2.9735848585083189E-5</v>
      </c>
      <c r="P1042" s="254">
        <v>20.983999999999998</v>
      </c>
      <c r="Q1042" s="213"/>
      <c r="R1042" s="235"/>
    </row>
    <row r="1043" spans="1:18" x14ac:dyDescent="0.25">
      <c r="A1043" s="230">
        <v>45761</v>
      </c>
      <c r="B1043" s="128" t="s">
        <v>10</v>
      </c>
      <c r="C1043" s="157" t="str">
        <f t="shared" si="33"/>
        <v>14.04.2025_SAL1</v>
      </c>
      <c r="D1043" s="190">
        <f t="shared" si="34"/>
        <v>0</v>
      </c>
      <c r="E1043" s="252">
        <v>3.6746584251877817E-6</v>
      </c>
      <c r="F1043" s="252">
        <v>3.692140757173498E-4</v>
      </c>
      <c r="G1043" s="252">
        <v>6.352972485039346E-2</v>
      </c>
      <c r="H1043" s="252">
        <v>7.9075569830342949E-4</v>
      </c>
      <c r="I1043" s="252">
        <v>3.7454248437260836E-6</v>
      </c>
      <c r="J1043" s="252">
        <v>8.0415964021315922E-4</v>
      </c>
      <c r="K1043" s="253">
        <v>9.7851458106520308</v>
      </c>
      <c r="L1043" s="253">
        <v>13.5597079846734</v>
      </c>
      <c r="M1043" s="253">
        <v>6.9813240336285602</v>
      </c>
      <c r="N1043" s="253">
        <v>0.15783678759698699</v>
      </c>
      <c r="O1043" s="249">
        <v>9.957910001512318E-5</v>
      </c>
      <c r="P1043" s="254">
        <v>74.908000000000001</v>
      </c>
      <c r="Q1043" s="213"/>
      <c r="R1043" s="235"/>
    </row>
    <row r="1044" spans="1:18" x14ac:dyDescent="0.25">
      <c r="A1044" s="230">
        <v>45761</v>
      </c>
      <c r="B1044" s="128" t="s">
        <v>12</v>
      </c>
      <c r="C1044" s="157" t="str">
        <f t="shared" si="33"/>
        <v>14.04.2025_SAL2</v>
      </c>
      <c r="D1044" s="190">
        <f t="shared" si="34"/>
        <v>0</v>
      </c>
      <c r="E1044" s="252">
        <v>4.0489297688877565E-6</v>
      </c>
      <c r="F1044" s="252">
        <v>3.8801448653674617E-4</v>
      </c>
      <c r="G1044" s="252">
        <v>7.0356543578126679E-2</v>
      </c>
      <c r="H1044" s="252">
        <v>8.3019672765984422E-4</v>
      </c>
      <c r="I1044" s="252">
        <v>5.322455691209172E-6</v>
      </c>
      <c r="J1044" s="252">
        <v>7.9389635743196021E-4</v>
      </c>
      <c r="K1044" s="253">
        <v>11.6738639393486</v>
      </c>
      <c r="L1044" s="253">
        <v>12.5802575731716</v>
      </c>
      <c r="M1044" s="253">
        <v>6.6059271976569498</v>
      </c>
      <c r="N1044" s="253">
        <v>0.105464696126871</v>
      </c>
      <c r="O1044" s="249">
        <v>8.9403552336958313E-5</v>
      </c>
      <c r="P1044" s="254">
        <v>75.884</v>
      </c>
      <c r="Q1044" s="213"/>
      <c r="R1044" s="235"/>
    </row>
    <row r="1045" spans="1:18" x14ac:dyDescent="0.25">
      <c r="A1045" s="230">
        <v>45761</v>
      </c>
      <c r="B1045" s="128" t="s">
        <v>7</v>
      </c>
      <c r="C1045" s="157" t="str">
        <f t="shared" si="33"/>
        <v>14.04.2025_STE1</v>
      </c>
      <c r="D1045" s="190">
        <f t="shared" si="34"/>
        <v>0</v>
      </c>
      <c r="E1045" s="252">
        <v>2.0074506384744364E-6</v>
      </c>
      <c r="F1045" s="252">
        <v>4.5189449906782032E-4</v>
      </c>
      <c r="G1045" s="252">
        <v>9.5359900395153241E-2</v>
      </c>
      <c r="H1045" s="252">
        <v>1.0054712317427461E-3</v>
      </c>
      <c r="I1045" s="252">
        <v>3.7454251197073283E-6</v>
      </c>
      <c r="J1045" s="252">
        <v>1.3097461652647273E-3</v>
      </c>
      <c r="K1045" s="253">
        <v>20.847330473405499</v>
      </c>
      <c r="L1045" s="253">
        <v>14.5699941693937</v>
      </c>
      <c r="M1045" s="253">
        <v>7.5028092732166503</v>
      </c>
      <c r="N1045" s="253">
        <v>0.241367936063451</v>
      </c>
      <c r="O1045" s="249">
        <v>5.9500852709311536E-5</v>
      </c>
      <c r="P1045" s="254">
        <v>107.604</v>
      </c>
      <c r="Q1045" s="213"/>
      <c r="R1045" s="235"/>
    </row>
    <row r="1046" spans="1:18" x14ac:dyDescent="0.25">
      <c r="A1046" s="230">
        <v>45761</v>
      </c>
      <c r="B1046" s="128" t="s">
        <v>9</v>
      </c>
      <c r="C1046" s="157" t="str">
        <f t="shared" si="33"/>
        <v>14.04.2025_STE2</v>
      </c>
      <c r="D1046" s="190">
        <f t="shared" si="34"/>
        <v>0</v>
      </c>
      <c r="E1046" s="252">
        <v>2.5858693896540152E-6</v>
      </c>
      <c r="F1046" s="252">
        <v>4.0610065154182007E-4</v>
      </c>
      <c r="G1046" s="252">
        <v>0.10950834456551332</v>
      </c>
      <c r="H1046" s="252">
        <v>1.0997511593313716E-3</v>
      </c>
      <c r="I1046" s="252">
        <v>8.8379422308386251E-6</v>
      </c>
      <c r="J1046" s="252">
        <v>9.7755177219275408E-4</v>
      </c>
      <c r="K1046" s="253">
        <v>24.540963356559299</v>
      </c>
      <c r="L1046" s="253">
        <v>14.041303290402199</v>
      </c>
      <c r="M1046" s="253">
        <v>7.9375469405496899</v>
      </c>
      <c r="N1046" s="253">
        <v>0.193949357834795</v>
      </c>
      <c r="O1046" s="249">
        <v>7.0790181214101672E-5</v>
      </c>
      <c r="P1046" s="254">
        <v>121.268</v>
      </c>
      <c r="Q1046" s="213"/>
      <c r="R1046" s="235"/>
    </row>
    <row r="1047" spans="1:18" x14ac:dyDescent="0.25">
      <c r="A1047" s="230">
        <v>45782</v>
      </c>
      <c r="B1047" s="128" t="s">
        <v>22</v>
      </c>
      <c r="C1047" s="157" t="str">
        <f t="shared" si="33"/>
        <v>05.05.2025_BIE1</v>
      </c>
      <c r="D1047" s="190">
        <f t="shared" si="34"/>
        <v>0</v>
      </c>
      <c r="E1047" s="252">
        <v>6.0223631794083661E-6</v>
      </c>
      <c r="F1047" s="252">
        <v>7.9302191062954018E-4</v>
      </c>
      <c r="G1047" s="252">
        <v>7.649787724149007E-2</v>
      </c>
      <c r="H1047" s="252">
        <v>1.0189128176216402E-3</v>
      </c>
      <c r="I1047" s="252">
        <v>1.1532074045864726E-5</v>
      </c>
      <c r="J1047" s="252">
        <v>1.0557758785694768E-3</v>
      </c>
      <c r="K1047" s="253">
        <v>13.6350171163868</v>
      </c>
      <c r="L1047" s="253">
        <v>7.4247277735563504</v>
      </c>
      <c r="M1047" s="253">
        <v>5.0133877493502599</v>
      </c>
      <c r="N1047" s="253">
        <v>2.0775087304164099</v>
      </c>
      <c r="O1047" s="249">
        <v>1.04570271547997E-4</v>
      </c>
      <c r="P1047" s="254">
        <v>61.244</v>
      </c>
      <c r="Q1047" s="213"/>
      <c r="R1047" s="235"/>
    </row>
    <row r="1048" spans="1:18" x14ac:dyDescent="0.25">
      <c r="A1048" s="230">
        <v>45782</v>
      </c>
      <c r="B1048" s="128" t="s">
        <v>25</v>
      </c>
      <c r="C1048" s="157" t="str">
        <f t="shared" si="33"/>
        <v>05.05.2025_BIE2</v>
      </c>
      <c r="D1048" s="190">
        <f t="shared" si="34"/>
        <v>0</v>
      </c>
      <c r="E1048" s="252">
        <v>6.5667591325671131E-6</v>
      </c>
      <c r="F1048" s="252">
        <v>8.2896214527414626E-4</v>
      </c>
      <c r="G1048" s="252">
        <v>8.0224834685474228E-2</v>
      </c>
      <c r="H1048" s="252">
        <v>1.0223192516450492E-3</v>
      </c>
      <c r="I1048" s="252">
        <v>1.4259075409243174E-5</v>
      </c>
      <c r="J1048" s="252">
        <v>7.9094181655952071E-4</v>
      </c>
      <c r="K1048" s="253">
        <v>13.2116005256643</v>
      </c>
      <c r="L1048" s="253">
        <v>6.8652969410882596</v>
      </c>
      <c r="M1048" s="253">
        <v>5.0181984111898101</v>
      </c>
      <c r="N1048" s="253">
        <v>1.6115754961394999</v>
      </c>
      <c r="O1048" s="249">
        <v>1.1528944730969997E-4</v>
      </c>
      <c r="P1048" s="254">
        <v>63.196000000000005</v>
      </c>
      <c r="Q1048" s="213"/>
      <c r="R1048" s="235"/>
    </row>
    <row r="1049" spans="1:18" x14ac:dyDescent="0.25">
      <c r="A1049" s="230">
        <v>45782</v>
      </c>
      <c r="B1049" s="128" t="s">
        <v>14</v>
      </c>
      <c r="C1049" s="157" t="str">
        <f t="shared" si="33"/>
        <v>05.05.2025_BRA1</v>
      </c>
      <c r="D1049" s="190">
        <f t="shared" si="34"/>
        <v>0</v>
      </c>
      <c r="E1049" s="252">
        <v>2.007450670230779E-6</v>
      </c>
      <c r="F1049" s="252">
        <v>3.6023928132238535E-4</v>
      </c>
      <c r="G1049" s="252">
        <v>7.0468833901937075E-2</v>
      </c>
      <c r="H1049" s="252">
        <v>7.9540398166130343E-4</v>
      </c>
      <c r="I1049" s="252">
        <v>4.5996498449067724E-6</v>
      </c>
      <c r="J1049" s="252">
        <v>4.486982394830221E-4</v>
      </c>
      <c r="K1049" s="253">
        <v>11.8992781063425</v>
      </c>
      <c r="L1049" s="253">
        <v>10.0363506243537</v>
      </c>
      <c r="M1049" s="253">
        <v>4.5167232505218697</v>
      </c>
      <c r="N1049" s="253">
        <v>0</v>
      </c>
      <c r="O1049" s="249">
        <v>1.3910993534578577E-4</v>
      </c>
      <c r="P1049" s="254">
        <v>78.323999999999998</v>
      </c>
      <c r="Q1049" s="213"/>
      <c r="R1049" s="235"/>
    </row>
    <row r="1050" spans="1:18" x14ac:dyDescent="0.25">
      <c r="A1050" s="230">
        <v>45782</v>
      </c>
      <c r="B1050" s="128" t="s">
        <v>17</v>
      </c>
      <c r="C1050" s="157" t="str">
        <f t="shared" si="33"/>
        <v>05.05.2025_BRA2</v>
      </c>
      <c r="D1050" s="190">
        <f t="shared" si="34"/>
        <v>0</v>
      </c>
      <c r="E1050" s="252">
        <v>2.8920911455281214E-6</v>
      </c>
      <c r="F1050" s="252">
        <v>3.9054923240962233E-4</v>
      </c>
      <c r="G1050" s="252">
        <v>7.7448030204622223E-2</v>
      </c>
      <c r="H1050" s="252">
        <v>8.0736965534987024E-4</v>
      </c>
      <c r="I1050" s="252">
        <v>6.2423931178150897E-6</v>
      </c>
      <c r="J1050" s="252">
        <v>8.2468625999266578E-4</v>
      </c>
      <c r="K1050" s="253">
        <v>14.313752574184299</v>
      </c>
      <c r="L1050" s="253">
        <v>11.249365445877601</v>
      </c>
      <c r="M1050" s="253">
        <v>5.7961341123129602</v>
      </c>
      <c r="N1050" s="253">
        <v>5.5419199109258903E-2</v>
      </c>
      <c r="O1050" s="249">
        <v>8.390144510109389E-5</v>
      </c>
      <c r="P1050" s="254">
        <v>78.811999999999998</v>
      </c>
      <c r="Q1050" s="213"/>
      <c r="R1050" s="235"/>
    </row>
    <row r="1051" spans="1:18" x14ac:dyDescent="0.25">
      <c r="A1051" s="230">
        <v>45782</v>
      </c>
      <c r="B1051" s="128" t="s">
        <v>30</v>
      </c>
      <c r="C1051" s="157" t="str">
        <f t="shared" si="33"/>
        <v>05.05.2025_FAL1</v>
      </c>
      <c r="D1051" s="190">
        <f t="shared" si="34"/>
        <v>0</v>
      </c>
      <c r="E1051" s="252">
        <v>2.7219678476112892E-6</v>
      </c>
      <c r="F1051" s="252">
        <v>7.5090534853069157E-4</v>
      </c>
      <c r="G1051" s="252">
        <v>0.17818971213163387</v>
      </c>
      <c r="H1051" s="252">
        <v>1.3691107911299996E-3</v>
      </c>
      <c r="I1051" s="252">
        <v>9.5279009220697502E-6</v>
      </c>
      <c r="J1051" s="252">
        <v>1.2882830827002595E-3</v>
      </c>
      <c r="K1051" s="253">
        <v>38.686011910502899</v>
      </c>
      <c r="L1051" s="253">
        <v>20.5713137236216</v>
      </c>
      <c r="M1051" s="253">
        <v>20.283740372811199</v>
      </c>
      <c r="N1051" s="253">
        <v>2.9943178095605898</v>
      </c>
      <c r="O1051" s="249">
        <v>1.0928256003530393E-4</v>
      </c>
      <c r="P1051" s="254">
        <v>201.54399999999998</v>
      </c>
      <c r="Q1051" s="213"/>
      <c r="R1051" s="235"/>
    </row>
    <row r="1052" spans="1:18" x14ac:dyDescent="0.25">
      <c r="A1052" s="230">
        <v>45782</v>
      </c>
      <c r="B1052" s="128" t="s">
        <v>32</v>
      </c>
      <c r="C1052" s="157" t="str">
        <f t="shared" si="33"/>
        <v>05.05.2025_FAL2</v>
      </c>
      <c r="D1052" s="190">
        <f t="shared" si="34"/>
        <v>0</v>
      </c>
      <c r="E1052" s="252">
        <v>2.7219682318632663E-6</v>
      </c>
      <c r="F1052" s="252">
        <v>6.4770847410352498E-4</v>
      </c>
      <c r="G1052" s="252">
        <v>0.1775395011006653</v>
      </c>
      <c r="H1052" s="252">
        <v>1.442612080668509E-3</v>
      </c>
      <c r="I1052" s="252">
        <v>1.08092549369162E-5</v>
      </c>
      <c r="J1052" s="252">
        <v>1.1865686694738323E-3</v>
      </c>
      <c r="K1052" s="253">
        <v>40.786441502457102</v>
      </c>
      <c r="L1052" s="253">
        <v>19.585955742328</v>
      </c>
      <c r="M1052" s="253">
        <v>18.473201759128902</v>
      </c>
      <c r="N1052" s="253">
        <v>3.0557236904103098</v>
      </c>
      <c r="O1052" s="249">
        <v>1.232653464907883E-4</v>
      </c>
      <c r="P1052" s="254">
        <v>177.876</v>
      </c>
      <c r="Q1052" s="213"/>
      <c r="R1052" s="235"/>
    </row>
    <row r="1053" spans="1:18" x14ac:dyDescent="0.25">
      <c r="A1053" s="230">
        <v>45782</v>
      </c>
      <c r="B1053" s="128" t="s">
        <v>26</v>
      </c>
      <c r="C1053" s="157" t="str">
        <f t="shared" si="33"/>
        <v>05.05.2025_GRU1</v>
      </c>
      <c r="D1053" s="190">
        <f t="shared" si="34"/>
        <v>0</v>
      </c>
      <c r="E1053" s="252">
        <v>5.069670966374618E-6</v>
      </c>
      <c r="F1053" s="252">
        <v>6.5363304275451546E-4</v>
      </c>
      <c r="G1053" s="252">
        <v>8.1630395473734671E-2</v>
      </c>
      <c r="H1053" s="252">
        <v>1.7201857414526969E-3</v>
      </c>
      <c r="I1053" s="252">
        <v>6.8337850069261913E-6</v>
      </c>
      <c r="J1053" s="252">
        <v>1.1368015180289507E-3</v>
      </c>
      <c r="K1053" s="253">
        <v>14.6791506314588</v>
      </c>
      <c r="L1053" s="253">
        <v>6.7389240528350003</v>
      </c>
      <c r="M1053" s="253">
        <v>6.4066306968278397</v>
      </c>
      <c r="N1053" s="253">
        <v>0.41020820500342398</v>
      </c>
      <c r="O1053" s="249">
        <v>1.0669388292641383E-4</v>
      </c>
      <c r="P1053" s="254">
        <v>60.024000000000001</v>
      </c>
      <c r="Q1053" s="213"/>
      <c r="R1053" s="235"/>
    </row>
    <row r="1054" spans="1:18" x14ac:dyDescent="0.25">
      <c r="A1054" s="230">
        <v>45782</v>
      </c>
      <c r="B1054" s="128" t="s">
        <v>28</v>
      </c>
      <c r="C1054" s="157" t="str">
        <f t="shared" si="33"/>
        <v>05.05.2025_GRU2</v>
      </c>
      <c r="D1054" s="190">
        <f t="shared" si="34"/>
        <v>0</v>
      </c>
      <c r="E1054" s="252">
        <v>4.2190530572776026E-6</v>
      </c>
      <c r="F1054" s="252">
        <v>4.4874790036455417E-4</v>
      </c>
      <c r="G1054" s="252">
        <v>7.6440435331387085E-2</v>
      </c>
      <c r="H1054" s="252">
        <v>1.315739133909811E-3</v>
      </c>
      <c r="I1054" s="252">
        <v>9.0350729142090866E-6</v>
      </c>
      <c r="J1054" s="252">
        <v>9.3291995485105168E-4</v>
      </c>
      <c r="K1054" s="253">
        <v>12.233126316952999</v>
      </c>
      <c r="L1054" s="253">
        <v>5.8796172218211602</v>
      </c>
      <c r="M1054" s="253">
        <v>5.7990555628996798</v>
      </c>
      <c r="N1054" s="253">
        <v>0.430516342850291</v>
      </c>
      <c r="O1054" s="249">
        <v>1.0084237958929468E-4</v>
      </c>
      <c r="P1054" s="254">
        <v>56.852000000000004</v>
      </c>
      <c r="Q1054" s="213"/>
      <c r="R1054" s="235"/>
    </row>
    <row r="1055" spans="1:18" x14ac:dyDescent="0.25">
      <c r="A1055" s="230">
        <v>45782</v>
      </c>
      <c r="B1055" s="128" t="s">
        <v>0</v>
      </c>
      <c r="C1055" s="157" t="str">
        <f t="shared" si="33"/>
        <v>05.05.2025_KIN1</v>
      </c>
      <c r="D1055" s="190">
        <f t="shared" si="34"/>
        <v>0</v>
      </c>
      <c r="E1055" s="252">
        <v>2.7559924906813389E-6</v>
      </c>
      <c r="F1055" s="252">
        <v>4.0402796710858554E-4</v>
      </c>
      <c r="G1055" s="252">
        <v>0.13126702593857631</v>
      </c>
      <c r="H1055" s="252">
        <v>1.1147591715692596E-3</v>
      </c>
      <c r="I1055" s="252">
        <v>9.1336382137291426E-6</v>
      </c>
      <c r="J1055" s="252">
        <v>8.2421968153180414E-4</v>
      </c>
      <c r="K1055" s="253">
        <v>28.5061631574114</v>
      </c>
      <c r="L1055" s="253">
        <v>16.028572709585699</v>
      </c>
      <c r="M1055" s="253">
        <v>5.7948373799158901</v>
      </c>
      <c r="N1055" s="253">
        <v>0.15780425150476701</v>
      </c>
      <c r="O1055" s="249">
        <v>6.2181709780272947E-5</v>
      </c>
      <c r="P1055" s="254">
        <v>162.74800000000002</v>
      </c>
      <c r="Q1055" s="213"/>
      <c r="R1055" s="235"/>
    </row>
    <row r="1056" spans="1:18" x14ac:dyDescent="0.25">
      <c r="A1056" s="230">
        <v>45782</v>
      </c>
      <c r="B1056" s="128" t="s">
        <v>2</v>
      </c>
      <c r="C1056" s="157" t="str">
        <f t="shared" si="33"/>
        <v>05.05.2025_KIN2</v>
      </c>
      <c r="D1056" s="190">
        <f t="shared" si="34"/>
        <v>0</v>
      </c>
      <c r="E1056" s="252">
        <v>3.334411934150063E-6</v>
      </c>
      <c r="F1056" s="252">
        <v>3.4513760143769351E-4</v>
      </c>
      <c r="G1056" s="252">
        <v>0.16273453691820144</v>
      </c>
      <c r="H1056" s="252">
        <v>1.0967123326521757E-3</v>
      </c>
      <c r="I1056" s="252">
        <v>1.0152149771379313E-5</v>
      </c>
      <c r="J1056" s="252">
        <v>9.2078997230407578E-4</v>
      </c>
      <c r="K1056" s="253">
        <v>36.349608734618499</v>
      </c>
      <c r="L1056" s="253">
        <v>18.407143948333101</v>
      </c>
      <c r="M1056" s="253">
        <v>5.8818471620116899</v>
      </c>
      <c r="N1056" s="253">
        <v>0.792770318580311</v>
      </c>
      <c r="O1056" s="249">
        <v>6.4467429918898961E-5</v>
      </c>
      <c r="P1056" s="254">
        <v>188.85599999999999</v>
      </c>
      <c r="Q1056" s="213"/>
      <c r="R1056" s="235"/>
    </row>
    <row r="1057" spans="1:18" x14ac:dyDescent="0.25">
      <c r="A1057" s="230">
        <v>45782</v>
      </c>
      <c r="B1057" s="128" t="s">
        <v>4</v>
      </c>
      <c r="C1057" s="157" t="str">
        <f t="shared" si="33"/>
        <v>05.05.2025_KIN3</v>
      </c>
      <c r="D1057" s="190">
        <f t="shared" si="34"/>
        <v>0</v>
      </c>
      <c r="E1057" s="252">
        <v>2.8580664389453098E-6</v>
      </c>
      <c r="F1057" s="252">
        <v>4.5199892013073019E-4</v>
      </c>
      <c r="G1057" s="252">
        <v>0.13465638259681395</v>
      </c>
      <c r="H1057" s="252">
        <v>1.088610084873284E-3</v>
      </c>
      <c r="I1057" s="252">
        <v>1.2846289873715035E-5</v>
      </c>
      <c r="J1057" s="252">
        <v>1.6450884240113857E-3</v>
      </c>
      <c r="K1057" s="253">
        <v>30.785747470430302</v>
      </c>
      <c r="L1057" s="253">
        <v>18.8758030648575</v>
      </c>
      <c r="M1057" s="253">
        <v>7.5169472107359399</v>
      </c>
      <c r="N1057" s="253">
        <v>0.57434600623668997</v>
      </c>
      <c r="O1057" s="249">
        <v>6.4537167728523394E-5</v>
      </c>
      <c r="P1057" s="254">
        <v>180.804</v>
      </c>
      <c r="Q1057" s="213"/>
      <c r="R1057" s="235"/>
    </row>
    <row r="1058" spans="1:18" x14ac:dyDescent="0.25">
      <c r="A1058" s="230">
        <v>45782</v>
      </c>
      <c r="B1058" s="128" t="s">
        <v>6</v>
      </c>
      <c r="C1058" s="157" t="str">
        <f t="shared" si="33"/>
        <v>05.05.2025_KIN4</v>
      </c>
      <c r="D1058" s="190">
        <f t="shared" si="34"/>
        <v>0</v>
      </c>
      <c r="E1058" s="252">
        <v>2.9601404062631165E-6</v>
      </c>
      <c r="F1058" s="252">
        <v>5.1091117985274767E-4</v>
      </c>
      <c r="G1058" s="252">
        <v>0.12326681032348046</v>
      </c>
      <c r="H1058" s="252">
        <v>1.0524258786933972E-3</v>
      </c>
      <c r="I1058" s="252">
        <v>9.5279000481110469E-6</v>
      </c>
      <c r="J1058" s="252">
        <v>1.0683728742054983E-3</v>
      </c>
      <c r="K1058" s="253">
        <v>27.644001739503601</v>
      </c>
      <c r="L1058" s="253">
        <v>19.179854848952498</v>
      </c>
      <c r="M1058" s="253">
        <v>12.141731518258499</v>
      </c>
      <c r="N1058" s="253">
        <v>0.79549942229604198</v>
      </c>
      <c r="O1058" s="249">
        <v>7.7113199966365439E-5</v>
      </c>
      <c r="P1058" s="254">
        <v>150.548</v>
      </c>
      <c r="Q1058" s="213"/>
      <c r="R1058" s="235"/>
    </row>
    <row r="1059" spans="1:18" x14ac:dyDescent="0.25">
      <c r="A1059" s="230">
        <v>45782</v>
      </c>
      <c r="B1059" s="247" t="s">
        <v>421</v>
      </c>
      <c r="C1059" s="157" t="str">
        <f t="shared" si="33"/>
        <v>05.05.2025_KLI</v>
      </c>
      <c r="D1059" s="190">
        <f t="shared" si="34"/>
        <v>12</v>
      </c>
      <c r="E1059" s="252"/>
      <c r="F1059" s="252"/>
      <c r="G1059" s="252"/>
      <c r="H1059" s="252"/>
      <c r="I1059" s="252"/>
      <c r="J1059" s="252"/>
      <c r="K1059" s="253"/>
      <c r="L1059" s="253"/>
      <c r="M1059" s="253"/>
      <c r="N1059" s="253"/>
      <c r="O1059" s="249"/>
      <c r="P1059" s="254"/>
      <c r="Q1059" s="213"/>
      <c r="R1059" s="226" t="s">
        <v>447</v>
      </c>
    </row>
    <row r="1060" spans="1:18" x14ac:dyDescent="0.25">
      <c r="A1060" s="230">
        <v>45782</v>
      </c>
      <c r="B1060" s="128" t="s">
        <v>34</v>
      </c>
      <c r="C1060" s="157" t="str">
        <f t="shared" si="33"/>
        <v>05.05.2025_KRE1</v>
      </c>
      <c r="D1060" s="190">
        <f t="shared" si="34"/>
        <v>0</v>
      </c>
      <c r="E1060" s="252">
        <v>3.7086829158270571E-6</v>
      </c>
      <c r="F1060" s="252">
        <v>7.8383949030338279E-4</v>
      </c>
      <c r="G1060" s="252">
        <v>0.23275246451860207</v>
      </c>
      <c r="H1060" s="252">
        <v>1.9131912708481107E-3</v>
      </c>
      <c r="I1060" s="252">
        <v>1.6361838472357695E-5</v>
      </c>
      <c r="J1060" s="252">
        <v>1.7393521551754157E-3</v>
      </c>
      <c r="K1060" s="253">
        <v>59.840796772553702</v>
      </c>
      <c r="L1060" s="253">
        <v>21.258589741689999</v>
      </c>
      <c r="M1060" s="253">
        <v>25.755527224791798</v>
      </c>
      <c r="N1060" s="253">
        <v>3.1726730189599901</v>
      </c>
      <c r="O1060" s="249">
        <v>1.7222314489032201E-4</v>
      </c>
      <c r="P1060" s="254">
        <v>227.89600000000002</v>
      </c>
      <c r="Q1060" s="213"/>
      <c r="R1060" s="235"/>
    </row>
    <row r="1061" spans="1:18" x14ac:dyDescent="0.25">
      <c r="A1061" s="230">
        <v>45782</v>
      </c>
      <c r="B1061" s="128" t="s">
        <v>37</v>
      </c>
      <c r="C1061" s="157" t="str">
        <f t="shared" si="33"/>
        <v>05.05.2025_KRE2</v>
      </c>
      <c r="D1061" s="190">
        <f t="shared" si="34"/>
        <v>0</v>
      </c>
      <c r="E1061" s="252">
        <v>3.4024610964402652E-6</v>
      </c>
      <c r="F1061" s="252">
        <v>9.4014150797433276E-4</v>
      </c>
      <c r="G1061" s="252">
        <v>0.22148971377989055</v>
      </c>
      <c r="H1061" s="252">
        <v>2.0538829566401759E-3</v>
      </c>
      <c r="I1061" s="252">
        <v>1.6230414909327251E-5</v>
      </c>
      <c r="J1061" s="252">
        <v>2.2342058378565493E-3</v>
      </c>
      <c r="K1061" s="253">
        <v>59.718272925099498</v>
      </c>
      <c r="L1061" s="253">
        <v>24.377991645842101</v>
      </c>
      <c r="M1061" s="253">
        <v>34.187812403181503</v>
      </c>
      <c r="N1061" s="253">
        <v>4.4378073260383104</v>
      </c>
      <c r="O1061" s="249">
        <v>2.3014813905945455E-4</v>
      </c>
      <c r="P1061" s="254">
        <v>240.34</v>
      </c>
      <c r="Q1061" s="213"/>
      <c r="R1061" s="235"/>
    </row>
    <row r="1062" spans="1:18" x14ac:dyDescent="0.25">
      <c r="A1062" s="230">
        <v>45782</v>
      </c>
      <c r="B1062" s="128" t="s">
        <v>18</v>
      </c>
      <c r="C1062" s="157" t="str">
        <f t="shared" si="33"/>
        <v>05.05.2025_ORB1</v>
      </c>
      <c r="D1062" s="190">
        <f t="shared" si="34"/>
        <v>0</v>
      </c>
      <c r="E1062" s="252">
        <v>5.7841898522501505E-6</v>
      </c>
      <c r="F1062" s="252">
        <v>4.0098621513279936E-4</v>
      </c>
      <c r="G1062" s="252">
        <v>6.0963801488484119E-2</v>
      </c>
      <c r="H1062" s="252">
        <v>7.0930137408662048E-4</v>
      </c>
      <c r="I1062" s="252">
        <v>8.7722317526176628E-6</v>
      </c>
      <c r="J1062" s="252">
        <v>1.6556658000190865E-3</v>
      </c>
      <c r="K1062" s="253">
        <v>11.556706256030999</v>
      </c>
      <c r="L1062" s="253">
        <v>2.6805333824456299</v>
      </c>
      <c r="M1062" s="253">
        <v>6.1094547584827898</v>
      </c>
      <c r="N1062" s="253">
        <v>1.2108925064134199</v>
      </c>
      <c r="O1062" s="249">
        <v>3.1261916118660585E-5</v>
      </c>
      <c r="P1062" s="254">
        <v>18.788</v>
      </c>
      <c r="Q1062" s="213"/>
      <c r="R1062" s="235"/>
    </row>
    <row r="1063" spans="1:18" x14ac:dyDescent="0.25">
      <c r="A1063" s="230">
        <v>45782</v>
      </c>
      <c r="B1063" s="128" t="s">
        <v>21</v>
      </c>
      <c r="C1063" s="157" t="str">
        <f t="shared" si="33"/>
        <v>05.05.2025_ORB2</v>
      </c>
      <c r="D1063" s="190">
        <f t="shared" si="34"/>
        <v>0</v>
      </c>
      <c r="E1063" s="252">
        <v>5.7161403533418502E-6</v>
      </c>
      <c r="F1063" s="252">
        <v>5.5326086458166253E-4</v>
      </c>
      <c r="G1063" s="252">
        <v>7.2031797782708573E-2</v>
      </c>
      <c r="H1063" s="252">
        <v>8.8933867493321635E-4</v>
      </c>
      <c r="I1063" s="252">
        <v>1.0842110149194948E-5</v>
      </c>
      <c r="J1063" s="252">
        <v>2.9919677755282066E-3</v>
      </c>
      <c r="K1063" s="253">
        <v>14.401001429140001</v>
      </c>
      <c r="L1063" s="253">
        <v>3.3982857926338799</v>
      </c>
      <c r="M1063" s="253">
        <v>12.062853566103</v>
      </c>
      <c r="N1063" s="253">
        <v>1.5457143841106999</v>
      </c>
      <c r="O1063" s="249">
        <v>4.9614683502964882E-5</v>
      </c>
      <c r="P1063" s="254">
        <v>25.375999999999998</v>
      </c>
      <c r="Q1063" s="213"/>
      <c r="R1063" s="235"/>
    </row>
    <row r="1064" spans="1:18" x14ac:dyDescent="0.25">
      <c r="A1064" s="230">
        <v>45782</v>
      </c>
      <c r="B1064" s="128" t="s">
        <v>10</v>
      </c>
      <c r="C1064" s="157" t="str">
        <f t="shared" si="33"/>
        <v>05.05.2025_SAL1</v>
      </c>
      <c r="D1064" s="190">
        <f t="shared" si="34"/>
        <v>0</v>
      </c>
      <c r="E1064" s="252">
        <v>3.640633562998515E-6</v>
      </c>
      <c r="F1064" s="252">
        <v>3.9341185539698543E-4</v>
      </c>
      <c r="G1064" s="252">
        <v>8.0666223063443468E-2</v>
      </c>
      <c r="H1064" s="252">
        <v>1.0591930861247433E-3</v>
      </c>
      <c r="I1064" s="252">
        <v>7.0309127924610863E-6</v>
      </c>
      <c r="J1064" s="252">
        <v>8.7367076809221505E-4</v>
      </c>
      <c r="K1064" s="253">
        <v>16.4075199128138</v>
      </c>
      <c r="L1064" s="253">
        <v>15.1154653318022</v>
      </c>
      <c r="M1064" s="253">
        <v>7.8414746695631301</v>
      </c>
      <c r="N1064" s="253">
        <v>0</v>
      </c>
      <c r="O1064" s="249">
        <v>1.0217540701101597E-4</v>
      </c>
      <c r="P1064" s="254">
        <v>89.548000000000002</v>
      </c>
      <c r="Q1064" s="213"/>
      <c r="R1064" s="235"/>
    </row>
    <row r="1065" spans="1:18" x14ac:dyDescent="0.25">
      <c r="A1065" s="230">
        <v>45782</v>
      </c>
      <c r="B1065" s="128" t="s">
        <v>12</v>
      </c>
      <c r="C1065" s="157" t="str">
        <f t="shared" si="33"/>
        <v>05.05.2025_SAL2</v>
      </c>
      <c r="D1065" s="190">
        <f t="shared" si="34"/>
        <v>0</v>
      </c>
      <c r="E1065" s="252">
        <v>3.096238956313838E-6</v>
      </c>
      <c r="F1065" s="252">
        <v>4.4079948228070942E-4</v>
      </c>
      <c r="G1065" s="252">
        <v>9.0489073427675357E-2</v>
      </c>
      <c r="H1065" s="252">
        <v>1.1844639752959004E-3</v>
      </c>
      <c r="I1065" s="252">
        <v>9.4621901985254036E-6</v>
      </c>
      <c r="J1065" s="252">
        <v>1.8589744481735905E-3</v>
      </c>
      <c r="K1065" s="253">
        <v>18.8534766367227</v>
      </c>
      <c r="L1065" s="253">
        <v>15.4565061401265</v>
      </c>
      <c r="M1065" s="253">
        <v>8.4770089887759408</v>
      </c>
      <c r="N1065" s="253">
        <v>0</v>
      </c>
      <c r="O1065" s="249">
        <v>1.0450826275391407E-4</v>
      </c>
      <c r="P1065" s="254">
        <v>99.307999999999993</v>
      </c>
      <c r="Q1065" s="213"/>
      <c r="R1065" s="235"/>
    </row>
    <row r="1066" spans="1:18" x14ac:dyDescent="0.25">
      <c r="A1066" s="230">
        <v>45782</v>
      </c>
      <c r="B1066" s="128" t="s">
        <v>7</v>
      </c>
      <c r="C1066" s="157" t="str">
        <f t="shared" si="33"/>
        <v>05.05.2025_STE1</v>
      </c>
      <c r="D1066" s="190">
        <f t="shared" si="34"/>
        <v>0</v>
      </c>
      <c r="E1066" s="252">
        <v>3.7767323226414965E-6</v>
      </c>
      <c r="F1066" s="252">
        <v>4.7463765156914681E-4</v>
      </c>
      <c r="G1066" s="252">
        <v>0.10817742447417808</v>
      </c>
      <c r="H1066" s="252">
        <v>1.2612650466934149E-3</v>
      </c>
      <c r="I1066" s="252">
        <v>6.176683137900688E-6</v>
      </c>
      <c r="J1066" s="252">
        <v>8.669842562590125E-4</v>
      </c>
      <c r="K1066" s="253">
        <v>26.623665139030301</v>
      </c>
      <c r="L1066" s="253">
        <v>16.8635994119043</v>
      </c>
      <c r="M1066" s="253">
        <v>9.6840130478576292</v>
      </c>
      <c r="N1066" s="253">
        <v>0.121889785102506</v>
      </c>
      <c r="O1066" s="249">
        <v>6.9790611648836296E-5</v>
      </c>
      <c r="P1066" s="254">
        <v>116.38799999999999</v>
      </c>
      <c r="Q1066" s="213"/>
      <c r="R1066" s="235"/>
    </row>
    <row r="1067" spans="1:18" x14ac:dyDescent="0.25">
      <c r="A1067" s="230">
        <v>45782</v>
      </c>
      <c r="B1067" s="128" t="s">
        <v>9</v>
      </c>
      <c r="C1067" s="157" t="str">
        <f t="shared" si="33"/>
        <v>05.05.2025_STE2</v>
      </c>
      <c r="D1067" s="190">
        <f t="shared" si="34"/>
        <v>0</v>
      </c>
      <c r="E1067" s="252">
        <v>2.3136722419179897E-6</v>
      </c>
      <c r="F1067" s="252">
        <v>4.6131963109654424E-4</v>
      </c>
      <c r="G1067" s="252">
        <v>0.10647116543732209</v>
      </c>
      <c r="H1067" s="252">
        <v>1.1703295929874956E-3</v>
      </c>
      <c r="I1067" s="252">
        <v>1.5277599010763103E-5</v>
      </c>
      <c r="J1067" s="252">
        <v>1.1271591079745752E-3</v>
      </c>
      <c r="K1067" s="253">
        <v>25.141219005257501</v>
      </c>
      <c r="L1067" s="253">
        <v>16.3671357146481</v>
      </c>
      <c r="M1067" s="253">
        <v>11.4949986329634</v>
      </c>
      <c r="N1067" s="253">
        <v>-1.6665899443986E-4</v>
      </c>
      <c r="O1067" s="249">
        <v>7.724492267479866E-5</v>
      </c>
      <c r="P1067" s="254">
        <v>117.36399999999999</v>
      </c>
      <c r="Q1067" s="213"/>
      <c r="R1067" s="235"/>
    </row>
    <row r="1068" spans="1:18" x14ac:dyDescent="0.25">
      <c r="A1068" s="230">
        <v>45818</v>
      </c>
      <c r="B1068" s="128" t="s">
        <v>22</v>
      </c>
      <c r="C1068" s="157" t="str">
        <f t="shared" si="33"/>
        <v>10.06.2025_BIE1</v>
      </c>
      <c r="D1068" s="190">
        <f t="shared" si="34"/>
        <v>0</v>
      </c>
      <c r="E1068" s="252">
        <v>7.3153040587987887E-6</v>
      </c>
      <c r="F1068" s="252">
        <v>9.878440363822892E-4</v>
      </c>
      <c r="G1068" s="252">
        <v>9.1698713385548927E-2</v>
      </c>
      <c r="H1068" s="252">
        <v>1.1781569905281561E-3</v>
      </c>
      <c r="I1068" s="252">
        <v>1.9384575155150499E-5</v>
      </c>
      <c r="J1068" s="252">
        <v>2.3012616855446317E-3</v>
      </c>
      <c r="K1068" s="253">
        <v>15.066449062394801</v>
      </c>
      <c r="L1068" s="253">
        <v>8.3782134580642698</v>
      </c>
      <c r="M1068" s="253">
        <v>5.5842769623755002</v>
      </c>
      <c r="N1068" s="253">
        <v>2.4456909614496229</v>
      </c>
      <c r="O1068" s="249">
        <v>9.1999681983634195E-5</v>
      </c>
      <c r="P1068" s="254">
        <v>68.076000000000008</v>
      </c>
      <c r="Q1068" s="213"/>
      <c r="R1068" s="235"/>
    </row>
    <row r="1069" spans="1:18" x14ac:dyDescent="0.25">
      <c r="A1069" s="230">
        <v>45818</v>
      </c>
      <c r="B1069" s="128" t="s">
        <v>25</v>
      </c>
      <c r="C1069" s="157" t="str">
        <f t="shared" si="33"/>
        <v>10.06.2025_BIE2</v>
      </c>
      <c r="D1069" s="190">
        <f t="shared" si="34"/>
        <v>0</v>
      </c>
      <c r="E1069" s="252">
        <v>1.7658887474769084E-5</v>
      </c>
      <c r="F1069" s="252">
        <v>1.1771010178224721E-3</v>
      </c>
      <c r="G1069" s="252">
        <v>7.9662560986262981E-2</v>
      </c>
      <c r="H1069" s="252">
        <v>1.8207596048365423E-3</v>
      </c>
      <c r="I1069" s="252">
        <v>5.602056504843569E-5</v>
      </c>
      <c r="J1069" s="252">
        <v>1.1647600832139064E-2</v>
      </c>
      <c r="K1069" s="253">
        <v>11.7041970386963</v>
      </c>
      <c r="L1069" s="253">
        <v>8.0110093188345406</v>
      </c>
      <c r="M1069" s="253">
        <v>7.9769143868121297</v>
      </c>
      <c r="N1069" s="253">
        <v>2.4975972276868821</v>
      </c>
      <c r="O1069" s="249">
        <v>1.1431281922526645E-4</v>
      </c>
      <c r="P1069" s="254">
        <v>67.588000000000008</v>
      </c>
      <c r="Q1069" s="213"/>
      <c r="R1069" s="235"/>
    </row>
    <row r="1070" spans="1:18" x14ac:dyDescent="0.25">
      <c r="A1070" s="230">
        <v>45818</v>
      </c>
      <c r="B1070" s="128" t="s">
        <v>14</v>
      </c>
      <c r="C1070" s="157" t="str">
        <f t="shared" si="33"/>
        <v>10.06.2025_BRA1</v>
      </c>
      <c r="D1070" s="190">
        <f t="shared" si="34"/>
        <v>0</v>
      </c>
      <c r="E1070" s="252">
        <v>3.028189736862142E-6</v>
      </c>
      <c r="F1070" s="252">
        <v>6.7204919128726291E-4</v>
      </c>
      <c r="G1070" s="252">
        <v>7.5016378540931586E-2</v>
      </c>
      <c r="H1070" s="252">
        <v>1.1779718460129132E-3</v>
      </c>
      <c r="I1070" s="252">
        <v>6.1438287382412987E-6</v>
      </c>
      <c r="J1070" s="252">
        <v>7.2423158719605652E-4</v>
      </c>
      <c r="K1070" s="253">
        <v>11.8886913386535</v>
      </c>
      <c r="L1070" s="253">
        <v>8.0138722374888101</v>
      </c>
      <c r="M1070" s="253">
        <v>5.0861447214598403</v>
      </c>
      <c r="N1070" s="253">
        <v>0.84798520197247895</v>
      </c>
      <c r="O1070" s="249">
        <v>1.3669903623366223E-4</v>
      </c>
      <c r="P1070" s="254">
        <v>69.295999999999992</v>
      </c>
      <c r="Q1070" s="213"/>
      <c r="R1070" s="235"/>
    </row>
    <row r="1071" spans="1:18" x14ac:dyDescent="0.25">
      <c r="A1071" s="230">
        <v>45818</v>
      </c>
      <c r="B1071" s="128" t="s">
        <v>17</v>
      </c>
      <c r="C1071" s="157" t="str">
        <f t="shared" si="33"/>
        <v>10.06.2025_BRA2</v>
      </c>
      <c r="D1071" s="190">
        <f t="shared" si="34"/>
        <v>0</v>
      </c>
      <c r="E1071" s="252">
        <v>2.7559925383158994E-6</v>
      </c>
      <c r="F1071" s="252">
        <v>6.3724810444215965E-4</v>
      </c>
      <c r="G1071" s="252">
        <v>7.1183536109873061E-2</v>
      </c>
      <c r="H1071" s="252">
        <v>1.1145755095031955E-3</v>
      </c>
      <c r="I1071" s="252">
        <v>7.3266079320636222E-6</v>
      </c>
      <c r="J1071" s="252">
        <v>6.0963028648604615E-4</v>
      </c>
      <c r="K1071" s="253">
        <v>11.958339710936601</v>
      </c>
      <c r="L1071" s="253">
        <v>9.6012634130290397</v>
      </c>
      <c r="M1071" s="253">
        <v>6.0555830750596504</v>
      </c>
      <c r="N1071" s="253">
        <v>1.0492043193599525</v>
      </c>
      <c r="O1071" s="249">
        <v>8.859758660511437E-5</v>
      </c>
      <c r="P1071" s="254">
        <v>66.368000000000009</v>
      </c>
      <c r="Q1071" s="213"/>
      <c r="R1071" s="235"/>
    </row>
    <row r="1072" spans="1:18" x14ac:dyDescent="0.25">
      <c r="A1072" s="230">
        <v>45818</v>
      </c>
      <c r="B1072" s="128" t="s">
        <v>30</v>
      </c>
      <c r="C1072" s="157" t="str">
        <f t="shared" si="33"/>
        <v>10.06.2025_FAL1</v>
      </c>
      <c r="D1072" s="190">
        <f t="shared" si="34"/>
        <v>0</v>
      </c>
      <c r="E1072" s="252">
        <v>2.9601403967362066E-6</v>
      </c>
      <c r="F1072" s="252">
        <v>7.4433767463290268E-4</v>
      </c>
      <c r="G1072" s="252">
        <v>0.16314669008598331</v>
      </c>
      <c r="H1072" s="252">
        <v>1.2867290330967208E-3</v>
      </c>
      <c r="I1072" s="252">
        <v>7.4580281985422065E-6</v>
      </c>
      <c r="J1072" s="252">
        <v>1.3372755217229164E-3</v>
      </c>
      <c r="K1072" s="253">
        <v>36.766923100715303</v>
      </c>
      <c r="L1072" s="253">
        <v>21.6194547136772</v>
      </c>
      <c r="M1072" s="253">
        <v>26.612261052202602</v>
      </c>
      <c r="N1072" s="253">
        <v>4.5353035222822715</v>
      </c>
      <c r="O1072" s="249">
        <v>8.7659894649244412E-5</v>
      </c>
      <c r="P1072" s="254">
        <v>190.80799999999999</v>
      </c>
      <c r="Q1072" s="213"/>
      <c r="R1072" s="235"/>
    </row>
    <row r="1073" spans="1:18" x14ac:dyDescent="0.25">
      <c r="A1073" s="230">
        <v>45818</v>
      </c>
      <c r="B1073" s="128" t="s">
        <v>32</v>
      </c>
      <c r="C1073" s="157" t="str">
        <f t="shared" si="33"/>
        <v>10.06.2025_FAL2</v>
      </c>
      <c r="D1073" s="190">
        <f t="shared" si="34"/>
        <v>0</v>
      </c>
      <c r="E1073" s="252">
        <v>3.8788062836080037E-6</v>
      </c>
      <c r="F1073" s="252">
        <v>7.8333206067396593E-4</v>
      </c>
      <c r="G1073" s="252">
        <v>0.2345480789484076</v>
      </c>
      <c r="H1073" s="252">
        <v>2.2937523341756568E-3</v>
      </c>
      <c r="I1073" s="252">
        <v>1.7873203007326044E-5</v>
      </c>
      <c r="J1073" s="252">
        <v>2.370962814131032E-3</v>
      </c>
      <c r="K1073" s="253">
        <v>51.038647364173698</v>
      </c>
      <c r="L1073" s="253">
        <v>18.863851006884701</v>
      </c>
      <c r="M1073" s="253">
        <v>19.753489629593599</v>
      </c>
      <c r="N1073" s="253">
        <v>4.1849976058711302</v>
      </c>
      <c r="O1073" s="249">
        <v>1.918107260993462E-4</v>
      </c>
      <c r="P1073" s="254">
        <v>189.83199999999999</v>
      </c>
      <c r="Q1073" s="213"/>
      <c r="R1073" s="235"/>
    </row>
    <row r="1074" spans="1:18" x14ac:dyDescent="0.25">
      <c r="A1074" s="230">
        <v>45818</v>
      </c>
      <c r="B1074" s="128" t="s">
        <v>26</v>
      </c>
      <c r="C1074" s="157" t="str">
        <f t="shared" si="33"/>
        <v>10.06.2025_GRU1</v>
      </c>
      <c r="D1074" s="190">
        <f t="shared" si="34"/>
        <v>0</v>
      </c>
      <c r="E1074" s="252">
        <v>3.980880689164559E-6</v>
      </c>
      <c r="F1074" s="252">
        <v>7.1118372489244598E-4</v>
      </c>
      <c r="G1074" s="252">
        <v>7.2863503721688067E-2</v>
      </c>
      <c r="H1074" s="252">
        <v>1.4850296857606274E-3</v>
      </c>
      <c r="I1074" s="252">
        <v>7.063768395716649E-6</v>
      </c>
      <c r="J1074" s="252">
        <v>9.514261886367191E-4</v>
      </c>
      <c r="K1074" s="253">
        <v>11.971266513430001</v>
      </c>
      <c r="L1074" s="253">
        <v>6.7133622055977202</v>
      </c>
      <c r="M1074" s="253">
        <v>6.4476193740122802</v>
      </c>
      <c r="N1074" s="253">
        <v>1.309902315678674</v>
      </c>
      <c r="O1074" s="249">
        <v>7.8949712519881467E-5</v>
      </c>
      <c r="P1074" s="254">
        <v>54.167999999999999</v>
      </c>
      <c r="Q1074" s="213"/>
      <c r="R1074" s="235"/>
    </row>
    <row r="1075" spans="1:18" x14ac:dyDescent="0.25">
      <c r="A1075" s="230">
        <v>45818</v>
      </c>
      <c r="B1075" s="128" t="s">
        <v>28</v>
      </c>
      <c r="C1075" s="157" t="str">
        <f t="shared" si="33"/>
        <v>10.06.2025_GRU2</v>
      </c>
      <c r="D1075" s="190">
        <f t="shared" si="34"/>
        <v>0</v>
      </c>
      <c r="E1075" s="252">
        <v>3.7086831571757597E-6</v>
      </c>
      <c r="F1075" s="252">
        <v>7.4045578406102682E-4</v>
      </c>
      <c r="G1075" s="252">
        <v>7.9906459417920808E-2</v>
      </c>
      <c r="H1075" s="252">
        <v>1.2095110439973289E-3</v>
      </c>
      <c r="I1075" s="252">
        <v>8.2465497974154856E-6</v>
      </c>
      <c r="J1075" s="252">
        <v>1.0595082601529658E-3</v>
      </c>
      <c r="K1075" s="253">
        <v>13.8327601712431</v>
      </c>
      <c r="L1075" s="253">
        <v>6.2275237672581101</v>
      </c>
      <c r="M1075" s="253">
        <v>5.7589924471831999</v>
      </c>
      <c r="N1075" s="253">
        <v>1.3942499186478856</v>
      </c>
      <c r="O1075" s="249">
        <v>7.9034943564765874E-5</v>
      </c>
      <c r="P1075" s="254">
        <v>56.852000000000004</v>
      </c>
      <c r="Q1075" s="213"/>
      <c r="R1075" s="235"/>
    </row>
    <row r="1076" spans="1:18" x14ac:dyDescent="0.25">
      <c r="A1076" s="230">
        <v>45818</v>
      </c>
      <c r="B1076" s="128" t="s">
        <v>0</v>
      </c>
      <c r="C1076" s="157" t="str">
        <f t="shared" si="33"/>
        <v>10.06.2025_KIN1</v>
      </c>
      <c r="D1076" s="190">
        <f t="shared" si="34"/>
        <v>0</v>
      </c>
      <c r="E1076" s="252">
        <v>2.4837955207809251E-6</v>
      </c>
      <c r="F1076" s="252">
        <v>5.4954618264823924E-4</v>
      </c>
      <c r="G1076" s="252">
        <v>0.13550831888411993</v>
      </c>
      <c r="H1076" s="252">
        <v>1.0584101678892499E-3</v>
      </c>
      <c r="I1076" s="252">
        <v>9.199349634905881E-6</v>
      </c>
      <c r="J1076" s="252">
        <v>8.5640947116523696E-4</v>
      </c>
      <c r="K1076" s="253">
        <v>26.6492101485638</v>
      </c>
      <c r="L1076" s="253">
        <v>13.7305794214997</v>
      </c>
      <c r="M1076" s="253">
        <v>7.4233261146120402</v>
      </c>
      <c r="N1076" s="253">
        <v>1.463349022517253</v>
      </c>
      <c r="O1076" s="249">
        <v>7.2130707046591552E-5</v>
      </c>
      <c r="P1076" s="254">
        <v>145.91200000000001</v>
      </c>
      <c r="Q1076" s="213"/>
      <c r="R1076" s="235"/>
    </row>
    <row r="1077" spans="1:18" x14ac:dyDescent="0.25">
      <c r="A1077" s="230">
        <v>45818</v>
      </c>
      <c r="B1077" s="128" t="s">
        <v>2</v>
      </c>
      <c r="C1077" s="157" t="str">
        <f t="shared" si="33"/>
        <v>10.06.2025_KIN2</v>
      </c>
      <c r="D1077" s="190">
        <f t="shared" si="34"/>
        <v>0</v>
      </c>
      <c r="E1077" s="252">
        <v>2.449770779266182E-6</v>
      </c>
      <c r="F1077" s="252">
        <v>4.3031626475050871E-4</v>
      </c>
      <c r="G1077" s="252">
        <v>0.13295226241437674</v>
      </c>
      <c r="H1077" s="252">
        <v>9.0627659965702219E-4</v>
      </c>
      <c r="I1077" s="252">
        <v>2.1421650586323652E-5</v>
      </c>
      <c r="J1077" s="252">
        <v>1.5489617863410818E-3</v>
      </c>
      <c r="K1077" s="253">
        <v>26.232026716705999</v>
      </c>
      <c r="L1077" s="253">
        <v>17.375470899642501</v>
      </c>
      <c r="M1077" s="253">
        <v>6.9200415585444901</v>
      </c>
      <c r="N1077" s="253">
        <v>2.0047488863849519</v>
      </c>
      <c r="O1077" s="249">
        <v>5.9531845642955972E-5</v>
      </c>
      <c r="P1077" s="254">
        <v>163.48000000000002</v>
      </c>
      <c r="Q1077" s="213"/>
      <c r="R1077" s="235"/>
    </row>
    <row r="1078" spans="1:18" x14ac:dyDescent="0.25">
      <c r="A1078" s="230">
        <v>45818</v>
      </c>
      <c r="B1078" s="128" t="s">
        <v>4</v>
      </c>
      <c r="C1078" s="157" t="str">
        <f t="shared" si="33"/>
        <v>10.06.2025_KIN3</v>
      </c>
      <c r="D1078" s="190">
        <f t="shared" si="34"/>
        <v>0</v>
      </c>
      <c r="E1078" s="252">
        <v>2.483795549361687E-6</v>
      </c>
      <c r="F1078" s="252">
        <v>4.432898445253671E-4</v>
      </c>
      <c r="G1078" s="252">
        <v>0.13238724930944504</v>
      </c>
      <c r="H1078" s="252">
        <v>1.1062422003360027E-3</v>
      </c>
      <c r="I1078" s="252">
        <v>7.3266084227032937E-6</v>
      </c>
      <c r="J1078" s="252">
        <v>1.0546872310339525E-3</v>
      </c>
      <c r="K1078" s="253">
        <v>26.924638690077199</v>
      </c>
      <c r="L1078" s="253">
        <v>17.645822354601801</v>
      </c>
      <c r="M1078" s="253">
        <v>7.0988420009470996</v>
      </c>
      <c r="N1078" s="253">
        <v>1.7089496668458006</v>
      </c>
      <c r="O1078" s="249">
        <v>6.5009814957198947E-5</v>
      </c>
      <c r="P1078" s="254">
        <v>159.08799999999999</v>
      </c>
      <c r="Q1078" s="213"/>
      <c r="R1078" s="235"/>
    </row>
    <row r="1079" spans="1:18" x14ac:dyDescent="0.25">
      <c r="A1079" s="230">
        <v>45818</v>
      </c>
      <c r="B1079" s="128" t="s">
        <v>6</v>
      </c>
      <c r="C1079" s="157" t="str">
        <f t="shared" si="33"/>
        <v>10.06.2025_KIN4</v>
      </c>
      <c r="D1079" s="190">
        <f t="shared" si="34"/>
        <v>0</v>
      </c>
      <c r="E1079" s="252">
        <v>3.2323377127811164E-6</v>
      </c>
      <c r="F1079" s="252">
        <v>6.005107863902054E-4</v>
      </c>
      <c r="G1079" s="252">
        <v>0.13221871356612422</v>
      </c>
      <c r="H1079" s="252">
        <v>1.2201932763519485E-3</v>
      </c>
      <c r="I1079" s="252">
        <v>1.2616305388691444E-5</v>
      </c>
      <c r="J1079" s="252">
        <v>1.4441274425640292E-3</v>
      </c>
      <c r="K1079" s="253">
        <v>26.793819786435201</v>
      </c>
      <c r="L1079" s="253">
        <v>17.723993074154102</v>
      </c>
      <c r="M1079" s="253">
        <v>11.584345732443801</v>
      </c>
      <c r="N1079" s="253">
        <v>1.9140072762560294</v>
      </c>
      <c r="O1079" s="249">
        <v>8.4064164014286487E-5</v>
      </c>
      <c r="P1079" s="254">
        <v>150.06</v>
      </c>
      <c r="Q1079" s="213"/>
      <c r="R1079" s="235"/>
    </row>
    <row r="1080" spans="1:18" x14ac:dyDescent="0.25">
      <c r="A1080" s="230">
        <v>45818</v>
      </c>
      <c r="B1080" s="247" t="s">
        <v>421</v>
      </c>
      <c r="C1080" s="157" t="str">
        <f t="shared" si="33"/>
        <v>10.06.2025_KLI</v>
      </c>
      <c r="D1080" s="190">
        <f t="shared" si="34"/>
        <v>12</v>
      </c>
      <c r="E1080" s="252"/>
      <c r="F1080" s="252"/>
      <c r="G1080" s="252"/>
      <c r="H1080" s="252"/>
      <c r="I1080" s="252"/>
      <c r="J1080" s="252"/>
      <c r="K1080" s="253"/>
      <c r="L1080" s="253"/>
      <c r="M1080" s="253"/>
      <c r="N1080" s="253"/>
      <c r="O1080" s="249"/>
      <c r="P1080" s="254"/>
      <c r="Q1080" s="213"/>
      <c r="R1080" s="226" t="s">
        <v>447</v>
      </c>
    </row>
    <row r="1081" spans="1:18" x14ac:dyDescent="0.25">
      <c r="A1081" s="230">
        <v>45818</v>
      </c>
      <c r="B1081" s="128" t="s">
        <v>34</v>
      </c>
      <c r="C1081" s="157" t="str">
        <f t="shared" si="33"/>
        <v>10.06.2025_KRE1</v>
      </c>
      <c r="D1081" s="190">
        <f t="shared" si="34"/>
        <v>0</v>
      </c>
      <c r="E1081" s="252">
        <v>2.7900172480743456E-6</v>
      </c>
      <c r="F1081" s="252">
        <v>1.2893877184949271E-3</v>
      </c>
      <c r="G1081" s="252">
        <v>0.16371556238352583</v>
      </c>
      <c r="H1081" s="252">
        <v>1.4544942879897492E-3</v>
      </c>
      <c r="I1081" s="252">
        <v>1.2747722504277127E-5</v>
      </c>
      <c r="J1081" s="252">
        <v>1.7474407419950154E-3</v>
      </c>
      <c r="K1081" s="253">
        <v>36.182332347520202</v>
      </c>
      <c r="L1081" s="253">
        <v>18.126852198146601</v>
      </c>
      <c r="M1081" s="253">
        <v>20.161570752575599</v>
      </c>
      <c r="N1081" s="253">
        <v>3.3930723096801185</v>
      </c>
      <c r="O1081" s="249">
        <v>1.2604035224154337E-4</v>
      </c>
      <c r="P1081" s="254">
        <v>186.904</v>
      </c>
      <c r="Q1081" s="213"/>
      <c r="R1081" s="235"/>
    </row>
    <row r="1082" spans="1:18" x14ac:dyDescent="0.25">
      <c r="A1082" s="230">
        <v>45818</v>
      </c>
      <c r="B1082" s="128" t="s">
        <v>37</v>
      </c>
      <c r="C1082" s="157" t="str">
        <f t="shared" si="33"/>
        <v>10.06.2025_KRE2</v>
      </c>
      <c r="D1082" s="190">
        <f t="shared" si="34"/>
        <v>0</v>
      </c>
      <c r="E1082" s="252">
        <v>2.858066429418399E-6</v>
      </c>
      <c r="F1082" s="252">
        <v>6.9427232728208599E-4</v>
      </c>
      <c r="G1082" s="252">
        <v>0.19238733820073681</v>
      </c>
      <c r="H1082" s="252">
        <v>1.7689269210872324E-3</v>
      </c>
      <c r="I1082" s="252">
        <v>9.6264670955462649E-6</v>
      </c>
      <c r="J1082" s="252">
        <v>1.5950024556544524E-3</v>
      </c>
      <c r="K1082" s="253">
        <v>44.327917053045503</v>
      </c>
      <c r="L1082" s="253">
        <v>19.0561532958125</v>
      </c>
      <c r="M1082" s="253">
        <v>21.3866311174164</v>
      </c>
      <c r="N1082" s="253">
        <v>3.5596839674686747</v>
      </c>
      <c r="O1082" s="249">
        <v>1.6432213981249305E-4</v>
      </c>
      <c r="P1082" s="254">
        <v>194.71200000000002</v>
      </c>
      <c r="Q1082" s="213"/>
      <c r="R1082" s="235"/>
    </row>
    <row r="1083" spans="1:18" x14ac:dyDescent="0.25">
      <c r="A1083" s="230">
        <v>45818</v>
      </c>
      <c r="B1083" s="128" t="s">
        <v>18</v>
      </c>
      <c r="C1083" s="157" t="str">
        <f t="shared" si="33"/>
        <v>10.06.2025_ORB1</v>
      </c>
      <c r="D1083" s="190">
        <f t="shared" si="34"/>
        <v>0</v>
      </c>
      <c r="E1083" s="252">
        <v>4.3211272119583286E-6</v>
      </c>
      <c r="F1083" s="252">
        <v>4.721917677695875E-4</v>
      </c>
      <c r="G1083" s="252">
        <v>6.6339795332907389E-2</v>
      </c>
      <c r="H1083" s="252">
        <v>6.8923823027417386E-4</v>
      </c>
      <c r="I1083" s="252">
        <v>7.4908826595288497E-6</v>
      </c>
      <c r="J1083" s="252">
        <v>1.5702710289800762E-3</v>
      </c>
      <c r="K1083" s="253">
        <v>10.5762577568983</v>
      </c>
      <c r="L1083" s="253">
        <v>2.2222915061338702</v>
      </c>
      <c r="M1083" s="253">
        <v>4.8061516114321199</v>
      </c>
      <c r="N1083" s="253">
        <v>2.0151123726093427</v>
      </c>
      <c r="O1083" s="249">
        <v>3.2237984447935026E-5</v>
      </c>
      <c r="P1083" s="254">
        <v>29.035999999999998</v>
      </c>
      <c r="Q1083" s="213"/>
      <c r="R1083" s="235"/>
    </row>
    <row r="1084" spans="1:18" x14ac:dyDescent="0.25">
      <c r="A1084" s="230">
        <v>45818</v>
      </c>
      <c r="B1084" s="128" t="s">
        <v>21</v>
      </c>
      <c r="C1084" s="157" t="str">
        <f t="shared" si="33"/>
        <v>10.06.2025_ORB2</v>
      </c>
      <c r="D1084" s="190">
        <f t="shared" si="34"/>
        <v>0</v>
      </c>
      <c r="E1084" s="252">
        <v>4.4572259303179644E-6</v>
      </c>
      <c r="F1084" s="252">
        <v>5.6507618923634542E-4</v>
      </c>
      <c r="G1084" s="252">
        <v>7.5032438719227046E-2</v>
      </c>
      <c r="H1084" s="252">
        <v>8.6048053390788064E-4</v>
      </c>
      <c r="I1084" s="252">
        <v>6.3409615988159491E-6</v>
      </c>
      <c r="J1084" s="252">
        <v>1.4983977384450477E-2</v>
      </c>
      <c r="K1084" s="253">
        <v>12.531342578739901</v>
      </c>
      <c r="L1084" s="253">
        <v>3.0272907868766699</v>
      </c>
      <c r="M1084" s="253">
        <v>11.948932333689701</v>
      </c>
      <c r="N1084" s="253">
        <v>2.6021845210507819</v>
      </c>
      <c r="O1084" s="249">
        <v>4.5500797854810527E-5</v>
      </c>
      <c r="P1084" s="254">
        <v>31.964000000000002</v>
      </c>
      <c r="Q1084" s="213"/>
      <c r="R1084" s="235"/>
    </row>
    <row r="1085" spans="1:18" x14ac:dyDescent="0.25">
      <c r="A1085" s="230">
        <v>45818</v>
      </c>
      <c r="B1085" s="128" t="s">
        <v>10</v>
      </c>
      <c r="C1085" s="157" t="str">
        <f t="shared" si="33"/>
        <v>10.06.2025_SAL1</v>
      </c>
      <c r="D1085" s="190">
        <f t="shared" si="34"/>
        <v>0</v>
      </c>
      <c r="E1085" s="252">
        <v>3.5045349970696603E-6</v>
      </c>
      <c r="F1085" s="252">
        <v>5.589894280031367E-4</v>
      </c>
      <c r="G1085" s="252">
        <v>8.1780869976835688E-2</v>
      </c>
      <c r="H1085" s="252">
        <v>1.3051015266101356E-3</v>
      </c>
      <c r="I1085" s="252">
        <v>5.2896012762157648E-6</v>
      </c>
      <c r="J1085" s="252">
        <v>7.274970398266124E-4</v>
      </c>
      <c r="K1085" s="253">
        <v>12.6606195015714</v>
      </c>
      <c r="L1085" s="253">
        <v>9.2398283323519994</v>
      </c>
      <c r="M1085" s="253">
        <v>5.8289948099608901</v>
      </c>
      <c r="N1085" s="253">
        <v>1.1797363872899029</v>
      </c>
      <c r="O1085" s="249">
        <v>9.1178201699589837E-5</v>
      </c>
      <c r="P1085" s="254">
        <v>81.25200000000001</v>
      </c>
      <c r="Q1085" s="213"/>
      <c r="R1085" s="235"/>
    </row>
    <row r="1086" spans="1:18" x14ac:dyDescent="0.25">
      <c r="A1086" s="230">
        <v>45818</v>
      </c>
      <c r="B1086" s="128" t="s">
        <v>12</v>
      </c>
      <c r="C1086" s="157" t="str">
        <f t="shared" si="33"/>
        <v>10.06.2025_SAL2</v>
      </c>
      <c r="D1086" s="190">
        <f t="shared" si="34"/>
        <v>0</v>
      </c>
      <c r="E1086" s="252">
        <v>2.6879432267707022E-6</v>
      </c>
      <c r="F1086" s="252">
        <v>5.3837276931429647E-4</v>
      </c>
      <c r="G1086" s="252">
        <v>8.0448371422134637E-2</v>
      </c>
      <c r="H1086" s="252">
        <v>1.2489707538816753E-3</v>
      </c>
      <c r="I1086" s="252">
        <v>5.7167143211041931E-6</v>
      </c>
      <c r="J1086" s="252">
        <v>7.6777201979777302E-4</v>
      </c>
      <c r="K1086" s="253">
        <v>11.6341177591926</v>
      </c>
      <c r="L1086" s="253">
        <v>8.9628765338464795</v>
      </c>
      <c r="M1086" s="253">
        <v>5.6851931954156596</v>
      </c>
      <c r="N1086" s="253">
        <v>1.2105526195667866</v>
      </c>
      <c r="O1086" s="249">
        <v>8.3265988967424131E-5</v>
      </c>
      <c r="P1086" s="254">
        <v>79.3</v>
      </c>
      <c r="Q1086" s="213"/>
      <c r="R1086" s="235"/>
    </row>
    <row r="1087" spans="1:18" x14ac:dyDescent="0.25">
      <c r="A1087" s="230">
        <v>45818</v>
      </c>
      <c r="B1087" s="128" t="s">
        <v>7</v>
      </c>
      <c r="C1087" s="157" t="str">
        <f t="shared" si="33"/>
        <v>10.06.2025_STE1</v>
      </c>
      <c r="D1087" s="190">
        <f t="shared" si="34"/>
        <v>0</v>
      </c>
      <c r="E1087" s="252">
        <v>3.3344116102348464E-6</v>
      </c>
      <c r="F1087" s="252">
        <v>1.0188927514258044E-3</v>
      </c>
      <c r="G1087" s="252">
        <v>9.563100559339642E-2</v>
      </c>
      <c r="H1087" s="252">
        <v>1.2411891014676988E-3</v>
      </c>
      <c r="I1087" s="252">
        <v>4.7639243960511271E-6</v>
      </c>
      <c r="J1087" s="252">
        <v>9.8843785482571412E-4</v>
      </c>
      <c r="K1087" s="253">
        <v>15.464118950257699</v>
      </c>
      <c r="L1087" s="253">
        <v>9.5339223796938306</v>
      </c>
      <c r="M1087" s="253">
        <v>6.7112620636157798</v>
      </c>
      <c r="N1087" s="253">
        <v>1.2657194521891024</v>
      </c>
      <c r="O1087" s="249">
        <v>6.7504799573822946E-5</v>
      </c>
      <c r="P1087" s="254">
        <v>100.28399999999999</v>
      </c>
      <c r="Q1087" s="213"/>
      <c r="R1087" s="235"/>
    </row>
    <row r="1088" spans="1:18" x14ac:dyDescent="0.25">
      <c r="A1088" s="230">
        <v>45818</v>
      </c>
      <c r="B1088" s="128" t="s">
        <v>9</v>
      </c>
      <c r="C1088" s="157" t="str">
        <f t="shared" si="33"/>
        <v>10.06.2025_STE2</v>
      </c>
      <c r="D1088" s="190">
        <f t="shared" si="34"/>
        <v>0</v>
      </c>
      <c r="E1088" s="252">
        <v>2.4837955557129094E-6</v>
      </c>
      <c r="F1088" s="252">
        <v>1.0622282774929977E-3</v>
      </c>
      <c r="G1088" s="252">
        <v>9.8289232180113137E-2</v>
      </c>
      <c r="H1088" s="252">
        <v>1.2549569450040752E-3</v>
      </c>
      <c r="I1088" s="252">
        <v>4.0082629771624085E-6</v>
      </c>
      <c r="J1088" s="252">
        <v>9.8781570983195012E-4</v>
      </c>
      <c r="K1088" s="253">
        <v>14.914021379365201</v>
      </c>
      <c r="L1088" s="253">
        <v>9.2940411223791699</v>
      </c>
      <c r="M1088" s="253">
        <v>6.9777013425401204</v>
      </c>
      <c r="N1088" s="253">
        <v>1.3924926772552964</v>
      </c>
      <c r="O1088" s="249">
        <v>7.2053205229394984E-5</v>
      </c>
      <c r="P1088" s="254">
        <v>103.212</v>
      </c>
      <c r="Q1088" s="213"/>
      <c r="R1088" s="235"/>
    </row>
  </sheetData>
  <autoFilter ref="A3:R1088" xr:uid="{00000000-0009-0000-0000-000003000000}"/>
  <mergeCells count="2">
    <mergeCell ref="T1:T3"/>
    <mergeCell ref="U1:U3"/>
  </mergeCells>
  <pageMargins left="0.7" right="0.7" top="0.78740157499999996" bottom="0.78740157499999996" header="0.3" footer="0.3"/>
  <pageSetup paperSize="9" orientation="portrait" horizontalDpi="4294967293" vertic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1:X352"/>
  <sheetViews>
    <sheetView showGridLines="0" tabSelected="1" workbookViewId="0"/>
  </sheetViews>
  <sheetFormatPr baseColWidth="10" defaultRowHeight="15" x14ac:dyDescent="0.25"/>
  <cols>
    <col min="1" max="1" width="1.7109375" style="91" customWidth="1"/>
    <col min="2" max="7" width="12.7109375" style="91" customWidth="1"/>
    <col min="8" max="8" width="5.7109375" style="91" customWidth="1"/>
    <col min="9" max="14" width="12.7109375" style="91" customWidth="1"/>
    <col min="15" max="15" width="5.7109375" style="91" customWidth="1"/>
    <col min="16" max="21" width="12.7109375" style="91" customWidth="1"/>
    <col min="22" max="22" width="5.7109375" style="91" customWidth="1"/>
    <col min="23" max="16384" width="11.42578125" style="91"/>
  </cols>
  <sheetData>
    <row r="1" spans="2:23" ht="5.0999999999999996" customHeight="1" x14ac:dyDescent="0.25"/>
    <row r="2" spans="2:23" x14ac:dyDescent="0.25">
      <c r="B2" s="275" t="s">
        <v>181</v>
      </c>
      <c r="C2" s="276"/>
      <c r="D2" s="276"/>
      <c r="E2" s="276"/>
      <c r="F2" s="276"/>
      <c r="G2" s="277"/>
      <c r="I2" s="275" t="s">
        <v>182</v>
      </c>
      <c r="J2" s="276"/>
      <c r="K2" s="276"/>
      <c r="L2" s="276"/>
      <c r="M2" s="276"/>
      <c r="N2" s="277"/>
      <c r="P2" s="275" t="s">
        <v>175</v>
      </c>
      <c r="Q2" s="276"/>
      <c r="R2" s="276"/>
      <c r="S2" s="276"/>
      <c r="T2" s="276"/>
      <c r="U2" s="277"/>
    </row>
    <row r="3" spans="2:23" ht="17.25" x14ac:dyDescent="0.25">
      <c r="B3" s="92" t="s">
        <v>131</v>
      </c>
      <c r="C3" s="92" t="s">
        <v>134</v>
      </c>
      <c r="D3" s="92" t="s">
        <v>176</v>
      </c>
      <c r="E3" s="92" t="s">
        <v>178</v>
      </c>
      <c r="F3" s="244" t="s">
        <v>444</v>
      </c>
      <c r="G3" s="244" t="s">
        <v>445</v>
      </c>
      <c r="I3" s="92" t="s">
        <v>131</v>
      </c>
      <c r="J3" s="92" t="s">
        <v>134</v>
      </c>
      <c r="K3" s="92" t="s">
        <v>176</v>
      </c>
      <c r="L3" s="92" t="s">
        <v>178</v>
      </c>
      <c r="M3" s="244" t="s">
        <v>444</v>
      </c>
      <c r="N3" s="244" t="s">
        <v>445</v>
      </c>
      <c r="P3" s="92" t="s">
        <v>131</v>
      </c>
      <c r="Q3" s="92" t="s">
        <v>134</v>
      </c>
      <c r="R3" s="92" t="s">
        <v>176</v>
      </c>
      <c r="S3" s="92" t="s">
        <v>178</v>
      </c>
      <c r="T3" s="244" t="s">
        <v>444</v>
      </c>
      <c r="U3" s="244" t="s">
        <v>445</v>
      </c>
    </row>
    <row r="4" spans="2:23" x14ac:dyDescent="0.25">
      <c r="B4" s="132" t="s">
        <v>203</v>
      </c>
      <c r="C4" s="93">
        <v>44566</v>
      </c>
      <c r="D4" s="127">
        <v>44936</v>
      </c>
      <c r="E4" s="127">
        <v>45302</v>
      </c>
      <c r="F4" s="126">
        <v>45670</v>
      </c>
      <c r="G4" s="126"/>
      <c r="I4" s="132" t="s">
        <v>203</v>
      </c>
      <c r="J4" s="94">
        <v>44565</v>
      </c>
      <c r="K4" s="127">
        <v>44937</v>
      </c>
      <c r="L4" s="239">
        <v>45303</v>
      </c>
      <c r="M4" s="237">
        <v>45670</v>
      </c>
      <c r="N4" s="94"/>
      <c r="P4" s="132" t="s">
        <v>203</v>
      </c>
      <c r="Q4" s="94">
        <v>44565</v>
      </c>
      <c r="R4" s="126">
        <v>44937</v>
      </c>
      <c r="S4" s="126">
        <v>45303</v>
      </c>
      <c r="T4" s="237">
        <v>45670</v>
      </c>
      <c r="U4" s="94"/>
      <c r="W4" s="257"/>
    </row>
    <row r="5" spans="2:23" x14ac:dyDescent="0.25">
      <c r="B5" s="132" t="s">
        <v>203</v>
      </c>
      <c r="C5" s="94">
        <v>44579</v>
      </c>
      <c r="D5" s="127">
        <v>44950</v>
      </c>
      <c r="E5" s="126">
        <v>45317</v>
      </c>
      <c r="F5" s="126">
        <v>45685</v>
      </c>
      <c r="G5" s="126"/>
      <c r="I5" s="132" t="s">
        <v>203</v>
      </c>
      <c r="J5" s="94">
        <v>44579</v>
      </c>
      <c r="K5" s="126">
        <v>44951</v>
      </c>
      <c r="L5" s="239">
        <v>45317</v>
      </c>
      <c r="M5" s="237">
        <v>45684</v>
      </c>
      <c r="N5" s="94"/>
      <c r="P5" s="132" t="s">
        <v>203</v>
      </c>
      <c r="Q5" s="94">
        <v>44593</v>
      </c>
      <c r="R5" s="126">
        <v>44965</v>
      </c>
      <c r="S5" s="126">
        <v>45332</v>
      </c>
      <c r="T5" s="237">
        <v>45698</v>
      </c>
      <c r="U5" s="94"/>
      <c r="W5" s="257"/>
    </row>
    <row r="6" spans="2:23" x14ac:dyDescent="0.25">
      <c r="B6" s="132" t="s">
        <v>203</v>
      </c>
      <c r="C6" s="94">
        <v>44593</v>
      </c>
      <c r="D6" s="126">
        <v>44964</v>
      </c>
      <c r="E6" s="126">
        <v>45331</v>
      </c>
      <c r="F6" s="126">
        <v>45698</v>
      </c>
      <c r="G6" s="126"/>
      <c r="I6" s="132" t="s">
        <v>203</v>
      </c>
      <c r="J6" s="94">
        <v>44593</v>
      </c>
      <c r="K6" s="238">
        <v>44965</v>
      </c>
      <c r="L6" s="239">
        <v>45332</v>
      </c>
      <c r="M6" s="237">
        <v>45698</v>
      </c>
      <c r="N6" s="94"/>
      <c r="P6" s="94">
        <v>44284</v>
      </c>
      <c r="Q6" s="94">
        <v>44621</v>
      </c>
      <c r="R6" s="126">
        <v>44993</v>
      </c>
      <c r="S6" s="126">
        <v>45359</v>
      </c>
      <c r="T6" s="237">
        <v>45726</v>
      </c>
      <c r="U6" s="94"/>
      <c r="W6" s="257"/>
    </row>
    <row r="7" spans="2:23" x14ac:dyDescent="0.25">
      <c r="B7" s="132" t="s">
        <v>203</v>
      </c>
      <c r="C7" s="94">
        <v>44607</v>
      </c>
      <c r="D7" s="126">
        <v>44979</v>
      </c>
      <c r="E7" s="126">
        <v>45344</v>
      </c>
      <c r="F7" s="132" t="s">
        <v>203</v>
      </c>
      <c r="G7" s="129"/>
      <c r="I7" s="132" t="s">
        <v>203</v>
      </c>
      <c r="J7" s="94">
        <v>44607</v>
      </c>
      <c r="K7" s="238">
        <v>44979</v>
      </c>
      <c r="L7" s="239">
        <v>45345</v>
      </c>
      <c r="M7" s="132" t="s">
        <v>203</v>
      </c>
      <c r="N7" s="94"/>
      <c r="P7" s="94">
        <v>44300</v>
      </c>
      <c r="Q7" s="94">
        <v>44655</v>
      </c>
      <c r="R7" s="126">
        <v>45030</v>
      </c>
      <c r="S7" s="126">
        <v>45387</v>
      </c>
      <c r="T7" s="237">
        <v>45761</v>
      </c>
      <c r="U7" s="94"/>
      <c r="W7" s="257"/>
    </row>
    <row r="8" spans="2:23" x14ac:dyDescent="0.25">
      <c r="B8" s="132" t="s">
        <v>203</v>
      </c>
      <c r="C8" s="94">
        <v>44621</v>
      </c>
      <c r="D8" s="126">
        <v>44993</v>
      </c>
      <c r="E8" s="126">
        <v>45358</v>
      </c>
      <c r="F8" s="237">
        <v>45726</v>
      </c>
      <c r="G8" s="129"/>
      <c r="I8" s="132" t="s">
        <v>203</v>
      </c>
      <c r="J8" s="94">
        <v>44621</v>
      </c>
      <c r="K8" s="238">
        <v>44993</v>
      </c>
      <c r="L8" s="239">
        <v>45359</v>
      </c>
      <c r="M8" s="237">
        <v>45726</v>
      </c>
      <c r="N8" s="94"/>
      <c r="P8" s="94">
        <v>44328</v>
      </c>
      <c r="Q8" s="126">
        <v>44685</v>
      </c>
      <c r="R8" s="126">
        <v>45058</v>
      </c>
      <c r="S8" s="126">
        <v>45425</v>
      </c>
      <c r="T8" s="237">
        <v>45782</v>
      </c>
      <c r="U8" s="94"/>
      <c r="W8" s="257"/>
    </row>
    <row r="9" spans="2:23" x14ac:dyDescent="0.25">
      <c r="B9" s="132" t="s">
        <v>203</v>
      </c>
      <c r="C9" s="94">
        <v>44642</v>
      </c>
      <c r="D9" s="126">
        <v>45008</v>
      </c>
      <c r="E9" s="132" t="s">
        <v>203</v>
      </c>
      <c r="F9" s="132" t="s">
        <v>203</v>
      </c>
      <c r="G9" s="129"/>
      <c r="I9" s="132" t="s">
        <v>203</v>
      </c>
      <c r="J9" s="94">
        <v>44641</v>
      </c>
      <c r="K9" s="238">
        <v>45007</v>
      </c>
      <c r="L9" s="239">
        <v>45371</v>
      </c>
      <c r="M9" s="237">
        <v>45740</v>
      </c>
      <c r="N9" s="94"/>
      <c r="P9" s="94">
        <v>44356</v>
      </c>
      <c r="Q9" s="126">
        <v>44713</v>
      </c>
      <c r="R9" s="126">
        <v>45086</v>
      </c>
      <c r="S9" s="126">
        <v>45453</v>
      </c>
      <c r="T9" s="237">
        <v>45818</v>
      </c>
      <c r="U9" s="94"/>
      <c r="W9" s="257"/>
    </row>
    <row r="10" spans="2:23" x14ac:dyDescent="0.25">
      <c r="B10" s="132" t="s">
        <v>203</v>
      </c>
      <c r="C10" s="131">
        <v>44656</v>
      </c>
      <c r="D10" s="132" t="s">
        <v>203</v>
      </c>
      <c r="E10" s="126">
        <v>45387</v>
      </c>
      <c r="F10" s="237">
        <v>45761</v>
      </c>
      <c r="G10" s="129"/>
      <c r="I10" s="94">
        <v>44284</v>
      </c>
      <c r="J10" s="94">
        <v>44655</v>
      </c>
      <c r="K10" s="238">
        <v>45030</v>
      </c>
      <c r="L10" s="239">
        <v>45387</v>
      </c>
      <c r="M10" s="132" t="s">
        <v>203</v>
      </c>
      <c r="N10" s="94"/>
      <c r="P10" s="94">
        <v>44384</v>
      </c>
      <c r="Q10" s="126">
        <v>44727</v>
      </c>
      <c r="R10" s="126">
        <v>45114</v>
      </c>
      <c r="S10" s="126">
        <v>45481</v>
      </c>
      <c r="T10" s="126"/>
      <c r="U10" s="94"/>
      <c r="W10" s="257"/>
    </row>
    <row r="11" spans="2:23" x14ac:dyDescent="0.25">
      <c r="B11" s="94">
        <v>44300</v>
      </c>
      <c r="C11" s="131">
        <v>44670</v>
      </c>
      <c r="D11" s="126">
        <v>45040</v>
      </c>
      <c r="E11" s="126">
        <v>45401</v>
      </c>
      <c r="F11" s="132" t="s">
        <v>203</v>
      </c>
      <c r="G11" s="129"/>
      <c r="I11" s="94">
        <v>44300</v>
      </c>
      <c r="J11" s="94">
        <v>44669</v>
      </c>
      <c r="K11" s="238">
        <v>45044</v>
      </c>
      <c r="L11" s="239">
        <v>45401</v>
      </c>
      <c r="M11" s="237">
        <v>45761</v>
      </c>
      <c r="N11" s="94"/>
      <c r="P11" s="94">
        <v>44412</v>
      </c>
      <c r="Q11" s="126">
        <v>44755</v>
      </c>
      <c r="R11" s="126">
        <v>45142</v>
      </c>
      <c r="S11" s="238">
        <v>45509</v>
      </c>
      <c r="T11" s="126"/>
      <c r="U11" s="94"/>
      <c r="W11" s="257"/>
    </row>
    <row r="12" spans="2:23" x14ac:dyDescent="0.25">
      <c r="B12" s="94">
        <v>44313</v>
      </c>
      <c r="C12" s="131">
        <v>44684</v>
      </c>
      <c r="D12" s="132" t="s">
        <v>203</v>
      </c>
      <c r="E12" s="126">
        <v>45414</v>
      </c>
      <c r="F12" s="237">
        <v>45782</v>
      </c>
      <c r="G12" s="129"/>
      <c r="I12" s="94">
        <v>44314</v>
      </c>
      <c r="J12" s="126">
        <v>44685</v>
      </c>
      <c r="K12" s="238">
        <v>45058</v>
      </c>
      <c r="L12" s="239">
        <v>45411</v>
      </c>
      <c r="M12" s="132" t="s">
        <v>203</v>
      </c>
      <c r="N12" s="94"/>
      <c r="P12" s="94">
        <v>44454</v>
      </c>
      <c r="Q12" s="126">
        <v>44783</v>
      </c>
      <c r="R12" s="126">
        <v>45180</v>
      </c>
      <c r="S12" s="240">
        <v>45537</v>
      </c>
      <c r="T12" s="126"/>
      <c r="U12" s="94"/>
      <c r="W12" s="257"/>
    </row>
    <row r="13" spans="2:23" x14ac:dyDescent="0.25">
      <c r="B13" s="94">
        <v>44327</v>
      </c>
      <c r="C13" s="131">
        <v>44698</v>
      </c>
      <c r="D13" s="126">
        <v>45058</v>
      </c>
      <c r="E13" s="126">
        <v>45429</v>
      </c>
      <c r="F13" s="132" t="s">
        <v>203</v>
      </c>
      <c r="G13" s="129"/>
      <c r="I13" s="94">
        <v>44328</v>
      </c>
      <c r="J13" s="126">
        <v>44699</v>
      </c>
      <c r="K13" s="238">
        <v>45069</v>
      </c>
      <c r="L13" s="239">
        <v>45425</v>
      </c>
      <c r="M13" s="237">
        <v>45782</v>
      </c>
      <c r="N13" s="94"/>
      <c r="P13" s="94">
        <v>44482</v>
      </c>
      <c r="Q13" s="126">
        <v>44811</v>
      </c>
      <c r="R13" s="126">
        <v>45208</v>
      </c>
      <c r="S13" s="240">
        <v>45579</v>
      </c>
      <c r="T13" s="126"/>
      <c r="U13" s="94"/>
      <c r="W13" s="257"/>
    </row>
    <row r="14" spans="2:23" x14ac:dyDescent="0.25">
      <c r="B14" s="94">
        <v>44341</v>
      </c>
      <c r="C14" s="131">
        <v>44712</v>
      </c>
      <c r="D14" s="126">
        <v>45071</v>
      </c>
      <c r="E14" s="126">
        <v>45440</v>
      </c>
      <c r="F14" s="237">
        <v>45803</v>
      </c>
      <c r="G14" s="129"/>
      <c r="I14" s="94">
        <v>44342</v>
      </c>
      <c r="J14" s="126">
        <v>44712</v>
      </c>
      <c r="K14" s="238">
        <v>45086</v>
      </c>
      <c r="L14" s="239">
        <v>45439</v>
      </c>
      <c r="M14" s="237">
        <v>45803</v>
      </c>
      <c r="N14" s="94"/>
      <c r="P14" s="94">
        <v>44510</v>
      </c>
      <c r="Q14" s="126">
        <v>44841</v>
      </c>
      <c r="R14" s="126">
        <v>45236</v>
      </c>
      <c r="S14" s="240">
        <v>45607</v>
      </c>
      <c r="T14" s="126"/>
      <c r="U14" s="94"/>
      <c r="W14" s="257"/>
    </row>
    <row r="15" spans="2:23" x14ac:dyDescent="0.25">
      <c r="B15" s="94">
        <v>44355</v>
      </c>
      <c r="C15" s="131">
        <v>44726</v>
      </c>
      <c r="D15" s="126">
        <v>45083</v>
      </c>
      <c r="E15" s="126">
        <v>45456</v>
      </c>
      <c r="F15" s="237">
        <v>45818</v>
      </c>
      <c r="G15" s="129"/>
      <c r="I15" s="94">
        <v>44356</v>
      </c>
      <c r="J15" s="126">
        <v>44727</v>
      </c>
      <c r="K15" s="238">
        <v>45100</v>
      </c>
      <c r="L15" s="239">
        <v>45453</v>
      </c>
      <c r="M15" s="237">
        <v>45818</v>
      </c>
      <c r="N15" s="94"/>
      <c r="P15" s="94">
        <v>44537</v>
      </c>
      <c r="Q15" s="126">
        <v>44867</v>
      </c>
      <c r="R15" s="126">
        <v>45264</v>
      </c>
      <c r="S15" s="240">
        <v>45635</v>
      </c>
      <c r="T15" s="126"/>
      <c r="U15" s="94"/>
      <c r="W15" s="257"/>
    </row>
    <row r="16" spans="2:23" x14ac:dyDescent="0.25">
      <c r="B16" s="94">
        <v>44369</v>
      </c>
      <c r="C16" s="131">
        <v>44740</v>
      </c>
      <c r="D16" s="126">
        <v>45099</v>
      </c>
      <c r="E16" s="126">
        <v>45470</v>
      </c>
      <c r="F16" s="237">
        <v>45832</v>
      </c>
      <c r="G16" s="129"/>
      <c r="I16" s="94">
        <v>44370</v>
      </c>
      <c r="J16" s="126">
        <v>44741</v>
      </c>
      <c r="K16" s="238">
        <v>45114</v>
      </c>
      <c r="L16" s="239">
        <v>45467</v>
      </c>
      <c r="M16" s="239"/>
      <c r="N16" s="94"/>
      <c r="P16" s="132" t="s">
        <v>203</v>
      </c>
      <c r="Q16" s="126">
        <v>44909</v>
      </c>
      <c r="R16" s="132" t="s">
        <v>203</v>
      </c>
      <c r="S16" s="132" t="s">
        <v>203</v>
      </c>
      <c r="T16" s="94"/>
      <c r="U16" s="94"/>
      <c r="W16" s="257"/>
    </row>
    <row r="17" spans="2:24" x14ac:dyDescent="0.25">
      <c r="B17" s="94">
        <v>44383</v>
      </c>
      <c r="C17" s="131">
        <v>44754</v>
      </c>
      <c r="D17" s="126">
        <v>45113</v>
      </c>
      <c r="E17" s="126">
        <v>45484</v>
      </c>
      <c r="F17" s="237">
        <v>45845</v>
      </c>
      <c r="G17" s="129"/>
      <c r="I17" s="94">
        <v>44384</v>
      </c>
      <c r="J17" s="126">
        <v>44755</v>
      </c>
      <c r="K17" s="238">
        <v>45128</v>
      </c>
      <c r="L17" s="239">
        <v>45481</v>
      </c>
      <c r="M17" s="239"/>
      <c r="N17" s="94"/>
      <c r="W17" s="257"/>
    </row>
    <row r="18" spans="2:24" x14ac:dyDescent="0.25">
      <c r="B18" s="94">
        <v>44397</v>
      </c>
      <c r="C18" s="131">
        <v>44769</v>
      </c>
      <c r="D18" s="126">
        <v>45127</v>
      </c>
      <c r="E18" s="126">
        <v>45498</v>
      </c>
      <c r="F18" s="237">
        <v>45859</v>
      </c>
      <c r="G18" s="129"/>
      <c r="I18" s="94">
        <v>44398</v>
      </c>
      <c r="J18" s="126">
        <v>44769</v>
      </c>
      <c r="K18" s="238">
        <v>45142</v>
      </c>
      <c r="L18" s="239">
        <v>45495</v>
      </c>
      <c r="M18" s="239"/>
      <c r="N18" s="94"/>
      <c r="T18" s="246">
        <v>45740</v>
      </c>
      <c r="W18" s="257"/>
    </row>
    <row r="19" spans="2:24" x14ac:dyDescent="0.25">
      <c r="B19" s="94">
        <v>44411</v>
      </c>
      <c r="C19" s="131">
        <v>44781</v>
      </c>
      <c r="D19" s="126">
        <v>45142</v>
      </c>
      <c r="E19" s="126">
        <v>45513</v>
      </c>
      <c r="F19" s="237">
        <v>45873</v>
      </c>
      <c r="G19" s="129"/>
      <c r="I19" s="94">
        <v>44412</v>
      </c>
      <c r="J19" s="126">
        <v>44783</v>
      </c>
      <c r="K19" s="238">
        <v>45156</v>
      </c>
      <c r="L19" s="239">
        <v>45509</v>
      </c>
      <c r="M19" s="239"/>
      <c r="N19" s="94"/>
      <c r="T19" s="245" t="s">
        <v>446</v>
      </c>
      <c r="W19" s="257"/>
    </row>
    <row r="20" spans="2:24" x14ac:dyDescent="0.25">
      <c r="B20" s="94">
        <v>44425</v>
      </c>
      <c r="C20" s="131">
        <v>44796</v>
      </c>
      <c r="D20" s="126">
        <v>45155</v>
      </c>
      <c r="E20" s="126">
        <v>45526</v>
      </c>
      <c r="F20" s="237">
        <v>45887</v>
      </c>
      <c r="G20" s="129"/>
      <c r="I20" s="94">
        <v>44426</v>
      </c>
      <c r="J20" s="126">
        <v>44797</v>
      </c>
      <c r="K20" s="238">
        <v>45169</v>
      </c>
      <c r="L20" s="240">
        <v>45523</v>
      </c>
      <c r="M20" s="239"/>
      <c r="N20" s="94"/>
      <c r="W20" s="257"/>
    </row>
    <row r="21" spans="2:24" x14ac:dyDescent="0.25">
      <c r="B21" s="94">
        <v>44439</v>
      </c>
      <c r="C21" s="131">
        <v>44810</v>
      </c>
      <c r="D21" s="126">
        <v>45169</v>
      </c>
      <c r="E21" s="126">
        <v>45539</v>
      </c>
      <c r="F21" s="237">
        <v>45901</v>
      </c>
      <c r="G21" s="129"/>
      <c r="I21" s="94">
        <v>44439</v>
      </c>
      <c r="J21" s="126">
        <v>44811</v>
      </c>
      <c r="K21" s="238">
        <v>45180</v>
      </c>
      <c r="L21" s="240">
        <v>45537</v>
      </c>
      <c r="M21" s="239"/>
      <c r="N21" s="94"/>
      <c r="W21" s="257"/>
    </row>
    <row r="22" spans="2:24" x14ac:dyDescent="0.25">
      <c r="B22" s="94">
        <v>44453</v>
      </c>
      <c r="C22" s="131">
        <v>44824</v>
      </c>
      <c r="D22" s="126">
        <v>45183</v>
      </c>
      <c r="E22" s="126">
        <v>45554</v>
      </c>
      <c r="F22" s="237">
        <v>45922</v>
      </c>
      <c r="G22" s="129"/>
      <c r="I22" s="94">
        <v>44454</v>
      </c>
      <c r="J22" s="126">
        <v>44825</v>
      </c>
      <c r="K22" s="238">
        <v>45194</v>
      </c>
      <c r="L22" s="240">
        <v>45551</v>
      </c>
      <c r="M22" s="239"/>
      <c r="N22" s="94"/>
      <c r="W22" s="257"/>
    </row>
    <row r="23" spans="2:24" x14ac:dyDescent="0.25">
      <c r="B23" s="94">
        <v>44467</v>
      </c>
      <c r="C23" s="131">
        <v>44839</v>
      </c>
      <c r="D23" s="126">
        <v>45197</v>
      </c>
      <c r="E23" s="126">
        <v>45569</v>
      </c>
      <c r="F23" s="132" t="s">
        <v>203</v>
      </c>
      <c r="G23" s="129"/>
      <c r="I23" s="94">
        <v>44469</v>
      </c>
      <c r="J23" s="126">
        <v>44841</v>
      </c>
      <c r="K23" s="238">
        <v>45208</v>
      </c>
      <c r="L23" s="240">
        <v>45565</v>
      </c>
      <c r="M23" s="239"/>
      <c r="N23" s="94"/>
      <c r="W23" s="257"/>
    </row>
    <row r="24" spans="2:24" x14ac:dyDescent="0.25">
      <c r="B24" s="94">
        <v>44481</v>
      </c>
      <c r="C24" s="131">
        <v>44852</v>
      </c>
      <c r="D24" s="126">
        <v>45211</v>
      </c>
      <c r="E24" s="126">
        <v>45582</v>
      </c>
      <c r="F24" s="237">
        <v>45943</v>
      </c>
      <c r="G24" s="129"/>
      <c r="I24" s="94">
        <v>44482</v>
      </c>
      <c r="J24" s="126">
        <v>44853</v>
      </c>
      <c r="K24" s="238">
        <v>45222</v>
      </c>
      <c r="L24" s="240">
        <v>45579</v>
      </c>
      <c r="M24" s="239"/>
      <c r="N24" s="94"/>
      <c r="W24" s="257"/>
    </row>
    <row r="25" spans="2:24" x14ac:dyDescent="0.25">
      <c r="B25" s="94">
        <v>44495</v>
      </c>
      <c r="C25" s="131">
        <v>44867</v>
      </c>
      <c r="D25" s="126">
        <v>45225</v>
      </c>
      <c r="E25" s="126">
        <v>45593</v>
      </c>
      <c r="F25" s="132" t="s">
        <v>203</v>
      </c>
      <c r="G25" s="130"/>
      <c r="I25" s="94">
        <v>44496</v>
      </c>
      <c r="J25" s="126">
        <v>44867</v>
      </c>
      <c r="K25" s="238">
        <v>45236</v>
      </c>
      <c r="L25" s="240">
        <v>45593</v>
      </c>
      <c r="M25" s="239"/>
      <c r="N25" s="94"/>
      <c r="W25" s="257"/>
    </row>
    <row r="26" spans="2:24" x14ac:dyDescent="0.25">
      <c r="B26" s="94">
        <v>44509</v>
      </c>
      <c r="C26" s="131">
        <v>44880</v>
      </c>
      <c r="D26" s="126">
        <v>45239</v>
      </c>
      <c r="E26" s="126">
        <v>45607</v>
      </c>
      <c r="F26" s="237">
        <v>45965</v>
      </c>
      <c r="G26" s="130"/>
      <c r="I26" s="94">
        <v>44510</v>
      </c>
      <c r="J26" s="126">
        <v>44881</v>
      </c>
      <c r="K26" s="238">
        <v>45250</v>
      </c>
      <c r="L26" s="240">
        <v>45607</v>
      </c>
      <c r="M26" s="239"/>
      <c r="N26" s="94"/>
      <c r="W26" s="242"/>
    </row>
    <row r="27" spans="2:24" x14ac:dyDescent="0.25">
      <c r="B27" s="94">
        <v>44523</v>
      </c>
      <c r="C27" s="131">
        <v>44893</v>
      </c>
      <c r="D27" s="126">
        <v>45253</v>
      </c>
      <c r="E27" s="126">
        <v>45622</v>
      </c>
      <c r="F27" s="237">
        <v>45986</v>
      </c>
      <c r="G27" s="130"/>
      <c r="I27" s="94">
        <v>44524</v>
      </c>
      <c r="J27" s="126">
        <v>44893</v>
      </c>
      <c r="K27" s="238">
        <v>45264</v>
      </c>
      <c r="L27" s="240">
        <v>45621</v>
      </c>
      <c r="M27" s="239"/>
      <c r="N27" s="94"/>
    </row>
    <row r="28" spans="2:24" x14ac:dyDescent="0.25">
      <c r="B28" s="94">
        <v>44537</v>
      </c>
      <c r="C28" s="131">
        <v>44909</v>
      </c>
      <c r="D28" s="126">
        <v>45267</v>
      </c>
      <c r="E28" s="132" t="s">
        <v>203</v>
      </c>
      <c r="F28" s="132" t="s">
        <v>203</v>
      </c>
      <c r="G28" s="130"/>
      <c r="I28" s="94">
        <v>44537</v>
      </c>
      <c r="J28" s="126">
        <v>44909</v>
      </c>
      <c r="K28" s="238">
        <v>45278</v>
      </c>
      <c r="L28" s="240">
        <v>45635</v>
      </c>
      <c r="M28" s="239"/>
      <c r="N28" s="94"/>
    </row>
    <row r="29" spans="2:24" x14ac:dyDescent="0.25">
      <c r="B29" s="94">
        <v>44551</v>
      </c>
      <c r="C29" s="131">
        <v>44922</v>
      </c>
      <c r="D29" s="126">
        <v>45281</v>
      </c>
      <c r="E29" s="126">
        <v>45649</v>
      </c>
      <c r="F29" s="237">
        <v>46007</v>
      </c>
      <c r="G29" s="130"/>
      <c r="I29" s="94">
        <v>44551</v>
      </c>
      <c r="J29" s="126">
        <v>44923</v>
      </c>
      <c r="K29" s="132" t="s">
        <v>203</v>
      </c>
      <c r="L29" s="240">
        <v>45649</v>
      </c>
      <c r="M29" s="239"/>
      <c r="N29" s="94"/>
    </row>
    <row r="30" spans="2:24" ht="15" customHeight="1" x14ac:dyDescent="0.25">
      <c r="W30"/>
    </row>
    <row r="31" spans="2:24" x14ac:dyDescent="0.25">
      <c r="B31" s="95" t="s">
        <v>183</v>
      </c>
      <c r="W31"/>
    </row>
    <row r="32" spans="2:24" s="242" customFormat="1" x14ac:dyDescent="0.25">
      <c r="B32" s="241" t="s">
        <v>443</v>
      </c>
      <c r="W32"/>
      <c r="X32" s="243"/>
    </row>
    <row r="33" spans="2:23" ht="5.0999999999999996" customHeight="1" x14ac:dyDescent="0.25">
      <c r="W33"/>
    </row>
    <row r="34" spans="2:23" x14ac:dyDescent="0.25">
      <c r="B34" s="236" t="s">
        <v>442</v>
      </c>
      <c r="C34" s="195"/>
      <c r="W34"/>
    </row>
    <row r="35" spans="2:23" x14ac:dyDescent="0.25">
      <c r="W35"/>
    </row>
    <row r="36" spans="2:23" x14ac:dyDescent="0.25">
      <c r="Q36"/>
      <c r="W36"/>
    </row>
    <row r="37" spans="2:23" x14ac:dyDescent="0.25">
      <c r="W37"/>
    </row>
    <row r="38" spans="2:23" x14ac:dyDescent="0.25">
      <c r="W38"/>
    </row>
    <row r="39" spans="2:23" x14ac:dyDescent="0.25">
      <c r="W39"/>
    </row>
    <row r="40" spans="2:23" x14ac:dyDescent="0.25">
      <c r="W40"/>
    </row>
    <row r="41" spans="2:23" x14ac:dyDescent="0.25">
      <c r="W41"/>
    </row>
    <row r="42" spans="2:23" x14ac:dyDescent="0.25">
      <c r="W42"/>
    </row>
    <row r="43" spans="2:23" x14ac:dyDescent="0.25">
      <c r="W43"/>
    </row>
    <row r="44" spans="2:23" x14ac:dyDescent="0.25">
      <c r="W44"/>
    </row>
    <row r="45" spans="2:23" x14ac:dyDescent="0.25">
      <c r="W45"/>
    </row>
    <row r="46" spans="2:23" x14ac:dyDescent="0.25">
      <c r="W46"/>
    </row>
    <row r="47" spans="2:23" x14ac:dyDescent="0.25">
      <c r="W47"/>
    </row>
    <row r="48" spans="2:23" x14ac:dyDescent="0.25">
      <c r="W48"/>
    </row>
    <row r="49" spans="23:23" x14ac:dyDescent="0.25">
      <c r="W49"/>
    </row>
    <row r="50" spans="23:23" x14ac:dyDescent="0.25">
      <c r="W50"/>
    </row>
    <row r="51" spans="23:23" x14ac:dyDescent="0.25">
      <c r="W51"/>
    </row>
    <row r="52" spans="23:23" x14ac:dyDescent="0.25">
      <c r="W52"/>
    </row>
    <row r="53" spans="23:23" x14ac:dyDescent="0.25">
      <c r="W53"/>
    </row>
    <row r="54" spans="23:23" x14ac:dyDescent="0.25">
      <c r="W54"/>
    </row>
    <row r="55" spans="23:23" x14ac:dyDescent="0.25">
      <c r="W55"/>
    </row>
    <row r="56" spans="23:23" x14ac:dyDescent="0.25">
      <c r="W56"/>
    </row>
    <row r="57" spans="23:23" x14ac:dyDescent="0.25">
      <c r="W57"/>
    </row>
    <row r="58" spans="23:23" x14ac:dyDescent="0.25">
      <c r="W58"/>
    </row>
    <row r="59" spans="23:23" x14ac:dyDescent="0.25">
      <c r="W59"/>
    </row>
    <row r="60" spans="23:23" x14ac:dyDescent="0.25">
      <c r="W60"/>
    </row>
    <row r="61" spans="23:23" x14ac:dyDescent="0.25">
      <c r="W61"/>
    </row>
    <row r="62" spans="23:23" x14ac:dyDescent="0.25">
      <c r="W62"/>
    </row>
    <row r="63" spans="23:23" x14ac:dyDescent="0.25">
      <c r="W63"/>
    </row>
    <row r="64" spans="23:23" x14ac:dyDescent="0.25">
      <c r="W64"/>
    </row>
    <row r="65" spans="23:23" x14ac:dyDescent="0.25">
      <c r="W65"/>
    </row>
    <row r="66" spans="23:23" x14ac:dyDescent="0.25">
      <c r="W66"/>
    </row>
    <row r="67" spans="23:23" x14ac:dyDescent="0.25">
      <c r="W67"/>
    </row>
    <row r="68" spans="23:23" x14ac:dyDescent="0.25">
      <c r="W68"/>
    </row>
    <row r="69" spans="23:23" x14ac:dyDescent="0.25">
      <c r="W69"/>
    </row>
    <row r="70" spans="23:23" x14ac:dyDescent="0.25">
      <c r="W70"/>
    </row>
    <row r="71" spans="23:23" x14ac:dyDescent="0.25">
      <c r="W71"/>
    </row>
    <row r="72" spans="23:23" x14ac:dyDescent="0.25">
      <c r="W72"/>
    </row>
    <row r="73" spans="23:23" x14ac:dyDescent="0.25">
      <c r="W73"/>
    </row>
    <row r="74" spans="23:23" x14ac:dyDescent="0.25">
      <c r="W74"/>
    </row>
    <row r="75" spans="23:23" x14ac:dyDescent="0.25">
      <c r="W75"/>
    </row>
    <row r="76" spans="23:23" x14ac:dyDescent="0.25">
      <c r="W76"/>
    </row>
    <row r="77" spans="23:23" x14ac:dyDescent="0.25">
      <c r="W77"/>
    </row>
    <row r="78" spans="23:23" x14ac:dyDescent="0.25">
      <c r="W78"/>
    </row>
    <row r="79" spans="23:23" x14ac:dyDescent="0.25">
      <c r="W79"/>
    </row>
    <row r="80" spans="23:23" x14ac:dyDescent="0.25">
      <c r="W80"/>
    </row>
    <row r="81" spans="23:23" x14ac:dyDescent="0.25">
      <c r="W81"/>
    </row>
    <row r="82" spans="23:23" x14ac:dyDescent="0.25">
      <c r="W82"/>
    </row>
    <row r="83" spans="23:23" x14ac:dyDescent="0.25">
      <c r="W83"/>
    </row>
    <row r="84" spans="23:23" x14ac:dyDescent="0.25">
      <c r="W84"/>
    </row>
    <row r="85" spans="23:23" x14ac:dyDescent="0.25">
      <c r="W85"/>
    </row>
    <row r="86" spans="23:23" x14ac:dyDescent="0.25">
      <c r="W86"/>
    </row>
    <row r="87" spans="23:23" x14ac:dyDescent="0.25">
      <c r="W87"/>
    </row>
    <row r="88" spans="23:23" x14ac:dyDescent="0.25">
      <c r="W88"/>
    </row>
    <row r="89" spans="23:23" x14ac:dyDescent="0.25">
      <c r="W89"/>
    </row>
    <row r="90" spans="23:23" x14ac:dyDescent="0.25">
      <c r="W90"/>
    </row>
    <row r="91" spans="23:23" x14ac:dyDescent="0.25">
      <c r="W91"/>
    </row>
    <row r="92" spans="23:23" x14ac:dyDescent="0.25">
      <c r="W92"/>
    </row>
    <row r="93" spans="23:23" x14ac:dyDescent="0.25">
      <c r="W93"/>
    </row>
    <row r="94" spans="23:23" x14ac:dyDescent="0.25">
      <c r="W94"/>
    </row>
    <row r="95" spans="23:23" x14ac:dyDescent="0.25">
      <c r="W95"/>
    </row>
    <row r="96" spans="23:23" x14ac:dyDescent="0.25">
      <c r="W96"/>
    </row>
    <row r="97" spans="23:23" x14ac:dyDescent="0.25">
      <c r="W97"/>
    </row>
    <row r="98" spans="23:23" x14ac:dyDescent="0.25">
      <c r="W98"/>
    </row>
    <row r="99" spans="23:23" x14ac:dyDescent="0.25">
      <c r="W99"/>
    </row>
    <row r="100" spans="23:23" x14ac:dyDescent="0.25">
      <c r="W100"/>
    </row>
    <row r="101" spans="23:23" x14ac:dyDescent="0.25">
      <c r="W101"/>
    </row>
    <row r="102" spans="23:23" x14ac:dyDescent="0.25">
      <c r="W102"/>
    </row>
    <row r="103" spans="23:23" x14ac:dyDescent="0.25">
      <c r="W103"/>
    </row>
    <row r="104" spans="23:23" x14ac:dyDescent="0.25">
      <c r="W104"/>
    </row>
    <row r="105" spans="23:23" x14ac:dyDescent="0.25">
      <c r="W105"/>
    </row>
    <row r="106" spans="23:23" x14ac:dyDescent="0.25">
      <c r="W106"/>
    </row>
    <row r="107" spans="23:23" x14ac:dyDescent="0.25">
      <c r="W107"/>
    </row>
    <row r="108" spans="23:23" x14ac:dyDescent="0.25">
      <c r="W108"/>
    </row>
    <row r="109" spans="23:23" x14ac:dyDescent="0.25">
      <c r="W109"/>
    </row>
    <row r="110" spans="23:23" x14ac:dyDescent="0.25">
      <c r="W110"/>
    </row>
    <row r="111" spans="23:23" x14ac:dyDescent="0.25">
      <c r="W111"/>
    </row>
    <row r="112" spans="23:23" x14ac:dyDescent="0.25">
      <c r="W112"/>
    </row>
    <row r="113" spans="23:23" x14ac:dyDescent="0.25">
      <c r="W113"/>
    </row>
    <row r="114" spans="23:23" x14ac:dyDescent="0.25">
      <c r="W114"/>
    </row>
    <row r="115" spans="23:23" x14ac:dyDescent="0.25">
      <c r="W115"/>
    </row>
    <row r="116" spans="23:23" x14ac:dyDescent="0.25">
      <c r="W116"/>
    </row>
    <row r="117" spans="23:23" x14ac:dyDescent="0.25">
      <c r="W117"/>
    </row>
    <row r="118" spans="23:23" x14ac:dyDescent="0.25">
      <c r="W118"/>
    </row>
    <row r="119" spans="23:23" x14ac:dyDescent="0.25">
      <c r="W119"/>
    </row>
    <row r="120" spans="23:23" x14ac:dyDescent="0.25">
      <c r="W120"/>
    </row>
    <row r="121" spans="23:23" x14ac:dyDescent="0.25">
      <c r="W121"/>
    </row>
    <row r="122" spans="23:23" x14ac:dyDescent="0.25">
      <c r="W122"/>
    </row>
    <row r="123" spans="23:23" x14ac:dyDescent="0.25">
      <c r="W123"/>
    </row>
    <row r="124" spans="23:23" x14ac:dyDescent="0.25">
      <c r="W124"/>
    </row>
    <row r="125" spans="23:23" x14ac:dyDescent="0.25">
      <c r="W125"/>
    </row>
    <row r="126" spans="23:23" x14ac:dyDescent="0.25">
      <c r="W126"/>
    </row>
    <row r="127" spans="23:23" x14ac:dyDescent="0.25">
      <c r="W127"/>
    </row>
    <row r="128" spans="23:23" x14ac:dyDescent="0.25">
      <c r="W128"/>
    </row>
    <row r="129" spans="23:23" x14ac:dyDescent="0.25">
      <c r="W129"/>
    </row>
    <row r="130" spans="23:23" x14ac:dyDescent="0.25">
      <c r="W130"/>
    </row>
    <row r="131" spans="23:23" x14ac:dyDescent="0.25">
      <c r="W131"/>
    </row>
    <row r="132" spans="23:23" x14ac:dyDescent="0.25">
      <c r="W132"/>
    </row>
    <row r="133" spans="23:23" x14ac:dyDescent="0.25">
      <c r="W133"/>
    </row>
    <row r="134" spans="23:23" x14ac:dyDescent="0.25">
      <c r="W134"/>
    </row>
    <row r="135" spans="23:23" x14ac:dyDescent="0.25">
      <c r="W135"/>
    </row>
    <row r="136" spans="23:23" x14ac:dyDescent="0.25">
      <c r="W136"/>
    </row>
    <row r="137" spans="23:23" x14ac:dyDescent="0.25">
      <c r="W137"/>
    </row>
    <row r="138" spans="23:23" x14ac:dyDescent="0.25">
      <c r="W138"/>
    </row>
    <row r="139" spans="23:23" x14ac:dyDescent="0.25">
      <c r="W139"/>
    </row>
    <row r="140" spans="23:23" x14ac:dyDescent="0.25">
      <c r="W140"/>
    </row>
    <row r="141" spans="23:23" x14ac:dyDescent="0.25">
      <c r="W141"/>
    </row>
    <row r="142" spans="23:23" x14ac:dyDescent="0.25">
      <c r="W142"/>
    </row>
    <row r="143" spans="23:23" x14ac:dyDescent="0.25">
      <c r="W143"/>
    </row>
    <row r="144" spans="23:23" x14ac:dyDescent="0.25">
      <c r="W144"/>
    </row>
    <row r="145" spans="23:23" x14ac:dyDescent="0.25">
      <c r="W145"/>
    </row>
    <row r="146" spans="23:23" x14ac:dyDescent="0.25">
      <c r="W146"/>
    </row>
    <row r="147" spans="23:23" x14ac:dyDescent="0.25">
      <c r="W147"/>
    </row>
    <row r="148" spans="23:23" x14ac:dyDescent="0.25">
      <c r="W148"/>
    </row>
    <row r="149" spans="23:23" x14ac:dyDescent="0.25">
      <c r="W149"/>
    </row>
    <row r="150" spans="23:23" x14ac:dyDescent="0.25">
      <c r="W150"/>
    </row>
    <row r="151" spans="23:23" x14ac:dyDescent="0.25">
      <c r="W151"/>
    </row>
    <row r="152" spans="23:23" x14ac:dyDescent="0.25">
      <c r="W152"/>
    </row>
    <row r="153" spans="23:23" x14ac:dyDescent="0.25">
      <c r="W153"/>
    </row>
    <row r="154" spans="23:23" x14ac:dyDescent="0.25">
      <c r="W154"/>
    </row>
    <row r="155" spans="23:23" x14ac:dyDescent="0.25">
      <c r="W155"/>
    </row>
    <row r="156" spans="23:23" x14ac:dyDescent="0.25">
      <c r="W156"/>
    </row>
    <row r="157" spans="23:23" x14ac:dyDescent="0.25">
      <c r="W157"/>
    </row>
    <row r="158" spans="23:23" x14ac:dyDescent="0.25">
      <c r="W158"/>
    </row>
    <row r="159" spans="23:23" x14ac:dyDescent="0.25">
      <c r="W159"/>
    </row>
    <row r="160" spans="23:23" x14ac:dyDescent="0.25">
      <c r="W160"/>
    </row>
    <row r="161" spans="23:23" x14ac:dyDescent="0.25">
      <c r="W161"/>
    </row>
    <row r="162" spans="23:23" x14ac:dyDescent="0.25">
      <c r="W162"/>
    </row>
    <row r="163" spans="23:23" x14ac:dyDescent="0.25">
      <c r="W163"/>
    </row>
    <row r="164" spans="23:23" x14ac:dyDescent="0.25">
      <c r="W164"/>
    </row>
    <row r="165" spans="23:23" x14ac:dyDescent="0.25">
      <c r="W165"/>
    </row>
    <row r="166" spans="23:23" x14ac:dyDescent="0.25">
      <c r="W166"/>
    </row>
    <row r="167" spans="23:23" x14ac:dyDescent="0.25">
      <c r="W167"/>
    </row>
    <row r="168" spans="23:23" x14ac:dyDescent="0.25">
      <c r="W168"/>
    </row>
    <row r="169" spans="23:23" x14ac:dyDescent="0.25">
      <c r="W169"/>
    </row>
    <row r="170" spans="23:23" x14ac:dyDescent="0.25">
      <c r="W170"/>
    </row>
    <row r="171" spans="23:23" x14ac:dyDescent="0.25">
      <c r="W171"/>
    </row>
    <row r="172" spans="23:23" x14ac:dyDescent="0.25">
      <c r="W172"/>
    </row>
    <row r="173" spans="23:23" x14ac:dyDescent="0.25">
      <c r="W173"/>
    </row>
    <row r="174" spans="23:23" x14ac:dyDescent="0.25">
      <c r="W174"/>
    </row>
    <row r="175" spans="23:23" x14ac:dyDescent="0.25">
      <c r="W175"/>
    </row>
    <row r="176" spans="23:23" x14ac:dyDescent="0.25">
      <c r="W176"/>
    </row>
    <row r="177" spans="23:23" x14ac:dyDescent="0.25">
      <c r="W177"/>
    </row>
    <row r="178" spans="23:23" x14ac:dyDescent="0.25">
      <c r="W178"/>
    </row>
    <row r="179" spans="23:23" x14ac:dyDescent="0.25">
      <c r="W179"/>
    </row>
    <row r="180" spans="23:23" x14ac:dyDescent="0.25">
      <c r="W180"/>
    </row>
    <row r="181" spans="23:23" x14ac:dyDescent="0.25">
      <c r="W181"/>
    </row>
    <row r="182" spans="23:23" x14ac:dyDescent="0.25">
      <c r="W182"/>
    </row>
    <row r="183" spans="23:23" x14ac:dyDescent="0.25">
      <c r="W183"/>
    </row>
    <row r="184" spans="23:23" x14ac:dyDescent="0.25">
      <c r="W184"/>
    </row>
    <row r="185" spans="23:23" x14ac:dyDescent="0.25">
      <c r="W185"/>
    </row>
    <row r="186" spans="23:23" x14ac:dyDescent="0.25">
      <c r="W186"/>
    </row>
    <row r="187" spans="23:23" x14ac:dyDescent="0.25">
      <c r="W187"/>
    </row>
    <row r="188" spans="23:23" x14ac:dyDescent="0.25">
      <c r="W188"/>
    </row>
    <row r="189" spans="23:23" x14ac:dyDescent="0.25">
      <c r="W189"/>
    </row>
    <row r="190" spans="23:23" x14ac:dyDescent="0.25">
      <c r="W190"/>
    </row>
    <row r="191" spans="23:23" x14ac:dyDescent="0.25">
      <c r="W191"/>
    </row>
    <row r="192" spans="23:23" x14ac:dyDescent="0.25">
      <c r="W192"/>
    </row>
    <row r="193" spans="23:23" x14ac:dyDescent="0.25">
      <c r="W193"/>
    </row>
    <row r="194" spans="23:23" x14ac:dyDescent="0.25">
      <c r="W194"/>
    </row>
    <row r="195" spans="23:23" x14ac:dyDescent="0.25">
      <c r="W195"/>
    </row>
    <row r="196" spans="23:23" x14ac:dyDescent="0.25">
      <c r="W196"/>
    </row>
    <row r="197" spans="23:23" x14ac:dyDescent="0.25">
      <c r="W197"/>
    </row>
    <row r="198" spans="23:23" x14ac:dyDescent="0.25">
      <c r="W198"/>
    </row>
    <row r="199" spans="23:23" x14ac:dyDescent="0.25">
      <c r="W199"/>
    </row>
    <row r="200" spans="23:23" x14ac:dyDescent="0.25">
      <c r="W200"/>
    </row>
    <row r="201" spans="23:23" x14ac:dyDescent="0.25">
      <c r="W201"/>
    </row>
    <row r="202" spans="23:23" x14ac:dyDescent="0.25">
      <c r="W202"/>
    </row>
    <row r="203" spans="23:23" x14ac:dyDescent="0.25">
      <c r="W203"/>
    </row>
    <row r="204" spans="23:23" x14ac:dyDescent="0.25">
      <c r="W204"/>
    </row>
    <row r="205" spans="23:23" x14ac:dyDescent="0.25">
      <c r="W205"/>
    </row>
    <row r="206" spans="23:23" x14ac:dyDescent="0.25">
      <c r="W206"/>
    </row>
    <row r="207" spans="23:23" x14ac:dyDescent="0.25">
      <c r="W207"/>
    </row>
    <row r="208" spans="23:23" x14ac:dyDescent="0.25">
      <c r="W208"/>
    </row>
    <row r="209" spans="23:23" x14ac:dyDescent="0.25">
      <c r="W209"/>
    </row>
    <row r="210" spans="23:23" x14ac:dyDescent="0.25">
      <c r="W210"/>
    </row>
    <row r="211" spans="23:23" x14ac:dyDescent="0.25">
      <c r="W211"/>
    </row>
    <row r="212" spans="23:23" x14ac:dyDescent="0.25">
      <c r="W212"/>
    </row>
    <row r="213" spans="23:23" x14ac:dyDescent="0.25">
      <c r="W213"/>
    </row>
    <row r="214" spans="23:23" x14ac:dyDescent="0.25">
      <c r="W214"/>
    </row>
    <row r="215" spans="23:23" x14ac:dyDescent="0.25">
      <c r="W215"/>
    </row>
    <row r="216" spans="23:23" x14ac:dyDescent="0.25">
      <c r="W216"/>
    </row>
    <row r="217" spans="23:23" x14ac:dyDescent="0.25">
      <c r="W217"/>
    </row>
    <row r="218" spans="23:23" x14ac:dyDescent="0.25">
      <c r="W218"/>
    </row>
    <row r="219" spans="23:23" x14ac:dyDescent="0.25">
      <c r="W219"/>
    </row>
    <row r="220" spans="23:23" x14ac:dyDescent="0.25">
      <c r="W220"/>
    </row>
    <row r="221" spans="23:23" x14ac:dyDescent="0.25">
      <c r="W221"/>
    </row>
    <row r="222" spans="23:23" x14ac:dyDescent="0.25">
      <c r="W222"/>
    </row>
    <row r="223" spans="23:23" x14ac:dyDescent="0.25">
      <c r="W223"/>
    </row>
    <row r="224" spans="23:23" x14ac:dyDescent="0.25">
      <c r="W224"/>
    </row>
    <row r="225" spans="23:23" x14ac:dyDescent="0.25">
      <c r="W225"/>
    </row>
    <row r="226" spans="23:23" x14ac:dyDescent="0.25">
      <c r="W226"/>
    </row>
    <row r="227" spans="23:23" x14ac:dyDescent="0.25">
      <c r="W227"/>
    </row>
    <row r="228" spans="23:23" x14ac:dyDescent="0.25">
      <c r="W228"/>
    </row>
    <row r="229" spans="23:23" x14ac:dyDescent="0.25">
      <c r="W229"/>
    </row>
    <row r="230" spans="23:23" x14ac:dyDescent="0.25">
      <c r="W230"/>
    </row>
    <row r="231" spans="23:23" x14ac:dyDescent="0.25">
      <c r="W231"/>
    </row>
    <row r="232" spans="23:23" x14ac:dyDescent="0.25">
      <c r="W232"/>
    </row>
    <row r="233" spans="23:23" x14ac:dyDescent="0.25">
      <c r="W233"/>
    </row>
    <row r="234" spans="23:23" x14ac:dyDescent="0.25">
      <c r="W234"/>
    </row>
    <row r="235" spans="23:23" x14ac:dyDescent="0.25">
      <c r="W235"/>
    </row>
    <row r="236" spans="23:23" x14ac:dyDescent="0.25">
      <c r="W236"/>
    </row>
    <row r="237" spans="23:23" x14ac:dyDescent="0.25">
      <c r="W237"/>
    </row>
    <row r="238" spans="23:23" x14ac:dyDescent="0.25">
      <c r="W238"/>
    </row>
    <row r="239" spans="23:23" x14ac:dyDescent="0.25">
      <c r="W239"/>
    </row>
    <row r="240" spans="23:23" x14ac:dyDescent="0.25">
      <c r="W240"/>
    </row>
    <row r="241" spans="23:23" x14ac:dyDescent="0.25">
      <c r="W241"/>
    </row>
    <row r="242" spans="23:23" x14ac:dyDescent="0.25">
      <c r="W242"/>
    </row>
    <row r="243" spans="23:23" x14ac:dyDescent="0.25">
      <c r="W243"/>
    </row>
    <row r="244" spans="23:23" x14ac:dyDescent="0.25">
      <c r="W244"/>
    </row>
    <row r="245" spans="23:23" x14ac:dyDescent="0.25">
      <c r="W245"/>
    </row>
    <row r="246" spans="23:23" x14ac:dyDescent="0.25">
      <c r="W246"/>
    </row>
    <row r="247" spans="23:23" x14ac:dyDescent="0.25">
      <c r="W247"/>
    </row>
    <row r="248" spans="23:23" x14ac:dyDescent="0.25">
      <c r="W248"/>
    </row>
    <row r="249" spans="23:23" x14ac:dyDescent="0.25">
      <c r="W249"/>
    </row>
    <row r="250" spans="23:23" x14ac:dyDescent="0.25">
      <c r="W250"/>
    </row>
    <row r="251" spans="23:23" x14ac:dyDescent="0.25">
      <c r="W251"/>
    </row>
    <row r="252" spans="23:23" x14ac:dyDescent="0.25">
      <c r="W252"/>
    </row>
    <row r="253" spans="23:23" x14ac:dyDescent="0.25">
      <c r="W253"/>
    </row>
    <row r="254" spans="23:23" x14ac:dyDescent="0.25">
      <c r="W254"/>
    </row>
    <row r="255" spans="23:23" x14ac:dyDescent="0.25">
      <c r="W255"/>
    </row>
    <row r="256" spans="23:23" x14ac:dyDescent="0.25">
      <c r="W256"/>
    </row>
    <row r="257" spans="23:23" x14ac:dyDescent="0.25">
      <c r="W257"/>
    </row>
    <row r="258" spans="23:23" x14ac:dyDescent="0.25">
      <c r="W258"/>
    </row>
    <row r="259" spans="23:23" x14ac:dyDescent="0.25">
      <c r="W259"/>
    </row>
    <row r="260" spans="23:23" x14ac:dyDescent="0.25">
      <c r="W260"/>
    </row>
    <row r="261" spans="23:23" x14ac:dyDescent="0.25">
      <c r="W261"/>
    </row>
    <row r="262" spans="23:23" x14ac:dyDescent="0.25">
      <c r="W262"/>
    </row>
    <row r="263" spans="23:23" x14ac:dyDescent="0.25">
      <c r="W263"/>
    </row>
    <row r="264" spans="23:23" x14ac:dyDescent="0.25">
      <c r="W264"/>
    </row>
    <row r="265" spans="23:23" x14ac:dyDescent="0.25">
      <c r="W265"/>
    </row>
    <row r="266" spans="23:23" x14ac:dyDescent="0.25">
      <c r="W266"/>
    </row>
    <row r="267" spans="23:23" x14ac:dyDescent="0.25">
      <c r="W267"/>
    </row>
    <row r="268" spans="23:23" x14ac:dyDescent="0.25">
      <c r="W268"/>
    </row>
    <row r="269" spans="23:23" x14ac:dyDescent="0.25">
      <c r="W269"/>
    </row>
    <row r="270" spans="23:23" x14ac:dyDescent="0.25">
      <c r="W270"/>
    </row>
    <row r="271" spans="23:23" x14ac:dyDescent="0.25">
      <c r="W271"/>
    </row>
    <row r="272" spans="23:23" x14ac:dyDescent="0.25">
      <c r="W272"/>
    </row>
    <row r="273" spans="23:23" x14ac:dyDescent="0.25">
      <c r="W273"/>
    </row>
    <row r="274" spans="23:23" x14ac:dyDescent="0.25">
      <c r="W274"/>
    </row>
    <row r="275" spans="23:23" x14ac:dyDescent="0.25">
      <c r="W275"/>
    </row>
    <row r="276" spans="23:23" x14ac:dyDescent="0.25">
      <c r="W276"/>
    </row>
    <row r="277" spans="23:23" x14ac:dyDescent="0.25">
      <c r="W277"/>
    </row>
    <row r="278" spans="23:23" x14ac:dyDescent="0.25">
      <c r="W278"/>
    </row>
    <row r="279" spans="23:23" x14ac:dyDescent="0.25">
      <c r="W279"/>
    </row>
    <row r="280" spans="23:23" x14ac:dyDescent="0.25">
      <c r="W280"/>
    </row>
    <row r="281" spans="23:23" x14ac:dyDescent="0.25">
      <c r="W281"/>
    </row>
    <row r="282" spans="23:23" x14ac:dyDescent="0.25">
      <c r="W282"/>
    </row>
    <row r="283" spans="23:23" x14ac:dyDescent="0.25">
      <c r="W283"/>
    </row>
    <row r="284" spans="23:23" x14ac:dyDescent="0.25">
      <c r="W284"/>
    </row>
    <row r="285" spans="23:23" x14ac:dyDescent="0.25">
      <c r="W285"/>
    </row>
    <row r="286" spans="23:23" x14ac:dyDescent="0.25">
      <c r="W286"/>
    </row>
    <row r="287" spans="23:23" x14ac:dyDescent="0.25">
      <c r="W287"/>
    </row>
    <row r="288" spans="23:23" x14ac:dyDescent="0.25">
      <c r="W288"/>
    </row>
    <row r="289" spans="23:23" x14ac:dyDescent="0.25">
      <c r="W289"/>
    </row>
    <row r="290" spans="23:23" x14ac:dyDescent="0.25">
      <c r="W290"/>
    </row>
    <row r="291" spans="23:23" x14ac:dyDescent="0.25">
      <c r="W291"/>
    </row>
    <row r="292" spans="23:23" x14ac:dyDescent="0.25">
      <c r="W292"/>
    </row>
    <row r="293" spans="23:23" x14ac:dyDescent="0.25">
      <c r="W293"/>
    </row>
    <row r="294" spans="23:23" x14ac:dyDescent="0.25">
      <c r="W294"/>
    </row>
    <row r="295" spans="23:23" x14ac:dyDescent="0.25">
      <c r="W295"/>
    </row>
    <row r="296" spans="23:23" x14ac:dyDescent="0.25">
      <c r="W296"/>
    </row>
    <row r="297" spans="23:23" x14ac:dyDescent="0.25">
      <c r="W297"/>
    </row>
    <row r="298" spans="23:23" x14ac:dyDescent="0.25">
      <c r="W298"/>
    </row>
    <row r="299" spans="23:23" x14ac:dyDescent="0.25">
      <c r="W299"/>
    </row>
    <row r="300" spans="23:23" x14ac:dyDescent="0.25">
      <c r="W300"/>
    </row>
    <row r="301" spans="23:23" x14ac:dyDescent="0.25">
      <c r="W301"/>
    </row>
    <row r="302" spans="23:23" x14ac:dyDescent="0.25">
      <c r="W302"/>
    </row>
    <row r="303" spans="23:23" x14ac:dyDescent="0.25">
      <c r="W303"/>
    </row>
    <row r="304" spans="23:23" x14ac:dyDescent="0.25">
      <c r="W304"/>
    </row>
    <row r="305" spans="23:23" x14ac:dyDescent="0.25">
      <c r="W305"/>
    </row>
    <row r="306" spans="23:23" x14ac:dyDescent="0.25">
      <c r="W306"/>
    </row>
    <row r="307" spans="23:23" x14ac:dyDescent="0.25">
      <c r="W307"/>
    </row>
    <row r="308" spans="23:23" x14ac:dyDescent="0.25">
      <c r="W308"/>
    </row>
    <row r="309" spans="23:23" x14ac:dyDescent="0.25">
      <c r="W309"/>
    </row>
    <row r="310" spans="23:23" x14ac:dyDescent="0.25">
      <c r="W310"/>
    </row>
    <row r="311" spans="23:23" x14ac:dyDescent="0.25">
      <c r="W311"/>
    </row>
    <row r="312" spans="23:23" x14ac:dyDescent="0.25">
      <c r="W312"/>
    </row>
    <row r="313" spans="23:23" x14ac:dyDescent="0.25">
      <c r="W313"/>
    </row>
    <row r="314" spans="23:23" x14ac:dyDescent="0.25">
      <c r="W314"/>
    </row>
    <row r="315" spans="23:23" x14ac:dyDescent="0.25">
      <c r="W315"/>
    </row>
    <row r="316" spans="23:23" x14ac:dyDescent="0.25">
      <c r="W316"/>
    </row>
    <row r="317" spans="23:23" x14ac:dyDescent="0.25">
      <c r="W317"/>
    </row>
    <row r="318" spans="23:23" x14ac:dyDescent="0.25">
      <c r="W318"/>
    </row>
    <row r="319" spans="23:23" x14ac:dyDescent="0.25">
      <c r="W319"/>
    </row>
    <row r="320" spans="23:23" x14ac:dyDescent="0.25">
      <c r="W320"/>
    </row>
    <row r="321" spans="23:23" x14ac:dyDescent="0.25">
      <c r="W321"/>
    </row>
    <row r="322" spans="23:23" x14ac:dyDescent="0.25">
      <c r="W322"/>
    </row>
    <row r="323" spans="23:23" x14ac:dyDescent="0.25">
      <c r="W323"/>
    </row>
    <row r="324" spans="23:23" x14ac:dyDescent="0.25">
      <c r="W324"/>
    </row>
    <row r="325" spans="23:23" x14ac:dyDescent="0.25">
      <c r="W325"/>
    </row>
    <row r="326" spans="23:23" x14ac:dyDescent="0.25">
      <c r="W326"/>
    </row>
    <row r="327" spans="23:23" x14ac:dyDescent="0.25">
      <c r="W327"/>
    </row>
    <row r="328" spans="23:23" x14ac:dyDescent="0.25">
      <c r="W328"/>
    </row>
    <row r="329" spans="23:23" x14ac:dyDescent="0.25">
      <c r="W329"/>
    </row>
    <row r="330" spans="23:23" x14ac:dyDescent="0.25">
      <c r="W330"/>
    </row>
    <row r="331" spans="23:23" x14ac:dyDescent="0.25">
      <c r="W331"/>
    </row>
    <row r="332" spans="23:23" x14ac:dyDescent="0.25">
      <c r="W332"/>
    </row>
    <row r="333" spans="23:23" x14ac:dyDescent="0.25">
      <c r="W333"/>
    </row>
    <row r="334" spans="23:23" x14ac:dyDescent="0.25">
      <c r="W334"/>
    </row>
    <row r="335" spans="23:23" x14ac:dyDescent="0.25">
      <c r="W335"/>
    </row>
    <row r="336" spans="23:23" x14ac:dyDescent="0.25">
      <c r="W336"/>
    </row>
    <row r="337" spans="23:23" x14ac:dyDescent="0.25">
      <c r="W337"/>
    </row>
    <row r="338" spans="23:23" x14ac:dyDescent="0.25">
      <c r="W338"/>
    </row>
    <row r="339" spans="23:23" x14ac:dyDescent="0.25">
      <c r="W339"/>
    </row>
    <row r="340" spans="23:23" x14ac:dyDescent="0.25">
      <c r="W340"/>
    </row>
    <row r="341" spans="23:23" x14ac:dyDescent="0.25">
      <c r="W341"/>
    </row>
    <row r="342" spans="23:23" x14ac:dyDescent="0.25">
      <c r="W342"/>
    </row>
    <row r="343" spans="23:23" x14ac:dyDescent="0.25">
      <c r="W343"/>
    </row>
    <row r="344" spans="23:23" x14ac:dyDescent="0.25">
      <c r="W344"/>
    </row>
    <row r="345" spans="23:23" x14ac:dyDescent="0.25">
      <c r="W345"/>
    </row>
    <row r="346" spans="23:23" x14ac:dyDescent="0.25">
      <c r="W346"/>
    </row>
    <row r="347" spans="23:23" x14ac:dyDescent="0.25">
      <c r="W347"/>
    </row>
    <row r="348" spans="23:23" x14ac:dyDescent="0.25">
      <c r="W348"/>
    </row>
    <row r="349" spans="23:23" x14ac:dyDescent="0.25">
      <c r="W349"/>
    </row>
    <row r="350" spans="23:23" x14ac:dyDescent="0.25">
      <c r="W350"/>
    </row>
    <row r="351" spans="23:23" x14ac:dyDescent="0.25">
      <c r="W351"/>
    </row>
    <row r="352" spans="23:23" x14ac:dyDescent="0.25">
      <c r="W352"/>
    </row>
  </sheetData>
  <mergeCells count="3">
    <mergeCell ref="B2:G2"/>
    <mergeCell ref="I2:N2"/>
    <mergeCell ref="P2:U2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field | once a year</vt:lpstr>
      <vt:lpstr>field | bi-weekly</vt:lpstr>
      <vt:lpstr>lab | bi-weekly</vt:lpstr>
      <vt:lpstr>lab | once a month</vt:lpstr>
      <vt:lpstr>#dates#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cvis_default</dc:creator>
  <cp:lastModifiedBy>Peter</cp:lastModifiedBy>
  <cp:revision>2</cp:revision>
  <dcterms:created xsi:type="dcterms:W3CDTF">2021-05-21T08:20:09Z</dcterms:created>
  <dcterms:modified xsi:type="dcterms:W3CDTF">2026-02-03T12:47:48Z</dcterms:modified>
</cp:coreProperties>
</file>